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Kdrive\Common documents\P2 - Production des missions\Missions en cours\3127-Evaluation InTerLUD+\_Travail\1-Méthodo\1_Catalogue d'actions\"/>
    </mc:Choice>
  </mc:AlternateContent>
  <xr:revisionPtr revIDLastSave="0" documentId="13_ncr:1_{161C6D4C-C2CC-46AD-AEC7-9031B3C08174}" xr6:coauthVersionLast="47" xr6:coauthVersionMax="47" xr10:uidLastSave="{00000000-0000-0000-0000-000000000000}"/>
  <bookViews>
    <workbookView xWindow="-120" yWindow="-120" windowWidth="29040" windowHeight="15720" tabRatio="862" xr2:uid="{9FD0BDA7-8310-4555-A7EF-580BD2CE1254}"/>
  </bookViews>
  <sheets>
    <sheet name="Remplissage - Sit. Init." sheetId="1" r:id="rId1"/>
    <sheet name="List" sheetId="2" state="hidden" r:id="rId2"/>
    <sheet name="Remplissage - Sit. Ref." sheetId="4" r:id="rId3"/>
    <sheet name="Remplissage - Sit. Expost" sheetId="5" r:id="rId4"/>
    <sheet name="Remplissage - Sit. Prev." sheetId="6" r:id="rId5"/>
    <sheet name="Agrégation total" sheetId="8" r:id="rId6"/>
    <sheet name="Agrégation charte" sheetId="9" r:id="rId7"/>
    <sheet name="Parcs types" sheetId="7" state="hidden" r:id="rId8"/>
  </sheets>
  <definedNames>
    <definedName name="_xlnm._FilterDatabase" localSheetId="3" hidden="1">'Remplissage - Sit. Expost'!$A$1:$N$2378</definedName>
    <definedName name="_xlnm._FilterDatabase" localSheetId="0" hidden="1">'Remplissage - Sit. Init.'!$A$1:$O$2259</definedName>
    <definedName name="_xlnm._FilterDatabase" localSheetId="4" hidden="1">'Remplissage - Sit. Prev.'!$A$1:$N$1697</definedName>
    <definedName name="_xlnm._FilterDatabase" localSheetId="2" hidden="1">'Remplissage - Sit. Ref.'!$A$1:$AP$1076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9" l="1"/>
  <c r="B28" i="9"/>
  <c r="B18" i="9"/>
  <c r="F10" i="9"/>
  <c r="G10" i="9" s="1"/>
  <c r="H10" i="9" s="1"/>
  <c r="I10" i="9" s="1"/>
  <c r="J10" i="9" s="1"/>
  <c r="K10" i="9" s="1"/>
  <c r="L10" i="9" s="1"/>
  <c r="M10" i="9" s="1"/>
  <c r="N10" i="9" s="1"/>
  <c r="O10" i="9" s="1"/>
  <c r="P10" i="9" s="1"/>
  <c r="Q10" i="9" s="1"/>
  <c r="R10" i="9" s="1"/>
  <c r="S10" i="9" s="1"/>
  <c r="T10" i="9" s="1"/>
  <c r="U10" i="9" s="1"/>
  <c r="V10" i="9" s="1"/>
  <c r="W10" i="9" s="1"/>
  <c r="X10" i="9" s="1"/>
  <c r="Y10" i="9" s="1"/>
  <c r="Z10" i="9" s="1"/>
  <c r="AA10" i="9" s="1"/>
  <c r="AB10" i="9" s="1"/>
  <c r="AC10" i="9" s="1"/>
  <c r="AD10" i="9" s="1" a="1"/>
  <c r="AD10" i="9" s="1"/>
  <c r="E10" i="9"/>
  <c r="B8" i="9"/>
  <c r="E20" i="9"/>
  <c r="F20" i="9" s="1"/>
  <c r="G20" i="9" s="1"/>
  <c r="H20" i="9" s="1"/>
  <c r="I20" i="9" s="1"/>
  <c r="J20" i="9" s="1"/>
  <c r="K20" i="9" s="1"/>
  <c r="L20" i="9" s="1"/>
  <c r="M20" i="9" s="1"/>
  <c r="N20" i="9" s="1"/>
  <c r="O20" i="9" s="1"/>
  <c r="P20" i="9" s="1"/>
  <c r="Q20" i="9" s="1"/>
  <c r="R20" i="9" s="1"/>
  <c r="S20" i="9" s="1"/>
  <c r="T20" i="9" s="1"/>
  <c r="U20" i="9" s="1"/>
  <c r="V20" i="9" s="1"/>
  <c r="W20" i="9" s="1"/>
  <c r="X20" i="9" s="1"/>
  <c r="Y20" i="9" s="1"/>
  <c r="Z20" i="9" s="1"/>
  <c r="AA20" i="9" s="1"/>
  <c r="AB20" i="9" s="1"/>
  <c r="AC20" i="9" s="1"/>
  <c r="AD20" i="9" s="1"/>
  <c r="AE20" i="9" s="1"/>
  <c r="B2" i="9"/>
  <c r="B39" i="8"/>
  <c r="B28" i="8"/>
  <c r="B18" i="8"/>
  <c r="C16" i="8"/>
  <c r="E16" i="8" s="1"/>
  <c r="G10" i="8"/>
  <c r="H10" i="8" s="1"/>
  <c r="I10" i="8" s="1"/>
  <c r="J10" i="8" s="1"/>
  <c r="K10" i="8" s="1"/>
  <c r="L10" i="8" s="1"/>
  <c r="M10" i="8" s="1"/>
  <c r="F10" i="8"/>
  <c r="E10" i="8"/>
  <c r="B8" i="8"/>
  <c r="E20" i="8"/>
  <c r="F20" i="8" s="1"/>
  <c r="G20" i="8" s="1"/>
  <c r="H20" i="8" s="1"/>
  <c r="I20" i="8" s="1"/>
  <c r="J20" i="8" s="1"/>
  <c r="K20" i="8" s="1"/>
  <c r="L20" i="8" s="1"/>
  <c r="M20" i="8" s="1"/>
  <c r="N20" i="8" s="1"/>
  <c r="O20" i="8" s="1"/>
  <c r="P20" i="8" s="1"/>
  <c r="Q20" i="8" s="1"/>
  <c r="R20" i="8" s="1"/>
  <c r="S20" i="8" s="1"/>
  <c r="T20" i="8" s="1"/>
  <c r="U20" i="8" s="1"/>
  <c r="V20" i="8" s="1"/>
  <c r="W20" i="8" s="1"/>
  <c r="X20" i="8" s="1"/>
  <c r="Y20" i="8" s="1"/>
  <c r="Z20" i="8" s="1"/>
  <c r="AA20" i="8" s="1"/>
  <c r="AB20" i="8" s="1"/>
  <c r="AC20" i="8" s="1"/>
  <c r="AD20" i="8" s="1"/>
  <c r="AE20" i="8" s="1"/>
  <c r="B2" i="8"/>
  <c r="F16" i="8" l="1"/>
  <c r="M16" i="8"/>
  <c r="N10" i="8"/>
  <c r="G16" i="8"/>
  <c r="C26" i="8"/>
  <c r="H16" i="8"/>
  <c r="I16" i="8"/>
  <c r="J16" i="8"/>
  <c r="K16" i="8"/>
  <c r="L16" i="8"/>
  <c r="X26" i="8" l="1"/>
  <c r="P26" i="8"/>
  <c r="H26" i="8"/>
  <c r="W26" i="8"/>
  <c r="O26" i="8"/>
  <c r="G26" i="8"/>
  <c r="AD26" i="8"/>
  <c r="V26" i="8"/>
  <c r="N26" i="8"/>
  <c r="F26" i="8"/>
  <c r="J26" i="8"/>
  <c r="AC26" i="8"/>
  <c r="U26" i="8"/>
  <c r="M26" i="8"/>
  <c r="E26" i="8"/>
  <c r="AB26" i="8"/>
  <c r="T26" i="8"/>
  <c r="L26" i="8"/>
  <c r="Z26" i="8"/>
  <c r="R26" i="8"/>
  <c r="AA26" i="8"/>
  <c r="S26" i="8"/>
  <c r="K26" i="8"/>
  <c r="I26" i="8"/>
  <c r="Y26" i="8"/>
  <c r="Q26" i="8"/>
  <c r="N16" i="8"/>
  <c r="O10" i="8"/>
  <c r="P10" i="8" l="1"/>
  <c r="O16" i="8"/>
  <c r="D26" i="8"/>
  <c r="Q10" i="8" l="1"/>
  <c r="P16" i="8"/>
  <c r="R10" i="8" l="1"/>
  <c r="Q16" i="8"/>
  <c r="S10" i="8" l="1"/>
  <c r="R16" i="8"/>
  <c r="T10" i="8" l="1"/>
  <c r="S16" i="8"/>
  <c r="U10" i="8" l="1"/>
  <c r="T16" i="8"/>
  <c r="U16" i="8" l="1"/>
  <c r="V10" i="8"/>
  <c r="V16" i="8" l="1"/>
  <c r="W10" i="8"/>
  <c r="X10" i="8" l="1"/>
  <c r="W16" i="8"/>
  <c r="Y10" i="8" l="1"/>
  <c r="X16" i="8"/>
  <c r="Z10" i="8" l="1"/>
  <c r="Y16" i="8"/>
  <c r="AA10" i="8" l="1"/>
  <c r="Z16" i="8"/>
  <c r="AB10" i="8" l="1"/>
  <c r="AA16" i="8"/>
  <c r="AC10" i="8" l="1"/>
  <c r="AB16" i="8"/>
  <c r="AD10" i="8" l="1" a="1"/>
  <c r="AD10" i="8" s="1"/>
  <c r="AD16" i="8" s="1"/>
  <c r="AC16" i="8"/>
  <c r="D16" i="8" l="1"/>
  <c r="C36" i="8" s="1"/>
  <c r="D36" i="8" s="1"/>
  <c r="C23" i="9" l="1"/>
  <c r="C15" i="9"/>
  <c r="C13" i="9"/>
  <c r="C26" i="9"/>
  <c r="C24" i="9"/>
  <c r="C22" i="9"/>
  <c r="C11" i="9"/>
  <c r="C25" i="9"/>
  <c r="C21" i="9"/>
  <c r="C12" i="9"/>
  <c r="C16" i="9"/>
  <c r="C14" i="9"/>
  <c r="X24" i="9" l="1"/>
  <c r="P24" i="9"/>
  <c r="H24" i="9"/>
  <c r="AD24" i="9"/>
  <c r="V24" i="9"/>
  <c r="N24" i="9"/>
  <c r="F24" i="9"/>
  <c r="AC24" i="9"/>
  <c r="U24" i="9"/>
  <c r="M24" i="9"/>
  <c r="E24" i="9"/>
  <c r="W24" i="9"/>
  <c r="O24" i="9"/>
  <c r="AB24" i="9"/>
  <c r="T24" i="9"/>
  <c r="L24" i="9"/>
  <c r="I24" i="9"/>
  <c r="AA24" i="9"/>
  <c r="S24" i="9"/>
  <c r="K24" i="9"/>
  <c r="Z24" i="9"/>
  <c r="R24" i="9"/>
  <c r="J24" i="9"/>
  <c r="Y24" i="9"/>
  <c r="Q24" i="9"/>
  <c r="G24" i="9"/>
  <c r="AB14" i="9"/>
  <c r="T14" i="9"/>
  <c r="L14" i="9"/>
  <c r="Z14" i="9"/>
  <c r="R14" i="9"/>
  <c r="J14" i="9"/>
  <c r="Y14" i="9"/>
  <c r="Q14" i="9"/>
  <c r="I14" i="9"/>
  <c r="M14" i="9"/>
  <c r="X14" i="9"/>
  <c r="P14" i="9"/>
  <c r="H14" i="9"/>
  <c r="U14" i="9"/>
  <c r="W14" i="9"/>
  <c r="O14" i="9"/>
  <c r="G14" i="9"/>
  <c r="AD14" i="9"/>
  <c r="V14" i="9"/>
  <c r="N14" i="9"/>
  <c r="F14" i="9"/>
  <c r="AC14" i="9"/>
  <c r="E14" i="9"/>
  <c r="AA14" i="9"/>
  <c r="S14" i="9"/>
  <c r="K14" i="9"/>
  <c r="X26" i="9"/>
  <c r="P26" i="9"/>
  <c r="H26" i="9"/>
  <c r="AD26" i="9"/>
  <c r="V26" i="9"/>
  <c r="N26" i="9"/>
  <c r="F26" i="9"/>
  <c r="AC26" i="9"/>
  <c r="U26" i="9"/>
  <c r="M26" i="9"/>
  <c r="E26" i="9"/>
  <c r="Y26" i="9"/>
  <c r="W26" i="9"/>
  <c r="AB26" i="9"/>
  <c r="T26" i="9"/>
  <c r="L26" i="9"/>
  <c r="AA26" i="9"/>
  <c r="S26" i="9"/>
  <c r="K26" i="9"/>
  <c r="I26" i="9"/>
  <c r="G26" i="9"/>
  <c r="Z26" i="9"/>
  <c r="R26" i="9"/>
  <c r="J26" i="9"/>
  <c r="Q26" i="9"/>
  <c r="O26" i="9"/>
  <c r="C21" i="8"/>
  <c r="K21" i="8" s="1"/>
  <c r="AB16" i="9"/>
  <c r="T16" i="9"/>
  <c r="L16" i="9"/>
  <c r="Z16" i="9"/>
  <c r="R16" i="9"/>
  <c r="J16" i="9"/>
  <c r="U16" i="9"/>
  <c r="Y16" i="9"/>
  <c r="Q16" i="9"/>
  <c r="I16" i="9"/>
  <c r="M16" i="9"/>
  <c r="X16" i="9"/>
  <c r="P16" i="9"/>
  <c r="H16" i="9"/>
  <c r="W16" i="9"/>
  <c r="O16" i="9"/>
  <c r="G16" i="9"/>
  <c r="AC16" i="9"/>
  <c r="AD16" i="9"/>
  <c r="V16" i="9"/>
  <c r="N16" i="9"/>
  <c r="F16" i="9"/>
  <c r="E16" i="9"/>
  <c r="AA16" i="9"/>
  <c r="S16" i="9"/>
  <c r="K16" i="9"/>
  <c r="X13" i="9"/>
  <c r="P13" i="9"/>
  <c r="H13" i="9"/>
  <c r="AD13" i="9"/>
  <c r="V13" i="9"/>
  <c r="N13" i="9"/>
  <c r="F13" i="9"/>
  <c r="Q13" i="9"/>
  <c r="AC13" i="9"/>
  <c r="U13" i="9"/>
  <c r="M13" i="9"/>
  <c r="E13" i="9"/>
  <c r="AB13" i="9"/>
  <c r="T13" i="9"/>
  <c r="L13" i="9"/>
  <c r="S13" i="9"/>
  <c r="AA13" i="9"/>
  <c r="K13" i="9"/>
  <c r="Y13" i="9"/>
  <c r="Z13" i="9"/>
  <c r="R13" i="9"/>
  <c r="J13" i="9"/>
  <c r="I13" i="9"/>
  <c r="O13" i="9"/>
  <c r="W13" i="9"/>
  <c r="G13" i="9"/>
  <c r="C11" i="8"/>
  <c r="C14" i="8"/>
  <c r="AB12" i="9"/>
  <c r="T12" i="9"/>
  <c r="L12" i="9"/>
  <c r="Z12" i="9"/>
  <c r="R12" i="9"/>
  <c r="J12" i="9"/>
  <c r="M12" i="9"/>
  <c r="Y12" i="9"/>
  <c r="Q12" i="9"/>
  <c r="I12" i="9"/>
  <c r="AC12" i="9"/>
  <c r="X12" i="9"/>
  <c r="P12" i="9"/>
  <c r="H12" i="9"/>
  <c r="W12" i="9"/>
  <c r="O12" i="9"/>
  <c r="G12" i="9"/>
  <c r="E12" i="9"/>
  <c r="AD12" i="9"/>
  <c r="V12" i="9"/>
  <c r="N12" i="9"/>
  <c r="F12" i="9"/>
  <c r="U12" i="9"/>
  <c r="AA12" i="9"/>
  <c r="S12" i="9"/>
  <c r="K12" i="9"/>
  <c r="X15" i="9"/>
  <c r="P15" i="9"/>
  <c r="H15" i="9"/>
  <c r="AD15" i="9"/>
  <c r="V15" i="9"/>
  <c r="N15" i="9"/>
  <c r="F15" i="9"/>
  <c r="Q15" i="9"/>
  <c r="AC15" i="9"/>
  <c r="U15" i="9"/>
  <c r="M15" i="9"/>
  <c r="E15" i="9"/>
  <c r="Y15" i="9"/>
  <c r="AB15" i="9"/>
  <c r="T15" i="9"/>
  <c r="L15" i="9"/>
  <c r="AA15" i="9"/>
  <c r="S15" i="9"/>
  <c r="K15" i="9"/>
  <c r="I15" i="9"/>
  <c r="Z15" i="9"/>
  <c r="R15" i="9"/>
  <c r="J15" i="9"/>
  <c r="G15" i="9"/>
  <c r="O15" i="9"/>
  <c r="W15" i="9"/>
  <c r="X11" i="9"/>
  <c r="P11" i="9"/>
  <c r="H11" i="9"/>
  <c r="AD11" i="9"/>
  <c r="V11" i="9"/>
  <c r="N11" i="9"/>
  <c r="F11" i="9"/>
  <c r="AC11" i="9"/>
  <c r="U11" i="9"/>
  <c r="M11" i="9"/>
  <c r="E11" i="9"/>
  <c r="AA11" i="9"/>
  <c r="Y11" i="9"/>
  <c r="AB11" i="9"/>
  <c r="T11" i="9"/>
  <c r="L11" i="9"/>
  <c r="K11" i="9"/>
  <c r="Q11" i="9"/>
  <c r="S11" i="9"/>
  <c r="Z11" i="9"/>
  <c r="R11" i="9"/>
  <c r="J11" i="9"/>
  <c r="I11" i="9"/>
  <c r="O11" i="9"/>
  <c r="G11" i="9"/>
  <c r="W11" i="9"/>
  <c r="C12" i="8"/>
  <c r="AB21" i="9"/>
  <c r="T21" i="9"/>
  <c r="L21" i="9"/>
  <c r="Z21" i="9"/>
  <c r="R21" i="9"/>
  <c r="J21" i="9"/>
  <c r="AC21" i="9"/>
  <c r="Y21" i="9"/>
  <c r="Q21" i="9"/>
  <c r="I21" i="9"/>
  <c r="U21" i="9"/>
  <c r="E21" i="9"/>
  <c r="X21" i="9"/>
  <c r="P21" i="9"/>
  <c r="H21" i="9"/>
  <c r="W21" i="9"/>
  <c r="O21" i="9"/>
  <c r="G21" i="9"/>
  <c r="S21" i="9"/>
  <c r="AD21" i="9"/>
  <c r="V21" i="9"/>
  <c r="N21" i="9"/>
  <c r="F21" i="9"/>
  <c r="M21" i="9"/>
  <c r="AA21" i="9"/>
  <c r="K21" i="9"/>
  <c r="AB23" i="9"/>
  <c r="T23" i="9"/>
  <c r="L23" i="9"/>
  <c r="Z23" i="9"/>
  <c r="R23" i="9"/>
  <c r="J23" i="9"/>
  <c r="Y23" i="9"/>
  <c r="Q23" i="9"/>
  <c r="I23" i="9"/>
  <c r="E23" i="9"/>
  <c r="AA23" i="9"/>
  <c r="S23" i="9"/>
  <c r="X23" i="9"/>
  <c r="P23" i="9"/>
  <c r="H23" i="9"/>
  <c r="W23" i="9"/>
  <c r="O23" i="9"/>
  <c r="G23" i="9"/>
  <c r="AD23" i="9"/>
  <c r="V23" i="9"/>
  <c r="N23" i="9"/>
  <c r="F23" i="9"/>
  <c r="AC23" i="9"/>
  <c r="U23" i="9"/>
  <c r="M23" i="9"/>
  <c r="K23" i="9"/>
  <c r="X22" i="9"/>
  <c r="P22" i="9"/>
  <c r="H22" i="9"/>
  <c r="AD22" i="9"/>
  <c r="V22" i="9"/>
  <c r="N22" i="9"/>
  <c r="F22" i="9"/>
  <c r="AC22" i="9"/>
  <c r="U22" i="9"/>
  <c r="M22" i="9"/>
  <c r="E22" i="9"/>
  <c r="AB22" i="9"/>
  <c r="T22" i="9"/>
  <c r="L22" i="9"/>
  <c r="AA22" i="9"/>
  <c r="S22" i="9"/>
  <c r="K22" i="9"/>
  <c r="I22" i="9"/>
  <c r="W22" i="9"/>
  <c r="Z22" i="9"/>
  <c r="R22" i="9"/>
  <c r="J22" i="9"/>
  <c r="Y22" i="9"/>
  <c r="Q22" i="9"/>
  <c r="O22" i="9"/>
  <c r="G22" i="9"/>
  <c r="C13" i="8"/>
  <c r="AB25" i="9"/>
  <c r="T25" i="9"/>
  <c r="L25" i="9"/>
  <c r="Z25" i="9"/>
  <c r="R25" i="9"/>
  <c r="J25" i="9"/>
  <c r="AC25" i="9"/>
  <c r="Y25" i="9"/>
  <c r="Q25" i="9"/>
  <c r="I25" i="9"/>
  <c r="AA25" i="9"/>
  <c r="K25" i="9"/>
  <c r="X25" i="9"/>
  <c r="P25" i="9"/>
  <c r="H25" i="9"/>
  <c r="W25" i="9"/>
  <c r="O25" i="9"/>
  <c r="G25" i="9"/>
  <c r="S25" i="9"/>
  <c r="AD25" i="9"/>
  <c r="V25" i="9"/>
  <c r="N25" i="9"/>
  <c r="F25" i="9"/>
  <c r="U25" i="9"/>
  <c r="M25" i="9"/>
  <c r="E25" i="9"/>
  <c r="C15" i="8"/>
  <c r="C23" i="8"/>
  <c r="T23" i="8" s="1"/>
  <c r="C22" i="8"/>
  <c r="W22" i="8" s="1"/>
  <c r="C25" i="8"/>
  <c r="C24" i="8"/>
  <c r="W24" i="8" s="1"/>
  <c r="V24" i="8"/>
  <c r="N24" i="8"/>
  <c r="Z24" i="8"/>
  <c r="L24" i="8"/>
  <c r="K24" i="8"/>
  <c r="Q24" i="8"/>
  <c r="AB14" i="8"/>
  <c r="T14" i="8"/>
  <c r="L14" i="8"/>
  <c r="AA14" i="8"/>
  <c r="S14" i="8"/>
  <c r="Z14" i="8"/>
  <c r="R14" i="8"/>
  <c r="J14" i="8"/>
  <c r="Y14" i="8"/>
  <c r="Q14" i="8"/>
  <c r="I14" i="8"/>
  <c r="X14" i="8"/>
  <c r="P14" i="8"/>
  <c r="H14" i="8"/>
  <c r="O14" i="8"/>
  <c r="W14" i="8"/>
  <c r="G14" i="8"/>
  <c r="M14" i="8"/>
  <c r="K14" i="8"/>
  <c r="AC14" i="8"/>
  <c r="F14" i="8"/>
  <c r="AD14" i="8"/>
  <c r="E14" i="8"/>
  <c r="N14" i="8"/>
  <c r="V14" i="8"/>
  <c r="U14" i="8"/>
  <c r="AB12" i="8"/>
  <c r="T12" i="8"/>
  <c r="L12" i="8"/>
  <c r="Z12" i="8"/>
  <c r="R12" i="8"/>
  <c r="J12" i="8"/>
  <c r="Y12" i="8"/>
  <c r="Q12" i="8"/>
  <c r="I12" i="8"/>
  <c r="X12" i="8"/>
  <c r="P12" i="8"/>
  <c r="H12" i="8"/>
  <c r="W12" i="8"/>
  <c r="O12" i="8"/>
  <c r="G12" i="8"/>
  <c r="AA12" i="8"/>
  <c r="E12" i="8"/>
  <c r="V12" i="8"/>
  <c r="N12" i="8"/>
  <c r="U12" i="8"/>
  <c r="S12" i="8"/>
  <c r="AC12" i="8"/>
  <c r="F12" i="8"/>
  <c r="M12" i="8"/>
  <c r="AD12" i="8"/>
  <c r="K12" i="8"/>
  <c r="X13" i="8"/>
  <c r="P13" i="8"/>
  <c r="H13" i="8"/>
  <c r="AD13" i="8"/>
  <c r="V13" i="8"/>
  <c r="N13" i="8"/>
  <c r="F13" i="8"/>
  <c r="AC13" i="8"/>
  <c r="U13" i="8"/>
  <c r="M13" i="8"/>
  <c r="E13" i="8"/>
  <c r="AB13" i="8"/>
  <c r="T13" i="8"/>
  <c r="L13" i="8"/>
  <c r="K13" i="8"/>
  <c r="AA13" i="8"/>
  <c r="S13" i="8"/>
  <c r="R13" i="8"/>
  <c r="Q13" i="8"/>
  <c r="I13" i="8"/>
  <c r="O13" i="8"/>
  <c r="J13" i="8"/>
  <c r="W13" i="8"/>
  <c r="Z13" i="8"/>
  <c r="G13" i="8"/>
  <c r="Y13" i="8"/>
  <c r="X11" i="8"/>
  <c r="P11" i="8"/>
  <c r="H11" i="8"/>
  <c r="AD11" i="8"/>
  <c r="V11" i="8"/>
  <c r="N11" i="8"/>
  <c r="F11" i="8"/>
  <c r="U11" i="8"/>
  <c r="AC11" i="8"/>
  <c r="M11" i="8"/>
  <c r="E11" i="8"/>
  <c r="AB11" i="8"/>
  <c r="T11" i="8"/>
  <c r="L11" i="8"/>
  <c r="AA11" i="8"/>
  <c r="S11" i="8"/>
  <c r="K11" i="8"/>
  <c r="J11" i="8"/>
  <c r="I11" i="8"/>
  <c r="W11" i="8"/>
  <c r="Z11" i="8"/>
  <c r="G11" i="8"/>
  <c r="Y11" i="8"/>
  <c r="O11" i="8"/>
  <c r="R11" i="8"/>
  <c r="Q11" i="8"/>
  <c r="AA21" i="8"/>
  <c r="S21" i="8"/>
  <c r="Q21" i="8"/>
  <c r="I21" i="8"/>
  <c r="V21" i="8"/>
  <c r="U21" i="8"/>
  <c r="X15" i="8"/>
  <c r="P15" i="8"/>
  <c r="H15" i="8"/>
  <c r="W15" i="8"/>
  <c r="O15" i="8"/>
  <c r="G15" i="8"/>
  <c r="AD15" i="8"/>
  <c r="V15" i="8"/>
  <c r="N15" i="8"/>
  <c r="F15" i="8"/>
  <c r="AC15" i="8"/>
  <c r="U15" i="8"/>
  <c r="M15" i="8"/>
  <c r="E15" i="8"/>
  <c r="AB15" i="8"/>
  <c r="T15" i="8"/>
  <c r="L15" i="8"/>
  <c r="AA15" i="8"/>
  <c r="S15" i="8"/>
  <c r="K15" i="8"/>
  <c r="Q15" i="8"/>
  <c r="J15" i="8"/>
  <c r="I15" i="8"/>
  <c r="R15" i="8"/>
  <c r="Z15" i="8"/>
  <c r="Y15" i="8"/>
  <c r="AB23" i="8"/>
  <c r="R23" i="8"/>
  <c r="J23" i="8"/>
  <c r="H23" i="8"/>
  <c r="AD23" i="8"/>
  <c r="M23" i="8"/>
  <c r="E23" i="8"/>
  <c r="AB25" i="8"/>
  <c r="T25" i="8"/>
  <c r="L25" i="8"/>
  <c r="AA25" i="8"/>
  <c r="S25" i="8"/>
  <c r="K25" i="8"/>
  <c r="Z25" i="8"/>
  <c r="R25" i="8"/>
  <c r="J25" i="8"/>
  <c r="N25" i="8"/>
  <c r="Y25" i="8"/>
  <c r="Q25" i="8"/>
  <c r="I25" i="8"/>
  <c r="X25" i="8"/>
  <c r="P25" i="8"/>
  <c r="H25" i="8"/>
  <c r="W25" i="8"/>
  <c r="O25" i="8"/>
  <c r="G25" i="8"/>
  <c r="AD25" i="8"/>
  <c r="V25" i="8"/>
  <c r="F25" i="8"/>
  <c r="AC25" i="8"/>
  <c r="U25" i="8"/>
  <c r="E25" i="8"/>
  <c r="M25" i="8"/>
  <c r="T24" i="8" l="1"/>
  <c r="G24" i="8"/>
  <c r="AB24" i="8"/>
  <c r="H24" i="8"/>
  <c r="E24" i="8"/>
  <c r="P24" i="8"/>
  <c r="Z22" i="8"/>
  <c r="I24" i="8"/>
  <c r="U24" i="8"/>
  <c r="X24" i="8"/>
  <c r="Y24" i="8"/>
  <c r="F24" i="8"/>
  <c r="F22" i="8"/>
  <c r="D12" i="9"/>
  <c r="Q22" i="8"/>
  <c r="N22" i="8"/>
  <c r="U23" i="8"/>
  <c r="P23" i="8"/>
  <c r="Z23" i="8"/>
  <c r="G21" i="8"/>
  <c r="Y21" i="8"/>
  <c r="L21" i="8"/>
  <c r="D16" i="9"/>
  <c r="AA22" i="8"/>
  <c r="G22" i="8"/>
  <c r="F23" i="8"/>
  <c r="X23" i="8"/>
  <c r="K23" i="8"/>
  <c r="AD21" i="8"/>
  <c r="O21" i="8"/>
  <c r="N21" i="8"/>
  <c r="T21" i="8"/>
  <c r="D25" i="9"/>
  <c r="D13" i="9"/>
  <c r="D23" i="9"/>
  <c r="C33" i="9" s="1"/>
  <c r="D33" i="9" s="1"/>
  <c r="I22" i="8"/>
  <c r="L22" i="8"/>
  <c r="H22" i="8"/>
  <c r="G23" i="8"/>
  <c r="I23" i="8"/>
  <c r="S23" i="8"/>
  <c r="AC21" i="8"/>
  <c r="W21" i="8"/>
  <c r="J21" i="8"/>
  <c r="AB21" i="8"/>
  <c r="D11" i="9"/>
  <c r="D26" i="9"/>
  <c r="C36" i="9" s="1"/>
  <c r="D36" i="9" s="1"/>
  <c r="T22" i="8"/>
  <c r="P22" i="8"/>
  <c r="O23" i="8"/>
  <c r="Q23" i="8"/>
  <c r="AA23" i="8"/>
  <c r="E21" i="8"/>
  <c r="H21" i="8"/>
  <c r="R21" i="8"/>
  <c r="D22" i="9"/>
  <c r="C32" i="9" s="1"/>
  <c r="D32" i="9" s="1"/>
  <c r="D15" i="9"/>
  <c r="D24" i="9"/>
  <c r="D21" i="9"/>
  <c r="C31" i="9" s="1"/>
  <c r="D31" i="9" s="1"/>
  <c r="AB22" i="8"/>
  <c r="X22" i="8"/>
  <c r="W23" i="8"/>
  <c r="Y23" i="8"/>
  <c r="L23" i="8"/>
  <c r="M21" i="8"/>
  <c r="P21" i="8"/>
  <c r="Z21" i="8"/>
  <c r="U22" i="8"/>
  <c r="AC23" i="8"/>
  <c r="N23" i="8"/>
  <c r="V23" i="8"/>
  <c r="F21" i="8"/>
  <c r="X21" i="8"/>
  <c r="D14" i="9"/>
  <c r="Y22" i="8"/>
  <c r="E22" i="8"/>
  <c r="V22" i="8"/>
  <c r="S22" i="8"/>
  <c r="M22" i="8"/>
  <c r="AD22" i="8"/>
  <c r="R24" i="8"/>
  <c r="M24" i="8"/>
  <c r="AD24" i="8"/>
  <c r="R22" i="8"/>
  <c r="AC22" i="8"/>
  <c r="O22" i="8"/>
  <c r="S24" i="8"/>
  <c r="AC24" i="8"/>
  <c r="O24" i="8"/>
  <c r="K22" i="8"/>
  <c r="J22" i="8"/>
  <c r="AA24" i="8"/>
  <c r="J24" i="8"/>
  <c r="D25" i="8"/>
  <c r="D11" i="8"/>
  <c r="D15" i="8"/>
  <c r="D12" i="8"/>
  <c r="D13" i="8"/>
  <c r="D14" i="8"/>
  <c r="D23" i="8" l="1"/>
  <c r="D21" i="8"/>
  <c r="C31" i="8" s="1"/>
  <c r="D31" i="8" s="1"/>
  <c r="C34" i="9"/>
  <c r="D34" i="9" s="1"/>
  <c r="C35" i="9"/>
  <c r="D35" i="9" s="1"/>
  <c r="D24" i="8"/>
  <c r="C34" i="8" s="1"/>
  <c r="D34" i="8" s="1"/>
  <c r="D22" i="8"/>
  <c r="C33" i="8"/>
  <c r="D33" i="8" s="1"/>
  <c r="C32" i="8"/>
  <c r="D32" i="8" s="1"/>
  <c r="C35" i="8"/>
  <c r="D35" i="8" s="1"/>
  <c r="G622" i="6" l="1" a="1"/>
  <c r="G622" i="6" s="1"/>
  <c r="G623" i="6" a="1"/>
  <c r="G623" i="6" s="1"/>
  <c r="G624" i="6" a="1"/>
  <c r="G624" i="6" s="1"/>
  <c r="G625" i="6" a="1"/>
  <c r="G625" i="6" s="1"/>
  <c r="G626" i="6" a="1"/>
  <c r="G626" i="6" s="1"/>
  <c r="G627" i="6" a="1"/>
  <c r="G627" i="6" s="1"/>
  <c r="G628" i="6" a="1"/>
  <c r="G628" i="6" s="1"/>
  <c r="G629" i="6" a="1"/>
  <c r="G629" i="6" s="1"/>
  <c r="G630" i="6" a="1"/>
  <c r="G630" i="6" s="1"/>
  <c r="G631" i="6" a="1"/>
  <c r="G631" i="6" s="1"/>
  <c r="G632" i="6" a="1"/>
  <c r="G632" i="6" s="1"/>
  <c r="G633" i="6" a="1"/>
  <c r="G633" i="6"/>
  <c r="G634" i="6" a="1"/>
  <c r="G634" i="6" s="1"/>
  <c r="G635" i="6" a="1"/>
  <c r="G635" i="6" s="1"/>
  <c r="G636" i="6" a="1"/>
  <c r="G636" i="6" s="1"/>
  <c r="G637" i="6" a="1"/>
  <c r="G637" i="6"/>
  <c r="G638" i="6" a="1"/>
  <c r="G638" i="6" s="1"/>
  <c r="G639" i="6" a="1"/>
  <c r="G639" i="6" s="1"/>
  <c r="G640" i="6" a="1"/>
  <c r="G640" i="6" s="1"/>
  <c r="G641" i="6" a="1"/>
  <c r="G641" i="6" s="1"/>
  <c r="G642" i="6" a="1"/>
  <c r="G642" i="6" s="1"/>
  <c r="G643" i="6" a="1"/>
  <c r="G643" i="6" s="1"/>
  <c r="G644" i="6" a="1"/>
  <c r="G644" i="6" s="1"/>
  <c r="G645" i="6" a="1"/>
  <c r="G645" i="6" s="1"/>
  <c r="G646" i="6" a="1"/>
  <c r="G646" i="6" s="1"/>
  <c r="G647" i="6" a="1"/>
  <c r="G647" i="6" s="1"/>
  <c r="G648" i="6" a="1"/>
  <c r="G648" i="6" s="1"/>
  <c r="G649" i="6" a="1"/>
  <c r="G649" i="6"/>
  <c r="G650" i="6" a="1"/>
  <c r="G650" i="6" s="1"/>
  <c r="G651" i="6" a="1"/>
  <c r="G651" i="6" s="1"/>
  <c r="G652" i="6" a="1"/>
  <c r="G652" i="6" s="1"/>
  <c r="G653" i="6" a="1"/>
  <c r="G653" i="6"/>
  <c r="G654" i="6" a="1"/>
  <c r="G654" i="6" s="1"/>
  <c r="G655" i="6" a="1"/>
  <c r="G655" i="6" s="1"/>
  <c r="G656" i="6" a="1"/>
  <c r="G656" i="6" s="1"/>
  <c r="G657" i="6" a="1"/>
  <c r="G657" i="6" s="1"/>
  <c r="G658" i="6" a="1"/>
  <c r="G658" i="6" s="1"/>
  <c r="G659" i="6" a="1"/>
  <c r="G659" i="6" s="1"/>
  <c r="G660" i="6" a="1"/>
  <c r="G660" i="6" s="1"/>
  <c r="G661" i="6" a="1"/>
  <c r="G661" i="6" s="1"/>
  <c r="G662" i="6" a="1"/>
  <c r="G662" i="6" s="1"/>
  <c r="G663" i="6" a="1"/>
  <c r="G663" i="6" s="1"/>
  <c r="G664" i="6" a="1"/>
  <c r="G664" i="6" s="1"/>
  <c r="G665" i="6" a="1"/>
  <c r="G665" i="6"/>
  <c r="G666" i="6" a="1"/>
  <c r="G666" i="6" s="1"/>
  <c r="G667" i="6" a="1"/>
  <c r="G667" i="6" s="1"/>
  <c r="G668" i="6" a="1"/>
  <c r="G668" i="6" s="1"/>
  <c r="G669" i="6" a="1"/>
  <c r="G669" i="6"/>
  <c r="G670" i="6" a="1"/>
  <c r="G670" i="6" s="1"/>
  <c r="G671" i="6" a="1"/>
  <c r="G671" i="6" s="1"/>
  <c r="G672" i="6" a="1"/>
  <c r="G672" i="6" s="1"/>
  <c r="G673" i="6" a="1"/>
  <c r="G673" i="6" s="1"/>
  <c r="G674" i="6" a="1"/>
  <c r="G674" i="6" s="1"/>
  <c r="G675" i="6" a="1"/>
  <c r="G675" i="6" s="1"/>
  <c r="G676" i="6" a="1"/>
  <c r="G676" i="6" s="1"/>
  <c r="G677" i="6" a="1"/>
  <c r="G677" i="6" s="1"/>
  <c r="G678" i="6" a="1"/>
  <c r="G678" i="6" s="1"/>
  <c r="G679" i="6" a="1"/>
  <c r="G679" i="6" s="1"/>
  <c r="G680" i="6" a="1"/>
  <c r="G680" i="6" s="1"/>
  <c r="G681" i="6" a="1"/>
  <c r="G681" i="6"/>
  <c r="G682" i="6" a="1"/>
  <c r="G682" i="6" s="1"/>
  <c r="G683" i="6" a="1"/>
  <c r="G683" i="6" s="1"/>
  <c r="G684" i="6" a="1"/>
  <c r="G684" i="6" s="1"/>
  <c r="G685" i="6" a="1"/>
  <c r="G685" i="6"/>
  <c r="G686" i="6" a="1"/>
  <c r="G686" i="6" s="1"/>
  <c r="G687" i="6" a="1"/>
  <c r="G687" i="6" s="1"/>
  <c r="G688" i="6" a="1"/>
  <c r="G688" i="6" s="1"/>
  <c r="G689" i="6" a="1"/>
  <c r="G689" i="6" s="1"/>
  <c r="G690" i="6" a="1"/>
  <c r="G690" i="6" s="1"/>
  <c r="G691" i="6" a="1"/>
  <c r="G691" i="6" s="1"/>
  <c r="G692" i="6" a="1"/>
  <c r="G692" i="6" s="1"/>
  <c r="G693" i="6" a="1"/>
  <c r="G693" i="6"/>
  <c r="G694" i="6" a="1"/>
  <c r="G694" i="6" s="1"/>
  <c r="G695" i="6" a="1"/>
  <c r="G695" i="6" s="1"/>
  <c r="G696" i="6" a="1"/>
  <c r="G696" i="6" s="1"/>
  <c r="G697" i="6" a="1"/>
  <c r="G697" i="6"/>
  <c r="G698" i="6" a="1"/>
  <c r="G698" i="6" s="1"/>
  <c r="G699" i="6" a="1"/>
  <c r="G699" i="6" s="1"/>
  <c r="G700" i="6" a="1"/>
  <c r="G700" i="6" s="1"/>
  <c r="G701" i="6" a="1"/>
  <c r="G701" i="6"/>
  <c r="G702" i="6" a="1"/>
  <c r="G702" i="6" s="1"/>
  <c r="G703" i="6" a="1"/>
  <c r="G703" i="6" s="1"/>
  <c r="G704" i="6" a="1"/>
  <c r="G704" i="6" s="1"/>
  <c r="G705" i="6" a="1"/>
  <c r="G705" i="6" s="1"/>
  <c r="G706" i="6" a="1"/>
  <c r="G706" i="6" s="1"/>
  <c r="G707" i="6" a="1"/>
  <c r="G707" i="6" s="1"/>
  <c r="G708" i="6" a="1"/>
  <c r="G708" i="6" s="1"/>
  <c r="G709" i="6" a="1"/>
  <c r="G709" i="6"/>
  <c r="G710" i="6" a="1"/>
  <c r="G710" i="6" s="1"/>
  <c r="G711" i="6" a="1"/>
  <c r="G711" i="6" s="1"/>
  <c r="G712" i="6" a="1"/>
  <c r="G712" i="6" s="1"/>
  <c r="G713" i="6" a="1"/>
  <c r="G713" i="6"/>
  <c r="G714" i="6" a="1"/>
  <c r="G714" i="6" s="1"/>
  <c r="G715" i="6" a="1"/>
  <c r="G715" i="6" s="1"/>
  <c r="G716" i="6" a="1"/>
  <c r="G716" i="6" s="1"/>
  <c r="G717" i="6" a="1"/>
  <c r="G717" i="6"/>
  <c r="G718" i="6" a="1"/>
  <c r="G718" i="6" s="1"/>
  <c r="G719" i="6" a="1"/>
  <c r="G719" i="6" s="1"/>
  <c r="G720" i="6" a="1"/>
  <c r="G720" i="6" s="1"/>
  <c r="G721" i="6" a="1"/>
  <c r="G721" i="6" s="1"/>
  <c r="G722" i="6" a="1"/>
  <c r="G722" i="6" s="1"/>
  <c r="G723" i="6" a="1"/>
  <c r="G723" i="6" s="1"/>
  <c r="G724" i="6" a="1"/>
  <c r="G724" i="6" s="1"/>
  <c r="G725" i="6" a="1"/>
  <c r="G725" i="6" s="1"/>
  <c r="G726" i="6" a="1"/>
  <c r="G726" i="6" s="1"/>
  <c r="G727" i="6" a="1"/>
  <c r="G727" i="6" s="1"/>
  <c r="G728" i="6" a="1"/>
  <c r="G728" i="6" s="1"/>
  <c r="G729" i="6" a="1"/>
  <c r="G729" i="6"/>
  <c r="G730" i="6" a="1"/>
  <c r="G730" i="6" s="1"/>
  <c r="G731" i="6" a="1"/>
  <c r="G731" i="6" s="1"/>
  <c r="G732" i="6" a="1"/>
  <c r="G732" i="6" s="1"/>
  <c r="G733" i="6" a="1"/>
  <c r="G733" i="6"/>
  <c r="G734" i="6" a="1"/>
  <c r="G734" i="6" s="1"/>
  <c r="G735" i="6" a="1"/>
  <c r="G735" i="6" s="1"/>
  <c r="G736" i="6" a="1"/>
  <c r="G736" i="6" s="1"/>
  <c r="G737" i="6" a="1"/>
  <c r="G737" i="6" s="1"/>
  <c r="G738" i="6" a="1"/>
  <c r="G738" i="6" s="1"/>
  <c r="G739" i="6" a="1"/>
  <c r="G739" i="6" s="1"/>
  <c r="G740" i="6" a="1"/>
  <c r="G740" i="6" s="1"/>
  <c r="G741" i="6" a="1"/>
  <c r="G741" i="6"/>
  <c r="G742" i="6" a="1"/>
  <c r="G742" i="6" s="1"/>
  <c r="G743" i="6" a="1"/>
  <c r="G743" i="6" s="1"/>
  <c r="G744" i="6" a="1"/>
  <c r="G744" i="6" s="1"/>
  <c r="G745" i="6" a="1"/>
  <c r="G745" i="6"/>
  <c r="G746" i="6" a="1"/>
  <c r="G746" i="6" s="1"/>
  <c r="G747" i="6" a="1"/>
  <c r="G747" i="6" s="1"/>
  <c r="G748" i="6" a="1"/>
  <c r="G748" i="6" s="1"/>
  <c r="G749" i="6" a="1"/>
  <c r="G749" i="6"/>
  <c r="G750" i="6" a="1"/>
  <c r="G750" i="6" s="1"/>
  <c r="G751" i="6" a="1"/>
  <c r="G751" i="6" s="1"/>
  <c r="G752" i="6" a="1"/>
  <c r="G752" i="6" s="1"/>
  <c r="G753" i="6" a="1"/>
  <c r="G753" i="6" s="1"/>
  <c r="G754" i="6" a="1"/>
  <c r="G754" i="6" s="1"/>
  <c r="G755" i="6" a="1"/>
  <c r="G755" i="6" s="1"/>
  <c r="G756" i="6" a="1"/>
  <c r="G756" i="6" s="1"/>
  <c r="G757" i="6" a="1"/>
  <c r="G757" i="6" s="1"/>
  <c r="G758" i="6" a="1"/>
  <c r="G758" i="6" s="1"/>
  <c r="G759" i="6" a="1"/>
  <c r="G759" i="6" s="1"/>
  <c r="G760" i="6" a="1"/>
  <c r="G760" i="6" s="1"/>
  <c r="G761" i="6" a="1"/>
  <c r="G761" i="6"/>
  <c r="G762" i="6" a="1"/>
  <c r="G762" i="6" s="1"/>
  <c r="G763" i="6" a="1"/>
  <c r="G763" i="6" s="1"/>
  <c r="G764" i="6" a="1"/>
  <c r="G764" i="6" s="1"/>
  <c r="G765" i="6" a="1"/>
  <c r="G765" i="6"/>
  <c r="G766" i="6" a="1"/>
  <c r="G766" i="6" s="1"/>
  <c r="G767" i="6" a="1"/>
  <c r="G767" i="6" s="1"/>
  <c r="G768" i="6" a="1"/>
  <c r="G768" i="6" s="1"/>
  <c r="G769" i="6" a="1"/>
  <c r="G769" i="6" s="1"/>
  <c r="G770" i="6" a="1"/>
  <c r="G770" i="6" s="1"/>
  <c r="G771" i="6" a="1"/>
  <c r="G771" i="6" s="1"/>
  <c r="G772" i="6" a="1"/>
  <c r="G772" i="6" s="1"/>
  <c r="G773" i="6" a="1"/>
  <c r="G773" i="6"/>
  <c r="G774" i="6" a="1"/>
  <c r="G774" i="6" s="1"/>
  <c r="G775" i="6" a="1"/>
  <c r="G775" i="6" s="1"/>
  <c r="G776" i="6" a="1"/>
  <c r="G776" i="6" s="1"/>
  <c r="G777" i="6" a="1"/>
  <c r="G777" i="6"/>
  <c r="G778" i="6" a="1"/>
  <c r="G778" i="6" s="1"/>
  <c r="G779" i="6" a="1"/>
  <c r="G779" i="6" s="1"/>
  <c r="G780" i="6" a="1"/>
  <c r="G780" i="6" s="1"/>
  <c r="G781" i="6" a="1"/>
  <c r="G781" i="6"/>
  <c r="G782" i="6" a="1"/>
  <c r="G782" i="6" s="1"/>
  <c r="G783" i="6" a="1"/>
  <c r="G783" i="6" s="1"/>
  <c r="G784" i="6" a="1"/>
  <c r="G784" i="6" s="1"/>
  <c r="G785" i="6" a="1"/>
  <c r="G785" i="6" s="1"/>
  <c r="G786" i="6" a="1"/>
  <c r="G786" i="6" s="1"/>
  <c r="G787" i="6" a="1"/>
  <c r="G787" i="6" s="1"/>
  <c r="G788" i="6" a="1"/>
  <c r="G788" i="6" s="1"/>
  <c r="G789" i="6" a="1"/>
  <c r="G789" i="6" s="1"/>
  <c r="G790" i="6" a="1"/>
  <c r="G790" i="6" s="1"/>
  <c r="G791" i="6" a="1"/>
  <c r="G791" i="6" s="1"/>
  <c r="G792" i="6" a="1"/>
  <c r="G792" i="6" s="1"/>
  <c r="G793" i="6" a="1"/>
  <c r="G793" i="6"/>
  <c r="G794" i="6" a="1"/>
  <c r="G794" i="6" s="1"/>
  <c r="G795" i="6" a="1"/>
  <c r="G795" i="6" s="1"/>
  <c r="G796" i="6" a="1"/>
  <c r="G796" i="6" s="1"/>
  <c r="G797" i="6" a="1"/>
  <c r="G797" i="6"/>
  <c r="G798" i="6" a="1"/>
  <c r="G798" i="6" s="1"/>
  <c r="G799" i="6" a="1"/>
  <c r="G799" i="6" s="1"/>
  <c r="G800" i="6" a="1"/>
  <c r="G800" i="6" s="1"/>
  <c r="G801" i="6" a="1"/>
  <c r="G801" i="6" s="1"/>
  <c r="G802" i="6" a="1"/>
  <c r="G802" i="6" s="1"/>
  <c r="G803" i="6" a="1"/>
  <c r="G803" i="6" s="1"/>
  <c r="G804" i="6" a="1"/>
  <c r="G804" i="6" s="1"/>
  <c r="G805" i="6" a="1"/>
  <c r="G805" i="6"/>
  <c r="G806" i="6" a="1"/>
  <c r="G806" i="6" s="1"/>
  <c r="G807" i="6" a="1"/>
  <c r="G807" i="6" s="1"/>
  <c r="G808" i="6" a="1"/>
  <c r="G808" i="6" s="1"/>
  <c r="G809" i="6" a="1"/>
  <c r="G809" i="6" s="1"/>
  <c r="G810" i="6" a="1"/>
  <c r="G810" i="6" s="1"/>
  <c r="G811" i="6" a="1"/>
  <c r="G811" i="6" s="1"/>
  <c r="G812" i="6" a="1"/>
  <c r="G812" i="6" s="1"/>
  <c r="G813" i="6" a="1"/>
  <c r="G813" i="6"/>
  <c r="G814" i="6" a="1"/>
  <c r="G814" i="6" s="1"/>
  <c r="G815" i="6" a="1"/>
  <c r="G815" i="6" s="1"/>
  <c r="G816" i="6" a="1"/>
  <c r="G816" i="6" s="1"/>
  <c r="G817" i="6" a="1"/>
  <c r="G817" i="6" s="1"/>
  <c r="G818" i="6" a="1"/>
  <c r="G818" i="6" s="1"/>
  <c r="G819" i="6" a="1"/>
  <c r="G819" i="6" s="1"/>
  <c r="G820" i="6" a="1"/>
  <c r="G820" i="6" s="1"/>
  <c r="G821" i="6" a="1"/>
  <c r="G821" i="6" s="1"/>
  <c r="G822" i="6" a="1"/>
  <c r="G822" i="6" s="1"/>
  <c r="G823" i="6" a="1"/>
  <c r="G823" i="6" s="1"/>
  <c r="G824" i="6" a="1"/>
  <c r="G824" i="6" s="1"/>
  <c r="G825" i="6" a="1"/>
  <c r="G825" i="6"/>
  <c r="G826" i="6" a="1"/>
  <c r="G826" i="6" s="1"/>
  <c r="G827" i="6" a="1"/>
  <c r="G827" i="6" s="1"/>
  <c r="G828" i="6" a="1"/>
  <c r="G828" i="6" s="1"/>
  <c r="G829" i="6" a="1"/>
  <c r="G829" i="6"/>
  <c r="G830" i="6" a="1"/>
  <c r="G830" i="6" s="1"/>
  <c r="G831" i="6" a="1"/>
  <c r="G831" i="6" s="1"/>
  <c r="G832" i="6" a="1"/>
  <c r="G832" i="6" s="1"/>
  <c r="G833" i="6" a="1"/>
  <c r="G833" i="6" s="1"/>
  <c r="G834" i="6" a="1"/>
  <c r="G834" i="6" s="1"/>
  <c r="G835" i="6" a="1"/>
  <c r="G835" i="6" s="1"/>
  <c r="G836" i="6" a="1"/>
  <c r="G836" i="6" s="1"/>
  <c r="G837" i="6" a="1"/>
  <c r="G837" i="6"/>
  <c r="G838" i="6" a="1"/>
  <c r="G838" i="6" s="1"/>
  <c r="G839" i="6" a="1"/>
  <c r="G839" i="6" s="1"/>
  <c r="G840" i="6" a="1"/>
  <c r="G840" i="6" s="1"/>
  <c r="G841" i="6" a="1"/>
  <c r="G841" i="6" s="1"/>
  <c r="G842" i="6" a="1"/>
  <c r="G842" i="6" s="1"/>
  <c r="G843" i="6" a="1"/>
  <c r="G843" i="6" s="1"/>
  <c r="G844" i="6" a="1"/>
  <c r="G844" i="6" s="1"/>
  <c r="G845" i="6" a="1"/>
  <c r="G845" i="6"/>
  <c r="G846" i="6" a="1"/>
  <c r="G846" i="6" s="1"/>
  <c r="G847" i="6" a="1"/>
  <c r="G847" i="6" s="1"/>
  <c r="G848" i="6" a="1"/>
  <c r="G848" i="6" s="1"/>
  <c r="G849" i="6" a="1"/>
  <c r="G849" i="6" s="1"/>
  <c r="G850" i="6" a="1"/>
  <c r="G850" i="6" s="1"/>
  <c r="G851" i="6" a="1"/>
  <c r="G851" i="6" s="1"/>
  <c r="G852" i="6" a="1"/>
  <c r="G852" i="6" s="1"/>
  <c r="G853" i="6" a="1"/>
  <c r="G853" i="6" s="1"/>
  <c r="G854" i="6" a="1"/>
  <c r="G854" i="6" s="1"/>
  <c r="G855" i="6" a="1"/>
  <c r="G855" i="6" s="1"/>
  <c r="G856" i="6" a="1"/>
  <c r="G856" i="6" s="1"/>
  <c r="G857" i="6" a="1"/>
  <c r="G857" i="6"/>
  <c r="G858" i="6" a="1"/>
  <c r="G858" i="6" s="1"/>
  <c r="G859" i="6" a="1"/>
  <c r="G859" i="6" s="1"/>
  <c r="G860" i="6" a="1"/>
  <c r="G860" i="6" s="1"/>
  <c r="G861" i="6" a="1"/>
  <c r="G861" i="6"/>
  <c r="G862" i="6" a="1"/>
  <c r="G862" i="6" s="1"/>
  <c r="G863" i="6" a="1"/>
  <c r="G863" i="6" s="1"/>
  <c r="G864" i="6" a="1"/>
  <c r="G864" i="6" s="1"/>
  <c r="G865" i="6" a="1"/>
  <c r="G865" i="6" s="1"/>
  <c r="G866" i="6" a="1"/>
  <c r="G866" i="6" s="1"/>
  <c r="G867" i="6" a="1"/>
  <c r="G867" i="6" s="1"/>
  <c r="G868" i="6" a="1"/>
  <c r="G868" i="6" s="1"/>
  <c r="G869" i="6" a="1"/>
  <c r="G869" i="6"/>
  <c r="G870" i="6" a="1"/>
  <c r="G870" i="6" s="1"/>
  <c r="G871" i="6" a="1"/>
  <c r="G871" i="6" s="1"/>
  <c r="G872" i="6" a="1"/>
  <c r="G872" i="6" s="1"/>
  <c r="G873" i="6" a="1"/>
  <c r="G873" i="6" s="1"/>
  <c r="G874" i="6" a="1"/>
  <c r="G874" i="6" s="1"/>
  <c r="G875" i="6" a="1"/>
  <c r="G875" i="6" s="1"/>
  <c r="G876" i="6" a="1"/>
  <c r="G876" i="6" s="1"/>
  <c r="G877" i="6" a="1"/>
  <c r="G877" i="6"/>
  <c r="G878" i="6" a="1"/>
  <c r="G878" i="6" s="1"/>
  <c r="G879" i="6" a="1"/>
  <c r="G879" i="6" s="1"/>
  <c r="G880" i="6" a="1"/>
  <c r="G880" i="6" s="1"/>
  <c r="G881" i="6" a="1"/>
  <c r="G881" i="6" s="1"/>
  <c r="G882" i="6" a="1"/>
  <c r="G882" i="6" s="1"/>
  <c r="G883" i="6" a="1"/>
  <c r="G883" i="6" s="1"/>
  <c r="G884" i="6" a="1"/>
  <c r="G884" i="6" s="1"/>
  <c r="G885" i="6" a="1"/>
  <c r="G885" i="6" s="1"/>
  <c r="G886" i="6" a="1"/>
  <c r="G886" i="6" s="1"/>
  <c r="G887" i="6" a="1"/>
  <c r="G887" i="6" s="1"/>
  <c r="G888" i="6" a="1"/>
  <c r="G888" i="6" s="1"/>
  <c r="G889" i="6" a="1"/>
  <c r="G889" i="6"/>
  <c r="G890" i="6" a="1"/>
  <c r="G890" i="6" s="1"/>
  <c r="G891" i="6" a="1"/>
  <c r="G891" i="6" s="1"/>
  <c r="G892" i="6" a="1"/>
  <c r="G892" i="6" s="1"/>
  <c r="G893" i="6" a="1"/>
  <c r="G893" i="6"/>
  <c r="G894" i="6" a="1"/>
  <c r="G894" i="6" s="1"/>
  <c r="G895" i="6" a="1"/>
  <c r="G895" i="6" s="1"/>
  <c r="G896" i="6" a="1"/>
  <c r="G896" i="6" s="1"/>
  <c r="G897" i="6" a="1"/>
  <c r="G897" i="6" s="1"/>
  <c r="G898" i="6" a="1"/>
  <c r="G898" i="6" s="1"/>
  <c r="G899" i="6" a="1"/>
  <c r="G899" i="6" s="1"/>
  <c r="G900" i="6" a="1"/>
  <c r="G900" i="6" s="1"/>
  <c r="G901" i="6" a="1"/>
  <c r="G901" i="6"/>
  <c r="G902" i="6" a="1"/>
  <c r="G902" i="6" s="1"/>
  <c r="G903" i="6" a="1"/>
  <c r="G903" i="6" s="1"/>
  <c r="G904" i="6" a="1"/>
  <c r="G904" i="6" s="1"/>
  <c r="G905" i="6" a="1"/>
  <c r="G905" i="6" s="1"/>
  <c r="G906" i="6" a="1"/>
  <c r="G906" i="6" s="1"/>
  <c r="G907" i="6" a="1"/>
  <c r="G907" i="6" s="1"/>
  <c r="G908" i="6" a="1"/>
  <c r="G908" i="6" s="1"/>
  <c r="G909" i="6" a="1"/>
  <c r="G909" i="6"/>
  <c r="G910" i="6" a="1"/>
  <c r="G910" i="6" s="1"/>
  <c r="G911" i="6" a="1"/>
  <c r="G911" i="6" s="1"/>
  <c r="G912" i="6" a="1"/>
  <c r="G912" i="6" s="1"/>
  <c r="G913" i="6" a="1"/>
  <c r="G913" i="6" s="1"/>
  <c r="G914" i="6" a="1"/>
  <c r="G914" i="6" s="1"/>
  <c r="G915" i="6" a="1"/>
  <c r="G915" i="6" s="1"/>
  <c r="G916" i="6" a="1"/>
  <c r="G916" i="6" s="1"/>
  <c r="G917" i="6" a="1"/>
  <c r="G917" i="6" s="1"/>
  <c r="G918" i="6" a="1"/>
  <c r="G918" i="6" s="1"/>
  <c r="G919" i="6" a="1"/>
  <c r="G919" i="6" s="1"/>
  <c r="G920" i="6" a="1"/>
  <c r="G920" i="6" s="1"/>
  <c r="G921" i="6" a="1"/>
  <c r="G921" i="6"/>
  <c r="G922" i="6" a="1"/>
  <c r="G922" i="6" s="1"/>
  <c r="G923" i="6" a="1"/>
  <c r="G923" i="6" s="1"/>
  <c r="G924" i="6" a="1"/>
  <c r="G924" i="6" s="1"/>
  <c r="G925" i="6" a="1"/>
  <c r="G925" i="6"/>
  <c r="G926" i="6" a="1"/>
  <c r="G926" i="6" s="1"/>
  <c r="G927" i="6" a="1"/>
  <c r="G927" i="6" s="1"/>
  <c r="G928" i="6" a="1"/>
  <c r="G928" i="6" s="1"/>
  <c r="G929" i="6" a="1"/>
  <c r="G929" i="6" s="1"/>
  <c r="G930" i="6" a="1"/>
  <c r="G930" i="6" s="1"/>
  <c r="G931" i="6" a="1"/>
  <c r="G931" i="6" s="1"/>
  <c r="G932" i="6" a="1"/>
  <c r="G932" i="6" s="1"/>
  <c r="G933" i="6" a="1"/>
  <c r="G933" i="6"/>
  <c r="G934" i="6" a="1"/>
  <c r="G934" i="6" s="1"/>
  <c r="G935" i="6" a="1"/>
  <c r="G935" i="6" s="1"/>
  <c r="G936" i="6" a="1"/>
  <c r="G936" i="6" s="1"/>
  <c r="G937" i="6" a="1"/>
  <c r="G937" i="6" s="1"/>
  <c r="G938" i="6" a="1"/>
  <c r="G938" i="6" s="1"/>
  <c r="G939" i="6" a="1"/>
  <c r="G939" i="6" s="1"/>
  <c r="G940" i="6" a="1"/>
  <c r="G940" i="6" s="1"/>
  <c r="G941" i="6" a="1"/>
  <c r="G941" i="6"/>
  <c r="G942" i="6" a="1"/>
  <c r="G942" i="6" s="1"/>
  <c r="G943" i="6" a="1"/>
  <c r="G943" i="6" s="1"/>
  <c r="G944" i="6" a="1"/>
  <c r="G944" i="6" s="1"/>
  <c r="G945" i="6" a="1"/>
  <c r="G945" i="6" s="1"/>
  <c r="G946" i="6" a="1"/>
  <c r="G946" i="6" s="1"/>
  <c r="G947" i="6" a="1"/>
  <c r="G947" i="6" s="1"/>
  <c r="G948" i="6" a="1"/>
  <c r="G948" i="6" s="1"/>
  <c r="G949" i="6" a="1"/>
  <c r="G949" i="6" s="1"/>
  <c r="G621" i="6" a="1"/>
  <c r="G621" i="6" s="1"/>
  <c r="G37" i="6" a="1"/>
  <c r="G37" i="6" s="1"/>
  <c r="G38" i="6" a="1"/>
  <c r="G38" i="6" s="1"/>
  <c r="G39" i="6" a="1"/>
  <c r="G39" i="6" s="1"/>
  <c r="G40" i="6" a="1"/>
  <c r="G40" i="6"/>
  <c r="G41" i="6" a="1"/>
  <c r="G41" i="6" s="1"/>
  <c r="G42" i="6" a="1"/>
  <c r="G42" i="6" s="1"/>
  <c r="G43" i="6" a="1"/>
  <c r="G43" i="6" s="1"/>
  <c r="G44" i="6" a="1"/>
  <c r="G44" i="6"/>
  <c r="G45" i="6" a="1"/>
  <c r="G45" i="6" s="1"/>
  <c r="G46" i="6" a="1"/>
  <c r="G46" i="6" s="1"/>
  <c r="G47" i="6" a="1"/>
  <c r="G47" i="6" s="1"/>
  <c r="G48" i="6" a="1"/>
  <c r="G48" i="6"/>
  <c r="G49" i="6" a="1"/>
  <c r="G49" i="6" s="1"/>
  <c r="G50" i="6" a="1"/>
  <c r="G50" i="6" s="1"/>
  <c r="G51" i="6" a="1"/>
  <c r="G51" i="6" s="1"/>
  <c r="G52" i="6" a="1"/>
  <c r="G52" i="6"/>
  <c r="G53" i="6" a="1"/>
  <c r="G53" i="6" s="1"/>
  <c r="G54" i="6" a="1"/>
  <c r="G54" i="6" s="1"/>
  <c r="G55" i="6" a="1"/>
  <c r="G55" i="6" s="1"/>
  <c r="G56" i="6" a="1"/>
  <c r="G56" i="6"/>
  <c r="G57" i="6" a="1"/>
  <c r="G57" i="6" s="1"/>
  <c r="G58" i="6" a="1"/>
  <c r="G58" i="6" s="1"/>
  <c r="G59" i="6" a="1"/>
  <c r="G59" i="6" s="1"/>
  <c r="G60" i="6" a="1"/>
  <c r="G60" i="6"/>
  <c r="G61" i="6" a="1"/>
  <c r="G61" i="6" s="1"/>
  <c r="G62" i="6" a="1"/>
  <c r="G62" i="6" s="1"/>
  <c r="G63" i="6" a="1"/>
  <c r="G63" i="6" s="1"/>
  <c r="G64" i="6" a="1"/>
  <c r="G64" i="6"/>
  <c r="G65" i="6" a="1"/>
  <c r="G65" i="6" s="1"/>
  <c r="G66" i="6" a="1"/>
  <c r="G66" i="6" s="1"/>
  <c r="G67" i="6" a="1"/>
  <c r="G67" i="6" s="1"/>
  <c r="G68" i="6" a="1"/>
  <c r="G68" i="6"/>
  <c r="G69" i="6" a="1"/>
  <c r="G69" i="6" s="1"/>
  <c r="G70" i="6" a="1"/>
  <c r="G70" i="6" s="1"/>
  <c r="G71" i="6" a="1"/>
  <c r="G71" i="6" s="1"/>
  <c r="G72" i="6" a="1"/>
  <c r="G72" i="6"/>
  <c r="G73" i="6" a="1"/>
  <c r="G73" i="6" s="1"/>
  <c r="G74" i="6" a="1"/>
  <c r="G74" i="6" s="1"/>
  <c r="G75" i="6" a="1"/>
  <c r="G75" i="6" s="1"/>
  <c r="G76" i="6" a="1"/>
  <c r="G76" i="6"/>
  <c r="G77" i="6" a="1"/>
  <c r="G77" i="6" s="1"/>
  <c r="G78" i="6" a="1"/>
  <c r="G78" i="6" s="1"/>
  <c r="G79" i="6" a="1"/>
  <c r="G79" i="6" s="1"/>
  <c r="G80" i="6" a="1"/>
  <c r="G80" i="6"/>
  <c r="G81" i="6" a="1"/>
  <c r="G81" i="6" s="1"/>
  <c r="G82" i="6" a="1"/>
  <c r="G82" i="6" s="1"/>
  <c r="G83" i="6" a="1"/>
  <c r="G83" i="6" s="1"/>
  <c r="G84" i="6" a="1"/>
  <c r="G84" i="6"/>
  <c r="G85" i="6" a="1"/>
  <c r="G85" i="6" s="1"/>
  <c r="G86" i="6" a="1"/>
  <c r="G86" i="6" s="1"/>
  <c r="G87" i="6" a="1"/>
  <c r="G87" i="6" s="1"/>
  <c r="G88" i="6" a="1"/>
  <c r="G88" i="6"/>
  <c r="G89" i="6" a="1"/>
  <c r="G89" i="6" s="1"/>
  <c r="G90" i="6" a="1"/>
  <c r="G90" i="6" s="1"/>
  <c r="G91" i="6" a="1"/>
  <c r="G91" i="6" s="1"/>
  <c r="G92" i="6" a="1"/>
  <c r="G92" i="6"/>
  <c r="G93" i="6" a="1"/>
  <c r="G93" i="6" s="1"/>
  <c r="G94" i="6" a="1"/>
  <c r="G94" i="6" s="1"/>
  <c r="G95" i="6" a="1"/>
  <c r="G95" i="6" s="1"/>
  <c r="G96" i="6" a="1"/>
  <c r="G96" i="6"/>
  <c r="G97" i="6" a="1"/>
  <c r="G97" i="6" s="1"/>
  <c r="G98" i="6" a="1"/>
  <c r="G98" i="6" s="1"/>
  <c r="G99" i="6" a="1"/>
  <c r="G99" i="6" s="1"/>
  <c r="G100" i="6" a="1"/>
  <c r="G100" i="6"/>
  <c r="G101" i="6" a="1"/>
  <c r="G101" i="6" s="1"/>
  <c r="G102" i="6" a="1"/>
  <c r="G102" i="6" s="1"/>
  <c r="G103" i="6" a="1"/>
  <c r="G103" i="6" s="1"/>
  <c r="G104" i="6" a="1"/>
  <c r="G104" i="6" s="1"/>
  <c r="G105" i="6" a="1"/>
  <c r="G105" i="6" s="1"/>
  <c r="G106" i="6" a="1"/>
  <c r="G106" i="6" s="1"/>
  <c r="G36" i="6" a="1"/>
  <c r="G36" i="6" s="1"/>
  <c r="G35" i="6" a="1"/>
  <c r="G35" i="6" s="1"/>
  <c r="G107" i="6" a="1"/>
  <c r="G107" i="6" s="1"/>
  <c r="E1562" i="6"/>
  <c r="E1564" i="6"/>
  <c r="E1565" i="6"/>
  <c r="G951" i="6" a="1"/>
  <c r="G951" i="6" s="1"/>
  <c r="G1565" i="6" a="1"/>
  <c r="G1565" i="6" s="1"/>
  <c r="G1564" i="6" a="1"/>
  <c r="G1564" i="6" s="1"/>
  <c r="G1562" i="6" a="1"/>
  <c r="G1562" i="6" s="1"/>
  <c r="G1561" i="6" a="1"/>
  <c r="G1561" i="6" s="1"/>
  <c r="G1559" i="6" a="1"/>
  <c r="G1559" i="6" s="1"/>
  <c r="I1558" i="6"/>
  <c r="K1558" i="6" s="1"/>
  <c r="G1558" i="6" a="1"/>
  <c r="G1558" i="6" s="1"/>
  <c r="I1557" i="6"/>
  <c r="K1557" i="6" s="1"/>
  <c r="G1557" i="6" a="1"/>
  <c r="G1557" i="6" s="1"/>
  <c r="K1556" i="6"/>
  <c r="I1556" i="6"/>
  <c r="G1556" i="6" a="1"/>
  <c r="G1556" i="6" s="1"/>
  <c r="I1555" i="6"/>
  <c r="K1555" i="6" s="1"/>
  <c r="G1549" i="6" a="1"/>
  <c r="G1549" i="6" s="1"/>
  <c r="E1548" i="6"/>
  <c r="I1547" i="6"/>
  <c r="K1547" i="6" s="1"/>
  <c r="I1546" i="6"/>
  <c r="K1546" i="6" s="1"/>
  <c r="I1545" i="6"/>
  <c r="K1545" i="6" s="1"/>
  <c r="G1545" i="6" a="1"/>
  <c r="G1545" i="6" s="1"/>
  <c r="G1541" i="6" a="1"/>
  <c r="G1541" i="6" s="1"/>
  <c r="G1540" i="6" a="1"/>
  <c r="G1540" i="6" s="1"/>
  <c r="I1536" i="6"/>
  <c r="K1536" i="6" s="1"/>
  <c r="I1534" i="6"/>
  <c r="K1534" i="6" s="1"/>
  <c r="I1533" i="6"/>
  <c r="K1533" i="6" s="1"/>
  <c r="G1516" i="6" a="1"/>
  <c r="G1516" i="6" s="1"/>
  <c r="K1514" i="6"/>
  <c r="I1514" i="6"/>
  <c r="I1512" i="6"/>
  <c r="K1512" i="6" s="1"/>
  <c r="I1511" i="6"/>
  <c r="K1511" i="6" s="1"/>
  <c r="G1508" i="6" a="1"/>
  <c r="G1508" i="6" s="1"/>
  <c r="I1503" i="6"/>
  <c r="K1503" i="6" s="1"/>
  <c r="I1501" i="6"/>
  <c r="K1501" i="6" s="1"/>
  <c r="I1500" i="6"/>
  <c r="K1500" i="6" s="1"/>
  <c r="E1500" i="6"/>
  <c r="I1490" i="6"/>
  <c r="K1490" i="6" s="1"/>
  <c r="G1490" i="6" a="1"/>
  <c r="G1490" i="6" s="1"/>
  <c r="G1484" i="6" a="1"/>
  <c r="G1484" i="6" s="1"/>
  <c r="I1480" i="6"/>
  <c r="K1480" i="6" s="1"/>
  <c r="G1480" i="6" a="1"/>
  <c r="G1480" i="6" s="1"/>
  <c r="I1478" i="6"/>
  <c r="K1478" i="6" s="1"/>
  <c r="I1470" i="6"/>
  <c r="K1470" i="6" s="1"/>
  <c r="G1470" i="6" a="1"/>
  <c r="G1470" i="6" s="1"/>
  <c r="G1460" i="6" a="1"/>
  <c r="G1460" i="6" s="1"/>
  <c r="I1448" i="6"/>
  <c r="K1448" i="6" s="1"/>
  <c r="I1446" i="6"/>
  <c r="K1446" i="6" s="1"/>
  <c r="I1445" i="6"/>
  <c r="K1445" i="6" s="1"/>
  <c r="G1444" i="6" a="1"/>
  <c r="G1444" i="6" s="1"/>
  <c r="I1426" i="6"/>
  <c r="K1426" i="6" s="1"/>
  <c r="I1401" i="6"/>
  <c r="K1401" i="6" s="1"/>
  <c r="I1391" i="6"/>
  <c r="K1391" i="6" s="1"/>
  <c r="I1390" i="6"/>
  <c r="K1390" i="6" s="1"/>
  <c r="I1380" i="6"/>
  <c r="K1380" i="6" s="1"/>
  <c r="I1379" i="6"/>
  <c r="K1379" i="6" s="1"/>
  <c r="I1370" i="6"/>
  <c r="K1370" i="6" s="1"/>
  <c r="I1369" i="6"/>
  <c r="K1369" i="6" s="1"/>
  <c r="I1368" i="6"/>
  <c r="K1368" i="6" s="1"/>
  <c r="I1360" i="6"/>
  <c r="K1360" i="6" s="1"/>
  <c r="I1359" i="6"/>
  <c r="K1359" i="6" s="1"/>
  <c r="I1358" i="6"/>
  <c r="K1358" i="6" s="1"/>
  <c r="I1349" i="6"/>
  <c r="K1349" i="6" s="1"/>
  <c r="I1348" i="6"/>
  <c r="K1348" i="6" s="1"/>
  <c r="I1338" i="6"/>
  <c r="K1338" i="6" s="1"/>
  <c r="I1313" i="6"/>
  <c r="K1313" i="6" s="1"/>
  <c r="I1303" i="6"/>
  <c r="K1303" i="6" s="1"/>
  <c r="I1302" i="6"/>
  <c r="K1302" i="6" s="1"/>
  <c r="I1293" i="6"/>
  <c r="K1293" i="6" s="1"/>
  <c r="I1292" i="6"/>
  <c r="K1292" i="6" s="1"/>
  <c r="I1291" i="6"/>
  <c r="K1291" i="6" s="1"/>
  <c r="I1282" i="6"/>
  <c r="K1282" i="6" s="1"/>
  <c r="I1281" i="6"/>
  <c r="K1281" i="6" s="1"/>
  <c r="I1280" i="6"/>
  <c r="K1280" i="6" s="1"/>
  <c r="I1272" i="6"/>
  <c r="K1272" i="6" s="1"/>
  <c r="I1271" i="6"/>
  <c r="K1271" i="6" s="1"/>
  <c r="I1270" i="6"/>
  <c r="K1270" i="6" s="1"/>
  <c r="I1261" i="6"/>
  <c r="K1261" i="6" s="1"/>
  <c r="I1260" i="6"/>
  <c r="K1260" i="6" s="1"/>
  <c r="I1250" i="6"/>
  <c r="K1250" i="6" s="1"/>
  <c r="I1225" i="6"/>
  <c r="K1225" i="6" s="1"/>
  <c r="I1215" i="6"/>
  <c r="K1215" i="6" s="1"/>
  <c r="I1214" i="6"/>
  <c r="K1214" i="6" s="1"/>
  <c r="I1205" i="6"/>
  <c r="K1205" i="6" s="1"/>
  <c r="I1204" i="6"/>
  <c r="K1204" i="6" s="1"/>
  <c r="I1203" i="6"/>
  <c r="K1203" i="6" s="1"/>
  <c r="I1194" i="6"/>
  <c r="K1194" i="6" s="1"/>
  <c r="I1193" i="6"/>
  <c r="K1193" i="6" s="1"/>
  <c r="I1192" i="6"/>
  <c r="K1192" i="6" s="1"/>
  <c r="I1184" i="6"/>
  <c r="K1184" i="6" s="1"/>
  <c r="I1183" i="6"/>
  <c r="K1183" i="6" s="1"/>
  <c r="I1182" i="6"/>
  <c r="K1182" i="6" s="1"/>
  <c r="I1173" i="6"/>
  <c r="K1173" i="6" s="1"/>
  <c r="I1172" i="6"/>
  <c r="K1172" i="6" s="1"/>
  <c r="I1162" i="6"/>
  <c r="K1162" i="6" s="1"/>
  <c r="I1137" i="6"/>
  <c r="K1137" i="6" s="1"/>
  <c r="I1127" i="6"/>
  <c r="K1127" i="6" s="1"/>
  <c r="I1126" i="6"/>
  <c r="K1126" i="6" s="1"/>
  <c r="I1117" i="6"/>
  <c r="K1117" i="6" s="1"/>
  <c r="I1116" i="6"/>
  <c r="K1116" i="6" s="1"/>
  <c r="I1115" i="6"/>
  <c r="K1115" i="6" s="1"/>
  <c r="I1107" i="6"/>
  <c r="K1107" i="6" s="1"/>
  <c r="I1106" i="6"/>
  <c r="K1106" i="6" s="1"/>
  <c r="I1105" i="6"/>
  <c r="K1105" i="6" s="1"/>
  <c r="K1104" i="6"/>
  <c r="I1104" i="6"/>
  <c r="I1096" i="6"/>
  <c r="K1096" i="6" s="1"/>
  <c r="I1095" i="6"/>
  <c r="K1095" i="6" s="1"/>
  <c r="I1094" i="6"/>
  <c r="K1094" i="6" s="1"/>
  <c r="I1085" i="6"/>
  <c r="K1085" i="6" s="1"/>
  <c r="I1084" i="6"/>
  <c r="K1084" i="6" s="1"/>
  <c r="I1074" i="6"/>
  <c r="K1074" i="6" s="1"/>
  <c r="I1039" i="6"/>
  <c r="K1039" i="6" s="1"/>
  <c r="I1038" i="6"/>
  <c r="K1038" i="6" s="1"/>
  <c r="I1029" i="6"/>
  <c r="K1029" i="6" s="1"/>
  <c r="I1028" i="6"/>
  <c r="K1028" i="6" s="1"/>
  <c r="I1027" i="6"/>
  <c r="K1027" i="6" s="1"/>
  <c r="I1019" i="6"/>
  <c r="K1019" i="6" s="1"/>
  <c r="I1018" i="6"/>
  <c r="K1018" i="6" s="1"/>
  <c r="I1017" i="6"/>
  <c r="K1017" i="6" s="1"/>
  <c r="I1016" i="6"/>
  <c r="K1016" i="6" s="1"/>
  <c r="I1008" i="6"/>
  <c r="K1008" i="6" s="1"/>
  <c r="I1007" i="6"/>
  <c r="K1007" i="6" s="1"/>
  <c r="I1006" i="6"/>
  <c r="K1006" i="6" s="1"/>
  <c r="I997" i="6"/>
  <c r="K997" i="6" s="1"/>
  <c r="I996" i="6"/>
  <c r="K996" i="6" s="1"/>
  <c r="I986" i="6"/>
  <c r="K986" i="6" s="1"/>
  <c r="I961" i="6"/>
  <c r="K961" i="6" s="1"/>
  <c r="I951" i="6"/>
  <c r="K951" i="6" s="1"/>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564" i="6"/>
  <c r="E563" i="6"/>
  <c r="E562" i="6"/>
  <c r="E561" i="6"/>
  <c r="E560" i="6"/>
  <c r="E559" i="6"/>
  <c r="E558" i="6"/>
  <c r="G586" i="6" a="1"/>
  <c r="G586" i="6" s="1"/>
  <c r="G587" i="6" a="1"/>
  <c r="G587" i="6"/>
  <c r="G588" i="6" a="1"/>
  <c r="G588" i="6"/>
  <c r="G589" i="6" a="1"/>
  <c r="G589" i="6" s="1"/>
  <c r="G590" i="6" a="1"/>
  <c r="G590" i="6" s="1"/>
  <c r="G591" i="6" a="1"/>
  <c r="G591" i="6" s="1"/>
  <c r="G592" i="6" a="1"/>
  <c r="G592" i="6" s="1"/>
  <c r="G593" i="6" a="1"/>
  <c r="G593" i="6" s="1"/>
  <c r="G594" i="6" a="1"/>
  <c r="G594" i="6" s="1"/>
  <c r="G595" i="6" a="1"/>
  <c r="G595" i="6" s="1"/>
  <c r="G596" i="6" a="1"/>
  <c r="G596" i="6" s="1"/>
  <c r="G597" i="6" a="1"/>
  <c r="G597" i="6"/>
  <c r="G598" i="6" a="1"/>
  <c r="G598" i="6" s="1"/>
  <c r="G599" i="6" a="1"/>
  <c r="G599" i="6" s="1"/>
  <c r="G600" i="6" a="1"/>
  <c r="G600" i="6" s="1"/>
  <c r="G601" i="6" a="1"/>
  <c r="G601" i="6" s="1"/>
  <c r="G602" i="6" a="1"/>
  <c r="G602" i="6"/>
  <c r="G603" i="6" a="1"/>
  <c r="G603" i="6" s="1"/>
  <c r="G604" i="6" a="1"/>
  <c r="G604" i="6" s="1"/>
  <c r="G605" i="6" a="1"/>
  <c r="G605" i="6"/>
  <c r="G606" i="6" a="1"/>
  <c r="G606" i="6" s="1"/>
  <c r="G607" i="6" a="1"/>
  <c r="G607" i="6" s="1"/>
  <c r="G608" i="6" a="1"/>
  <c r="G608" i="6" s="1"/>
  <c r="G609" i="6" a="1"/>
  <c r="G609" i="6" s="1"/>
  <c r="G610" i="6" a="1"/>
  <c r="G610" i="6"/>
  <c r="G611" i="6" a="1"/>
  <c r="G611" i="6" s="1"/>
  <c r="G612" i="6" a="1"/>
  <c r="G612" i="6" s="1"/>
  <c r="G613" i="6" a="1"/>
  <c r="G613" i="6" s="1"/>
  <c r="G614" i="6" a="1"/>
  <c r="G614" i="6" s="1"/>
  <c r="G615" i="6" a="1"/>
  <c r="G615" i="6" s="1"/>
  <c r="G616" i="6" a="1"/>
  <c r="G616" i="6" s="1"/>
  <c r="G617" i="6" a="1"/>
  <c r="G617" i="6" s="1"/>
  <c r="G618" i="6" a="1"/>
  <c r="G618" i="6" s="1"/>
  <c r="G619" i="6" a="1"/>
  <c r="G619" i="6" s="1"/>
  <c r="G620" i="6" a="1"/>
  <c r="G620" i="6" s="1"/>
  <c r="G559" i="6" a="1"/>
  <c r="G559" i="6" s="1"/>
  <c r="G560" i="6" a="1"/>
  <c r="G560" i="6" s="1"/>
  <c r="G561" i="6" a="1"/>
  <c r="G561" i="6" s="1"/>
  <c r="G562" i="6" a="1"/>
  <c r="G562" i="6" s="1"/>
  <c r="G563" i="6" a="1"/>
  <c r="G563" i="6" s="1"/>
  <c r="G564" i="6" a="1"/>
  <c r="G564" i="6" s="1"/>
  <c r="G565" i="6" a="1"/>
  <c r="G565" i="6" s="1"/>
  <c r="G566" i="6" a="1"/>
  <c r="G566" i="6" s="1"/>
  <c r="G567" i="6" a="1"/>
  <c r="G567" i="6" s="1"/>
  <c r="G568" i="6" a="1"/>
  <c r="G568" i="6" s="1"/>
  <c r="G569" i="6" a="1"/>
  <c r="G569" i="6" s="1"/>
  <c r="G570" i="6" a="1"/>
  <c r="G570" i="6" s="1"/>
  <c r="G571" i="6" a="1"/>
  <c r="G571" i="6" s="1"/>
  <c r="G572" i="6" a="1"/>
  <c r="G572" i="6" s="1"/>
  <c r="G573" i="6" a="1"/>
  <c r="G573" i="6" s="1"/>
  <c r="G574" i="6" a="1"/>
  <c r="G574" i="6" s="1"/>
  <c r="G575" i="6" a="1"/>
  <c r="G575" i="6" s="1"/>
  <c r="G576" i="6" a="1"/>
  <c r="G576" i="6" s="1"/>
  <c r="G577" i="6" a="1"/>
  <c r="G577" i="6" s="1"/>
  <c r="G578" i="6" a="1"/>
  <c r="G578" i="6" s="1"/>
  <c r="G579" i="6" a="1"/>
  <c r="G579" i="6" s="1"/>
  <c r="G580" i="6" a="1"/>
  <c r="G580" i="6" s="1"/>
  <c r="G581" i="6" a="1"/>
  <c r="G581" i="6" s="1"/>
  <c r="G582" i="6" a="1"/>
  <c r="G582" i="6" s="1"/>
  <c r="G583" i="6" a="1"/>
  <c r="G583" i="6" s="1"/>
  <c r="G584" i="6" a="1"/>
  <c r="G584" i="6" s="1"/>
  <c r="G585" i="6" a="1"/>
  <c r="G585" i="6" s="1"/>
  <c r="G558" i="6" a="1"/>
  <c r="G558" i="6" s="1"/>
  <c r="G17" i="6" a="1"/>
  <c r="G17" i="6"/>
  <c r="G108" i="6" a="1"/>
  <c r="G108" i="6" s="1"/>
  <c r="G109" i="6" a="1"/>
  <c r="G109" i="6" s="1"/>
  <c r="G110" i="6" a="1"/>
  <c r="G110" i="6" s="1"/>
  <c r="G111" i="6" a="1"/>
  <c r="G111" i="6" s="1"/>
  <c r="G112" i="6" a="1"/>
  <c r="G112" i="6" s="1"/>
  <c r="G113" i="6" a="1"/>
  <c r="G113" i="6" s="1"/>
  <c r="G114" i="6" a="1"/>
  <c r="G114" i="6" s="1"/>
  <c r="G115" i="6" a="1"/>
  <c r="G115" i="6" s="1"/>
  <c r="G116" i="6" a="1"/>
  <c r="G116" i="6" s="1"/>
  <c r="G117" i="6" a="1"/>
  <c r="G117" i="6" s="1"/>
  <c r="G118" i="6" a="1"/>
  <c r="G118" i="6" s="1"/>
  <c r="G119" i="6" a="1"/>
  <c r="G119" i="6" s="1"/>
  <c r="G120" i="6" a="1"/>
  <c r="G120" i="6" s="1"/>
  <c r="G121" i="6" a="1"/>
  <c r="G121" i="6" s="1"/>
  <c r="G122" i="6" a="1"/>
  <c r="G122" i="6"/>
  <c r="G123" i="6" a="1"/>
  <c r="G123" i="6" s="1"/>
  <c r="G124" i="6" a="1"/>
  <c r="G124" i="6" s="1"/>
  <c r="G125" i="6" a="1"/>
  <c r="G125" i="6" s="1"/>
  <c r="G126" i="6" a="1"/>
  <c r="G126" i="6" s="1"/>
  <c r="G127" i="6" a="1"/>
  <c r="G127" i="6" s="1"/>
  <c r="G128" i="6" a="1"/>
  <c r="G128" i="6" s="1"/>
  <c r="G129" i="6" a="1"/>
  <c r="G129" i="6" s="1"/>
  <c r="G130" i="6" a="1"/>
  <c r="G130" i="6"/>
  <c r="G131" i="6" a="1"/>
  <c r="G131" i="6"/>
  <c r="G132" i="6" a="1"/>
  <c r="G132" i="6" s="1"/>
  <c r="G133" i="6" a="1"/>
  <c r="G133" i="6" s="1"/>
  <c r="G134" i="6" a="1"/>
  <c r="G134" i="6" s="1"/>
  <c r="G135" i="6" a="1"/>
  <c r="G135" i="6" s="1"/>
  <c r="G136" i="6" a="1"/>
  <c r="G136" i="6" s="1"/>
  <c r="G137" i="6" a="1"/>
  <c r="G137" i="6" s="1"/>
  <c r="G138" i="6" a="1"/>
  <c r="G138" i="6"/>
  <c r="G139" i="6" a="1"/>
  <c r="G139" i="6"/>
  <c r="G140" i="6" a="1"/>
  <c r="G140" i="6"/>
  <c r="G141" i="6" a="1"/>
  <c r="G141" i="6" s="1"/>
  <c r="G142" i="6" a="1"/>
  <c r="G142" i="6" s="1"/>
  <c r="G143" i="6" a="1"/>
  <c r="G143" i="6" s="1"/>
  <c r="G144" i="6" a="1"/>
  <c r="G144" i="6" s="1"/>
  <c r="G145" i="6" a="1"/>
  <c r="G145" i="6" s="1"/>
  <c r="G146" i="6" a="1"/>
  <c r="G146" i="6" s="1"/>
  <c r="G147" i="6" a="1"/>
  <c r="G147" i="6"/>
  <c r="G148" i="6" a="1"/>
  <c r="G148" i="6"/>
  <c r="G149" i="6" a="1"/>
  <c r="G149" i="6" s="1"/>
  <c r="G150" i="6" a="1"/>
  <c r="G150" i="6" s="1"/>
  <c r="G151" i="6" a="1"/>
  <c r="G151" i="6" s="1"/>
  <c r="G152" i="6" a="1"/>
  <c r="G152" i="6" s="1"/>
  <c r="G153" i="6" a="1"/>
  <c r="G153" i="6" s="1"/>
  <c r="G154" i="6" a="1"/>
  <c r="G154" i="6" s="1"/>
  <c r="G155" i="6" a="1"/>
  <c r="G155" i="6" s="1"/>
  <c r="G156" i="6" a="1"/>
  <c r="G156" i="6"/>
  <c r="G157" i="6" a="1"/>
  <c r="G157" i="6" s="1"/>
  <c r="G158" i="6" a="1"/>
  <c r="G158" i="6" s="1"/>
  <c r="G159" i="6" a="1"/>
  <c r="G159" i="6" s="1"/>
  <c r="G160" i="6" a="1"/>
  <c r="G160" i="6" s="1"/>
  <c r="G161" i="6" a="1"/>
  <c r="G161" i="6" s="1"/>
  <c r="G162" i="6" a="1"/>
  <c r="G162" i="6"/>
  <c r="G163" i="6" a="1"/>
  <c r="G163" i="6"/>
  <c r="G164" i="6" a="1"/>
  <c r="G164" i="6" s="1"/>
  <c r="G165" i="6" a="1"/>
  <c r="G165" i="6" s="1"/>
  <c r="G166" i="6" a="1"/>
  <c r="G166" i="6" s="1"/>
  <c r="G167" i="6" a="1"/>
  <c r="G167" i="6" s="1"/>
  <c r="G168" i="6" a="1"/>
  <c r="G168" i="6" s="1"/>
  <c r="G169" i="6" a="1"/>
  <c r="G169" i="6" s="1"/>
  <c r="G170" i="6" a="1"/>
  <c r="G170" i="6"/>
  <c r="G171" i="6" a="1"/>
  <c r="G171" i="6"/>
  <c r="G172" i="6" a="1"/>
  <c r="G172" i="6"/>
  <c r="G173" i="6" a="1"/>
  <c r="G173" i="6" s="1"/>
  <c r="G174" i="6" a="1"/>
  <c r="G174" i="6"/>
  <c r="G175" i="6" a="1"/>
  <c r="G175" i="6" s="1"/>
  <c r="G176" i="6" a="1"/>
  <c r="G176" i="6" s="1"/>
  <c r="G177" i="6" a="1"/>
  <c r="G177" i="6" s="1"/>
  <c r="G178" i="6" a="1"/>
  <c r="G178" i="6" s="1"/>
  <c r="G179" i="6" a="1"/>
  <c r="G179" i="6" s="1"/>
  <c r="G180" i="6" a="1"/>
  <c r="G180" i="6"/>
  <c r="G181" i="6" a="1"/>
  <c r="G181" i="6" s="1"/>
  <c r="G182" i="6" a="1"/>
  <c r="G182" i="6"/>
  <c r="G183" i="6" a="1"/>
  <c r="G183" i="6"/>
  <c r="G184" i="6" a="1"/>
  <c r="G184" i="6" s="1"/>
  <c r="G185" i="6" a="1"/>
  <c r="G185" i="6" s="1"/>
  <c r="G186" i="6" a="1"/>
  <c r="G186" i="6"/>
  <c r="G187" i="6" a="1"/>
  <c r="G187" i="6" s="1"/>
  <c r="G188" i="6" a="1"/>
  <c r="G188" i="6" s="1"/>
  <c r="G189" i="6" a="1"/>
  <c r="G189" i="6" s="1"/>
  <c r="G190" i="6" a="1"/>
  <c r="G190" i="6" s="1"/>
  <c r="G191" i="6" a="1"/>
  <c r="G191" i="6"/>
  <c r="G192" i="6" a="1"/>
  <c r="G192" i="6" s="1"/>
  <c r="G193" i="6" a="1"/>
  <c r="G193" i="6" s="1"/>
  <c r="G194" i="6" a="1"/>
  <c r="G194" i="6" s="1"/>
  <c r="G195" i="6" a="1"/>
  <c r="G195" i="6" s="1"/>
  <c r="G196" i="6" a="1"/>
  <c r="G196" i="6" s="1"/>
  <c r="G197" i="6" a="1"/>
  <c r="G197" i="6" s="1"/>
  <c r="G198" i="6" a="1"/>
  <c r="G198" i="6" s="1"/>
  <c r="G199" i="6" a="1"/>
  <c r="G199" i="6" s="1"/>
  <c r="G200" i="6" a="1"/>
  <c r="G200" i="6" s="1"/>
  <c r="G201" i="6" a="1"/>
  <c r="G201" i="6" s="1"/>
  <c r="G202" i="6" a="1"/>
  <c r="G202" i="6"/>
  <c r="G203" i="6" a="1"/>
  <c r="G203" i="6" s="1"/>
  <c r="G204" i="6" a="1"/>
  <c r="G204" i="6" s="1"/>
  <c r="G205" i="6" a="1"/>
  <c r="G205" i="6" s="1"/>
  <c r="G206" i="6" a="1"/>
  <c r="G206" i="6"/>
  <c r="G207" i="6" a="1"/>
  <c r="G207" i="6"/>
  <c r="G208" i="6" a="1"/>
  <c r="G208" i="6" s="1"/>
  <c r="G209" i="6" a="1"/>
  <c r="G209" i="6" s="1"/>
  <c r="G210" i="6" a="1"/>
  <c r="G210" i="6" s="1"/>
  <c r="G211" i="6" a="1"/>
  <c r="G211" i="6" s="1"/>
  <c r="G212" i="6" a="1"/>
  <c r="G212" i="6" s="1"/>
  <c r="G213" i="6" a="1"/>
  <c r="G213" i="6" s="1"/>
  <c r="G214" i="6" a="1"/>
  <c r="G214" i="6" s="1"/>
  <c r="G215" i="6" a="1"/>
  <c r="G215" i="6"/>
  <c r="G216" i="6" a="1"/>
  <c r="G216" i="6"/>
  <c r="G217" i="6" a="1"/>
  <c r="G217" i="6" s="1"/>
  <c r="G218" i="6" a="1"/>
  <c r="G218" i="6" s="1"/>
  <c r="G219" i="6" a="1"/>
  <c r="G219" i="6" s="1"/>
  <c r="G220" i="6" a="1"/>
  <c r="G220" i="6"/>
  <c r="G221" i="6" a="1"/>
  <c r="G221" i="6" s="1"/>
  <c r="G222" i="6" a="1"/>
  <c r="G222" i="6" s="1"/>
  <c r="G223" i="6" a="1"/>
  <c r="G223" i="6"/>
  <c r="G224" i="6" a="1"/>
  <c r="G224" i="6"/>
  <c r="G225" i="6" a="1"/>
  <c r="G225" i="6" s="1"/>
  <c r="G226" i="6" a="1"/>
  <c r="G226" i="6" s="1"/>
  <c r="G227" i="6" a="1"/>
  <c r="G227" i="6"/>
  <c r="G228" i="6" a="1"/>
  <c r="G228" i="6" s="1"/>
  <c r="G229" i="6" a="1"/>
  <c r="G229" i="6" s="1"/>
  <c r="G230" i="6" a="1"/>
  <c r="G230" i="6" s="1"/>
  <c r="G231" i="6" a="1"/>
  <c r="G231" i="6" s="1"/>
  <c r="G232" i="6" a="1"/>
  <c r="G232" i="6"/>
  <c r="G233" i="6" a="1"/>
  <c r="G233" i="6" s="1"/>
  <c r="G234" i="6" a="1"/>
  <c r="G234" i="6" s="1"/>
  <c r="G235" i="6" a="1"/>
  <c r="G235" i="6" s="1"/>
  <c r="G236" i="6" a="1"/>
  <c r="G236" i="6"/>
  <c r="G237" i="6" a="1"/>
  <c r="G237" i="6" s="1"/>
  <c r="G238" i="6" a="1"/>
  <c r="G238" i="6" s="1"/>
  <c r="G239" i="6" a="1"/>
  <c r="G239" i="6" s="1"/>
  <c r="G240" i="6" a="1"/>
  <c r="G240" i="6" s="1"/>
  <c r="G241" i="6" a="1"/>
  <c r="G241" i="6" s="1"/>
  <c r="G242" i="6" a="1"/>
  <c r="G242" i="6" s="1"/>
  <c r="G243" i="6" a="1"/>
  <c r="G243" i="6"/>
  <c r="G244" i="6" a="1"/>
  <c r="G244" i="6" s="1"/>
  <c r="G245" i="6" a="1"/>
  <c r="G245" i="6" s="1"/>
  <c r="G246" i="6" a="1"/>
  <c r="G246" i="6"/>
  <c r="G247" i="6" a="1"/>
  <c r="G247" i="6"/>
  <c r="G248" i="6" a="1"/>
  <c r="G248" i="6"/>
  <c r="G249" i="6" a="1"/>
  <c r="G249" i="6" s="1"/>
  <c r="G250" i="6" a="1"/>
  <c r="G250" i="6" s="1"/>
  <c r="G251" i="6" a="1"/>
  <c r="G251" i="6" s="1"/>
  <c r="G252" i="6" a="1"/>
  <c r="G252" i="6"/>
  <c r="G253" i="6" a="1"/>
  <c r="G253" i="6" s="1"/>
  <c r="G254" i="6" a="1"/>
  <c r="G254" i="6" s="1"/>
  <c r="G255" i="6" a="1"/>
  <c r="G255" i="6"/>
  <c r="G256" i="6" a="1"/>
  <c r="G256" i="6"/>
  <c r="G257" i="6" a="1"/>
  <c r="G257" i="6" s="1"/>
  <c r="G258" i="6" a="1"/>
  <c r="G258" i="6"/>
  <c r="G259" i="6" a="1"/>
  <c r="G259" i="6" s="1"/>
  <c r="G260" i="6" a="1"/>
  <c r="G260" i="6" s="1"/>
  <c r="G261" i="6" a="1"/>
  <c r="G261" i="6" s="1"/>
  <c r="G262" i="6" a="1"/>
  <c r="G262" i="6" s="1"/>
  <c r="G263" i="6" a="1"/>
  <c r="G263" i="6" s="1"/>
  <c r="G264" i="6" a="1"/>
  <c r="G264" i="6"/>
  <c r="G265" i="6" a="1"/>
  <c r="G265" i="6" s="1"/>
  <c r="G266" i="6" a="1"/>
  <c r="G266" i="6"/>
  <c r="G267" i="6" a="1"/>
  <c r="G267" i="6" s="1"/>
  <c r="G268" i="6" a="1"/>
  <c r="G268" i="6" s="1"/>
  <c r="G269" i="6" a="1"/>
  <c r="G269" i="6" s="1"/>
  <c r="G270" i="6" a="1"/>
  <c r="G270" i="6"/>
  <c r="G271" i="6" a="1"/>
  <c r="G271" i="6"/>
  <c r="G272" i="6" a="1"/>
  <c r="G272" i="6" s="1"/>
  <c r="G273" i="6" a="1"/>
  <c r="G273" i="6" s="1"/>
  <c r="G274" i="6" a="1"/>
  <c r="G274" i="6" s="1"/>
  <c r="G275" i="6" a="1"/>
  <c r="G275" i="6" s="1"/>
  <c r="G276" i="6" a="1"/>
  <c r="G276" i="6"/>
  <c r="G277" i="6" a="1"/>
  <c r="G277" i="6" s="1"/>
  <c r="G278" i="6" a="1"/>
  <c r="G278" i="6" s="1"/>
  <c r="G279" i="6" a="1"/>
  <c r="G279" i="6" s="1"/>
  <c r="G280" i="6" a="1"/>
  <c r="G280" i="6"/>
  <c r="G281" i="6" a="1"/>
  <c r="G281" i="6" s="1"/>
  <c r="G282" i="6" a="1"/>
  <c r="G282" i="6"/>
  <c r="G283" i="6" a="1"/>
  <c r="G283" i="6" s="1"/>
  <c r="G284" i="6" a="1"/>
  <c r="G284" i="6" s="1"/>
  <c r="G285" i="6" a="1"/>
  <c r="G285" i="6" s="1"/>
  <c r="G286" i="6" a="1"/>
  <c r="G286" i="6" s="1"/>
  <c r="G287" i="6" a="1"/>
  <c r="G287" i="6" s="1"/>
  <c r="G288" i="6" a="1"/>
  <c r="G288" i="6" s="1"/>
  <c r="G289" i="6" a="1"/>
  <c r="G289" i="6" s="1"/>
  <c r="G290" i="6" a="1"/>
  <c r="G290" i="6" s="1"/>
  <c r="G291" i="6" a="1"/>
  <c r="G291" i="6"/>
  <c r="G292" i="6" a="1"/>
  <c r="G292" i="6" s="1"/>
  <c r="G293" i="6" a="1"/>
  <c r="G293" i="6"/>
  <c r="G294" i="6" a="1"/>
  <c r="G294" i="6"/>
  <c r="G295" i="6" a="1"/>
  <c r="G295" i="6"/>
  <c r="G296" i="6" a="1"/>
  <c r="G296" i="6" s="1"/>
  <c r="G297" i="6" a="1"/>
  <c r="G297" i="6" s="1"/>
  <c r="G298" i="6" a="1"/>
  <c r="G298" i="6"/>
  <c r="G299" i="6" a="1"/>
  <c r="G299" i="6" s="1"/>
  <c r="G300" i="6" a="1"/>
  <c r="G300" i="6" s="1"/>
  <c r="G301" i="6" a="1"/>
  <c r="G301" i="6"/>
  <c r="G302" i="6" a="1"/>
  <c r="G302" i="6"/>
  <c r="G303" i="6" a="1"/>
  <c r="G303" i="6"/>
  <c r="G304" i="6" a="1"/>
  <c r="G304" i="6" s="1"/>
  <c r="G305" i="6" a="1"/>
  <c r="G305" i="6" s="1"/>
  <c r="G306" i="6" a="1"/>
  <c r="G306" i="6" s="1"/>
  <c r="G307" i="6" a="1"/>
  <c r="G307" i="6"/>
  <c r="G308" i="6" a="1"/>
  <c r="G308" i="6" s="1"/>
  <c r="G309" i="6" a="1"/>
  <c r="G309" i="6" s="1"/>
  <c r="G310" i="6" a="1"/>
  <c r="G310" i="6" s="1"/>
  <c r="G311" i="6" a="1"/>
  <c r="G311" i="6"/>
  <c r="G312" i="6" a="1"/>
  <c r="G312" i="6" s="1"/>
  <c r="G313" i="6" a="1"/>
  <c r="G313" i="6" s="1"/>
  <c r="G314" i="6" a="1"/>
  <c r="G314" i="6" s="1"/>
  <c r="G315" i="6" a="1"/>
  <c r="G315" i="6" s="1"/>
  <c r="G316" i="6" a="1"/>
  <c r="G316" i="6" s="1"/>
  <c r="G317" i="6" a="1"/>
  <c r="G317" i="6"/>
  <c r="G318" i="6" a="1"/>
  <c r="G318" i="6" s="1"/>
  <c r="G319" i="6" a="1"/>
  <c r="G319" i="6" s="1"/>
  <c r="G320" i="6" a="1"/>
  <c r="G320" i="6" s="1"/>
  <c r="G321" i="6" a="1"/>
  <c r="G321" i="6"/>
  <c r="G322" i="6" a="1"/>
  <c r="G322" i="6" s="1"/>
  <c r="G323" i="6" a="1"/>
  <c r="G323" i="6" s="1"/>
  <c r="G324" i="6" a="1"/>
  <c r="G324" i="6" s="1"/>
  <c r="G325" i="6" a="1"/>
  <c r="G325" i="6"/>
  <c r="G326" i="6" a="1"/>
  <c r="G326" i="6"/>
  <c r="G327" i="6" a="1"/>
  <c r="G327" i="6"/>
  <c r="G328" i="6" a="1"/>
  <c r="G328" i="6" s="1"/>
  <c r="G329" i="6" a="1"/>
  <c r="G329" i="6" s="1"/>
  <c r="G330" i="6" a="1"/>
  <c r="G330" i="6"/>
  <c r="G331" i="6" a="1"/>
  <c r="G331" i="6" s="1"/>
  <c r="G332" i="6" a="1"/>
  <c r="G332" i="6" s="1"/>
  <c r="G333" i="6" a="1"/>
  <c r="G333" i="6"/>
  <c r="G334" i="6" a="1"/>
  <c r="G334" i="6"/>
  <c r="G335" i="6" a="1"/>
  <c r="G335" i="6"/>
  <c r="G336" i="6" a="1"/>
  <c r="G336" i="6" s="1"/>
  <c r="G337" i="6" a="1"/>
  <c r="G337" i="6"/>
  <c r="G338" i="6" a="1"/>
  <c r="G338" i="6" s="1"/>
  <c r="G339" i="6" a="1"/>
  <c r="G339" i="6"/>
  <c r="G340" i="6" a="1"/>
  <c r="G340" i="6" s="1"/>
  <c r="G341" i="6" a="1"/>
  <c r="G341" i="6" s="1"/>
  <c r="G342" i="6" a="1"/>
  <c r="G342" i="6"/>
  <c r="G343" i="6" a="1"/>
  <c r="G343" i="6" s="1"/>
  <c r="G344" i="6" a="1"/>
  <c r="G344" i="6" s="1"/>
  <c r="G345" i="6" a="1"/>
  <c r="G345" i="6" s="1"/>
  <c r="G346" i="6" a="1"/>
  <c r="G346" i="6" s="1"/>
  <c r="G347" i="6" a="1"/>
  <c r="G347" i="6" s="1"/>
  <c r="G348" i="6" a="1"/>
  <c r="G348" i="6" s="1"/>
  <c r="G349" i="6" a="1"/>
  <c r="G349" i="6" s="1"/>
  <c r="G350" i="6" a="1"/>
  <c r="G350" i="6" s="1"/>
  <c r="G351" i="6" a="1"/>
  <c r="G351" i="6" s="1"/>
  <c r="G352" i="6" a="1"/>
  <c r="G352" i="6" s="1"/>
  <c r="G353" i="6" a="1"/>
  <c r="G353" i="6"/>
  <c r="G354" i="6" a="1"/>
  <c r="G354" i="6" s="1"/>
  <c r="G355" i="6" a="1"/>
  <c r="G355" i="6" s="1"/>
  <c r="G356" i="6" a="1"/>
  <c r="G356" i="6" s="1"/>
  <c r="G357" i="6" a="1"/>
  <c r="G357" i="6" s="1"/>
  <c r="G358" i="6" a="1"/>
  <c r="G358" i="6"/>
  <c r="G359" i="6" a="1"/>
  <c r="G359" i="6" s="1"/>
  <c r="G360" i="6" a="1"/>
  <c r="G360" i="6" s="1"/>
  <c r="G361" i="6" a="1"/>
  <c r="G361" i="6" s="1"/>
  <c r="G362" i="6" a="1"/>
  <c r="G362" i="6" s="1"/>
  <c r="G363" i="6" a="1"/>
  <c r="G363" i="6" s="1"/>
  <c r="G364" i="6" a="1"/>
  <c r="G364" i="6" s="1"/>
  <c r="G365" i="6" a="1"/>
  <c r="G365" i="6" s="1"/>
  <c r="G366" i="6" a="1"/>
  <c r="G366" i="6" s="1"/>
  <c r="G367" i="6" a="1"/>
  <c r="G367" i="6"/>
  <c r="G368" i="6" a="1"/>
  <c r="G368" i="6" s="1"/>
  <c r="G369" i="6" a="1"/>
  <c r="G369" i="6"/>
  <c r="G370" i="6" a="1"/>
  <c r="G370" i="6" s="1"/>
  <c r="G371" i="6" a="1"/>
  <c r="G371" i="6"/>
  <c r="G372" i="6" a="1"/>
  <c r="G372" i="6" s="1"/>
  <c r="G373" i="6" a="1"/>
  <c r="G373" i="6" s="1"/>
  <c r="G374" i="6" a="1"/>
  <c r="G374" i="6"/>
  <c r="G375" i="6" a="1"/>
  <c r="G375" i="6" s="1"/>
  <c r="G376" i="6" a="1"/>
  <c r="G376" i="6" s="1"/>
  <c r="G377" i="6" a="1"/>
  <c r="G377" i="6" s="1"/>
  <c r="G378" i="6" a="1"/>
  <c r="G378" i="6"/>
  <c r="G379" i="6" a="1"/>
  <c r="G379" i="6" s="1"/>
  <c r="G380" i="6" a="1"/>
  <c r="G380" i="6" s="1"/>
  <c r="G381" i="6" a="1"/>
  <c r="G381" i="6"/>
  <c r="G382" i="6" a="1"/>
  <c r="G382" i="6"/>
  <c r="G383" i="6" a="1"/>
  <c r="G383" i="6" s="1"/>
  <c r="G384" i="6" a="1"/>
  <c r="G384" i="6" s="1"/>
  <c r="G385" i="6" a="1"/>
  <c r="G385" i="6"/>
  <c r="G386" i="6" a="1"/>
  <c r="G386" i="6" s="1"/>
  <c r="G387" i="6" a="1"/>
  <c r="G387" i="6" s="1"/>
  <c r="G388" i="6" a="1"/>
  <c r="G388" i="6" s="1"/>
  <c r="G389" i="6" a="1"/>
  <c r="G389" i="6" s="1"/>
  <c r="G390" i="6" a="1"/>
  <c r="G390" i="6" s="1"/>
  <c r="G391" i="6" a="1"/>
  <c r="G391" i="6"/>
  <c r="G392" i="6" a="1"/>
  <c r="G392" i="6" s="1"/>
  <c r="G393" i="6" a="1"/>
  <c r="G393" i="6" s="1"/>
  <c r="G394" i="6" a="1"/>
  <c r="G394" i="6" s="1"/>
  <c r="G395" i="6" a="1"/>
  <c r="G395" i="6" s="1"/>
  <c r="G396" i="6" a="1"/>
  <c r="G396" i="6" s="1"/>
  <c r="G397" i="6" a="1"/>
  <c r="G397" i="6" s="1"/>
  <c r="G398" i="6" a="1"/>
  <c r="G398" i="6" s="1"/>
  <c r="G399" i="6" a="1"/>
  <c r="G399" i="6" s="1"/>
  <c r="G400" i="6" a="1"/>
  <c r="G400" i="6" s="1"/>
  <c r="G401" i="6" a="1"/>
  <c r="G401" i="6"/>
  <c r="G402" i="6" a="1"/>
  <c r="G402" i="6" s="1"/>
  <c r="G403" i="6" a="1"/>
  <c r="G403" i="6"/>
  <c r="G404" i="6" a="1"/>
  <c r="G404" i="6" s="1"/>
  <c r="G405" i="6" a="1"/>
  <c r="G405" i="6"/>
  <c r="G406" i="6" a="1"/>
  <c r="G406" i="6" s="1"/>
  <c r="G407" i="6" a="1"/>
  <c r="G407" i="6" s="1"/>
  <c r="G408" i="6" a="1"/>
  <c r="G408" i="6" s="1"/>
  <c r="G409" i="6" a="1"/>
  <c r="G409" i="6" s="1"/>
  <c r="G410" i="6" a="1"/>
  <c r="G410" i="6"/>
  <c r="G411" i="6" a="1"/>
  <c r="G411" i="6" s="1"/>
  <c r="G412" i="6" a="1"/>
  <c r="G412" i="6" s="1"/>
  <c r="G413" i="6" a="1"/>
  <c r="G413" i="6"/>
  <c r="G414" i="6" a="1"/>
  <c r="G414" i="6"/>
  <c r="G415" i="6" a="1"/>
  <c r="G415" i="6" s="1"/>
  <c r="G416" i="6" a="1"/>
  <c r="G416" i="6" s="1"/>
  <c r="G417" i="6" a="1"/>
  <c r="G417" i="6"/>
  <c r="G418" i="6" a="1"/>
  <c r="G418" i="6" s="1"/>
  <c r="G419" i="6" a="1"/>
  <c r="G419" i="6" s="1"/>
  <c r="G420" i="6" a="1"/>
  <c r="G420" i="6" s="1"/>
  <c r="G421" i="6" a="1"/>
  <c r="G421" i="6" s="1"/>
  <c r="G422" i="6" a="1"/>
  <c r="G422" i="6" s="1"/>
  <c r="G423" i="6" a="1"/>
  <c r="G423" i="6" s="1"/>
  <c r="G424" i="6" a="1"/>
  <c r="G424" i="6" s="1"/>
  <c r="G425" i="6" a="1"/>
  <c r="G425" i="6" s="1"/>
  <c r="G426" i="6" a="1"/>
  <c r="G426" i="6"/>
  <c r="G427" i="6" a="1"/>
  <c r="G427" i="6" s="1"/>
  <c r="G428" i="6" a="1"/>
  <c r="G428" i="6" s="1"/>
  <c r="G429" i="6" a="1"/>
  <c r="G429" i="6" s="1"/>
  <c r="G430" i="6" a="1"/>
  <c r="G430" i="6" s="1"/>
  <c r="G431" i="6" a="1"/>
  <c r="G431" i="6" s="1"/>
  <c r="G432" i="6" a="1"/>
  <c r="G432" i="6" s="1"/>
  <c r="G433" i="6" a="1"/>
  <c r="G433" i="6"/>
  <c r="G434" i="6" a="1"/>
  <c r="G434" i="6" s="1"/>
  <c r="G435" i="6" a="1"/>
  <c r="G435" i="6" s="1"/>
  <c r="G436" i="6" a="1"/>
  <c r="G436" i="6" s="1"/>
  <c r="G437" i="6" a="1"/>
  <c r="G437" i="6"/>
  <c r="G438" i="6" a="1"/>
  <c r="G438" i="6" s="1"/>
  <c r="G439" i="6" a="1"/>
  <c r="G439" i="6" s="1"/>
  <c r="G440" i="6" a="1"/>
  <c r="G440" i="6" s="1"/>
  <c r="G441" i="6" a="1"/>
  <c r="G441" i="6" s="1"/>
  <c r="G442" i="6" a="1"/>
  <c r="G442" i="6"/>
  <c r="G443" i="6" a="1"/>
  <c r="G443" i="6" s="1"/>
  <c r="G444" i="6" a="1"/>
  <c r="G444" i="6" s="1"/>
  <c r="G445" i="6" a="1"/>
  <c r="G445" i="6"/>
  <c r="G446" i="6" a="1"/>
  <c r="G446" i="6"/>
  <c r="G447" i="6" a="1"/>
  <c r="G447" i="6" s="1"/>
  <c r="G448" i="6" a="1"/>
  <c r="G448" i="6" s="1"/>
  <c r="G449" i="6" a="1"/>
  <c r="G449" i="6"/>
  <c r="G450" i="6" a="1"/>
  <c r="G450" i="6" s="1"/>
  <c r="G451" i="6" a="1"/>
  <c r="G451" i="6" s="1"/>
  <c r="G452" i="6" a="1"/>
  <c r="G452" i="6" s="1"/>
  <c r="G453" i="6" a="1"/>
  <c r="G453" i="6" s="1"/>
  <c r="G454" i="6" a="1"/>
  <c r="G454" i="6" s="1"/>
  <c r="G455" i="6" a="1"/>
  <c r="G455" i="6" s="1"/>
  <c r="G456" i="6" a="1"/>
  <c r="G456" i="6" s="1"/>
  <c r="G457" i="6" a="1"/>
  <c r="G457" i="6" s="1"/>
  <c r="G458" i="6" a="1"/>
  <c r="G458" i="6"/>
  <c r="G459" i="6" a="1"/>
  <c r="G459" i="6" s="1"/>
  <c r="G460" i="6" a="1"/>
  <c r="G460" i="6" s="1"/>
  <c r="G461" i="6" a="1"/>
  <c r="G461" i="6" s="1"/>
  <c r="G462" i="6" a="1"/>
  <c r="G462" i="6" s="1"/>
  <c r="G463" i="6" a="1"/>
  <c r="G463" i="6"/>
  <c r="G464" i="6" a="1"/>
  <c r="G464" i="6" s="1"/>
  <c r="G465" i="6" a="1"/>
  <c r="G465" i="6" s="1"/>
  <c r="G466" i="6" a="1"/>
  <c r="G466" i="6" s="1"/>
  <c r="G467" i="6" a="1"/>
  <c r="G467" i="6"/>
  <c r="G468" i="6" a="1"/>
  <c r="G468" i="6" s="1"/>
  <c r="G469" i="6" a="1"/>
  <c r="G469" i="6" s="1"/>
  <c r="G470" i="6" a="1"/>
  <c r="G470" i="6" s="1"/>
  <c r="G471" i="6" a="1"/>
  <c r="G471" i="6" s="1"/>
  <c r="G472" i="6" a="1"/>
  <c r="G472" i="6" s="1"/>
  <c r="G473" i="6" a="1"/>
  <c r="G473" i="6" s="1"/>
  <c r="G474" i="6" a="1"/>
  <c r="G474" i="6"/>
  <c r="G475" i="6" a="1"/>
  <c r="G475" i="6" s="1"/>
  <c r="G476" i="6" a="1"/>
  <c r="G476" i="6" s="1"/>
  <c r="G477" i="6" a="1"/>
  <c r="G477" i="6"/>
  <c r="G478" i="6" a="1"/>
  <c r="G478" i="6" s="1"/>
  <c r="G479" i="6" a="1"/>
  <c r="G479" i="6" s="1"/>
  <c r="G480" i="6" a="1"/>
  <c r="G480" i="6" s="1"/>
  <c r="G481" i="6" a="1"/>
  <c r="G481" i="6"/>
  <c r="G482" i="6" a="1"/>
  <c r="G482" i="6" s="1"/>
  <c r="G483" i="6" a="1"/>
  <c r="G483" i="6"/>
  <c r="G484" i="6" a="1"/>
  <c r="G484" i="6" s="1"/>
  <c r="G485" i="6" a="1"/>
  <c r="G485" i="6" s="1"/>
  <c r="G486" i="6" a="1"/>
  <c r="G486" i="6"/>
  <c r="G487" i="6" a="1"/>
  <c r="G487" i="6" s="1"/>
  <c r="G488" i="6" a="1"/>
  <c r="G488" i="6" s="1"/>
  <c r="G489" i="6" a="1"/>
  <c r="G489" i="6" s="1"/>
  <c r="G490" i="6" a="1"/>
  <c r="G490" i="6"/>
  <c r="G491" i="6" a="1"/>
  <c r="G491" i="6" s="1"/>
  <c r="G492" i="6" a="1"/>
  <c r="G492" i="6" s="1"/>
  <c r="G493" i="6" a="1"/>
  <c r="G493" i="6" s="1"/>
  <c r="G494" i="6" a="1"/>
  <c r="G494" i="6" s="1"/>
  <c r="G495" i="6" a="1"/>
  <c r="G495" i="6" s="1"/>
  <c r="G496" i="6" a="1"/>
  <c r="G496" i="6" s="1"/>
  <c r="G497" i="6" a="1"/>
  <c r="G497" i="6"/>
  <c r="G498" i="6" a="1"/>
  <c r="G498" i="6" s="1"/>
  <c r="G499" i="6" a="1"/>
  <c r="G499" i="6"/>
  <c r="G500" i="6" a="1"/>
  <c r="G500" i="6" s="1"/>
  <c r="G501" i="6" a="1"/>
  <c r="G501" i="6"/>
  <c r="G502" i="6" a="1"/>
  <c r="G502" i="6" s="1"/>
  <c r="G503" i="6" a="1"/>
  <c r="G503" i="6" s="1"/>
  <c r="G504" i="6" a="1"/>
  <c r="G504" i="6" s="1"/>
  <c r="G505" i="6" a="1"/>
  <c r="G505" i="6" s="1"/>
  <c r="G506" i="6" a="1"/>
  <c r="G506" i="6"/>
  <c r="G507" i="6" a="1"/>
  <c r="G507" i="6" s="1"/>
  <c r="G508" i="6" a="1"/>
  <c r="G508" i="6" s="1"/>
  <c r="G509" i="6" a="1"/>
  <c r="G509" i="6"/>
  <c r="G510" i="6" a="1"/>
  <c r="G510" i="6" s="1"/>
  <c r="G511" i="6" a="1"/>
  <c r="G511" i="6" s="1"/>
  <c r="G512" i="6" a="1"/>
  <c r="G512" i="6" s="1"/>
  <c r="G513" i="6" a="1"/>
  <c r="G513" i="6" s="1"/>
  <c r="G514" i="6" a="1"/>
  <c r="G514" i="6" s="1"/>
  <c r="G515" i="6" a="1"/>
  <c r="G515" i="6"/>
  <c r="G516" i="6" a="1"/>
  <c r="G516" i="6" s="1"/>
  <c r="G517" i="6" a="1"/>
  <c r="G517" i="6" s="1"/>
  <c r="G518" i="6" a="1"/>
  <c r="G518" i="6"/>
  <c r="G519" i="6" a="1"/>
  <c r="G519" i="6" s="1"/>
  <c r="G520" i="6" a="1"/>
  <c r="G520" i="6" s="1"/>
  <c r="G521" i="6" a="1"/>
  <c r="G521" i="6" s="1"/>
  <c r="G522" i="6" a="1"/>
  <c r="G522" i="6" s="1"/>
  <c r="G523" i="6" a="1"/>
  <c r="G523" i="6" s="1"/>
  <c r="G524" i="6" a="1"/>
  <c r="G524" i="6" s="1"/>
  <c r="G525" i="6" a="1"/>
  <c r="G525" i="6" s="1"/>
  <c r="G526" i="6" a="1"/>
  <c r="G526" i="6" s="1"/>
  <c r="G527" i="6" a="1"/>
  <c r="G527" i="6"/>
  <c r="G528" i="6" a="1"/>
  <c r="G528" i="6" s="1"/>
  <c r="G529" i="6" a="1"/>
  <c r="G529" i="6"/>
  <c r="G530" i="6" a="1"/>
  <c r="G530" i="6" s="1"/>
  <c r="G531" i="6" a="1"/>
  <c r="G531" i="6" s="1"/>
  <c r="G532" i="6" a="1"/>
  <c r="G532" i="6" s="1"/>
  <c r="G533" i="6" a="1"/>
  <c r="G533" i="6"/>
  <c r="G534" i="6" a="1"/>
  <c r="G534" i="6" s="1"/>
  <c r="G535" i="6" a="1"/>
  <c r="G535" i="6" s="1"/>
  <c r="G536" i="6" a="1"/>
  <c r="G536" i="6" s="1"/>
  <c r="G537" i="6" a="1"/>
  <c r="G537" i="6" s="1"/>
  <c r="G538" i="6" a="1"/>
  <c r="G538" i="6"/>
  <c r="G539" i="6" a="1"/>
  <c r="G539" i="6" s="1"/>
  <c r="G540" i="6" a="1"/>
  <c r="G540" i="6" s="1"/>
  <c r="G541" i="6" a="1"/>
  <c r="G541" i="6" s="1"/>
  <c r="G542" i="6" a="1"/>
  <c r="G542" i="6"/>
  <c r="G543" i="6" a="1"/>
  <c r="G543" i="6" s="1"/>
  <c r="G544" i="6" a="1"/>
  <c r="G544" i="6"/>
  <c r="G545" i="6" a="1"/>
  <c r="G545" i="6" s="1"/>
  <c r="G546" i="6" a="1"/>
  <c r="G546" i="6"/>
  <c r="G547" i="6" a="1"/>
  <c r="G547" i="6" s="1"/>
  <c r="G548" i="6" a="1"/>
  <c r="G548" i="6" s="1"/>
  <c r="G549" i="6" a="1"/>
  <c r="G549" i="6" s="1"/>
  <c r="G550" i="6" a="1"/>
  <c r="G550" i="6"/>
  <c r="G551" i="6" a="1"/>
  <c r="G551" i="6" s="1"/>
  <c r="G552" i="6" a="1"/>
  <c r="G552" i="6"/>
  <c r="G553" i="6" a="1"/>
  <c r="G553" i="6" s="1"/>
  <c r="G554" i="6" a="1"/>
  <c r="G554" i="6"/>
  <c r="G555" i="6" a="1"/>
  <c r="G555" i="6" s="1"/>
  <c r="G556" i="6" a="1"/>
  <c r="G556" i="6" s="1"/>
  <c r="G19" i="6" a="1"/>
  <c r="G19" i="6"/>
  <c r="G20" i="6" a="1"/>
  <c r="G20" i="6" s="1"/>
  <c r="G21" i="6" a="1"/>
  <c r="G21" i="6"/>
  <c r="G22" i="6" a="1"/>
  <c r="G22" i="6" s="1"/>
  <c r="G23" i="6" a="1"/>
  <c r="G23" i="6"/>
  <c r="G24" i="6" a="1"/>
  <c r="G24" i="6" s="1"/>
  <c r="G25" i="6" a="1"/>
  <c r="G25" i="6" s="1"/>
  <c r="G26" i="6" a="1"/>
  <c r="G26" i="6" s="1"/>
  <c r="G27" i="6" a="1"/>
  <c r="G27" i="6"/>
  <c r="G28" i="6" a="1"/>
  <c r="G28" i="6" s="1"/>
  <c r="G29" i="6" a="1"/>
  <c r="G29" i="6"/>
  <c r="G30" i="6" a="1"/>
  <c r="G30" i="6" s="1"/>
  <c r="G31" i="6" a="1"/>
  <c r="G31" i="6"/>
  <c r="G32" i="6" a="1"/>
  <c r="G32" i="6" s="1"/>
  <c r="G33" i="6" a="1"/>
  <c r="G33" i="6" s="1"/>
  <c r="G34" i="6" a="1"/>
  <c r="G34" i="6" s="1"/>
  <c r="G18" i="6" a="1"/>
  <c r="G18" i="6" s="1"/>
  <c r="F610" i="1"/>
  <c r="C943" i="6"/>
  <c r="C887" i="6"/>
  <c r="C929" i="6"/>
  <c r="C614" i="6"/>
  <c r="C663" i="6"/>
  <c r="C684" i="6"/>
  <c r="C677" i="6"/>
  <c r="C656" i="6"/>
  <c r="C936" i="6"/>
  <c r="C831" i="6"/>
  <c r="C922" i="6"/>
  <c r="C642" i="6"/>
  <c r="C712" i="6"/>
  <c r="C705" i="6"/>
  <c r="C593" i="6"/>
  <c r="C901" i="6"/>
  <c r="C628" i="6"/>
  <c r="C894" i="6"/>
  <c r="C838" i="6"/>
  <c r="C866" i="6"/>
  <c r="C698" i="6"/>
  <c r="C670" i="6"/>
  <c r="C740" i="6"/>
  <c r="C733" i="6"/>
  <c r="C649" i="6"/>
  <c r="C915" i="6"/>
  <c r="C579" i="6"/>
  <c r="C873" i="6"/>
  <c r="C621" i="6"/>
  <c r="C852" i="6"/>
  <c r="C824" i="6"/>
  <c r="C726" i="6"/>
  <c r="C719" i="6"/>
  <c r="C768" i="6"/>
  <c r="C761" i="6"/>
  <c r="C691" i="6"/>
  <c r="C810" i="6"/>
  <c r="C803" i="6"/>
  <c r="C586" i="6"/>
  <c r="C908" i="6"/>
  <c r="C880" i="6"/>
  <c r="C754" i="6"/>
  <c r="C747" i="6"/>
  <c r="C796" i="6"/>
  <c r="C789" i="6"/>
  <c r="C565" i="6"/>
  <c r="C635" i="6"/>
  <c r="C845" i="6"/>
  <c r="C859" i="6"/>
  <c r="C782" i="6"/>
  <c r="C775" i="6"/>
  <c r="C600" i="6"/>
  <c r="C817" i="6"/>
  <c r="C572" i="6"/>
  <c r="C607" i="6"/>
  <c r="C558" i="6"/>
  <c r="G956" i="6" l="1" a="1"/>
  <c r="G956" i="6" s="1"/>
  <c r="E956" i="6"/>
  <c r="G1290" i="6" a="1"/>
  <c r="G1290" i="6" s="1"/>
  <c r="E1290" i="6"/>
  <c r="G1321" i="6" a="1"/>
  <c r="G1321" i="6" s="1"/>
  <c r="E1321" i="6"/>
  <c r="G1489" i="6" a="1"/>
  <c r="G1489" i="6" s="1"/>
  <c r="E1489" i="6"/>
  <c r="I1489" i="6"/>
  <c r="K1489" i="6" s="1"/>
  <c r="G1049" i="6" a="1"/>
  <c r="G1049" i="6" s="1"/>
  <c r="E1049" i="6"/>
  <c r="G1188" i="6" a="1"/>
  <c r="G1188" i="6" s="1"/>
  <c r="E1188" i="6"/>
  <c r="G1322" i="6" a="1"/>
  <c r="G1322" i="6" s="1"/>
  <c r="E1322" i="6"/>
  <c r="G1381" i="6" a="1"/>
  <c r="G1381" i="6" s="1"/>
  <c r="E1381" i="6"/>
  <c r="G1420" i="6" a="1"/>
  <c r="G1420" i="6" s="1"/>
  <c r="E1420" i="6"/>
  <c r="G1495" i="6" a="1"/>
  <c r="G1495" i="6" s="1"/>
  <c r="E1495" i="6"/>
  <c r="G964" i="6" a="1"/>
  <c r="G964" i="6" s="1"/>
  <c r="E964" i="6"/>
  <c r="I964" i="6"/>
  <c r="K964" i="6" s="1"/>
  <c r="G977" i="6" a="1"/>
  <c r="G977" i="6" s="1"/>
  <c r="E977" i="6"/>
  <c r="G984" i="6" a="1"/>
  <c r="G984" i="6" s="1"/>
  <c r="E984" i="6"/>
  <c r="I984" i="6"/>
  <c r="K984" i="6" s="1"/>
  <c r="G1001" i="6" a="1"/>
  <c r="G1001" i="6" s="1"/>
  <c r="E1001" i="6"/>
  <c r="G1042" i="6" a="1"/>
  <c r="G1042" i="6" s="1"/>
  <c r="E1042" i="6"/>
  <c r="I1049" i="6"/>
  <c r="K1049" i="6" s="1"/>
  <c r="E1062" i="6"/>
  <c r="G1062" i="6" a="1"/>
  <c r="G1062" i="6" s="1"/>
  <c r="I1062" i="6"/>
  <c r="K1062" i="6" s="1"/>
  <c r="G1081" i="6" a="1"/>
  <c r="G1081" i="6" s="1"/>
  <c r="E1081" i="6"/>
  <c r="G1097" i="6" a="1"/>
  <c r="G1097" i="6" s="1"/>
  <c r="E1097" i="6"/>
  <c r="G1108" i="6" a="1"/>
  <c r="G1108" i="6" s="1"/>
  <c r="E1108" i="6"/>
  <c r="G1121" i="6" a="1"/>
  <c r="G1121" i="6" s="1"/>
  <c r="E1121" i="6"/>
  <c r="E1140" i="6"/>
  <c r="G1140" i="6" a="1"/>
  <c r="G1140" i="6" s="1"/>
  <c r="I1140" i="6"/>
  <c r="K1140" i="6" s="1"/>
  <c r="G1153" i="6" a="1"/>
  <c r="G1153" i="6" s="1"/>
  <c r="E1153" i="6"/>
  <c r="G1160" i="6" a="1"/>
  <c r="G1160" i="6" s="1"/>
  <c r="E1160" i="6"/>
  <c r="I1160" i="6"/>
  <c r="K1160" i="6" s="1"/>
  <c r="G1177" i="6" a="1"/>
  <c r="G1177" i="6" s="1"/>
  <c r="E1177" i="6"/>
  <c r="G1218" i="6" a="1"/>
  <c r="G1218" i="6" s="1"/>
  <c r="E1218" i="6"/>
  <c r="G1238" i="6" a="1"/>
  <c r="G1238" i="6" s="1"/>
  <c r="E1238" i="6"/>
  <c r="I1238" i="6"/>
  <c r="K1238" i="6" s="1"/>
  <c r="G1257" i="6" a="1"/>
  <c r="G1257" i="6" s="1"/>
  <c r="E1257" i="6"/>
  <c r="G1273" i="6" a="1"/>
  <c r="G1273" i="6" s="1"/>
  <c r="E1273" i="6"/>
  <c r="G1284" i="6" a="1"/>
  <c r="G1284" i="6" s="1"/>
  <c r="E1284" i="6"/>
  <c r="G1297" i="6" a="1"/>
  <c r="G1297" i="6" s="1"/>
  <c r="E1297" i="6"/>
  <c r="G1316" i="6" a="1"/>
  <c r="G1316" i="6" s="1"/>
  <c r="E1316" i="6"/>
  <c r="I1316" i="6"/>
  <c r="K1316" i="6" s="1"/>
  <c r="G1329" i="6" a="1"/>
  <c r="G1329" i="6" s="1"/>
  <c r="E1329" i="6"/>
  <c r="G1336" i="6" a="1"/>
  <c r="G1336" i="6" s="1"/>
  <c r="E1336" i="6"/>
  <c r="I1336" i="6"/>
  <c r="K1336" i="6" s="1"/>
  <c r="G1353" i="6" a="1"/>
  <c r="G1353" i="6" s="1"/>
  <c r="E1353" i="6"/>
  <c r="I1381" i="6"/>
  <c r="K1381" i="6" s="1"/>
  <c r="G1394" i="6" a="1"/>
  <c r="G1394" i="6" s="1"/>
  <c r="E1394" i="6"/>
  <c r="G1414" i="6" a="1"/>
  <c r="G1414" i="6" s="1"/>
  <c r="E1414" i="6"/>
  <c r="I1414" i="6"/>
  <c r="K1414" i="6" s="1"/>
  <c r="G1433" i="6" a="1"/>
  <c r="G1433" i="6" s="1"/>
  <c r="E1433" i="6"/>
  <c r="G1471" i="6" a="1"/>
  <c r="G1471" i="6" s="1"/>
  <c r="E1471" i="6"/>
  <c r="G1496" i="6" a="1"/>
  <c r="G1496" i="6" s="1"/>
  <c r="E1496" i="6"/>
  <c r="G1502" i="6" a="1"/>
  <c r="G1502" i="6" s="1"/>
  <c r="E1502" i="6"/>
  <c r="I1502" i="6"/>
  <c r="K1502" i="6" s="1"/>
  <c r="G969" i="6" a="1"/>
  <c r="G969" i="6" s="1"/>
  <c r="E969" i="6"/>
  <c r="E1114" i="6"/>
  <c r="G1114" i="6" a="1"/>
  <c r="G1114" i="6" s="1"/>
  <c r="G1308" i="6" a="1"/>
  <c r="G1308" i="6" s="1"/>
  <c r="E1308" i="6"/>
  <c r="G1464" i="6" a="1"/>
  <c r="G1464" i="6" s="1"/>
  <c r="E1464" i="6"/>
  <c r="G1029" i="6" a="1"/>
  <c r="G1029" i="6" s="1"/>
  <c r="E1029" i="6"/>
  <c r="G1212" i="6" a="1"/>
  <c r="G1212" i="6" s="1"/>
  <c r="E1212" i="6"/>
  <c r="E1268" i="6"/>
  <c r="G1268" i="6" a="1"/>
  <c r="G1268" i="6" s="1"/>
  <c r="G1340" i="6" a="1"/>
  <c r="G1340" i="6" s="1"/>
  <c r="E1340" i="6"/>
  <c r="G1526" i="6" a="1"/>
  <c r="G1526" i="6" s="1"/>
  <c r="E1526" i="6"/>
  <c r="G952" i="6" a="1"/>
  <c r="G952" i="6" s="1"/>
  <c r="E952" i="6"/>
  <c r="I952" i="6"/>
  <c r="K952" i="6" s="1"/>
  <c r="G972" i="6" a="1"/>
  <c r="G972" i="6" s="1"/>
  <c r="E972" i="6"/>
  <c r="I972" i="6"/>
  <c r="K972" i="6" s="1"/>
  <c r="G978" i="6" a="1"/>
  <c r="G978" i="6" s="1"/>
  <c r="E978" i="6"/>
  <c r="G1002" i="6" a="1"/>
  <c r="G1002" i="6" s="1"/>
  <c r="E1002" i="6"/>
  <c r="G1025" i="6" a="1"/>
  <c r="G1025" i="6" s="1"/>
  <c r="E1025" i="6"/>
  <c r="G1030" i="6" a="1"/>
  <c r="G1030" i="6" s="1"/>
  <c r="E1030" i="6"/>
  <c r="I1030" i="6"/>
  <c r="K1030" i="6" s="1"/>
  <c r="G1050" i="6" a="1"/>
  <c r="G1050" i="6" s="1"/>
  <c r="E1050" i="6"/>
  <c r="I1050" i="6"/>
  <c r="K1050" i="6" s="1"/>
  <c r="G1082" i="6" a="1"/>
  <c r="G1082" i="6" s="1"/>
  <c r="E1082" i="6"/>
  <c r="I1082" i="6"/>
  <c r="K1082" i="6" s="1"/>
  <c r="G1098" i="6" a="1"/>
  <c r="G1098" i="6" s="1"/>
  <c r="E1098" i="6"/>
  <c r="G1122" i="6" a="1"/>
  <c r="G1122" i="6" s="1"/>
  <c r="E1122" i="6"/>
  <c r="G1128" i="6" a="1"/>
  <c r="G1128" i="6" s="1"/>
  <c r="E1128" i="6"/>
  <c r="I1128" i="6"/>
  <c r="K1128" i="6" s="1"/>
  <c r="G1148" i="6" a="1"/>
  <c r="G1148" i="6" s="1"/>
  <c r="E1148" i="6"/>
  <c r="I1148" i="6"/>
  <c r="K1148" i="6" s="1"/>
  <c r="G1154" i="6" a="1"/>
  <c r="G1154" i="6" s="1"/>
  <c r="E1154" i="6"/>
  <c r="G1178" i="6" a="1"/>
  <c r="G1178" i="6" s="1"/>
  <c r="E1178" i="6"/>
  <c r="G1201" i="6" a="1"/>
  <c r="G1201" i="6" s="1"/>
  <c r="E1201" i="6"/>
  <c r="G1206" i="6" a="1"/>
  <c r="G1206" i="6" s="1"/>
  <c r="E1206" i="6"/>
  <c r="I1206" i="6"/>
  <c r="K1206" i="6" s="1"/>
  <c r="G1226" i="6" a="1"/>
  <c r="G1226" i="6" s="1"/>
  <c r="E1226" i="6"/>
  <c r="I1226" i="6"/>
  <c r="K1226" i="6" s="1"/>
  <c r="G1258" i="6" a="1"/>
  <c r="G1258" i="6" s="1"/>
  <c r="E1258" i="6"/>
  <c r="I1258" i="6"/>
  <c r="K1258" i="6" s="1"/>
  <c r="G1274" i="6" a="1"/>
  <c r="G1274" i="6" s="1"/>
  <c r="E1274" i="6"/>
  <c r="G1298" i="6" a="1"/>
  <c r="G1298" i="6" s="1"/>
  <c r="E1298" i="6"/>
  <c r="G1304" i="6" a="1"/>
  <c r="G1304" i="6" s="1"/>
  <c r="E1304" i="6"/>
  <c r="I1304" i="6"/>
  <c r="K1304" i="6" s="1"/>
  <c r="G1324" i="6" a="1"/>
  <c r="G1324" i="6" s="1"/>
  <c r="E1324" i="6"/>
  <c r="I1324" i="6"/>
  <c r="K1324" i="6" s="1"/>
  <c r="G1330" i="6" a="1"/>
  <c r="G1330" i="6" s="1"/>
  <c r="E1330" i="6"/>
  <c r="G1354" i="6" a="1"/>
  <c r="G1354" i="6" s="1"/>
  <c r="E1354" i="6"/>
  <c r="G1377" i="6" a="1"/>
  <c r="G1377" i="6" s="1"/>
  <c r="E1377" i="6"/>
  <c r="G1382" i="6" a="1"/>
  <c r="G1382" i="6" s="1"/>
  <c r="E1382" i="6"/>
  <c r="I1382" i="6"/>
  <c r="K1382" i="6" s="1"/>
  <c r="G1402" i="6" a="1"/>
  <c r="G1402" i="6" s="1"/>
  <c r="E1402" i="6"/>
  <c r="I1402" i="6"/>
  <c r="K1402" i="6" s="1"/>
  <c r="G1434" i="6" a="1"/>
  <c r="G1434" i="6" s="1"/>
  <c r="E1434" i="6"/>
  <c r="I1434" i="6"/>
  <c r="K1434" i="6" s="1"/>
  <c r="G1447" i="6" a="1"/>
  <c r="G1447" i="6" s="1"/>
  <c r="I1447" i="6"/>
  <c r="K1447" i="6" s="1"/>
  <c r="E1447" i="6"/>
  <c r="G1453" i="6" a="1"/>
  <c r="G1453" i="6" s="1"/>
  <c r="E1453" i="6"/>
  <c r="G1479" i="6" a="1"/>
  <c r="G1479" i="6" s="1"/>
  <c r="E1479" i="6"/>
  <c r="I1479" i="6"/>
  <c r="K1479" i="6" s="1"/>
  <c r="G1521" i="6" a="1"/>
  <c r="G1521" i="6" s="1"/>
  <c r="E1521" i="6"/>
  <c r="E1552" i="6"/>
  <c r="G1552" i="6" a="1"/>
  <c r="G1552" i="6" s="1"/>
  <c r="G1145" i="6" a="1"/>
  <c r="G1145" i="6" s="1"/>
  <c r="E1145" i="6"/>
  <c r="G970" i="6" a="1"/>
  <c r="G970" i="6" s="1"/>
  <c r="E970" i="6"/>
  <c r="G1036" i="6" a="1"/>
  <c r="G1036" i="6" s="1"/>
  <c r="E1036" i="6"/>
  <c r="G1092" i="6" a="1"/>
  <c r="G1092" i="6" s="1"/>
  <c r="E1092" i="6"/>
  <c r="G1205" i="6" a="1"/>
  <c r="G1205" i="6" s="1"/>
  <c r="E1205" i="6"/>
  <c r="G1458" i="6" a="1"/>
  <c r="G1458" i="6" s="1"/>
  <c r="E1458" i="6"/>
  <c r="I1458" i="6"/>
  <c r="K1458" i="6" s="1"/>
  <c r="G1019" i="6" a="1"/>
  <c r="G1019" i="6" s="1"/>
  <c r="E1019" i="6"/>
  <c r="G1026" i="6" a="1"/>
  <c r="G1026" i="6" s="1"/>
  <c r="E1026" i="6"/>
  <c r="G1044" i="6" a="1"/>
  <c r="G1044" i="6" s="1"/>
  <c r="E1044" i="6"/>
  <c r="G1057" i="6" a="1"/>
  <c r="G1057" i="6" s="1"/>
  <c r="E1057" i="6"/>
  <c r="G1195" i="6" a="1"/>
  <c r="G1195" i="6" s="1"/>
  <c r="E1195" i="6"/>
  <c r="G1202" i="6" a="1"/>
  <c r="G1202" i="6" s="1"/>
  <c r="E1202" i="6"/>
  <c r="G1220" i="6" a="1"/>
  <c r="G1220" i="6" s="1"/>
  <c r="E1220" i="6"/>
  <c r="G1233" i="6" a="1"/>
  <c r="G1233" i="6" s="1"/>
  <c r="E1233" i="6"/>
  <c r="G1371" i="6" a="1"/>
  <c r="G1371" i="6" s="1"/>
  <c r="E1371" i="6"/>
  <c r="G1378" i="6" a="1"/>
  <c r="G1378" i="6" s="1"/>
  <c r="E1378" i="6"/>
  <c r="E1396" i="6"/>
  <c r="G1396" i="6" a="1"/>
  <c r="G1396" i="6" s="1"/>
  <c r="G1409" i="6" a="1"/>
  <c r="G1409" i="6" s="1"/>
  <c r="E1409" i="6"/>
  <c r="G1435" i="6" a="1"/>
  <c r="G1435" i="6" s="1"/>
  <c r="E1435" i="6"/>
  <c r="I1435" i="6"/>
  <c r="K1435" i="6" s="1"/>
  <c r="E1468" i="6"/>
  <c r="G1468" i="6" a="1"/>
  <c r="G1468" i="6" s="1"/>
  <c r="G1473" i="6" a="1"/>
  <c r="G1473" i="6" s="1"/>
  <c r="E1473" i="6"/>
  <c r="G1491" i="6" a="1"/>
  <c r="G1491" i="6" s="1"/>
  <c r="E1491" i="6"/>
  <c r="I1491" i="6"/>
  <c r="K1491" i="6" s="1"/>
  <c r="G1498" i="6" a="1"/>
  <c r="G1498" i="6" s="1"/>
  <c r="E1498" i="6"/>
  <c r="G1522" i="6" a="1"/>
  <c r="G1522" i="6" s="1"/>
  <c r="E1522" i="6"/>
  <c r="I1522" i="6"/>
  <c r="K1522" i="6" s="1"/>
  <c r="G1501" i="6" a="1"/>
  <c r="G1501" i="6" s="1"/>
  <c r="E1501" i="6"/>
  <c r="G1012" i="6" a="1"/>
  <c r="G1012" i="6" s="1"/>
  <c r="E1012" i="6"/>
  <c r="G1127" i="6" a="1"/>
  <c r="G1127" i="6" s="1"/>
  <c r="E1127" i="6"/>
  <c r="G1164" i="6" a="1"/>
  <c r="G1164" i="6" s="1"/>
  <c r="E1164" i="6"/>
  <c r="G1225" i="6" a="1"/>
  <c r="G1225" i="6" s="1"/>
  <c r="E1225" i="6"/>
  <c r="G1388" i="6" a="1"/>
  <c r="G1388" i="6" s="1"/>
  <c r="E1388" i="6"/>
  <c r="G961" i="6" a="1"/>
  <c r="G961" i="6" s="1"/>
  <c r="E961" i="6"/>
  <c r="G980" i="6" a="1"/>
  <c r="G980" i="6" s="1"/>
  <c r="E980" i="6"/>
  <c r="G1004" i="6" a="1"/>
  <c r="G1004" i="6" s="1"/>
  <c r="E1004" i="6"/>
  <c r="G1039" i="6" a="1"/>
  <c r="G1039" i="6" s="1"/>
  <c r="E1039" i="6"/>
  <c r="G1058" i="6" a="1"/>
  <c r="G1058" i="6" s="1"/>
  <c r="E1058" i="6"/>
  <c r="G1076" i="6" a="1"/>
  <c r="G1076" i="6" s="1"/>
  <c r="E1076" i="6"/>
  <c r="G1100" i="6" a="1"/>
  <c r="G1100" i="6" s="1"/>
  <c r="E1100" i="6"/>
  <c r="G1117" i="6" a="1"/>
  <c r="G1117" i="6" s="1"/>
  <c r="E1117" i="6"/>
  <c r="G1124" i="6" a="1"/>
  <c r="G1124" i="6" s="1"/>
  <c r="E1124" i="6"/>
  <c r="G1137" i="6" a="1"/>
  <c r="G1137" i="6" s="1"/>
  <c r="E1137" i="6"/>
  <c r="G1156" i="6" a="1"/>
  <c r="G1156" i="6" s="1"/>
  <c r="E1156" i="6"/>
  <c r="G1180" i="6" a="1"/>
  <c r="G1180" i="6" s="1"/>
  <c r="E1180" i="6"/>
  <c r="I1195" i="6"/>
  <c r="K1195" i="6" s="1"/>
  <c r="G1215" i="6" a="1"/>
  <c r="G1215" i="6" s="1"/>
  <c r="E1215" i="6"/>
  <c r="G1234" i="6" a="1"/>
  <c r="G1234" i="6" s="1"/>
  <c r="E1234" i="6"/>
  <c r="G1252" i="6" a="1"/>
  <c r="G1252" i="6" s="1"/>
  <c r="E1252" i="6"/>
  <c r="G1276" i="6" a="1"/>
  <c r="G1276" i="6" s="1"/>
  <c r="E1276" i="6"/>
  <c r="G1293" i="6" a="1"/>
  <c r="G1293" i="6" s="1"/>
  <c r="E1293" i="6"/>
  <c r="G1300" i="6" a="1"/>
  <c r="G1300" i="6" s="1"/>
  <c r="E1300" i="6"/>
  <c r="G1313" i="6" a="1"/>
  <c r="G1313" i="6" s="1"/>
  <c r="E1313" i="6"/>
  <c r="G1332" i="6" a="1"/>
  <c r="G1332" i="6" s="1"/>
  <c r="E1332" i="6"/>
  <c r="G1356" i="6" a="1"/>
  <c r="G1356" i="6" s="1"/>
  <c r="E1356" i="6"/>
  <c r="I1371" i="6"/>
  <c r="K1371" i="6" s="1"/>
  <c r="G1391" i="6" a="1"/>
  <c r="G1391" i="6" s="1"/>
  <c r="E1391" i="6"/>
  <c r="G1410" i="6" a="1"/>
  <c r="G1410" i="6" s="1"/>
  <c r="E1410" i="6"/>
  <c r="E1428" i="6"/>
  <c r="G1428" i="6" a="1"/>
  <c r="G1428" i="6" s="1"/>
  <c r="G1443" i="6" a="1"/>
  <c r="G1443" i="6" s="1"/>
  <c r="E1443" i="6"/>
  <c r="G1455" i="6" a="1"/>
  <c r="G1455" i="6" s="1"/>
  <c r="E1455" i="6"/>
  <c r="G1461" i="6" a="1"/>
  <c r="G1461" i="6" s="1"/>
  <c r="E1461" i="6"/>
  <c r="I1468" i="6"/>
  <c r="K1468" i="6" s="1"/>
  <c r="G1486" i="6" a="1"/>
  <c r="G1486" i="6" s="1"/>
  <c r="E1486" i="6"/>
  <c r="G1504" i="6" a="1"/>
  <c r="G1504" i="6" s="1"/>
  <c r="E1504" i="6"/>
  <c r="G1523" i="6" a="1"/>
  <c r="G1523" i="6" s="1"/>
  <c r="E1523" i="6"/>
  <c r="I1523" i="6"/>
  <c r="K1523" i="6" s="1"/>
  <c r="G1107" i="6" a="1"/>
  <c r="G1107" i="6" s="1"/>
  <c r="E1107" i="6"/>
  <c r="G1132" i="6" a="1"/>
  <c r="G1132" i="6" s="1"/>
  <c r="E1132" i="6"/>
  <c r="G1283" i="6" a="1"/>
  <c r="G1283" i="6" s="1"/>
  <c r="E1283" i="6"/>
  <c r="G1438" i="6" a="1"/>
  <c r="G1438" i="6" s="1"/>
  <c r="E1438" i="6"/>
  <c r="G1507" i="6" a="1"/>
  <c r="G1507" i="6" s="1"/>
  <c r="E1507" i="6"/>
  <c r="G1525" i="6" a="1"/>
  <c r="G1525" i="6" s="1"/>
  <c r="I1525" i="6"/>
  <c r="K1525" i="6" s="1"/>
  <c r="E1525" i="6"/>
  <c r="G988" i="6" a="1"/>
  <c r="G988" i="6" s="1"/>
  <c r="E988" i="6"/>
  <c r="G1068" i="6" a="1"/>
  <c r="G1068" i="6" s="1"/>
  <c r="E1068" i="6"/>
  <c r="G1244" i="6" a="1"/>
  <c r="G1244" i="6" s="1"/>
  <c r="E1244" i="6"/>
  <c r="G1303" i="6" a="1"/>
  <c r="G1303" i="6" s="1"/>
  <c r="E1303" i="6"/>
  <c r="E1401" i="6"/>
  <c r="G1401" i="6" a="1"/>
  <c r="G1401" i="6" s="1"/>
  <c r="G1478" i="6" a="1"/>
  <c r="G1478" i="6" s="1"/>
  <c r="E1478" i="6"/>
  <c r="G954" i="6" a="1"/>
  <c r="G954" i="6" s="1"/>
  <c r="E954" i="6"/>
  <c r="G974" i="6" a="1"/>
  <c r="G974" i="6" s="1"/>
  <c r="E974" i="6"/>
  <c r="I974" i="6"/>
  <c r="K974" i="6" s="1"/>
  <c r="G993" i="6" a="1"/>
  <c r="G993" i="6" s="1"/>
  <c r="E993" i="6"/>
  <c r="G1009" i="6" a="1"/>
  <c r="G1009" i="6" s="1"/>
  <c r="E1009" i="6"/>
  <c r="G1020" i="6" a="1"/>
  <c r="G1020" i="6" s="1"/>
  <c r="E1020" i="6"/>
  <c r="G1033" i="6" a="1"/>
  <c r="G1033" i="6" s="1"/>
  <c r="E1033" i="6"/>
  <c r="G1052" i="6" a="1"/>
  <c r="G1052" i="6" s="1"/>
  <c r="E1052" i="6"/>
  <c r="I1052" i="6"/>
  <c r="K1052" i="6" s="1"/>
  <c r="G1065" i="6" a="1"/>
  <c r="G1065" i="6" s="1"/>
  <c r="E1065" i="6"/>
  <c r="G1072" i="6" a="1"/>
  <c r="G1072" i="6" s="1"/>
  <c r="E1072" i="6"/>
  <c r="I1072" i="6"/>
  <c r="K1072" i="6" s="1"/>
  <c r="G1089" i="6" a="1"/>
  <c r="G1089" i="6" s="1"/>
  <c r="E1089" i="6"/>
  <c r="G1130" i="6" a="1"/>
  <c r="G1130" i="6" s="1"/>
  <c r="E1130" i="6"/>
  <c r="G1150" i="6" a="1"/>
  <c r="G1150" i="6" s="1"/>
  <c r="E1150" i="6"/>
  <c r="I1150" i="6"/>
  <c r="K1150" i="6" s="1"/>
  <c r="G1169" i="6" a="1"/>
  <c r="G1169" i="6" s="1"/>
  <c r="E1169" i="6"/>
  <c r="G1185" i="6" a="1"/>
  <c r="G1185" i="6" s="1"/>
  <c r="E1185" i="6"/>
  <c r="G1196" i="6" a="1"/>
  <c r="G1196" i="6" s="1"/>
  <c r="E1196" i="6"/>
  <c r="G1209" i="6" a="1"/>
  <c r="G1209" i="6" s="1"/>
  <c r="E1209" i="6"/>
  <c r="G1228" i="6" a="1"/>
  <c r="G1228" i="6" s="1"/>
  <c r="E1228" i="6"/>
  <c r="I1228" i="6"/>
  <c r="K1228" i="6" s="1"/>
  <c r="G1241" i="6" a="1"/>
  <c r="G1241" i="6" s="1"/>
  <c r="E1241" i="6"/>
  <c r="G1248" i="6" a="1"/>
  <c r="G1248" i="6" s="1"/>
  <c r="E1248" i="6"/>
  <c r="I1248" i="6"/>
  <c r="K1248" i="6" s="1"/>
  <c r="G1265" i="6" a="1"/>
  <c r="G1265" i="6" s="1"/>
  <c r="E1265" i="6"/>
  <c r="G1306" i="6" a="1"/>
  <c r="G1306" i="6" s="1"/>
  <c r="E1306" i="6"/>
  <c r="G1326" i="6" a="1"/>
  <c r="G1326" i="6" s="1"/>
  <c r="E1326" i="6"/>
  <c r="I1326" i="6"/>
  <c r="K1326" i="6" s="1"/>
  <c r="G1345" i="6" a="1"/>
  <c r="G1345" i="6" s="1"/>
  <c r="E1345" i="6"/>
  <c r="G1361" i="6" a="1"/>
  <c r="G1361" i="6" s="1"/>
  <c r="E1361" i="6"/>
  <c r="G1372" i="6" a="1"/>
  <c r="G1372" i="6" s="1"/>
  <c r="E1372" i="6"/>
  <c r="G1385" i="6" a="1"/>
  <c r="G1385" i="6" s="1"/>
  <c r="E1385" i="6"/>
  <c r="G1404" i="6" a="1"/>
  <c r="G1404" i="6" s="1"/>
  <c r="E1404" i="6"/>
  <c r="I1404" i="6"/>
  <c r="K1404" i="6" s="1"/>
  <c r="G1417" i="6" a="1"/>
  <c r="G1417" i="6" s="1"/>
  <c r="E1417" i="6"/>
  <c r="G1424" i="6" a="1"/>
  <c r="G1424" i="6" s="1"/>
  <c r="E1424" i="6"/>
  <c r="I1424" i="6"/>
  <c r="K1424" i="6" s="1"/>
  <c r="G1462" i="6" a="1"/>
  <c r="G1462" i="6" s="1"/>
  <c r="E1462" i="6"/>
  <c r="G1469" i="6" a="1"/>
  <c r="G1469" i="6" s="1"/>
  <c r="E1469" i="6"/>
  <c r="I1469" i="6"/>
  <c r="K1469" i="6" s="1"/>
  <c r="G1487" i="6" a="1"/>
  <c r="G1487" i="6" s="1"/>
  <c r="E1487" i="6"/>
  <c r="G1505" i="6" a="1"/>
  <c r="G1505" i="6" s="1"/>
  <c r="E1505" i="6"/>
  <c r="G1531" i="6" a="1"/>
  <c r="G1531" i="6" s="1"/>
  <c r="E1531" i="6"/>
  <c r="G1543" i="6" a="1"/>
  <c r="G1543" i="6" s="1"/>
  <c r="E1543" i="6"/>
  <c r="G1146" i="6" a="1"/>
  <c r="G1146" i="6" s="1"/>
  <c r="E1146" i="6"/>
  <c r="I1283" i="6"/>
  <c r="K1283" i="6" s="1"/>
  <c r="E1364" i="6"/>
  <c r="G1364" i="6" a="1"/>
  <c r="G1364" i="6" s="1"/>
  <c r="G962" i="6" a="1"/>
  <c r="G962" i="6" s="1"/>
  <c r="E962" i="6"/>
  <c r="I962" i="6"/>
  <c r="K962" i="6" s="1"/>
  <c r="G994" i="6" a="1"/>
  <c r="G994" i="6" s="1"/>
  <c r="E994" i="6"/>
  <c r="I994" i="6"/>
  <c r="K994" i="6" s="1"/>
  <c r="G1010" i="6" a="1"/>
  <c r="G1010" i="6" s="1"/>
  <c r="E1010" i="6"/>
  <c r="G1034" i="6" a="1"/>
  <c r="G1034" i="6" s="1"/>
  <c r="E1034" i="6"/>
  <c r="G1040" i="6" a="1"/>
  <c r="G1040" i="6" s="1"/>
  <c r="E1040" i="6"/>
  <c r="I1040" i="6"/>
  <c r="K1040" i="6" s="1"/>
  <c r="G1060" i="6" a="1"/>
  <c r="G1060" i="6" s="1"/>
  <c r="E1060" i="6"/>
  <c r="I1060" i="6"/>
  <c r="K1060" i="6" s="1"/>
  <c r="G1066" i="6" a="1"/>
  <c r="G1066" i="6" s="1"/>
  <c r="E1066" i="6"/>
  <c r="G1090" i="6" a="1"/>
  <c r="G1090" i="6" s="1"/>
  <c r="E1090" i="6"/>
  <c r="G1113" i="6" a="1"/>
  <c r="G1113" i="6" s="1"/>
  <c r="E1113" i="6"/>
  <c r="G1118" i="6" a="1"/>
  <c r="G1118" i="6" s="1"/>
  <c r="E1118" i="6"/>
  <c r="I1118" i="6"/>
  <c r="K1118" i="6" s="1"/>
  <c r="G1138" i="6" a="1"/>
  <c r="G1138" i="6" s="1"/>
  <c r="E1138" i="6"/>
  <c r="I1138" i="6"/>
  <c r="K1138" i="6" s="1"/>
  <c r="G1170" i="6" a="1"/>
  <c r="G1170" i="6" s="1"/>
  <c r="E1170" i="6"/>
  <c r="I1170" i="6"/>
  <c r="K1170" i="6" s="1"/>
  <c r="G1186" i="6" a="1"/>
  <c r="G1186" i="6" s="1"/>
  <c r="E1186" i="6"/>
  <c r="G1210" i="6" a="1"/>
  <c r="G1210" i="6" s="1"/>
  <c r="E1210" i="6"/>
  <c r="G1216" i="6" a="1"/>
  <c r="G1216" i="6" s="1"/>
  <c r="E1216" i="6"/>
  <c r="I1216" i="6"/>
  <c r="K1216" i="6" s="1"/>
  <c r="G1236" i="6" a="1"/>
  <c r="G1236" i="6" s="1"/>
  <c r="E1236" i="6"/>
  <c r="I1236" i="6"/>
  <c r="K1236" i="6" s="1"/>
  <c r="E1242" i="6"/>
  <c r="G1242" i="6" a="1"/>
  <c r="G1242" i="6" s="1"/>
  <c r="G1266" i="6" a="1"/>
  <c r="G1266" i="6" s="1"/>
  <c r="E1266" i="6"/>
  <c r="G1289" i="6" a="1"/>
  <c r="G1289" i="6" s="1"/>
  <c r="E1289" i="6"/>
  <c r="G1294" i="6" a="1"/>
  <c r="G1294" i="6" s="1"/>
  <c r="E1294" i="6"/>
  <c r="I1294" i="6"/>
  <c r="K1294" i="6" s="1"/>
  <c r="G1314" i="6" a="1"/>
  <c r="G1314" i="6" s="1"/>
  <c r="E1314" i="6"/>
  <c r="I1314" i="6"/>
  <c r="K1314" i="6" s="1"/>
  <c r="G1346" i="6" a="1"/>
  <c r="G1346" i="6" s="1"/>
  <c r="E1346" i="6"/>
  <c r="I1346" i="6"/>
  <c r="K1346" i="6" s="1"/>
  <c r="G1362" i="6" a="1"/>
  <c r="G1362" i="6" s="1"/>
  <c r="E1362" i="6"/>
  <c r="G1386" i="6" a="1"/>
  <c r="G1386" i="6" s="1"/>
  <c r="E1386" i="6"/>
  <c r="G1392" i="6" a="1"/>
  <c r="G1392" i="6" s="1"/>
  <c r="E1392" i="6"/>
  <c r="I1392" i="6"/>
  <c r="K1392" i="6" s="1"/>
  <c r="G1412" i="6" a="1"/>
  <c r="G1412" i="6" s="1"/>
  <c r="E1412" i="6"/>
  <c r="I1412" i="6"/>
  <c r="K1412" i="6" s="1"/>
  <c r="G1418" i="6" a="1"/>
  <c r="G1418" i="6" s="1"/>
  <c r="E1418" i="6"/>
  <c r="G1437" i="6" a="1"/>
  <c r="G1437" i="6" s="1"/>
  <c r="I1437" i="6"/>
  <c r="K1437" i="6" s="1"/>
  <c r="E1437" i="6"/>
  <c r="G1481" i="6" a="1"/>
  <c r="G1481" i="6" s="1"/>
  <c r="E1481" i="6"/>
  <c r="I1481" i="6"/>
  <c r="K1481" i="6" s="1"/>
  <c r="E1532" i="6"/>
  <c r="G1535" i="6" a="1"/>
  <c r="G1535" i="6" s="1"/>
  <c r="I1535" i="6"/>
  <c r="K1535" i="6" s="1"/>
  <c r="E1535" i="6"/>
  <c r="G1550" i="6" a="1"/>
  <c r="G1550" i="6" s="1"/>
  <c r="E1550" i="6"/>
  <c r="G955" i="6" a="1"/>
  <c r="G955" i="6" s="1"/>
  <c r="E955" i="6"/>
  <c r="G971" i="6" a="1"/>
  <c r="G971" i="6" s="1"/>
  <c r="E971" i="6"/>
  <c r="E979" i="6"/>
  <c r="G979" i="6" a="1"/>
  <c r="G979" i="6" s="1"/>
  <c r="G987" i="6" a="1"/>
  <c r="G987" i="6" s="1"/>
  <c r="E987" i="6"/>
  <c r="G997" i="6" a="1"/>
  <c r="G997" i="6" s="1"/>
  <c r="E997" i="6"/>
  <c r="G1003" i="6" a="1"/>
  <c r="G1003" i="6" s="1"/>
  <c r="E1003" i="6"/>
  <c r="G1007" i="6" a="1"/>
  <c r="G1007" i="6" s="1"/>
  <c r="E1007" i="6"/>
  <c r="E1011" i="6"/>
  <c r="G1011" i="6" a="1"/>
  <c r="G1011" i="6" s="1"/>
  <c r="G1017" i="6" a="1"/>
  <c r="G1017" i="6" s="1"/>
  <c r="E1017" i="6"/>
  <c r="G1027" i="6" a="1"/>
  <c r="G1027" i="6" s="1"/>
  <c r="E1027" i="6"/>
  <c r="G1035" i="6" a="1"/>
  <c r="G1035" i="6" s="1"/>
  <c r="E1035" i="6"/>
  <c r="G1043" i="6" a="1"/>
  <c r="G1043" i="6" s="1"/>
  <c r="E1043" i="6"/>
  <c r="G1059" i="6" a="1"/>
  <c r="G1059" i="6" s="1"/>
  <c r="E1059" i="6"/>
  <c r="G1067" i="6" a="1"/>
  <c r="G1067" i="6" s="1"/>
  <c r="E1067" i="6"/>
  <c r="G1075" i="6" a="1"/>
  <c r="G1075" i="6" s="1"/>
  <c r="E1075" i="6"/>
  <c r="G1085" i="6" a="1"/>
  <c r="G1085" i="6" s="1"/>
  <c r="E1085" i="6"/>
  <c r="G1091" i="6" a="1"/>
  <c r="G1091" i="6" s="1"/>
  <c r="E1091" i="6"/>
  <c r="E1095" i="6"/>
  <c r="G1095" i="6" a="1"/>
  <c r="G1095" i="6" s="1"/>
  <c r="G1099" i="6" a="1"/>
  <c r="G1099" i="6" s="1"/>
  <c r="E1099" i="6"/>
  <c r="G1105" i="6" a="1"/>
  <c r="G1105" i="6" s="1"/>
  <c r="E1105" i="6"/>
  <c r="G1115" i="6" a="1"/>
  <c r="G1115" i="6" s="1"/>
  <c r="E1115" i="6"/>
  <c r="G1123" i="6" a="1"/>
  <c r="G1123" i="6" s="1"/>
  <c r="E1123" i="6"/>
  <c r="G1131" i="6" a="1"/>
  <c r="G1131" i="6" s="1"/>
  <c r="E1131" i="6"/>
  <c r="G1147" i="6" a="1"/>
  <c r="G1147" i="6" s="1"/>
  <c r="E1147" i="6"/>
  <c r="G1155" i="6" a="1"/>
  <c r="G1155" i="6" s="1"/>
  <c r="E1155" i="6"/>
  <c r="G1163" i="6" a="1"/>
  <c r="G1163" i="6" s="1"/>
  <c r="E1163" i="6"/>
  <c r="G1173" i="6" a="1"/>
  <c r="G1173" i="6" s="1"/>
  <c r="E1173" i="6"/>
  <c r="G1179" i="6" a="1"/>
  <c r="G1179" i="6" s="1"/>
  <c r="E1179" i="6"/>
  <c r="G1183" i="6" a="1"/>
  <c r="G1183" i="6" s="1"/>
  <c r="E1183" i="6"/>
  <c r="G1187" i="6" a="1"/>
  <c r="G1187" i="6" s="1"/>
  <c r="E1187" i="6"/>
  <c r="G1193" i="6" a="1"/>
  <c r="G1193" i="6" s="1"/>
  <c r="E1193" i="6"/>
  <c r="G1203" i="6" a="1"/>
  <c r="G1203" i="6" s="1"/>
  <c r="E1203" i="6"/>
  <c r="G1211" i="6" a="1"/>
  <c r="G1211" i="6" s="1"/>
  <c r="E1211" i="6"/>
  <c r="G1219" i="6" a="1"/>
  <c r="G1219" i="6" s="1"/>
  <c r="E1219" i="6"/>
  <c r="G1235" i="6" a="1"/>
  <c r="G1235" i="6" s="1"/>
  <c r="E1235" i="6"/>
  <c r="G1243" i="6" a="1"/>
  <c r="G1243" i="6" s="1"/>
  <c r="E1243" i="6"/>
  <c r="G1251" i="6" a="1"/>
  <c r="G1251" i="6" s="1"/>
  <c r="E1251" i="6"/>
  <c r="G1261" i="6" a="1"/>
  <c r="G1261" i="6" s="1"/>
  <c r="E1261" i="6"/>
  <c r="E1267" i="6"/>
  <c r="G1267" i="6" a="1"/>
  <c r="G1267" i="6" s="1"/>
  <c r="G1271" i="6" a="1"/>
  <c r="G1271" i="6" s="1"/>
  <c r="E1271" i="6"/>
  <c r="G1275" i="6" a="1"/>
  <c r="G1275" i="6" s="1"/>
  <c r="E1275" i="6"/>
  <c r="G1281" i="6" a="1"/>
  <c r="G1281" i="6" s="1"/>
  <c r="E1281" i="6"/>
  <c r="G1291" i="6" a="1"/>
  <c r="G1291" i="6" s="1"/>
  <c r="E1291" i="6"/>
  <c r="G1299" i="6" a="1"/>
  <c r="G1299" i="6" s="1"/>
  <c r="E1299" i="6"/>
  <c r="G1307" i="6" a="1"/>
  <c r="G1307" i="6" s="1"/>
  <c r="E1307" i="6"/>
  <c r="G1323" i="6" a="1"/>
  <c r="G1323" i="6" s="1"/>
  <c r="E1323" i="6"/>
  <c r="G1331" i="6" a="1"/>
  <c r="G1331" i="6" s="1"/>
  <c r="E1331" i="6"/>
  <c r="G1339" i="6" a="1"/>
  <c r="G1339" i="6" s="1"/>
  <c r="E1339" i="6"/>
  <c r="G1349" i="6" a="1"/>
  <c r="G1349" i="6" s="1"/>
  <c r="E1349" i="6"/>
  <c r="G1355" i="6" a="1"/>
  <c r="G1355" i="6" s="1"/>
  <c r="E1355" i="6"/>
  <c r="G1359" i="6" a="1"/>
  <c r="G1359" i="6" s="1"/>
  <c r="E1359" i="6"/>
  <c r="E1363" i="6"/>
  <c r="G1363" i="6" a="1"/>
  <c r="G1363" i="6" s="1"/>
  <c r="G1369" i="6" a="1"/>
  <c r="G1369" i="6" s="1"/>
  <c r="E1369" i="6"/>
  <c r="E1379" i="6"/>
  <c r="G1379" i="6" a="1"/>
  <c r="G1379" i="6" s="1"/>
  <c r="G1387" i="6" a="1"/>
  <c r="G1387" i="6" s="1"/>
  <c r="E1387" i="6"/>
  <c r="E1395" i="6"/>
  <c r="G1395" i="6" a="1"/>
  <c r="G1395" i="6" s="1"/>
  <c r="G1411" i="6" a="1"/>
  <c r="G1411" i="6" s="1"/>
  <c r="E1411" i="6"/>
  <c r="G1419" i="6" a="1"/>
  <c r="G1419" i="6" s="1"/>
  <c r="E1419" i="6"/>
  <c r="E1427" i="6"/>
  <c r="G1427" i="6" a="1"/>
  <c r="G1427" i="6" s="1"/>
  <c r="G1445" i="6" a="1"/>
  <c r="G1445" i="6" s="1"/>
  <c r="E1445" i="6"/>
  <c r="G1448" i="6" a="1"/>
  <c r="G1448" i="6" s="1"/>
  <c r="E1448" i="6"/>
  <c r="G1454" i="6" a="1"/>
  <c r="G1454" i="6" s="1"/>
  <c r="E1454" i="6"/>
  <c r="G1463" i="6" a="1"/>
  <c r="G1463" i="6" s="1"/>
  <c r="E1463" i="6"/>
  <c r="G1472" i="6" a="1"/>
  <c r="G1472" i="6" s="1"/>
  <c r="E1472" i="6"/>
  <c r="G1488" i="6" a="1"/>
  <c r="G1488" i="6" s="1"/>
  <c r="E1488" i="6"/>
  <c r="G1497" i="6" a="1"/>
  <c r="G1497" i="6" s="1"/>
  <c r="E1497" i="6"/>
  <c r="G1506" i="6" a="1"/>
  <c r="G1506" i="6" s="1"/>
  <c r="E1506" i="6"/>
  <c r="G1512" i="6" a="1"/>
  <c r="G1512" i="6" s="1"/>
  <c r="E1512" i="6"/>
  <c r="G1515" i="6" a="1"/>
  <c r="G1515" i="6" s="1"/>
  <c r="E1515" i="6"/>
  <c r="G1533" i="6" a="1"/>
  <c r="G1533" i="6" s="1"/>
  <c r="E1533" i="6"/>
  <c r="G1536" i="6" a="1"/>
  <c r="G1536" i="6" s="1"/>
  <c r="E1536" i="6"/>
  <c r="G1542" i="6" a="1"/>
  <c r="G1542" i="6" s="1"/>
  <c r="E1542" i="6"/>
  <c r="G1546" i="6" a="1"/>
  <c r="G1546" i="6" s="1"/>
  <c r="E1546" i="6"/>
  <c r="G1551" i="6" a="1"/>
  <c r="G1551" i="6" s="1"/>
  <c r="E1551" i="6"/>
  <c r="G1560" i="6" a="1"/>
  <c r="G1560" i="6" s="1"/>
  <c r="E1560" i="6"/>
  <c r="G957" i="6" a="1"/>
  <c r="G957" i="6" s="1"/>
  <c r="E957" i="6"/>
  <c r="G965" i="6" a="1"/>
  <c r="G965" i="6" s="1"/>
  <c r="E965" i="6"/>
  <c r="G975" i="6" a="1"/>
  <c r="G975" i="6" s="1"/>
  <c r="E975" i="6"/>
  <c r="G981" i="6" a="1"/>
  <c r="G981" i="6" s="1"/>
  <c r="E981" i="6"/>
  <c r="G985" i="6" a="1"/>
  <c r="G985" i="6" s="1"/>
  <c r="E985" i="6"/>
  <c r="G989" i="6" a="1"/>
  <c r="G989" i="6" s="1"/>
  <c r="E989" i="6"/>
  <c r="G995" i="6" a="1"/>
  <c r="G995" i="6" s="1"/>
  <c r="E995" i="6"/>
  <c r="G1005" i="6" a="1"/>
  <c r="G1005" i="6" s="1"/>
  <c r="E1005" i="6"/>
  <c r="G1013" i="6" a="1"/>
  <c r="G1013" i="6" s="1"/>
  <c r="E1013" i="6"/>
  <c r="G1021" i="6" a="1"/>
  <c r="G1021" i="6" s="1"/>
  <c r="E1021" i="6"/>
  <c r="G1037" i="6" a="1"/>
  <c r="G1037" i="6" s="1"/>
  <c r="E1037" i="6"/>
  <c r="G1045" i="6" a="1"/>
  <c r="G1045" i="6" s="1"/>
  <c r="E1045" i="6"/>
  <c r="G1053" i="6" a="1"/>
  <c r="G1053" i="6" s="1"/>
  <c r="E1053" i="6"/>
  <c r="E1063" i="6"/>
  <c r="G1063" i="6" a="1"/>
  <c r="G1063" i="6" s="1"/>
  <c r="G1069" i="6" a="1"/>
  <c r="G1069" i="6" s="1"/>
  <c r="E1069" i="6"/>
  <c r="G1073" i="6" a="1"/>
  <c r="G1073" i="6" s="1"/>
  <c r="E1073" i="6"/>
  <c r="G1077" i="6" a="1"/>
  <c r="G1077" i="6" s="1"/>
  <c r="E1077" i="6"/>
  <c r="G1083" i="6" a="1"/>
  <c r="G1083" i="6" s="1"/>
  <c r="E1083" i="6"/>
  <c r="G1093" i="6" a="1"/>
  <c r="G1093" i="6" s="1"/>
  <c r="E1093" i="6"/>
  <c r="G1101" i="6" a="1"/>
  <c r="G1101" i="6" s="1"/>
  <c r="E1101" i="6"/>
  <c r="G1109" i="6" a="1"/>
  <c r="G1109" i="6" s="1"/>
  <c r="E1109" i="6"/>
  <c r="G1125" i="6" a="1"/>
  <c r="G1125" i="6" s="1"/>
  <c r="E1125" i="6"/>
  <c r="G1133" i="6" a="1"/>
  <c r="G1133" i="6" s="1"/>
  <c r="E1133" i="6"/>
  <c r="G1141" i="6" a="1"/>
  <c r="G1141" i="6" s="1"/>
  <c r="E1141" i="6"/>
  <c r="G1151" i="6" a="1"/>
  <c r="G1151" i="6" s="1"/>
  <c r="E1151" i="6"/>
  <c r="G1157" i="6" a="1"/>
  <c r="G1157" i="6" s="1"/>
  <c r="E1157" i="6"/>
  <c r="G1161" i="6" a="1"/>
  <c r="G1161" i="6" s="1"/>
  <c r="E1161" i="6"/>
  <c r="E1165" i="6"/>
  <c r="G1165" i="6" a="1"/>
  <c r="G1165" i="6" s="1"/>
  <c r="G1171" i="6" a="1"/>
  <c r="G1171" i="6" s="1"/>
  <c r="E1171" i="6"/>
  <c r="G1181" i="6" a="1"/>
  <c r="G1181" i="6" s="1"/>
  <c r="E1181" i="6"/>
  <c r="G1189" i="6" a="1"/>
  <c r="G1189" i="6" s="1"/>
  <c r="E1189" i="6"/>
  <c r="G1197" i="6" a="1"/>
  <c r="G1197" i="6" s="1"/>
  <c r="E1197" i="6"/>
  <c r="G1213" i="6" a="1"/>
  <c r="G1213" i="6" s="1"/>
  <c r="E1213" i="6"/>
  <c r="G1221" i="6" a="1"/>
  <c r="G1221" i="6" s="1"/>
  <c r="E1221" i="6"/>
  <c r="G1229" i="6" a="1"/>
  <c r="G1229" i="6" s="1"/>
  <c r="E1229" i="6"/>
  <c r="G1239" i="6" a="1"/>
  <c r="G1239" i="6" s="1"/>
  <c r="E1239" i="6"/>
  <c r="G1245" i="6" a="1"/>
  <c r="G1245" i="6" s="1"/>
  <c r="E1245" i="6"/>
  <c r="G1249" i="6" a="1"/>
  <c r="G1249" i="6" s="1"/>
  <c r="E1249" i="6"/>
  <c r="G1253" i="6" a="1"/>
  <c r="G1253" i="6" s="1"/>
  <c r="E1253" i="6"/>
  <c r="G1259" i="6" a="1"/>
  <c r="G1259" i="6" s="1"/>
  <c r="E1259" i="6"/>
  <c r="G1269" i="6" a="1"/>
  <c r="G1269" i="6" s="1"/>
  <c r="E1269" i="6"/>
  <c r="G1277" i="6" a="1"/>
  <c r="G1277" i="6" s="1"/>
  <c r="E1277" i="6"/>
  <c r="G1285" i="6" a="1"/>
  <c r="G1285" i="6" s="1"/>
  <c r="E1285" i="6"/>
  <c r="G1301" i="6" a="1"/>
  <c r="G1301" i="6" s="1"/>
  <c r="E1301" i="6"/>
  <c r="G1309" i="6" a="1"/>
  <c r="G1309" i="6" s="1"/>
  <c r="E1309" i="6"/>
  <c r="G1317" i="6" a="1"/>
  <c r="G1317" i="6" s="1"/>
  <c r="E1317" i="6"/>
  <c r="G1327" i="6" a="1"/>
  <c r="G1327" i="6" s="1"/>
  <c r="E1327" i="6"/>
  <c r="G1333" i="6" a="1"/>
  <c r="G1333" i="6" s="1"/>
  <c r="E1333" i="6"/>
  <c r="E1337" i="6"/>
  <c r="G1337" i="6" a="1"/>
  <c r="G1337" i="6" s="1"/>
  <c r="G1341" i="6" a="1"/>
  <c r="G1341" i="6" s="1"/>
  <c r="E1341" i="6"/>
  <c r="G1347" i="6" a="1"/>
  <c r="G1347" i="6" s="1"/>
  <c r="E1347" i="6"/>
  <c r="G1357" i="6" a="1"/>
  <c r="G1357" i="6" s="1"/>
  <c r="E1357" i="6"/>
  <c r="G1365" i="6" a="1"/>
  <c r="G1365" i="6" s="1"/>
  <c r="E1365" i="6"/>
  <c r="G1373" i="6" a="1"/>
  <c r="G1373" i="6" s="1"/>
  <c r="E1373" i="6"/>
  <c r="G1389" i="6" a="1"/>
  <c r="G1389" i="6" s="1"/>
  <c r="E1389" i="6"/>
  <c r="G1397" i="6" a="1"/>
  <c r="G1397" i="6" s="1"/>
  <c r="E1397" i="6"/>
  <c r="G1405" i="6" a="1"/>
  <c r="G1405" i="6" s="1"/>
  <c r="E1405" i="6"/>
  <c r="G1415" i="6" a="1"/>
  <c r="G1415" i="6" s="1"/>
  <c r="E1415" i="6"/>
  <c r="G1421" i="6" a="1"/>
  <c r="G1421" i="6" s="1"/>
  <c r="E1421" i="6"/>
  <c r="G1425" i="6" a="1"/>
  <c r="G1425" i="6" s="1"/>
  <c r="E1425" i="6"/>
  <c r="G1429" i="6" a="1"/>
  <c r="G1429" i="6" s="1"/>
  <c r="E1429" i="6"/>
  <c r="G1439" i="6" a="1"/>
  <c r="G1439" i="6" s="1"/>
  <c r="E1439" i="6"/>
  <c r="G1456" i="6" a="1"/>
  <c r="G1456" i="6" s="1"/>
  <c r="E1456" i="6"/>
  <c r="G1459" i="6" a="1"/>
  <c r="G1459" i="6" s="1"/>
  <c r="E1459" i="6"/>
  <c r="G1465" i="6" a="1"/>
  <c r="G1465" i="6" s="1"/>
  <c r="E1465" i="6"/>
  <c r="G1474" i="6" a="1"/>
  <c r="G1474" i="6" s="1"/>
  <c r="E1474" i="6"/>
  <c r="G1482" i="6" a="1"/>
  <c r="G1482" i="6" s="1"/>
  <c r="E1482" i="6"/>
  <c r="E1492" i="6"/>
  <c r="G1492" i="6" a="1"/>
  <c r="G1492" i="6" s="1"/>
  <c r="G1499" i="6" a="1"/>
  <c r="G1499" i="6" s="1"/>
  <c r="E1499" i="6"/>
  <c r="G1513" i="6" a="1"/>
  <c r="G1513" i="6" s="1"/>
  <c r="E1513" i="6"/>
  <c r="G1517" i="6" a="1"/>
  <c r="G1517" i="6" s="1"/>
  <c r="E1517" i="6"/>
  <c r="G1527" i="6" a="1"/>
  <c r="G1527" i="6" s="1"/>
  <c r="E1527" i="6"/>
  <c r="G1544" i="6" a="1"/>
  <c r="G1544" i="6" s="1"/>
  <c r="E1544" i="6"/>
  <c r="E1545" i="6"/>
  <c r="G1553" i="6" a="1"/>
  <c r="G1553" i="6" s="1"/>
  <c r="E1553" i="6"/>
  <c r="G958" i="6" a="1"/>
  <c r="G958" i="6" s="1"/>
  <c r="E958" i="6"/>
  <c r="G966" i="6" a="1"/>
  <c r="G966" i="6" s="1"/>
  <c r="E966" i="6"/>
  <c r="I975" i="6"/>
  <c r="K975" i="6" s="1"/>
  <c r="G982" i="6" a="1"/>
  <c r="G982" i="6" s="1"/>
  <c r="E982" i="6"/>
  <c r="I985" i="6"/>
  <c r="K985" i="6" s="1"/>
  <c r="G990" i="6" a="1"/>
  <c r="G990" i="6" s="1"/>
  <c r="E990" i="6"/>
  <c r="I995" i="6"/>
  <c r="K995" i="6" s="1"/>
  <c r="G998" i="6" a="1"/>
  <c r="G998" i="6" s="1"/>
  <c r="E998" i="6"/>
  <c r="I1005" i="6"/>
  <c r="K1005" i="6" s="1"/>
  <c r="G1008" i="6" a="1"/>
  <c r="G1008" i="6" s="1"/>
  <c r="E1008" i="6"/>
  <c r="G1014" i="6" a="1"/>
  <c r="G1014" i="6" s="1"/>
  <c r="E1014" i="6"/>
  <c r="G1018" i="6" a="1"/>
  <c r="G1018" i="6" s="1"/>
  <c r="E1018" i="6"/>
  <c r="G1022" i="6" a="1"/>
  <c r="G1022" i="6" s="1"/>
  <c r="E1022" i="6"/>
  <c r="G1028" i="6" a="1"/>
  <c r="G1028" i="6" s="1"/>
  <c r="E1028" i="6"/>
  <c r="G1038" i="6" a="1"/>
  <c r="G1038" i="6" s="1"/>
  <c r="E1038" i="6"/>
  <c r="G1046" i="6" a="1"/>
  <c r="G1046" i="6" s="1"/>
  <c r="E1046" i="6"/>
  <c r="G1054" i="6" a="1"/>
  <c r="G1054" i="6" s="1"/>
  <c r="E1054" i="6"/>
  <c r="I1063" i="6"/>
  <c r="K1063" i="6" s="1"/>
  <c r="G1070" i="6" a="1"/>
  <c r="G1070" i="6" s="1"/>
  <c r="E1070" i="6"/>
  <c r="I1073" i="6"/>
  <c r="K1073" i="6" s="1"/>
  <c r="G1078" i="6" a="1"/>
  <c r="G1078" i="6" s="1"/>
  <c r="E1078" i="6"/>
  <c r="I1083" i="6"/>
  <c r="K1083" i="6" s="1"/>
  <c r="G1086" i="6" a="1"/>
  <c r="G1086" i="6" s="1"/>
  <c r="E1086" i="6"/>
  <c r="I1093" i="6"/>
  <c r="K1093" i="6" s="1"/>
  <c r="G1096" i="6" a="1"/>
  <c r="G1096" i="6" s="1"/>
  <c r="E1096" i="6"/>
  <c r="G1102" i="6" a="1"/>
  <c r="G1102" i="6" s="1"/>
  <c r="E1102" i="6"/>
  <c r="G1106" i="6" a="1"/>
  <c r="G1106" i="6" s="1"/>
  <c r="E1106" i="6"/>
  <c r="G1110" i="6" a="1"/>
  <c r="G1110" i="6" s="1"/>
  <c r="E1110" i="6"/>
  <c r="G1116" i="6" a="1"/>
  <c r="G1116" i="6" s="1"/>
  <c r="E1116" i="6"/>
  <c r="G1126" i="6" a="1"/>
  <c r="G1126" i="6" s="1"/>
  <c r="E1126" i="6"/>
  <c r="G1134" i="6" a="1"/>
  <c r="G1134" i="6" s="1"/>
  <c r="E1134" i="6"/>
  <c r="G1142" i="6" a="1"/>
  <c r="G1142" i="6" s="1"/>
  <c r="E1142" i="6"/>
  <c r="I1151" i="6"/>
  <c r="K1151" i="6" s="1"/>
  <c r="G1158" i="6" a="1"/>
  <c r="G1158" i="6" s="1"/>
  <c r="E1158" i="6"/>
  <c r="I1161" i="6"/>
  <c r="K1161" i="6" s="1"/>
  <c r="G1166" i="6" a="1"/>
  <c r="G1166" i="6" s="1"/>
  <c r="E1166" i="6"/>
  <c r="I1171" i="6"/>
  <c r="K1171" i="6" s="1"/>
  <c r="G1174" i="6" a="1"/>
  <c r="G1174" i="6" s="1"/>
  <c r="E1174" i="6"/>
  <c r="I1181" i="6"/>
  <c r="K1181" i="6" s="1"/>
  <c r="G1184" i="6" a="1"/>
  <c r="G1184" i="6" s="1"/>
  <c r="E1184" i="6"/>
  <c r="G1190" i="6" a="1"/>
  <c r="G1190" i="6" s="1"/>
  <c r="E1190" i="6"/>
  <c r="G1194" i="6" a="1"/>
  <c r="G1194" i="6" s="1"/>
  <c r="E1194" i="6"/>
  <c r="G1198" i="6" a="1"/>
  <c r="G1198" i="6" s="1"/>
  <c r="E1198" i="6"/>
  <c r="G1204" i="6" a="1"/>
  <c r="G1204" i="6" s="1"/>
  <c r="E1204" i="6"/>
  <c r="G1214" i="6" a="1"/>
  <c r="G1214" i="6" s="1"/>
  <c r="E1214" i="6"/>
  <c r="G1222" i="6" a="1"/>
  <c r="G1222" i="6" s="1"/>
  <c r="E1222" i="6"/>
  <c r="G1230" i="6" a="1"/>
  <c r="G1230" i="6" s="1"/>
  <c r="E1230" i="6"/>
  <c r="I1239" i="6"/>
  <c r="K1239" i="6" s="1"/>
  <c r="G1246" i="6" a="1"/>
  <c r="G1246" i="6" s="1"/>
  <c r="E1246" i="6"/>
  <c r="I1249" i="6"/>
  <c r="K1249" i="6" s="1"/>
  <c r="G1254" i="6" a="1"/>
  <c r="G1254" i="6" s="1"/>
  <c r="E1254" i="6"/>
  <c r="I1259" i="6"/>
  <c r="K1259" i="6" s="1"/>
  <c r="G1262" i="6" a="1"/>
  <c r="G1262" i="6" s="1"/>
  <c r="E1262" i="6"/>
  <c r="I1269" i="6"/>
  <c r="K1269" i="6" s="1"/>
  <c r="G1272" i="6" a="1"/>
  <c r="G1272" i="6" s="1"/>
  <c r="E1272" i="6"/>
  <c r="G1278" i="6" a="1"/>
  <c r="G1278" i="6" s="1"/>
  <c r="E1278" i="6"/>
  <c r="G1282" i="6" a="1"/>
  <c r="G1282" i="6" s="1"/>
  <c r="E1282" i="6"/>
  <c r="G1286" i="6" a="1"/>
  <c r="G1286" i="6" s="1"/>
  <c r="E1286" i="6"/>
  <c r="G1292" i="6" a="1"/>
  <c r="G1292" i="6" s="1"/>
  <c r="E1292" i="6"/>
  <c r="G1302" i="6" a="1"/>
  <c r="G1302" i="6" s="1"/>
  <c r="E1302" i="6"/>
  <c r="G1310" i="6" a="1"/>
  <c r="G1310" i="6" s="1"/>
  <c r="E1310" i="6"/>
  <c r="G1318" i="6" a="1"/>
  <c r="G1318" i="6" s="1"/>
  <c r="E1318" i="6"/>
  <c r="I1327" i="6"/>
  <c r="K1327" i="6" s="1"/>
  <c r="G1334" i="6" a="1"/>
  <c r="G1334" i="6" s="1"/>
  <c r="E1334" i="6"/>
  <c r="I1337" i="6"/>
  <c r="K1337" i="6" s="1"/>
  <c r="E1342" i="6"/>
  <c r="G1342" i="6" a="1"/>
  <c r="G1342" i="6" s="1"/>
  <c r="I1347" i="6"/>
  <c r="K1347" i="6" s="1"/>
  <c r="G1350" i="6" a="1"/>
  <c r="G1350" i="6" s="1"/>
  <c r="E1350" i="6"/>
  <c r="I1357" i="6"/>
  <c r="K1357" i="6" s="1"/>
  <c r="G1360" i="6" a="1"/>
  <c r="G1360" i="6" s="1"/>
  <c r="E1360" i="6"/>
  <c r="G1366" i="6" a="1"/>
  <c r="G1366" i="6" s="1"/>
  <c r="E1366" i="6"/>
  <c r="G1370" i="6" a="1"/>
  <c r="G1370" i="6" s="1"/>
  <c r="E1370" i="6"/>
  <c r="E1374" i="6"/>
  <c r="G1374" i="6" a="1"/>
  <c r="G1374" i="6" s="1"/>
  <c r="E1380" i="6"/>
  <c r="G1380" i="6" a="1"/>
  <c r="G1380" i="6" s="1"/>
  <c r="G1390" i="6" a="1"/>
  <c r="G1390" i="6" s="1"/>
  <c r="E1390" i="6"/>
  <c r="G1398" i="6" a="1"/>
  <c r="G1398" i="6" s="1"/>
  <c r="E1398" i="6"/>
  <c r="E1406" i="6"/>
  <c r="G1406" i="6" a="1"/>
  <c r="G1406" i="6" s="1"/>
  <c r="I1415" i="6"/>
  <c r="K1415" i="6" s="1"/>
  <c r="E1422" i="6"/>
  <c r="G1422" i="6" a="1"/>
  <c r="G1422" i="6" s="1"/>
  <c r="I1425" i="6"/>
  <c r="K1425" i="6" s="1"/>
  <c r="G1430" i="6" a="1"/>
  <c r="G1430" i="6" s="1"/>
  <c r="E1430" i="6"/>
  <c r="G1440" i="6" a="1"/>
  <c r="G1440" i="6" s="1"/>
  <c r="E1440" i="6"/>
  <c r="G1446" i="6" a="1"/>
  <c r="G1446" i="6" s="1"/>
  <c r="E1446" i="6"/>
  <c r="G1449" i="6" a="1"/>
  <c r="G1449" i="6" s="1"/>
  <c r="E1449" i="6"/>
  <c r="I1456" i="6"/>
  <c r="K1456" i="6" s="1"/>
  <c r="I1459" i="6"/>
  <c r="K1459" i="6" s="1"/>
  <c r="G1466" i="6" a="1"/>
  <c r="G1466" i="6" s="1"/>
  <c r="E1466" i="6"/>
  <c r="G1475" i="6" a="1"/>
  <c r="G1475" i="6" s="1"/>
  <c r="E1475" i="6"/>
  <c r="G1483" i="6" a="1"/>
  <c r="G1483" i="6" s="1"/>
  <c r="E1483" i="6"/>
  <c r="I1492" i="6"/>
  <c r="K1492" i="6" s="1"/>
  <c r="G1503" i="6" a="1"/>
  <c r="G1503" i="6" s="1"/>
  <c r="E1503" i="6"/>
  <c r="G1509" i="6" a="1"/>
  <c r="G1509" i="6" s="1"/>
  <c r="E1509" i="6"/>
  <c r="I1513" i="6"/>
  <c r="K1513" i="6" s="1"/>
  <c r="G1518" i="6" a="1"/>
  <c r="G1518" i="6" s="1"/>
  <c r="E1518" i="6"/>
  <c r="E1528" i="6"/>
  <c r="G1528" i="6" a="1"/>
  <c r="G1528" i="6" s="1"/>
  <c r="G1534" i="6" a="1"/>
  <c r="G1534" i="6" s="1"/>
  <c r="E1534" i="6"/>
  <c r="G1537" i="6" a="1"/>
  <c r="G1537" i="6" s="1"/>
  <c r="E1537" i="6"/>
  <c r="I1544" i="6"/>
  <c r="K1544" i="6" s="1"/>
  <c r="G1547" i="6" a="1"/>
  <c r="G1547" i="6" s="1"/>
  <c r="E1547" i="6"/>
  <c r="G1554" i="6" a="1"/>
  <c r="G1554" i="6" s="1"/>
  <c r="E1554" i="6"/>
  <c r="G950" i="6" a="1"/>
  <c r="G950" i="6" s="1"/>
  <c r="E950" i="6"/>
  <c r="G953" i="6" a="1"/>
  <c r="G953" i="6" s="1"/>
  <c r="E953" i="6"/>
  <c r="G959" i="6" a="1"/>
  <c r="G959" i="6" s="1"/>
  <c r="E959" i="6"/>
  <c r="G963" i="6" a="1"/>
  <c r="G963" i="6" s="1"/>
  <c r="E963" i="6"/>
  <c r="G967" i="6" a="1"/>
  <c r="G967" i="6" s="1"/>
  <c r="E967" i="6"/>
  <c r="G973" i="6" a="1"/>
  <c r="G973" i="6" s="1"/>
  <c r="E973" i="6"/>
  <c r="G983" i="6" a="1"/>
  <c r="G983" i="6" s="1"/>
  <c r="E983" i="6"/>
  <c r="G991" i="6" a="1"/>
  <c r="G991" i="6" s="1"/>
  <c r="E991" i="6"/>
  <c r="G999" i="6" a="1"/>
  <c r="G999" i="6" s="1"/>
  <c r="E999" i="6"/>
  <c r="G1015" i="6" a="1"/>
  <c r="G1015" i="6" s="1"/>
  <c r="E1015" i="6"/>
  <c r="G1023" i="6" a="1"/>
  <c r="G1023" i="6" s="1"/>
  <c r="E1023" i="6"/>
  <c r="G1031" i="6" a="1"/>
  <c r="G1031" i="6" s="1"/>
  <c r="E1031" i="6"/>
  <c r="G1041" i="6" a="1"/>
  <c r="G1041" i="6" s="1"/>
  <c r="E1041" i="6"/>
  <c r="G1047" i="6" a="1"/>
  <c r="G1047" i="6" s="1"/>
  <c r="E1047" i="6"/>
  <c r="G1051" i="6" a="1"/>
  <c r="G1051" i="6" s="1"/>
  <c r="E1051" i="6"/>
  <c r="G1055" i="6" a="1"/>
  <c r="G1055" i="6" s="1"/>
  <c r="E1055" i="6"/>
  <c r="G1061" i="6" a="1"/>
  <c r="G1061" i="6" s="1"/>
  <c r="E1061" i="6"/>
  <c r="G1071" i="6" a="1"/>
  <c r="G1071" i="6" s="1"/>
  <c r="E1071" i="6"/>
  <c r="G1079" i="6" a="1"/>
  <c r="G1079" i="6" s="1"/>
  <c r="E1079" i="6"/>
  <c r="G1087" i="6" a="1"/>
  <c r="G1087" i="6" s="1"/>
  <c r="E1087" i="6"/>
  <c r="G1103" i="6" a="1"/>
  <c r="G1103" i="6" s="1"/>
  <c r="E1103" i="6"/>
  <c r="G1111" i="6" a="1"/>
  <c r="G1111" i="6" s="1"/>
  <c r="E1111" i="6"/>
  <c r="G1119" i="6" a="1"/>
  <c r="G1119" i="6" s="1"/>
  <c r="E1119" i="6"/>
  <c r="G1129" i="6" a="1"/>
  <c r="G1129" i="6" s="1"/>
  <c r="E1129" i="6"/>
  <c r="G1135" i="6" a="1"/>
  <c r="G1135" i="6" s="1"/>
  <c r="E1135" i="6"/>
  <c r="G1139" i="6" a="1"/>
  <c r="G1139" i="6" s="1"/>
  <c r="E1139" i="6"/>
  <c r="G1143" i="6" a="1"/>
  <c r="G1143" i="6" s="1"/>
  <c r="E1143" i="6"/>
  <c r="G1149" i="6" a="1"/>
  <c r="G1149" i="6" s="1"/>
  <c r="E1149" i="6"/>
  <c r="E1159" i="6"/>
  <c r="G1159" i="6" a="1"/>
  <c r="G1159" i="6" s="1"/>
  <c r="G1167" i="6" a="1"/>
  <c r="G1167" i="6" s="1"/>
  <c r="E1167" i="6"/>
  <c r="G1175" i="6" a="1"/>
  <c r="G1175" i="6" s="1"/>
  <c r="E1175" i="6"/>
  <c r="E1191" i="6"/>
  <c r="G1191" i="6" a="1"/>
  <c r="G1191" i="6" s="1"/>
  <c r="G1199" i="6" a="1"/>
  <c r="G1199" i="6" s="1"/>
  <c r="E1199" i="6"/>
  <c r="G1207" i="6" a="1"/>
  <c r="G1207" i="6" s="1"/>
  <c r="E1207" i="6"/>
  <c r="G1217" i="6" a="1"/>
  <c r="G1217" i="6" s="1"/>
  <c r="E1217" i="6"/>
  <c r="G1223" i="6" a="1"/>
  <c r="G1223" i="6" s="1"/>
  <c r="E1223" i="6"/>
  <c r="G1227" i="6" a="1"/>
  <c r="G1227" i="6" s="1"/>
  <c r="E1227" i="6"/>
  <c r="G1231" i="6" a="1"/>
  <c r="G1231" i="6" s="1"/>
  <c r="E1231" i="6"/>
  <c r="G1237" i="6" a="1"/>
  <c r="G1237" i="6" s="1"/>
  <c r="E1237" i="6"/>
  <c r="G1247" i="6" a="1"/>
  <c r="G1247" i="6" s="1"/>
  <c r="E1247" i="6"/>
  <c r="G1255" i="6" a="1"/>
  <c r="G1255" i="6" s="1"/>
  <c r="E1255" i="6"/>
  <c r="G1263" i="6" a="1"/>
  <c r="G1263" i="6" s="1"/>
  <c r="E1263" i="6"/>
  <c r="G1279" i="6" a="1"/>
  <c r="G1279" i="6" s="1"/>
  <c r="E1279" i="6"/>
  <c r="G1287" i="6" a="1"/>
  <c r="G1287" i="6" s="1"/>
  <c r="E1287" i="6"/>
  <c r="G1295" i="6" a="1"/>
  <c r="G1295" i="6" s="1"/>
  <c r="E1295" i="6"/>
  <c r="G1305" i="6" a="1"/>
  <c r="G1305" i="6" s="1"/>
  <c r="E1305" i="6"/>
  <c r="G1311" i="6" a="1"/>
  <c r="G1311" i="6" s="1"/>
  <c r="E1311" i="6"/>
  <c r="G1315" i="6" a="1"/>
  <c r="G1315" i="6" s="1"/>
  <c r="E1315" i="6"/>
  <c r="G1319" i="6" a="1"/>
  <c r="G1319" i="6" s="1"/>
  <c r="E1319" i="6"/>
  <c r="G1325" i="6" a="1"/>
  <c r="G1325" i="6" s="1"/>
  <c r="E1325" i="6"/>
  <c r="G1335" i="6" a="1"/>
  <c r="G1335" i="6" s="1"/>
  <c r="E1335" i="6"/>
  <c r="G1343" i="6" a="1"/>
  <c r="G1343" i="6" s="1"/>
  <c r="E1343" i="6"/>
  <c r="G1351" i="6" a="1"/>
  <c r="G1351" i="6" s="1"/>
  <c r="E1351" i="6"/>
  <c r="G1367" i="6" a="1"/>
  <c r="G1367" i="6" s="1"/>
  <c r="E1367" i="6"/>
  <c r="G1375" i="6" a="1"/>
  <c r="G1375" i="6" s="1"/>
  <c r="E1375" i="6"/>
  <c r="G1383" i="6" a="1"/>
  <c r="G1383" i="6" s="1"/>
  <c r="E1383" i="6"/>
  <c r="G1393" i="6" a="1"/>
  <c r="G1393" i="6" s="1"/>
  <c r="E1393" i="6"/>
  <c r="G1399" i="6" a="1"/>
  <c r="G1399" i="6" s="1"/>
  <c r="E1399" i="6"/>
  <c r="G1403" i="6" a="1"/>
  <c r="G1403" i="6" s="1"/>
  <c r="E1403" i="6"/>
  <c r="G1407" i="6" a="1"/>
  <c r="G1407" i="6" s="1"/>
  <c r="E1407" i="6"/>
  <c r="G1413" i="6" a="1"/>
  <c r="G1413" i="6" s="1"/>
  <c r="E1413" i="6"/>
  <c r="G1423" i="6" a="1"/>
  <c r="G1423" i="6" s="1"/>
  <c r="E1423" i="6"/>
  <c r="G1431" i="6" a="1"/>
  <c r="G1431" i="6" s="1"/>
  <c r="E1431" i="6"/>
  <c r="E1436" i="6"/>
  <c r="G1436" i="6" a="1"/>
  <c r="G1436" i="6" s="1"/>
  <c r="G1441" i="6" a="1"/>
  <c r="G1441" i="6" s="1"/>
  <c r="E1441" i="6"/>
  <c r="G1450" i="6" a="1"/>
  <c r="G1450" i="6" s="1"/>
  <c r="E1450" i="6"/>
  <c r="G1467" i="6" a="1"/>
  <c r="G1467" i="6" s="1"/>
  <c r="E1467" i="6"/>
  <c r="I1467" i="6"/>
  <c r="K1467" i="6" s="1"/>
  <c r="G1493" i="6" a="1"/>
  <c r="G1493" i="6" s="1"/>
  <c r="E1493" i="6"/>
  <c r="G1510" i="6" a="1"/>
  <c r="G1510" i="6" s="1"/>
  <c r="E1510" i="6"/>
  <c r="G1519" i="6" a="1"/>
  <c r="G1519" i="6" s="1"/>
  <c r="E1519" i="6"/>
  <c r="G1524" i="6" a="1"/>
  <c r="G1524" i="6" s="1"/>
  <c r="E1524" i="6"/>
  <c r="G1529" i="6" a="1"/>
  <c r="G1529" i="6" s="1"/>
  <c r="E1529" i="6"/>
  <c r="G1538" i="6" a="1"/>
  <c r="G1538" i="6" s="1"/>
  <c r="E1538" i="6"/>
  <c r="I950" i="6"/>
  <c r="K950" i="6" s="1"/>
  <c r="I953" i="6"/>
  <c r="K953" i="6" s="1"/>
  <c r="G960" i="6" a="1"/>
  <c r="G960" i="6" s="1"/>
  <c r="E960" i="6"/>
  <c r="I963" i="6"/>
  <c r="K963" i="6" s="1"/>
  <c r="G968" i="6" a="1"/>
  <c r="G968" i="6" s="1"/>
  <c r="E968" i="6"/>
  <c r="I973" i="6"/>
  <c r="K973" i="6" s="1"/>
  <c r="G976" i="6" a="1"/>
  <c r="G976" i="6" s="1"/>
  <c r="E976" i="6"/>
  <c r="I983" i="6"/>
  <c r="K983" i="6" s="1"/>
  <c r="G986" i="6" a="1"/>
  <c r="G986" i="6" s="1"/>
  <c r="E986" i="6"/>
  <c r="G992" i="6" a="1"/>
  <c r="G992" i="6" s="1"/>
  <c r="E992" i="6"/>
  <c r="G996" i="6" a="1"/>
  <c r="G996" i="6" s="1"/>
  <c r="E996" i="6"/>
  <c r="G1000" i="6" a="1"/>
  <c r="G1000" i="6" s="1"/>
  <c r="E1000" i="6"/>
  <c r="G1006" i="6" a="1"/>
  <c r="G1006" i="6" s="1"/>
  <c r="E1006" i="6"/>
  <c r="G1016" i="6" a="1"/>
  <c r="G1016" i="6" s="1"/>
  <c r="E1016" i="6"/>
  <c r="G1024" i="6" a="1"/>
  <c r="G1024" i="6" s="1"/>
  <c r="E1024" i="6"/>
  <c r="G1032" i="6" a="1"/>
  <c r="G1032" i="6" s="1"/>
  <c r="E1032" i="6"/>
  <c r="I1041" i="6"/>
  <c r="K1041" i="6" s="1"/>
  <c r="G1048" i="6" a="1"/>
  <c r="G1048" i="6" s="1"/>
  <c r="E1048" i="6"/>
  <c r="I1051" i="6"/>
  <c r="K1051" i="6" s="1"/>
  <c r="G1056" i="6" a="1"/>
  <c r="G1056" i="6" s="1"/>
  <c r="E1056" i="6"/>
  <c r="I1061" i="6"/>
  <c r="K1061" i="6" s="1"/>
  <c r="G1064" i="6" a="1"/>
  <c r="G1064" i="6" s="1"/>
  <c r="E1064" i="6"/>
  <c r="I1071" i="6"/>
  <c r="K1071" i="6" s="1"/>
  <c r="G1074" i="6" a="1"/>
  <c r="G1074" i="6" s="1"/>
  <c r="E1074" i="6"/>
  <c r="G1080" i="6" a="1"/>
  <c r="G1080" i="6" s="1"/>
  <c r="E1080" i="6"/>
  <c r="G1084" i="6" a="1"/>
  <c r="G1084" i="6" s="1"/>
  <c r="E1084" i="6"/>
  <c r="G1088" i="6" a="1"/>
  <c r="G1088" i="6" s="1"/>
  <c r="E1088" i="6"/>
  <c r="E1094" i="6"/>
  <c r="G1094" i="6" a="1"/>
  <c r="G1094" i="6" s="1"/>
  <c r="G1104" i="6" a="1"/>
  <c r="G1104" i="6" s="1"/>
  <c r="E1104" i="6"/>
  <c r="G1112" i="6" a="1"/>
  <c r="G1112" i="6" s="1"/>
  <c r="E1112" i="6"/>
  <c r="G1120" i="6" a="1"/>
  <c r="G1120" i="6" s="1"/>
  <c r="E1120" i="6"/>
  <c r="I1129" i="6"/>
  <c r="K1129" i="6" s="1"/>
  <c r="G1136" i="6" a="1"/>
  <c r="G1136" i="6" s="1"/>
  <c r="E1136" i="6"/>
  <c r="I1139" i="6"/>
  <c r="K1139" i="6" s="1"/>
  <c r="G1144" i="6" a="1"/>
  <c r="G1144" i="6" s="1"/>
  <c r="E1144" i="6"/>
  <c r="I1149" i="6"/>
  <c r="K1149" i="6" s="1"/>
  <c r="G1152" i="6" a="1"/>
  <c r="G1152" i="6" s="1"/>
  <c r="E1152" i="6"/>
  <c r="I1159" i="6"/>
  <c r="K1159" i="6" s="1"/>
  <c r="G1162" i="6" a="1"/>
  <c r="G1162" i="6" s="1"/>
  <c r="E1162" i="6"/>
  <c r="G1168" i="6" a="1"/>
  <c r="G1168" i="6" s="1"/>
  <c r="E1168" i="6"/>
  <c r="G1172" i="6" a="1"/>
  <c r="G1172" i="6" s="1"/>
  <c r="E1172" i="6"/>
  <c r="G1176" i="6" a="1"/>
  <c r="G1176" i="6" s="1"/>
  <c r="E1176" i="6"/>
  <c r="G1182" i="6" a="1"/>
  <c r="G1182" i="6" s="1"/>
  <c r="E1182" i="6"/>
  <c r="G1192" i="6" a="1"/>
  <c r="G1192" i="6" s="1"/>
  <c r="E1192" i="6"/>
  <c r="G1200" i="6" a="1"/>
  <c r="G1200" i="6" s="1"/>
  <c r="E1200" i="6"/>
  <c r="G1208" i="6" a="1"/>
  <c r="G1208" i="6" s="1"/>
  <c r="E1208" i="6"/>
  <c r="I1217" i="6"/>
  <c r="K1217" i="6" s="1"/>
  <c r="G1224" i="6" a="1"/>
  <c r="G1224" i="6" s="1"/>
  <c r="E1224" i="6"/>
  <c r="I1227" i="6"/>
  <c r="K1227" i="6" s="1"/>
  <c r="G1232" i="6" a="1"/>
  <c r="G1232" i="6" s="1"/>
  <c r="E1232" i="6"/>
  <c r="I1237" i="6"/>
  <c r="K1237" i="6" s="1"/>
  <c r="G1240" i="6" a="1"/>
  <c r="G1240" i="6" s="1"/>
  <c r="E1240" i="6"/>
  <c r="I1247" i="6"/>
  <c r="K1247" i="6" s="1"/>
  <c r="G1250" i="6" a="1"/>
  <c r="G1250" i="6" s="1"/>
  <c r="E1250" i="6"/>
  <c r="G1256" i="6" a="1"/>
  <c r="G1256" i="6" s="1"/>
  <c r="E1256" i="6"/>
  <c r="G1260" i="6" a="1"/>
  <c r="G1260" i="6" s="1"/>
  <c r="E1260" i="6"/>
  <c r="G1264" i="6" a="1"/>
  <c r="G1264" i="6" s="1"/>
  <c r="E1264" i="6"/>
  <c r="G1270" i="6" a="1"/>
  <c r="G1270" i="6" s="1"/>
  <c r="E1270" i="6"/>
  <c r="G1280" i="6" a="1"/>
  <c r="G1280" i="6" s="1"/>
  <c r="E1280" i="6"/>
  <c r="G1288" i="6" a="1"/>
  <c r="G1288" i="6" s="1"/>
  <c r="E1288" i="6"/>
  <c r="G1296" i="6" a="1"/>
  <c r="G1296" i="6" s="1"/>
  <c r="E1296" i="6"/>
  <c r="I1305" i="6"/>
  <c r="K1305" i="6" s="1"/>
  <c r="G1312" i="6" a="1"/>
  <c r="G1312" i="6" s="1"/>
  <c r="E1312" i="6"/>
  <c r="I1315" i="6"/>
  <c r="K1315" i="6" s="1"/>
  <c r="G1320" i="6" a="1"/>
  <c r="G1320" i="6" s="1"/>
  <c r="E1320" i="6"/>
  <c r="I1325" i="6"/>
  <c r="K1325" i="6" s="1"/>
  <c r="G1328" i="6" a="1"/>
  <c r="G1328" i="6" s="1"/>
  <c r="E1328" i="6"/>
  <c r="I1335" i="6"/>
  <c r="K1335" i="6" s="1"/>
  <c r="G1338" i="6" a="1"/>
  <c r="G1338" i="6" s="1"/>
  <c r="E1338" i="6"/>
  <c r="G1344" i="6" a="1"/>
  <c r="G1344" i="6" s="1"/>
  <c r="E1344" i="6"/>
  <c r="G1348" i="6" a="1"/>
  <c r="G1348" i="6" s="1"/>
  <c r="E1348" i="6"/>
  <c r="G1352" i="6" a="1"/>
  <c r="G1352" i="6" s="1"/>
  <c r="E1352" i="6"/>
  <c r="E1358" i="6"/>
  <c r="G1358" i="6" a="1"/>
  <c r="G1358" i="6" s="1"/>
  <c r="G1368" i="6" a="1"/>
  <c r="G1368" i="6" s="1"/>
  <c r="E1368" i="6"/>
  <c r="G1376" i="6" a="1"/>
  <c r="G1376" i="6" s="1"/>
  <c r="E1376" i="6"/>
  <c r="G1384" i="6" a="1"/>
  <c r="G1384" i="6" s="1"/>
  <c r="E1384" i="6"/>
  <c r="I1393" i="6"/>
  <c r="K1393" i="6" s="1"/>
  <c r="G1400" i="6" a="1"/>
  <c r="G1400" i="6" s="1"/>
  <c r="E1400" i="6"/>
  <c r="I1403" i="6"/>
  <c r="K1403" i="6" s="1"/>
  <c r="G1408" i="6" a="1"/>
  <c r="G1408" i="6" s="1"/>
  <c r="E1408" i="6"/>
  <c r="I1413" i="6"/>
  <c r="K1413" i="6" s="1"/>
  <c r="G1416" i="6" a="1"/>
  <c r="G1416" i="6" s="1"/>
  <c r="E1416" i="6"/>
  <c r="I1423" i="6"/>
  <c r="K1423" i="6" s="1"/>
  <c r="G1426" i="6" a="1"/>
  <c r="G1426" i="6" s="1"/>
  <c r="E1426" i="6"/>
  <c r="G1432" i="6" a="1"/>
  <c r="G1432" i="6" s="1"/>
  <c r="E1432" i="6"/>
  <c r="I1436" i="6"/>
  <c r="K1436" i="6" s="1"/>
  <c r="G1442" i="6" a="1"/>
  <c r="G1442" i="6" s="1"/>
  <c r="E1442" i="6"/>
  <c r="G1451" i="6" a="1"/>
  <c r="G1451" i="6" s="1"/>
  <c r="E1451" i="6"/>
  <c r="G1457" i="6" a="1"/>
  <c r="G1457" i="6" s="1"/>
  <c r="I1457" i="6"/>
  <c r="K1457" i="6" s="1"/>
  <c r="E1457" i="6"/>
  <c r="G1477" i="6" a="1"/>
  <c r="G1477" i="6" s="1"/>
  <c r="E1477" i="6"/>
  <c r="G1485" i="6" a="1"/>
  <c r="G1485" i="6" s="1"/>
  <c r="E1485" i="6"/>
  <c r="G1494" i="6" a="1"/>
  <c r="G1494" i="6" s="1"/>
  <c r="E1494" i="6"/>
  <c r="G1511" i="6" a="1"/>
  <c r="G1511" i="6" s="1"/>
  <c r="E1511" i="6"/>
  <c r="G1514" i="6" a="1"/>
  <c r="G1514" i="6" s="1"/>
  <c r="E1514" i="6"/>
  <c r="E1520" i="6"/>
  <c r="G1520" i="6" a="1"/>
  <c r="G1520" i="6" s="1"/>
  <c r="I1524" i="6"/>
  <c r="K1524" i="6" s="1"/>
  <c r="G1530" i="6" a="1"/>
  <c r="G1530" i="6" s="1"/>
  <c r="E1530" i="6"/>
  <c r="G1539" i="6" a="1"/>
  <c r="G1539" i="6" s="1"/>
  <c r="E1539" i="6"/>
  <c r="E1561" i="6"/>
  <c r="G1532" i="6" a="1"/>
  <c r="G1532" i="6" s="1"/>
  <c r="E951" i="6"/>
  <c r="E1490" i="6"/>
  <c r="E1480" i="6"/>
  <c r="E1470" i="6"/>
  <c r="G1548" i="6" a="1"/>
  <c r="G1548" i="6" s="1"/>
  <c r="G1555" i="6" a="1"/>
  <c r="G1555" i="6" s="1"/>
  <c r="E1555" i="6"/>
  <c r="G1563" i="6" a="1"/>
  <c r="G1563" i="6" s="1"/>
  <c r="E1563" i="6"/>
  <c r="E1559" i="6"/>
  <c r="E1541" i="6"/>
  <c r="E1444" i="6"/>
  <c r="E1452" i="6"/>
  <c r="E1460" i="6"/>
  <c r="E1476" i="6"/>
  <c r="E1484" i="6"/>
  <c r="E1508" i="6"/>
  <c r="E1516" i="6"/>
  <c r="E1558" i="6"/>
  <c r="E1549" i="6"/>
  <c r="E1540" i="6"/>
  <c r="E1557" i="6"/>
  <c r="G1476" i="6" a="1"/>
  <c r="G1476" i="6" s="1"/>
  <c r="G1452" i="6" a="1"/>
  <c r="G1452" i="6" s="1"/>
  <c r="E1556" i="6"/>
  <c r="G1500" i="6" a="1"/>
  <c r="G1500" i="6" s="1"/>
  <c r="W60" i="7"/>
  <c r="W5" i="7"/>
  <c r="G1697" i="6"/>
  <c r="G1696" i="6"/>
  <c r="G1695" i="6"/>
  <c r="G1694" i="6"/>
  <c r="G1693" i="6"/>
  <c r="G1692" i="6"/>
  <c r="G1691" i="6"/>
  <c r="G1687" i="6"/>
  <c r="G1686" i="6"/>
  <c r="G1685" i="6"/>
  <c r="G1684" i="6"/>
  <c r="G1683" i="6"/>
  <c r="G1682" i="6"/>
  <c r="I1681" i="6"/>
  <c r="G1681" i="6"/>
  <c r="B1681" i="6"/>
  <c r="G1680" i="6"/>
  <c r="B1680" i="6"/>
  <c r="I1679" i="6"/>
  <c r="G1679" i="6"/>
  <c r="B1679" i="6"/>
  <c r="G1678" i="6"/>
  <c r="B1678" i="6"/>
  <c r="I1677" i="6"/>
  <c r="G1677" i="6"/>
  <c r="B1677" i="6"/>
  <c r="G1676" i="6"/>
  <c r="B1676" i="6"/>
  <c r="I1675" i="6"/>
  <c r="G1675" i="6"/>
  <c r="B1675" i="6"/>
  <c r="G1674" i="6"/>
  <c r="B1674" i="6"/>
  <c r="I1673" i="6"/>
  <c r="G1673" i="6"/>
  <c r="B1673" i="6"/>
  <c r="G1672" i="6"/>
  <c r="B1672" i="6"/>
  <c r="I1671" i="6"/>
  <c r="G1671" i="6"/>
  <c r="B1671" i="6"/>
  <c r="G1670" i="6"/>
  <c r="B1670" i="6"/>
  <c r="I1669" i="6"/>
  <c r="G1669" i="6"/>
  <c r="B1669" i="6"/>
  <c r="G1668" i="6"/>
  <c r="B1668" i="6"/>
  <c r="I1667" i="6"/>
  <c r="G1667" i="6"/>
  <c r="B1667" i="6"/>
  <c r="G1666" i="6"/>
  <c r="B1666" i="6"/>
  <c r="I1665" i="6"/>
  <c r="G1665" i="6"/>
  <c r="B1665" i="6"/>
  <c r="G1664" i="6"/>
  <c r="B1664" i="6"/>
  <c r="I1663" i="6"/>
  <c r="G1663" i="6"/>
  <c r="B1663" i="6"/>
  <c r="G1662" i="6"/>
  <c r="B1662" i="6"/>
  <c r="I1661" i="6"/>
  <c r="G1661" i="6"/>
  <c r="B1661" i="6"/>
  <c r="G1660" i="6"/>
  <c r="B1660" i="6"/>
  <c r="I1659" i="6"/>
  <c r="G1659" i="6"/>
  <c r="B1659" i="6"/>
  <c r="G1658" i="6"/>
  <c r="B1658" i="6"/>
  <c r="I1657" i="6"/>
  <c r="G1657" i="6"/>
  <c r="B1657" i="6"/>
  <c r="G1656" i="6"/>
  <c r="B1656" i="6"/>
  <c r="I1655" i="6"/>
  <c r="G1655" i="6"/>
  <c r="B1655" i="6"/>
  <c r="G1654" i="6"/>
  <c r="B1654" i="6"/>
  <c r="I1653" i="6"/>
  <c r="G1653" i="6"/>
  <c r="B1653" i="6"/>
  <c r="G1652" i="6"/>
  <c r="B1652" i="6"/>
  <c r="I1651" i="6"/>
  <c r="G1651" i="6"/>
  <c r="B1651" i="6"/>
  <c r="G1650" i="6"/>
  <c r="B1650" i="6"/>
  <c r="I1649" i="6"/>
  <c r="G1649" i="6"/>
  <c r="B1649" i="6"/>
  <c r="G1648" i="6"/>
  <c r="B1648" i="6"/>
  <c r="I1647" i="6"/>
  <c r="G1647" i="6"/>
  <c r="B1647" i="6"/>
  <c r="G1646" i="6"/>
  <c r="B1646" i="6"/>
  <c r="I1645" i="6"/>
  <c r="G1645" i="6"/>
  <c r="B1645" i="6"/>
  <c r="G1644" i="6"/>
  <c r="B1644" i="6"/>
  <c r="I1643" i="6"/>
  <c r="G1643" i="6"/>
  <c r="B1643" i="6"/>
  <c r="G1642" i="6"/>
  <c r="B1642" i="6"/>
  <c r="I1641" i="6"/>
  <c r="G1641" i="6"/>
  <c r="B1641" i="6"/>
  <c r="G1640" i="6"/>
  <c r="B1640" i="6"/>
  <c r="I1639" i="6"/>
  <c r="G1639" i="6"/>
  <c r="B1639" i="6"/>
  <c r="G1638" i="6"/>
  <c r="B1638" i="6"/>
  <c r="I1637" i="6"/>
  <c r="G1637" i="6"/>
  <c r="B1637" i="6"/>
  <c r="G1636" i="6"/>
  <c r="B1636" i="6"/>
  <c r="I1635" i="6"/>
  <c r="G1635" i="6"/>
  <c r="B1635" i="6"/>
  <c r="G1634" i="6"/>
  <c r="B1634" i="6"/>
  <c r="I1633" i="6"/>
  <c r="G1633" i="6"/>
  <c r="B1633" i="6"/>
  <c r="G1632" i="6"/>
  <c r="B1632" i="6"/>
  <c r="I1631" i="6"/>
  <c r="G1631" i="6"/>
  <c r="B1631" i="6"/>
  <c r="G1630" i="6"/>
  <c r="B1630" i="6"/>
  <c r="I1629" i="6"/>
  <c r="G1629" i="6"/>
  <c r="B1629" i="6"/>
  <c r="G1628" i="6"/>
  <c r="B1628" i="6"/>
  <c r="I1627" i="6"/>
  <c r="G1627" i="6"/>
  <c r="B1627" i="6"/>
  <c r="G1626" i="6"/>
  <c r="B1626" i="6"/>
  <c r="I1625" i="6"/>
  <c r="G1625" i="6"/>
  <c r="B1625" i="6"/>
  <c r="G1624" i="6"/>
  <c r="B1624" i="6"/>
  <c r="I1623" i="6"/>
  <c r="G1623" i="6"/>
  <c r="B1623" i="6"/>
  <c r="G1622" i="6"/>
  <c r="B1622" i="6"/>
  <c r="I1621" i="6"/>
  <c r="G1621" i="6"/>
  <c r="B1621" i="6"/>
  <c r="G1620" i="6"/>
  <c r="B1620" i="6"/>
  <c r="I1619" i="6"/>
  <c r="G1619" i="6"/>
  <c r="B1619" i="6"/>
  <c r="G1618" i="6"/>
  <c r="B1618" i="6"/>
  <c r="I1617" i="6"/>
  <c r="G1617" i="6"/>
  <c r="B1617" i="6"/>
  <c r="G1616" i="6"/>
  <c r="B1616" i="6"/>
  <c r="I1615" i="6"/>
  <c r="G1615" i="6"/>
  <c r="B1615" i="6"/>
  <c r="G1614" i="6"/>
  <c r="B1614" i="6"/>
  <c r="I1613" i="6"/>
  <c r="G1613" i="6"/>
  <c r="B1613" i="6"/>
  <c r="G1612" i="6"/>
  <c r="B1612" i="6"/>
  <c r="I1611" i="6"/>
  <c r="G1611" i="6"/>
  <c r="B1611" i="6"/>
  <c r="G1610" i="6"/>
  <c r="B1610" i="6"/>
  <c r="I1609" i="6"/>
  <c r="G1609" i="6"/>
  <c r="B1609" i="6"/>
  <c r="G1608" i="6"/>
  <c r="B1608" i="6"/>
  <c r="I1607" i="6"/>
  <c r="G1607" i="6"/>
  <c r="B1607" i="6"/>
  <c r="G1606" i="6"/>
  <c r="B1606" i="6"/>
  <c r="I1605" i="6"/>
  <c r="G1605" i="6"/>
  <c r="B1605" i="6"/>
  <c r="G1604" i="6"/>
  <c r="B1604" i="6"/>
  <c r="I1603" i="6"/>
  <c r="G1603" i="6"/>
  <c r="B1603" i="6"/>
  <c r="G1602" i="6"/>
  <c r="B1602" i="6"/>
  <c r="I1601" i="6"/>
  <c r="G1601" i="6"/>
  <c r="B1601" i="6"/>
  <c r="G1600" i="6"/>
  <c r="B1600" i="6"/>
  <c r="I1599" i="6"/>
  <c r="G1599" i="6"/>
  <c r="B1599" i="6"/>
  <c r="G1598" i="6"/>
  <c r="B1598" i="6"/>
  <c r="I1597" i="6"/>
  <c r="G1597" i="6"/>
  <c r="B1597" i="6"/>
  <c r="G1596" i="6"/>
  <c r="B1596" i="6"/>
  <c r="I1595" i="6"/>
  <c r="G1595" i="6"/>
  <c r="B1595" i="6"/>
  <c r="G1594" i="6"/>
  <c r="B1594" i="6"/>
  <c r="I1593" i="6"/>
  <c r="G1593" i="6"/>
  <c r="B1593" i="6"/>
  <c r="G1592" i="6"/>
  <c r="B1592" i="6"/>
  <c r="G1589" i="6"/>
  <c r="G1588" i="6"/>
  <c r="G1587" i="6"/>
  <c r="G1586" i="6"/>
  <c r="G1585" i="6"/>
  <c r="G1584" i="6"/>
  <c r="G1583" i="6"/>
  <c r="G1582" i="6"/>
  <c r="G1581" i="6"/>
  <c r="G1580" i="6"/>
  <c r="G1579" i="6"/>
  <c r="G1578" i="6"/>
  <c r="G1576" i="6"/>
  <c r="G1575" i="6"/>
  <c r="G1573" i="6"/>
  <c r="G1569" i="6"/>
  <c r="G1566" i="6"/>
  <c r="P60" i="7"/>
  <c r="P5" i="7"/>
  <c r="I547" i="6"/>
  <c r="K556" i="6" s="1"/>
  <c r="I537" i="6"/>
  <c r="I540" i="6" s="1"/>
  <c r="I527" i="6"/>
  <c r="I532" i="6" s="1"/>
  <c r="I517" i="6"/>
  <c r="K524" i="6" s="1"/>
  <c r="I507" i="6"/>
  <c r="K516" i="6" s="1"/>
  <c r="I497" i="6"/>
  <c r="I500" i="6" s="1"/>
  <c r="I487" i="6"/>
  <c r="I492" i="6" s="1"/>
  <c r="I477" i="6"/>
  <c r="K484" i="6" s="1"/>
  <c r="I467" i="6"/>
  <c r="K476" i="6" s="1"/>
  <c r="I457" i="6"/>
  <c r="I460" i="6" s="1"/>
  <c r="I447" i="6"/>
  <c r="I452" i="6" s="1"/>
  <c r="I437" i="6"/>
  <c r="K444" i="6" s="1"/>
  <c r="I427" i="6"/>
  <c r="K436" i="6" s="1"/>
  <c r="I417" i="6"/>
  <c r="I420" i="6" s="1"/>
  <c r="I407" i="6"/>
  <c r="I412" i="6" s="1"/>
  <c r="I397" i="6"/>
  <c r="K404" i="6" s="1"/>
  <c r="I387" i="6"/>
  <c r="K396" i="6" s="1"/>
  <c r="I377" i="6"/>
  <c r="I380" i="6" s="1"/>
  <c r="I367" i="6"/>
  <c r="I372" i="6" s="1"/>
  <c r="I357" i="6"/>
  <c r="K364" i="6" s="1"/>
  <c r="I347" i="6"/>
  <c r="K356" i="6" s="1"/>
  <c r="I337" i="6"/>
  <c r="I340" i="6" s="1"/>
  <c r="I327" i="6"/>
  <c r="I332" i="6" s="1"/>
  <c r="I317" i="6"/>
  <c r="K324" i="6" s="1"/>
  <c r="I307" i="6"/>
  <c r="K316" i="6" s="1"/>
  <c r="I297" i="6"/>
  <c r="I300" i="6" s="1"/>
  <c r="I287" i="6"/>
  <c r="I292" i="6" s="1"/>
  <c r="I277" i="6"/>
  <c r="K284" i="6" s="1"/>
  <c r="I267" i="6"/>
  <c r="K276" i="6" s="1"/>
  <c r="I257" i="6"/>
  <c r="I260" i="6" s="1"/>
  <c r="I247" i="6"/>
  <c r="I252" i="6" s="1"/>
  <c r="I237" i="6"/>
  <c r="K244" i="6" s="1"/>
  <c r="I227" i="6"/>
  <c r="K236" i="6" s="1"/>
  <c r="I221" i="6"/>
  <c r="I217" i="6"/>
  <c r="I220" i="6" s="1"/>
  <c r="I207" i="6"/>
  <c r="I212" i="6" s="1"/>
  <c r="I197" i="6"/>
  <c r="K204" i="6" s="1"/>
  <c r="I187" i="6"/>
  <c r="K196" i="6" s="1"/>
  <c r="I177" i="6"/>
  <c r="I180" i="6" s="1"/>
  <c r="I167" i="6"/>
  <c r="I172" i="6" s="1"/>
  <c r="I157" i="6"/>
  <c r="K164" i="6" s="1"/>
  <c r="I147" i="6"/>
  <c r="K156" i="6" s="1"/>
  <c r="I137" i="6"/>
  <c r="I140" i="6" s="1"/>
  <c r="I127" i="6"/>
  <c r="I132" i="6" s="1"/>
  <c r="I117" i="6"/>
  <c r="K124" i="6" s="1"/>
  <c r="I107" i="6"/>
  <c r="K116" i="6" s="1"/>
  <c r="I1081" i="5"/>
  <c r="I1080" i="5"/>
  <c r="I1079" i="5"/>
  <c r="I1078" i="5"/>
  <c r="I1070" i="5"/>
  <c r="I1069" i="5"/>
  <c r="I1068" i="5"/>
  <c r="I1067" i="5"/>
  <c r="I1059" i="5"/>
  <c r="I1058" i="5"/>
  <c r="I1057" i="5"/>
  <c r="I1056" i="5"/>
  <c r="I1048" i="5"/>
  <c r="I1047" i="5"/>
  <c r="I1046" i="5"/>
  <c r="I1045" i="5"/>
  <c r="I1037" i="5"/>
  <c r="I1036" i="5"/>
  <c r="I1035" i="5"/>
  <c r="I1034" i="5"/>
  <c r="I1026" i="5"/>
  <c r="I1025" i="5"/>
  <c r="I1024" i="5"/>
  <c r="I1023" i="5"/>
  <c r="I1015" i="5"/>
  <c r="I1014" i="5"/>
  <c r="I1013" i="5"/>
  <c r="I1012" i="5"/>
  <c r="I1004" i="5"/>
  <c r="I1003" i="5"/>
  <c r="I1002" i="5"/>
  <c r="I1001" i="5"/>
  <c r="I993" i="5"/>
  <c r="I992" i="5"/>
  <c r="I991" i="5"/>
  <c r="I990" i="5"/>
  <c r="I982" i="5"/>
  <c r="I981" i="5"/>
  <c r="I980" i="5"/>
  <c r="I979" i="5"/>
  <c r="I971" i="5"/>
  <c r="I970" i="5"/>
  <c r="I969" i="5"/>
  <c r="I968" i="5"/>
  <c r="I960" i="5"/>
  <c r="I959" i="5"/>
  <c r="I958" i="5"/>
  <c r="I957" i="5"/>
  <c r="I949" i="5"/>
  <c r="I948" i="5"/>
  <c r="I947" i="5"/>
  <c r="I946" i="5"/>
  <c r="I938" i="5"/>
  <c r="I937" i="5"/>
  <c r="I936" i="5"/>
  <c r="I935" i="5"/>
  <c r="I927" i="5"/>
  <c r="I926" i="5"/>
  <c r="I925" i="5"/>
  <c r="I924" i="5"/>
  <c r="I916" i="5"/>
  <c r="I915" i="5"/>
  <c r="I914" i="5"/>
  <c r="I913" i="5"/>
  <c r="I905" i="5"/>
  <c r="I904" i="5"/>
  <c r="I903" i="5"/>
  <c r="I902" i="5"/>
  <c r="I894" i="5"/>
  <c r="I893" i="5"/>
  <c r="I892" i="5"/>
  <c r="I891" i="5"/>
  <c r="I883" i="5"/>
  <c r="I882" i="5"/>
  <c r="I881" i="5"/>
  <c r="I880" i="5"/>
  <c r="I872" i="5"/>
  <c r="I871" i="5"/>
  <c r="I870" i="5"/>
  <c r="I869" i="5"/>
  <c r="I861" i="5"/>
  <c r="I860" i="5"/>
  <c r="I859" i="5"/>
  <c r="I858" i="5"/>
  <c r="I850" i="5"/>
  <c r="I849" i="5"/>
  <c r="I848" i="5"/>
  <c r="I847" i="5"/>
  <c r="I839" i="5"/>
  <c r="I838" i="5"/>
  <c r="I837" i="5"/>
  <c r="I836" i="5"/>
  <c r="I828" i="5"/>
  <c r="I827" i="5"/>
  <c r="I826" i="5"/>
  <c r="I825" i="5"/>
  <c r="I817" i="5"/>
  <c r="I816" i="5"/>
  <c r="I815" i="5"/>
  <c r="I814" i="5"/>
  <c r="I806" i="5"/>
  <c r="I805" i="5"/>
  <c r="I804" i="5"/>
  <c r="I803" i="5"/>
  <c r="I795" i="5"/>
  <c r="I794" i="5"/>
  <c r="I793" i="5"/>
  <c r="I792" i="5"/>
  <c r="I784" i="5"/>
  <c r="I783" i="5"/>
  <c r="I782" i="5"/>
  <c r="I781" i="5"/>
  <c r="I773" i="5"/>
  <c r="I772" i="5"/>
  <c r="I771" i="5"/>
  <c r="I770" i="5"/>
  <c r="I762" i="5"/>
  <c r="I761" i="5"/>
  <c r="I760" i="5"/>
  <c r="I759" i="5"/>
  <c r="I751" i="5"/>
  <c r="I750" i="5"/>
  <c r="I749" i="5"/>
  <c r="I748" i="5"/>
  <c r="I740" i="5"/>
  <c r="I739" i="5"/>
  <c r="I738" i="5"/>
  <c r="I737" i="5"/>
  <c r="I729" i="5"/>
  <c r="I728" i="5"/>
  <c r="I727" i="5"/>
  <c r="I726" i="5"/>
  <c r="I718" i="5"/>
  <c r="I717" i="5"/>
  <c r="I716" i="5"/>
  <c r="I715" i="5"/>
  <c r="I707" i="5"/>
  <c r="I706" i="5"/>
  <c r="I705" i="5"/>
  <c r="I704" i="5"/>
  <c r="I696" i="5"/>
  <c r="I695" i="5"/>
  <c r="I694" i="5"/>
  <c r="I693" i="5"/>
  <c r="I685" i="5"/>
  <c r="I684" i="5"/>
  <c r="I683" i="5"/>
  <c r="I682" i="5"/>
  <c r="I674" i="5"/>
  <c r="I673" i="5"/>
  <c r="I672" i="5"/>
  <c r="I671" i="5"/>
  <c r="I663" i="5"/>
  <c r="I662" i="5"/>
  <c r="I661" i="5"/>
  <c r="I660" i="5"/>
  <c r="I652" i="5"/>
  <c r="I651" i="5"/>
  <c r="I650" i="5"/>
  <c r="I649" i="5"/>
  <c r="I641" i="5"/>
  <c r="I640" i="5"/>
  <c r="I639" i="5"/>
  <c r="I638" i="5"/>
  <c r="I630" i="5"/>
  <c r="I629" i="5"/>
  <c r="I628" i="5"/>
  <c r="I627" i="5"/>
  <c r="I619" i="5"/>
  <c r="I618" i="5"/>
  <c r="I617" i="5"/>
  <c r="I616" i="5"/>
  <c r="I608" i="5"/>
  <c r="I607" i="5"/>
  <c r="I606" i="5"/>
  <c r="I605" i="5"/>
  <c r="I597" i="5"/>
  <c r="I596" i="5"/>
  <c r="I595" i="5"/>
  <c r="I594" i="5"/>
  <c r="I586" i="5"/>
  <c r="I585" i="5"/>
  <c r="I584" i="5"/>
  <c r="I583" i="5"/>
  <c r="I575" i="5"/>
  <c r="I574" i="5"/>
  <c r="I573" i="5"/>
  <c r="I572" i="5"/>
  <c r="I564" i="5"/>
  <c r="I563" i="5"/>
  <c r="I562" i="5"/>
  <c r="I561" i="5"/>
  <c r="I553" i="5"/>
  <c r="I552" i="5"/>
  <c r="I551" i="5"/>
  <c r="I550" i="5"/>
  <c r="I542" i="5"/>
  <c r="I541" i="5"/>
  <c r="I540" i="5"/>
  <c r="I539" i="5"/>
  <c r="I531" i="5"/>
  <c r="I530" i="5"/>
  <c r="I529" i="5"/>
  <c r="I528" i="5"/>
  <c r="I520" i="5"/>
  <c r="I519" i="5"/>
  <c r="I518" i="5"/>
  <c r="I517" i="5"/>
  <c r="I509" i="5"/>
  <c r="I508" i="5"/>
  <c r="I507" i="5"/>
  <c r="I506" i="5"/>
  <c r="I498" i="5"/>
  <c r="I497" i="5"/>
  <c r="I496" i="5"/>
  <c r="I495" i="5"/>
  <c r="I487" i="5"/>
  <c r="I486" i="5"/>
  <c r="I485" i="5"/>
  <c r="I484" i="5"/>
  <c r="I476" i="5"/>
  <c r="I475" i="5"/>
  <c r="I474" i="5"/>
  <c r="I473" i="5"/>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AA9" i="7"/>
  <c r="AA9" i="7" a="1"/>
  <c r="Z9" i="7" a="1"/>
  <c r="Z9" i="7" s="1"/>
  <c r="Y9" i="7" a="1"/>
  <c r="Y9" i="7" s="1"/>
  <c r="X9" i="7" a="1"/>
  <c r="X9" i="7" s="1"/>
  <c r="T9" i="7"/>
  <c r="T9" i="7" a="1"/>
  <c r="S9" i="7" a="1"/>
  <c r="S9" i="7" s="1"/>
  <c r="R9" i="7" a="1"/>
  <c r="R9" i="7" s="1"/>
  <c r="Q9" i="7" a="1"/>
  <c r="Q9" i="7" s="1"/>
  <c r="M9" i="7"/>
  <c r="M9" i="7" a="1"/>
  <c r="L9" i="7" a="1"/>
  <c r="L9" i="7" s="1"/>
  <c r="K9" i="7" a="1"/>
  <c r="K9" i="7" s="1"/>
  <c r="J9" i="7" a="1"/>
  <c r="J9" i="7" s="1"/>
  <c r="C9" i="7"/>
  <c r="C1614" i="6"/>
  <c r="E1614" i="6" s="1"/>
  <c r="O1616" i="6"/>
  <c r="C1616" i="6" s="1"/>
  <c r="E1616" i="6" s="1"/>
  <c r="O1615" i="6"/>
  <c r="C1615" i="6" s="1"/>
  <c r="E1615" i="6" s="1"/>
  <c r="O1765" i="5"/>
  <c r="O1613" i="6"/>
  <c r="E1613" i="6"/>
  <c r="O1612" i="6"/>
  <c r="E1612" i="6"/>
  <c r="I129" i="6" l="1"/>
  <c r="I229" i="6"/>
  <c r="I131" i="6"/>
  <c r="I381" i="6"/>
  <c r="I293" i="6"/>
  <c r="I133" i="6"/>
  <c r="I149" i="6"/>
  <c r="I219" i="6"/>
  <c r="I289" i="6"/>
  <c r="I389" i="6"/>
  <c r="I291" i="6"/>
  <c r="I309" i="6"/>
  <c r="I379" i="6"/>
  <c r="I493" i="6"/>
  <c r="I253" i="6"/>
  <c r="I413" i="6"/>
  <c r="I469" i="6"/>
  <c r="I501" i="6"/>
  <c r="I499" i="6"/>
  <c r="I489" i="6"/>
  <c r="K445" i="6"/>
  <c r="I491" i="6"/>
  <c r="I139" i="6"/>
  <c r="I173" i="6"/>
  <c r="I209" i="6"/>
  <c r="I299" i="6"/>
  <c r="I333" i="6"/>
  <c r="I369" i="6"/>
  <c r="I549" i="6"/>
  <c r="I109" i="6"/>
  <c r="I141" i="6"/>
  <c r="I211" i="6"/>
  <c r="I269" i="6"/>
  <c r="I301" i="6"/>
  <c r="I371" i="6"/>
  <c r="I429" i="6"/>
  <c r="I459" i="6"/>
  <c r="I529" i="6"/>
  <c r="I171" i="6"/>
  <c r="I261" i="6"/>
  <c r="I331" i="6"/>
  <c r="I421" i="6"/>
  <c r="I453" i="6"/>
  <c r="I179" i="6"/>
  <c r="I213" i="6"/>
  <c r="I249" i="6"/>
  <c r="I339" i="6"/>
  <c r="I373" i="6"/>
  <c r="I409" i="6"/>
  <c r="I461" i="6"/>
  <c r="I531" i="6"/>
  <c r="I181" i="6"/>
  <c r="I251" i="6"/>
  <c r="I341" i="6"/>
  <c r="I411" i="6"/>
  <c r="I533" i="6"/>
  <c r="I189" i="6"/>
  <c r="I349" i="6"/>
  <c r="I449" i="6"/>
  <c r="I539" i="6"/>
  <c r="I169" i="6"/>
  <c r="I259" i="6"/>
  <c r="I329" i="6"/>
  <c r="I419" i="6"/>
  <c r="I451" i="6"/>
  <c r="I509" i="6"/>
  <c r="I541" i="6"/>
  <c r="K205" i="6"/>
  <c r="I110" i="6"/>
  <c r="K126" i="6"/>
  <c r="K134" i="6"/>
  <c r="I142" i="6"/>
  <c r="I150" i="6"/>
  <c r="K166" i="6"/>
  <c r="K174" i="6"/>
  <c r="I182" i="6"/>
  <c r="I190" i="6"/>
  <c r="K206" i="6"/>
  <c r="K214" i="6"/>
  <c r="I222" i="6"/>
  <c r="I230" i="6"/>
  <c r="K246" i="6"/>
  <c r="K254" i="6"/>
  <c r="I262" i="6"/>
  <c r="I270" i="6"/>
  <c r="K286" i="6"/>
  <c r="K294" i="6"/>
  <c r="I302" i="6"/>
  <c r="I310" i="6"/>
  <c r="K326" i="6"/>
  <c r="K334" i="6"/>
  <c r="I342" i="6"/>
  <c r="I350" i="6"/>
  <c r="K366" i="6"/>
  <c r="K374" i="6"/>
  <c r="I382" i="6"/>
  <c r="I390" i="6"/>
  <c r="K406" i="6"/>
  <c r="K414" i="6"/>
  <c r="I422" i="6"/>
  <c r="I430" i="6"/>
  <c r="K446" i="6"/>
  <c r="K454" i="6"/>
  <c r="I462" i="6"/>
  <c r="I470" i="6"/>
  <c r="K486" i="6"/>
  <c r="K494" i="6"/>
  <c r="I502" i="6"/>
  <c r="I510" i="6"/>
  <c r="K526" i="6"/>
  <c r="K534" i="6"/>
  <c r="I542" i="6"/>
  <c r="I550" i="6"/>
  <c r="K405" i="6"/>
  <c r="K485" i="6"/>
  <c r="K525" i="6"/>
  <c r="I111" i="6"/>
  <c r="I119" i="6"/>
  <c r="K135" i="6"/>
  <c r="I143" i="6"/>
  <c r="I151" i="6"/>
  <c r="I159" i="6"/>
  <c r="K175" i="6"/>
  <c r="I183" i="6"/>
  <c r="I191" i="6"/>
  <c r="I199" i="6"/>
  <c r="K215" i="6"/>
  <c r="I223" i="6"/>
  <c r="I231" i="6"/>
  <c r="I239" i="6"/>
  <c r="K255" i="6"/>
  <c r="I263" i="6"/>
  <c r="I271" i="6"/>
  <c r="I279" i="6"/>
  <c r="K295" i="6"/>
  <c r="I303" i="6"/>
  <c r="I311" i="6"/>
  <c r="I319" i="6"/>
  <c r="K335" i="6"/>
  <c r="I343" i="6"/>
  <c r="I351" i="6"/>
  <c r="I359" i="6"/>
  <c r="K375" i="6"/>
  <c r="I383" i="6"/>
  <c r="I391" i="6"/>
  <c r="I399" i="6"/>
  <c r="K415" i="6"/>
  <c r="I423" i="6"/>
  <c r="I431" i="6"/>
  <c r="I439" i="6"/>
  <c r="K455" i="6"/>
  <c r="I463" i="6"/>
  <c r="I471" i="6"/>
  <c r="I479" i="6"/>
  <c r="K495" i="6"/>
  <c r="I503" i="6"/>
  <c r="I511" i="6"/>
  <c r="I519" i="6"/>
  <c r="K535" i="6"/>
  <c r="I543" i="6"/>
  <c r="I551" i="6"/>
  <c r="K165" i="6"/>
  <c r="K245" i="6"/>
  <c r="I112" i="6"/>
  <c r="I120" i="6"/>
  <c r="K136" i="6"/>
  <c r="K144" i="6"/>
  <c r="I152" i="6"/>
  <c r="I160" i="6"/>
  <c r="K176" i="6"/>
  <c r="K184" i="6"/>
  <c r="I192" i="6"/>
  <c r="I200" i="6"/>
  <c r="K216" i="6"/>
  <c r="K224" i="6"/>
  <c r="I232" i="6"/>
  <c r="I240" i="6"/>
  <c r="K256" i="6"/>
  <c r="K264" i="6"/>
  <c r="I272" i="6"/>
  <c r="I280" i="6"/>
  <c r="K296" i="6"/>
  <c r="K304" i="6"/>
  <c r="I312" i="6"/>
  <c r="I320" i="6"/>
  <c r="K336" i="6"/>
  <c r="K344" i="6"/>
  <c r="I352" i="6"/>
  <c r="I360" i="6"/>
  <c r="K376" i="6"/>
  <c r="K384" i="6"/>
  <c r="I392" i="6"/>
  <c r="I400" i="6"/>
  <c r="K416" i="6"/>
  <c r="K424" i="6"/>
  <c r="I432" i="6"/>
  <c r="I440" i="6"/>
  <c r="K456" i="6"/>
  <c r="K464" i="6"/>
  <c r="I472" i="6"/>
  <c r="I480" i="6"/>
  <c r="K496" i="6"/>
  <c r="K504" i="6"/>
  <c r="I512" i="6"/>
  <c r="I520" i="6"/>
  <c r="K536" i="6"/>
  <c r="K544" i="6"/>
  <c r="I552" i="6"/>
  <c r="I113" i="6"/>
  <c r="I121" i="6"/>
  <c r="K145" i="6"/>
  <c r="I153" i="6"/>
  <c r="I161" i="6"/>
  <c r="K185" i="6"/>
  <c r="I193" i="6"/>
  <c r="I201" i="6"/>
  <c r="K225" i="6"/>
  <c r="I233" i="6"/>
  <c r="I241" i="6"/>
  <c r="K265" i="6"/>
  <c r="I273" i="6"/>
  <c r="I281" i="6"/>
  <c r="K305" i="6"/>
  <c r="I313" i="6"/>
  <c r="I321" i="6"/>
  <c r="K345" i="6"/>
  <c r="I353" i="6"/>
  <c r="I361" i="6"/>
  <c r="K385" i="6"/>
  <c r="I393" i="6"/>
  <c r="I401" i="6"/>
  <c r="K425" i="6"/>
  <c r="I433" i="6"/>
  <c r="I441" i="6"/>
  <c r="K465" i="6"/>
  <c r="I473" i="6"/>
  <c r="I481" i="6"/>
  <c r="K505" i="6"/>
  <c r="I513" i="6"/>
  <c r="I521" i="6"/>
  <c r="K545" i="6"/>
  <c r="I553" i="6"/>
  <c r="K325" i="6"/>
  <c r="K365" i="6"/>
  <c r="K114" i="6"/>
  <c r="I122" i="6"/>
  <c r="I130" i="6"/>
  <c r="K146" i="6"/>
  <c r="K154" i="6"/>
  <c r="I162" i="6"/>
  <c r="I170" i="6"/>
  <c r="K186" i="6"/>
  <c r="K194" i="6"/>
  <c r="I202" i="6"/>
  <c r="I210" i="6"/>
  <c r="K226" i="6"/>
  <c r="K234" i="6"/>
  <c r="I242" i="6"/>
  <c r="I250" i="6"/>
  <c r="K266" i="6"/>
  <c r="K274" i="6"/>
  <c r="I282" i="6"/>
  <c r="I290" i="6"/>
  <c r="K306" i="6"/>
  <c r="K314" i="6"/>
  <c r="I322" i="6"/>
  <c r="I330" i="6"/>
  <c r="K346" i="6"/>
  <c r="K354" i="6"/>
  <c r="I362" i="6"/>
  <c r="I370" i="6"/>
  <c r="K386" i="6"/>
  <c r="K394" i="6"/>
  <c r="I402" i="6"/>
  <c r="I410" i="6"/>
  <c r="K426" i="6"/>
  <c r="K434" i="6"/>
  <c r="I442" i="6"/>
  <c r="I450" i="6"/>
  <c r="K466" i="6"/>
  <c r="K474" i="6"/>
  <c r="I482" i="6"/>
  <c r="I490" i="6"/>
  <c r="K506" i="6"/>
  <c r="K514" i="6"/>
  <c r="I522" i="6"/>
  <c r="I530" i="6"/>
  <c r="K546" i="6"/>
  <c r="K554" i="6"/>
  <c r="K285" i="6"/>
  <c r="K115" i="6"/>
  <c r="I123" i="6"/>
  <c r="K155" i="6"/>
  <c r="I163" i="6"/>
  <c r="K195" i="6"/>
  <c r="I203" i="6"/>
  <c r="K235" i="6"/>
  <c r="I243" i="6"/>
  <c r="K275" i="6"/>
  <c r="I283" i="6"/>
  <c r="K315" i="6"/>
  <c r="I323" i="6"/>
  <c r="K355" i="6"/>
  <c r="I363" i="6"/>
  <c r="K395" i="6"/>
  <c r="I403" i="6"/>
  <c r="K435" i="6"/>
  <c r="I443" i="6"/>
  <c r="K475" i="6"/>
  <c r="I483" i="6"/>
  <c r="K515" i="6"/>
  <c r="I523" i="6"/>
  <c r="K555" i="6"/>
  <c r="K125" i="6"/>
  <c r="O1617" i="6"/>
  <c r="C1617" i="6" s="1"/>
  <c r="E1617" i="6" s="1"/>
  <c r="O1618" i="6"/>
  <c r="O1620" i="6" l="1"/>
  <c r="O1619" i="6"/>
  <c r="C1619" i="6" s="1"/>
  <c r="E1619" i="6" s="1"/>
  <c r="C1618" i="6"/>
  <c r="E1618" i="6" s="1"/>
  <c r="O1621" i="6" l="1"/>
  <c r="C1621" i="6" s="1"/>
  <c r="E1621" i="6" s="1"/>
  <c r="O1622" i="6"/>
  <c r="C1620" i="6"/>
  <c r="E1620" i="6" s="1"/>
  <c r="O1623" i="6" l="1"/>
  <c r="C1623" i="6" s="1"/>
  <c r="E1623" i="6" s="1"/>
  <c r="O1624" i="6"/>
  <c r="C1622" i="6"/>
  <c r="E1622" i="6" s="1"/>
  <c r="C1624" i="6" l="1"/>
  <c r="E1624" i="6" s="1"/>
  <c r="O1625" i="6"/>
  <c r="C1625" i="6" s="1"/>
  <c r="E1625" i="6" s="1"/>
  <c r="O1626" i="6"/>
  <c r="C1626" i="6" l="1"/>
  <c r="E1626" i="6" s="1"/>
  <c r="O1627" i="6"/>
  <c r="C1627" i="6" s="1"/>
  <c r="E1627" i="6" s="1"/>
  <c r="O1628" i="6"/>
  <c r="O1629" i="6" l="1"/>
  <c r="C1629" i="6" s="1"/>
  <c r="E1629" i="6" s="1"/>
  <c r="O1630" i="6"/>
  <c r="C1628" i="6"/>
  <c r="E1628" i="6" s="1"/>
  <c r="C1630" i="6" l="1"/>
  <c r="E1630" i="6" s="1"/>
  <c r="O1631" i="6"/>
  <c r="C1631" i="6" s="1"/>
  <c r="E1631" i="6" s="1"/>
  <c r="O1632" i="6"/>
  <c r="C1632" i="6" l="1"/>
  <c r="E1632" i="6" s="1"/>
  <c r="O1633" i="6"/>
  <c r="C1633" i="6" s="1"/>
  <c r="E1633" i="6" s="1"/>
  <c r="O1634" i="6"/>
  <c r="O1635" i="6" l="1"/>
  <c r="C1635" i="6" s="1"/>
  <c r="E1635" i="6" s="1"/>
  <c r="C1634" i="6"/>
  <c r="E1634" i="6" s="1"/>
  <c r="O1636" i="6"/>
  <c r="O1637" i="6" l="1"/>
  <c r="C1637" i="6" s="1"/>
  <c r="E1637" i="6" s="1"/>
  <c r="O1638" i="6"/>
  <c r="C1636" i="6"/>
  <c r="E1636" i="6" s="1"/>
  <c r="O1639" i="6" l="1"/>
  <c r="C1639" i="6" s="1"/>
  <c r="E1639" i="6" s="1"/>
  <c r="O1640" i="6"/>
  <c r="C1638" i="6"/>
  <c r="E1638" i="6" s="1"/>
  <c r="C1640" i="6" l="1"/>
  <c r="E1640" i="6" s="1"/>
  <c r="O1641" i="6"/>
  <c r="C1641" i="6" s="1"/>
  <c r="E1641" i="6" s="1"/>
  <c r="O1642" i="6"/>
  <c r="C1642" i="6" l="1"/>
  <c r="E1642" i="6" s="1"/>
  <c r="O1644" i="6"/>
  <c r="O1643" i="6"/>
  <c r="C1643" i="6" s="1"/>
  <c r="E1643" i="6" s="1"/>
  <c r="O1645" i="6" l="1"/>
  <c r="C1645" i="6" s="1"/>
  <c r="E1645" i="6" s="1"/>
  <c r="O1646" i="6"/>
  <c r="C1644" i="6"/>
  <c r="E1644" i="6" s="1"/>
  <c r="C1646" i="6" l="1"/>
  <c r="E1646" i="6" s="1"/>
  <c r="O1647" i="6"/>
  <c r="C1647" i="6" s="1"/>
  <c r="E1647" i="6" s="1"/>
  <c r="O1648" i="6"/>
  <c r="C1648" i="6" l="1"/>
  <c r="E1648" i="6" s="1"/>
  <c r="O1649" i="6"/>
  <c r="C1649" i="6" s="1"/>
  <c r="E1649" i="6" s="1"/>
  <c r="O1650" i="6"/>
  <c r="O1651" i="6" l="1"/>
  <c r="C1651" i="6" s="1"/>
  <c r="E1651" i="6" s="1"/>
  <c r="C1650" i="6"/>
  <c r="E1650" i="6" s="1"/>
  <c r="O1652" i="6"/>
  <c r="O1653" i="6" l="1"/>
  <c r="C1653" i="6" s="1"/>
  <c r="E1653" i="6" s="1"/>
  <c r="C1652" i="6"/>
  <c r="E1652" i="6" s="1"/>
  <c r="O1654" i="6"/>
  <c r="O1655" i="6" l="1"/>
  <c r="C1655" i="6" s="1"/>
  <c r="E1655" i="6" s="1"/>
  <c r="O1656" i="6"/>
  <c r="C1654" i="6"/>
  <c r="E1654" i="6" s="1"/>
  <c r="C1656" i="6" l="1"/>
  <c r="E1656" i="6" s="1"/>
  <c r="O1657" i="6"/>
  <c r="C1657" i="6" s="1"/>
  <c r="E1657" i="6" s="1"/>
  <c r="O1658" i="6"/>
  <c r="C1658" i="6" l="1"/>
  <c r="E1658" i="6" s="1"/>
  <c r="O1659" i="6"/>
  <c r="C1659" i="6" s="1"/>
  <c r="E1659" i="6" s="1"/>
  <c r="O1660" i="6"/>
  <c r="O1661" i="6" l="1"/>
  <c r="C1661" i="6" s="1"/>
  <c r="E1661" i="6" s="1"/>
  <c r="O1662" i="6"/>
  <c r="C1660" i="6"/>
  <c r="E1660" i="6" s="1"/>
  <c r="C1662" i="6" l="1"/>
  <c r="E1662" i="6" s="1"/>
  <c r="O1663" i="6"/>
  <c r="C1663" i="6" s="1"/>
  <c r="E1663" i="6" s="1"/>
  <c r="O1664" i="6"/>
  <c r="C1664" i="6" l="1"/>
  <c r="E1664" i="6" s="1"/>
  <c r="O1665" i="6"/>
  <c r="C1665" i="6" s="1"/>
  <c r="E1665" i="6" s="1"/>
  <c r="O1666" i="6"/>
  <c r="O1667" i="6" l="1"/>
  <c r="C1667" i="6" s="1"/>
  <c r="E1667" i="6" s="1"/>
  <c r="O1668" i="6"/>
  <c r="C1666" i="6"/>
  <c r="E1666" i="6" s="1"/>
  <c r="O1669" i="6" l="1"/>
  <c r="C1669" i="6" s="1"/>
  <c r="E1669" i="6" s="1"/>
  <c r="O1670" i="6"/>
  <c r="C1668" i="6"/>
  <c r="E1668" i="6" s="1"/>
  <c r="O1671" i="6" l="1"/>
  <c r="C1671" i="6" s="1"/>
  <c r="E1671" i="6" s="1"/>
  <c r="O1672" i="6"/>
  <c r="C1670" i="6"/>
  <c r="E1670" i="6" s="1"/>
  <c r="O1673" i="6" l="1"/>
  <c r="C1673" i="6" s="1"/>
  <c r="E1673" i="6" s="1"/>
  <c r="C1672" i="6"/>
  <c r="E1672" i="6" s="1"/>
  <c r="O1674" i="6"/>
  <c r="C1674" i="6" l="1"/>
  <c r="E1674" i="6" s="1"/>
  <c r="O1675" i="6"/>
  <c r="C1675" i="6" s="1"/>
  <c r="E1675" i="6" s="1"/>
  <c r="O1676" i="6"/>
  <c r="O1677" i="6" l="1"/>
  <c r="C1677" i="6" s="1"/>
  <c r="E1677" i="6" s="1"/>
  <c r="C1676" i="6"/>
  <c r="E1676" i="6" s="1"/>
  <c r="O1678" i="6"/>
  <c r="C1678" i="6" l="1"/>
  <c r="E1678" i="6" s="1"/>
  <c r="O1679" i="6"/>
  <c r="C1679" i="6" s="1"/>
  <c r="E1679" i="6" s="1"/>
  <c r="O1680" i="6"/>
  <c r="C1680" i="6" l="1"/>
  <c r="E1680" i="6" s="1"/>
  <c r="O1681" i="6"/>
  <c r="C1681" i="6" s="1"/>
  <c r="E1681" i="6" s="1"/>
  <c r="G2005" i="6" l="1"/>
  <c r="O1697" i="6"/>
  <c r="O1696" i="6"/>
  <c r="O1695" i="6"/>
  <c r="O1694" i="6"/>
  <c r="O1693" i="6"/>
  <c r="O1692" i="6"/>
  <c r="O1691" i="6"/>
  <c r="O1690" i="6"/>
  <c r="G1690" i="6"/>
  <c r="O1689" i="6"/>
  <c r="G1689" i="6"/>
  <c r="O1688" i="6"/>
  <c r="G1688" i="6"/>
  <c r="O1687" i="6"/>
  <c r="O1686" i="6"/>
  <c r="O1685" i="6"/>
  <c r="O1684" i="6"/>
  <c r="O1683" i="6"/>
  <c r="O1682" i="6"/>
  <c r="O1611" i="6"/>
  <c r="E1611" i="6"/>
  <c r="O1610" i="6"/>
  <c r="E1610" i="6"/>
  <c r="O1609" i="6"/>
  <c r="E1609" i="6"/>
  <c r="O1608" i="6"/>
  <c r="E1608" i="6"/>
  <c r="O1607" i="6"/>
  <c r="E1607" i="6"/>
  <c r="O1606" i="6"/>
  <c r="E1606" i="6"/>
  <c r="O1605" i="6"/>
  <c r="E1605" i="6"/>
  <c r="O1604" i="6"/>
  <c r="E1604" i="6"/>
  <c r="O1603" i="6"/>
  <c r="E1603" i="6"/>
  <c r="O1602" i="6"/>
  <c r="E1602" i="6"/>
  <c r="O1601" i="6"/>
  <c r="E1601" i="6"/>
  <c r="O1600" i="6"/>
  <c r="E1600" i="6"/>
  <c r="O1599" i="6"/>
  <c r="E1599" i="6"/>
  <c r="O1598" i="6"/>
  <c r="E1598" i="6"/>
  <c r="O1597" i="6"/>
  <c r="E1597" i="6"/>
  <c r="O1596" i="6"/>
  <c r="E1596" i="6"/>
  <c r="O1595" i="6"/>
  <c r="E1595" i="6"/>
  <c r="O1594" i="6"/>
  <c r="E1594" i="6"/>
  <c r="O1593" i="6"/>
  <c r="E1593" i="6"/>
  <c r="O1592" i="6"/>
  <c r="E1592" i="6"/>
  <c r="O1591" i="6"/>
  <c r="G1591" i="6"/>
  <c r="E1591" i="6"/>
  <c r="O1590" i="6"/>
  <c r="G1590" i="6"/>
  <c r="E1590" i="6"/>
  <c r="O1589" i="6"/>
  <c r="O1588" i="6"/>
  <c r="O1587" i="6"/>
  <c r="O1586" i="6"/>
  <c r="O1585" i="6"/>
  <c r="O1584" i="6"/>
  <c r="O1583" i="6"/>
  <c r="O1582" i="6"/>
  <c r="O1581" i="6"/>
  <c r="O1580" i="6"/>
  <c r="O1579" i="6"/>
  <c r="O1578" i="6"/>
  <c r="G1577" i="6"/>
  <c r="O1576" i="6"/>
  <c r="G1574" i="6"/>
  <c r="O1573" i="6"/>
  <c r="O1572" i="6"/>
  <c r="G1572" i="6"/>
  <c r="O1571" i="6"/>
  <c r="G1571" i="6"/>
  <c r="O1570" i="6"/>
  <c r="G1570" i="6"/>
  <c r="O1569" i="6"/>
  <c r="O1568" i="6"/>
  <c r="O1567" i="6"/>
  <c r="O1566" i="6"/>
  <c r="E556" i="6"/>
  <c r="E555" i="6"/>
  <c r="E554" i="6"/>
  <c r="E553" i="6"/>
  <c r="E552" i="6"/>
  <c r="E551" i="6"/>
  <c r="E550" i="6"/>
  <c r="E549" i="6"/>
  <c r="E548" i="6"/>
  <c r="E547" i="6"/>
  <c r="E546" i="6"/>
  <c r="E545" i="6"/>
  <c r="E544" i="6"/>
  <c r="E543" i="6"/>
  <c r="E542" i="6"/>
  <c r="E541" i="6"/>
  <c r="E540" i="6"/>
  <c r="E539" i="6"/>
  <c r="E538" i="6"/>
  <c r="K543" i="6"/>
  <c r="E537" i="6"/>
  <c r="E536" i="6"/>
  <c r="E535" i="6"/>
  <c r="E534" i="6"/>
  <c r="E533" i="6"/>
  <c r="E532" i="6"/>
  <c r="E531" i="6"/>
  <c r="K530" i="6"/>
  <c r="E530" i="6"/>
  <c r="E529" i="6"/>
  <c r="E528" i="6"/>
  <c r="K531" i="6"/>
  <c r="E527" i="6"/>
  <c r="E526" i="6"/>
  <c r="E525" i="6"/>
  <c r="E524" i="6"/>
  <c r="E523" i="6"/>
  <c r="E522" i="6"/>
  <c r="K521" i="6"/>
  <c r="E521" i="6"/>
  <c r="E520" i="6"/>
  <c r="E519" i="6"/>
  <c r="E518" i="6"/>
  <c r="E517" i="6"/>
  <c r="E516" i="6"/>
  <c r="E515" i="6"/>
  <c r="E514" i="6"/>
  <c r="E513" i="6"/>
  <c r="E512" i="6"/>
  <c r="E511" i="6"/>
  <c r="E510" i="6"/>
  <c r="E509" i="6"/>
  <c r="E508" i="6"/>
  <c r="E507" i="6"/>
  <c r="E506" i="6"/>
  <c r="E505" i="6"/>
  <c r="E504" i="6"/>
  <c r="E503" i="6"/>
  <c r="E502" i="6"/>
  <c r="E501" i="6"/>
  <c r="E500" i="6"/>
  <c r="E499" i="6"/>
  <c r="E498" i="6"/>
  <c r="K499" i="6"/>
  <c r="E497" i="6"/>
  <c r="E496" i="6"/>
  <c r="E495" i="6"/>
  <c r="E494" i="6"/>
  <c r="E493" i="6"/>
  <c r="E492" i="6"/>
  <c r="E491" i="6"/>
  <c r="E490" i="6"/>
  <c r="E489" i="6"/>
  <c r="E488" i="6"/>
  <c r="K489" i="6"/>
  <c r="E487" i="6"/>
  <c r="E486" i="6"/>
  <c r="E485" i="6"/>
  <c r="E484" i="6"/>
  <c r="E483" i="6"/>
  <c r="E482" i="6"/>
  <c r="E481" i="6"/>
  <c r="E480" i="6"/>
  <c r="E479" i="6"/>
  <c r="E478" i="6"/>
  <c r="E477" i="6"/>
  <c r="E476" i="6"/>
  <c r="E475" i="6"/>
  <c r="E474" i="6"/>
  <c r="E473" i="6"/>
  <c r="K472" i="6"/>
  <c r="E472" i="6"/>
  <c r="K471" i="6"/>
  <c r="E471" i="6"/>
  <c r="K470" i="6"/>
  <c r="E470" i="6"/>
  <c r="E469" i="6"/>
  <c r="E468" i="6"/>
  <c r="K467" i="6"/>
  <c r="K473" i="6"/>
  <c r="E467" i="6"/>
  <c r="E466" i="6"/>
  <c r="E465" i="6"/>
  <c r="E464" i="6"/>
  <c r="E463" i="6"/>
  <c r="E462" i="6"/>
  <c r="E461" i="6"/>
  <c r="E460" i="6"/>
  <c r="E459" i="6"/>
  <c r="E458" i="6"/>
  <c r="K463" i="6"/>
  <c r="E457" i="6"/>
  <c r="E456" i="6"/>
  <c r="E455" i="6"/>
  <c r="E454" i="6"/>
  <c r="E453" i="6"/>
  <c r="E452" i="6"/>
  <c r="E451" i="6"/>
  <c r="K450" i="6"/>
  <c r="E450" i="6"/>
  <c r="E449" i="6"/>
  <c r="E448" i="6"/>
  <c r="K451" i="6"/>
  <c r="E447" i="6"/>
  <c r="E446" i="6"/>
  <c r="E445" i="6"/>
  <c r="E444" i="6"/>
  <c r="K443" i="6"/>
  <c r="E443" i="6"/>
  <c r="K442" i="6"/>
  <c r="E442" i="6"/>
  <c r="K441" i="6"/>
  <c r="E441" i="6"/>
  <c r="K440" i="6"/>
  <c r="E440" i="6"/>
  <c r="E439" i="6"/>
  <c r="E438" i="6"/>
  <c r="K437" i="6"/>
  <c r="E437" i="6"/>
  <c r="E436" i="6"/>
  <c r="E435" i="6"/>
  <c r="E434" i="6"/>
  <c r="E433" i="6"/>
  <c r="K432" i="6"/>
  <c r="E432" i="6"/>
  <c r="E431" i="6"/>
  <c r="E430" i="6"/>
  <c r="E429" i="6"/>
  <c r="E428" i="6"/>
  <c r="K427" i="6"/>
  <c r="E427" i="6"/>
  <c r="E426" i="6"/>
  <c r="E425" i="6"/>
  <c r="E424" i="6"/>
  <c r="E423" i="6"/>
  <c r="E422" i="6"/>
  <c r="K421" i="6"/>
  <c r="E421" i="6"/>
  <c r="E420" i="6"/>
  <c r="E419" i="6"/>
  <c r="E418" i="6"/>
  <c r="K419" i="6"/>
  <c r="E417" i="6"/>
  <c r="E416" i="6"/>
  <c r="E415" i="6"/>
  <c r="E414" i="6"/>
  <c r="E413" i="6"/>
  <c r="E412" i="6"/>
  <c r="E411" i="6"/>
  <c r="E410" i="6"/>
  <c r="E409" i="6"/>
  <c r="E408" i="6"/>
  <c r="E407" i="6"/>
  <c r="E406" i="6"/>
  <c r="E405" i="6"/>
  <c r="E404" i="6"/>
  <c r="E403" i="6"/>
  <c r="E402" i="6"/>
  <c r="E401" i="6"/>
  <c r="E400" i="6"/>
  <c r="K399" i="6"/>
  <c r="E399" i="6"/>
  <c r="E398" i="6"/>
  <c r="E397" i="6"/>
  <c r="E396" i="6"/>
  <c r="E395" i="6"/>
  <c r="E394" i="6"/>
  <c r="E393" i="6"/>
  <c r="E392" i="6"/>
  <c r="E391" i="6"/>
  <c r="E390" i="6"/>
  <c r="E389" i="6"/>
  <c r="E388" i="6"/>
  <c r="K393" i="6"/>
  <c r="E387" i="6"/>
  <c r="E386" i="6"/>
  <c r="E385" i="6"/>
  <c r="E384" i="6"/>
  <c r="E383" i="6"/>
  <c r="E382" i="6"/>
  <c r="E381" i="6"/>
  <c r="E380" i="6"/>
  <c r="E379" i="6"/>
  <c r="E378" i="6"/>
  <c r="K383" i="6"/>
  <c r="E377" i="6"/>
  <c r="E376" i="6"/>
  <c r="E375" i="6"/>
  <c r="E374" i="6"/>
  <c r="E373" i="6"/>
  <c r="E372" i="6"/>
  <c r="E371" i="6"/>
  <c r="E370" i="6"/>
  <c r="K369" i="6"/>
  <c r="E369" i="6"/>
  <c r="E368" i="6"/>
  <c r="K371" i="6"/>
  <c r="E367" i="6"/>
  <c r="E366" i="6"/>
  <c r="E365" i="6"/>
  <c r="E364" i="6"/>
  <c r="K363" i="6"/>
  <c r="E363" i="6"/>
  <c r="K362" i="6"/>
  <c r="E362" i="6"/>
  <c r="E361" i="6"/>
  <c r="E360" i="6"/>
  <c r="E359" i="6"/>
  <c r="E358" i="6"/>
  <c r="E357" i="6"/>
  <c r="E356" i="6"/>
  <c r="E355" i="6"/>
  <c r="E354" i="6"/>
  <c r="E353" i="6"/>
  <c r="E352" i="6"/>
  <c r="E351" i="6"/>
  <c r="E350" i="6"/>
  <c r="E349" i="6"/>
  <c r="E348" i="6"/>
  <c r="K347" i="6"/>
  <c r="E347" i="6"/>
  <c r="E346" i="6"/>
  <c r="E345" i="6"/>
  <c r="E344" i="6"/>
  <c r="E343" i="6"/>
  <c r="E342" i="6"/>
  <c r="E341" i="6"/>
  <c r="E340" i="6"/>
  <c r="E339" i="6"/>
  <c r="E338" i="6"/>
  <c r="K339" i="6"/>
  <c r="E337" i="6"/>
  <c r="E336" i="6"/>
  <c r="E335" i="6"/>
  <c r="E334" i="6"/>
  <c r="E333" i="6"/>
  <c r="K332" i="6"/>
  <c r="E332" i="6"/>
  <c r="E331" i="6"/>
  <c r="E330" i="6"/>
  <c r="E329" i="6"/>
  <c r="E328" i="6"/>
  <c r="K327" i="6"/>
  <c r="E327" i="6"/>
  <c r="E326" i="6"/>
  <c r="E325" i="6"/>
  <c r="E324" i="6"/>
  <c r="E323" i="6"/>
  <c r="E322" i="6"/>
  <c r="E321" i="6"/>
  <c r="E320" i="6"/>
  <c r="E319" i="6"/>
  <c r="E318" i="6"/>
  <c r="K323" i="6"/>
  <c r="E317" i="6"/>
  <c r="E316" i="6"/>
  <c r="E315" i="6"/>
  <c r="E314" i="6"/>
  <c r="E313" i="6"/>
  <c r="E312" i="6"/>
  <c r="E311" i="6"/>
  <c r="E310" i="6"/>
  <c r="E309" i="6"/>
  <c r="E308" i="6"/>
  <c r="K307" i="6"/>
  <c r="K313" i="6"/>
  <c r="E307" i="6"/>
  <c r="E306" i="6"/>
  <c r="E305" i="6"/>
  <c r="E304" i="6"/>
  <c r="E303" i="6"/>
  <c r="E302" i="6"/>
  <c r="E301" i="6"/>
  <c r="E300" i="6"/>
  <c r="E299" i="6"/>
  <c r="E298" i="6"/>
  <c r="E297" i="6"/>
  <c r="E296" i="6"/>
  <c r="E295" i="6"/>
  <c r="E294" i="6"/>
  <c r="E293" i="6"/>
  <c r="E292" i="6"/>
  <c r="E291" i="6"/>
  <c r="E290" i="6"/>
  <c r="K289" i="6"/>
  <c r="E289" i="6"/>
  <c r="E288" i="6"/>
  <c r="K292" i="6"/>
  <c r="E287" i="6"/>
  <c r="E286" i="6"/>
  <c r="E285" i="6"/>
  <c r="E284" i="6"/>
  <c r="K283" i="6"/>
  <c r="E283" i="6"/>
  <c r="K282" i="6"/>
  <c r="E282" i="6"/>
  <c r="K281" i="6"/>
  <c r="E281" i="6"/>
  <c r="K280" i="6"/>
  <c r="E280" i="6"/>
  <c r="E279" i="6"/>
  <c r="E278" i="6"/>
  <c r="K277" i="6"/>
  <c r="E277" i="6"/>
  <c r="E276" i="6"/>
  <c r="E275" i="6"/>
  <c r="E274" i="6"/>
  <c r="E273" i="6"/>
  <c r="E272" i="6"/>
  <c r="E271" i="6"/>
  <c r="E270" i="6"/>
  <c r="E269" i="6"/>
  <c r="E268" i="6"/>
  <c r="E267" i="6"/>
  <c r="E266" i="6"/>
  <c r="E265" i="6"/>
  <c r="E264" i="6"/>
  <c r="E263" i="6"/>
  <c r="E262" i="6"/>
  <c r="E261" i="6"/>
  <c r="E260" i="6"/>
  <c r="E259" i="6"/>
  <c r="E258" i="6"/>
  <c r="K263" i="6"/>
  <c r="E257" i="6"/>
  <c r="E256" i="6"/>
  <c r="E255" i="6"/>
  <c r="E254" i="6"/>
  <c r="K253" i="6"/>
  <c r="E253" i="6"/>
  <c r="K252" i="6"/>
  <c r="E252" i="6"/>
  <c r="K251" i="6"/>
  <c r="E251" i="6"/>
  <c r="E250" i="6"/>
  <c r="K249" i="6"/>
  <c r="E249" i="6"/>
  <c r="E248" i="6"/>
  <c r="E247" i="6"/>
  <c r="E246" i="6"/>
  <c r="E245" i="6"/>
  <c r="E244" i="6"/>
  <c r="E243" i="6"/>
  <c r="E242" i="6"/>
  <c r="E241" i="6"/>
  <c r="E240" i="6"/>
  <c r="K239" i="6"/>
  <c r="E239" i="6"/>
  <c r="E238" i="6"/>
  <c r="K241" i="6"/>
  <c r="E237" i="6"/>
  <c r="E236" i="6"/>
  <c r="E235" i="6"/>
  <c r="E234" i="6"/>
  <c r="E233" i="6"/>
  <c r="K232" i="6"/>
  <c r="E232" i="6"/>
  <c r="K231" i="6"/>
  <c r="E231" i="6"/>
  <c r="E230" i="6"/>
  <c r="E229" i="6"/>
  <c r="E228" i="6"/>
  <c r="K227" i="6"/>
  <c r="E227" i="6"/>
  <c r="E226" i="6"/>
  <c r="E225" i="6"/>
  <c r="E224" i="6"/>
  <c r="E223" i="6"/>
  <c r="E222" i="6"/>
  <c r="E221" i="6"/>
  <c r="E220" i="6"/>
  <c r="E219" i="6"/>
  <c r="E218" i="6"/>
  <c r="E217" i="6"/>
  <c r="E216" i="6"/>
  <c r="E215" i="6"/>
  <c r="E214" i="6"/>
  <c r="E213" i="6"/>
  <c r="E212" i="6"/>
  <c r="E211" i="6"/>
  <c r="E210" i="6"/>
  <c r="E209" i="6"/>
  <c r="E208" i="6"/>
  <c r="K212"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K183" i="6"/>
  <c r="E177" i="6"/>
  <c r="E176" i="6"/>
  <c r="E175" i="6"/>
  <c r="E174" i="6"/>
  <c r="K173" i="6"/>
  <c r="E173" i="6"/>
  <c r="K172" i="6"/>
  <c r="E172" i="6"/>
  <c r="K171" i="6"/>
  <c r="E171" i="6"/>
  <c r="E170" i="6"/>
  <c r="K169" i="6"/>
  <c r="E169" i="6"/>
  <c r="E168" i="6"/>
  <c r="E167" i="6"/>
  <c r="E166" i="6"/>
  <c r="E165" i="6"/>
  <c r="E164" i="6"/>
  <c r="E163" i="6"/>
  <c r="E162" i="6"/>
  <c r="E161" i="6"/>
  <c r="E160" i="6"/>
  <c r="E159" i="6"/>
  <c r="E158" i="6"/>
  <c r="K161" i="6"/>
  <c r="E157" i="6"/>
  <c r="E156" i="6"/>
  <c r="E155" i="6"/>
  <c r="E154" i="6"/>
  <c r="E153" i="6"/>
  <c r="K152" i="6"/>
  <c r="E152" i="6"/>
  <c r="K151" i="6"/>
  <c r="E151" i="6"/>
  <c r="K150" i="6"/>
  <c r="E150" i="6"/>
  <c r="E149" i="6"/>
  <c r="E148" i="6"/>
  <c r="K147" i="6"/>
  <c r="E147" i="6"/>
  <c r="E146" i="6"/>
  <c r="E145" i="6"/>
  <c r="E144" i="6"/>
  <c r="E143" i="6"/>
  <c r="E142" i="6"/>
  <c r="E141" i="6"/>
  <c r="E140" i="6"/>
  <c r="E139" i="6"/>
  <c r="E138" i="6"/>
  <c r="E137" i="6"/>
  <c r="E136" i="6"/>
  <c r="E135" i="6"/>
  <c r="E134" i="6"/>
  <c r="E133" i="6"/>
  <c r="E132" i="6"/>
  <c r="E131" i="6"/>
  <c r="E130" i="6"/>
  <c r="E129" i="6"/>
  <c r="E128" i="6"/>
  <c r="K129"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O16" i="6"/>
  <c r="O15" i="6"/>
  <c r="O14" i="6"/>
  <c r="O13" i="6"/>
  <c r="O12" i="6"/>
  <c r="O11" i="6"/>
  <c r="O10" i="6"/>
  <c r="O9" i="6"/>
  <c r="O8" i="6"/>
  <c r="O7" i="6"/>
  <c r="O6" i="6"/>
  <c r="O5" i="6"/>
  <c r="O2" i="6"/>
  <c r="G1918" i="5"/>
  <c r="G1917" i="5"/>
  <c r="G1916" i="5"/>
  <c r="G1915" i="5"/>
  <c r="G1914" i="5"/>
  <c r="G1913" i="5"/>
  <c r="G1912" i="5"/>
  <c r="G1911" i="5"/>
  <c r="G1910" i="5"/>
  <c r="G1909" i="5"/>
  <c r="G1908" i="5"/>
  <c r="G1907" i="5"/>
  <c r="G1906" i="5"/>
  <c r="G1905" i="5"/>
  <c r="G1904" i="5"/>
  <c r="G1903" i="5"/>
  <c r="G1902" i="5"/>
  <c r="G1901" i="5"/>
  <c r="G1900" i="5"/>
  <c r="G1899" i="5"/>
  <c r="G1898" i="5"/>
  <c r="G1897" i="5"/>
  <c r="G1896" i="5"/>
  <c r="G1895" i="5"/>
  <c r="G1894" i="5"/>
  <c r="G1893" i="5"/>
  <c r="G1892" i="5"/>
  <c r="G1891" i="5"/>
  <c r="G1890" i="5"/>
  <c r="G1889" i="5"/>
  <c r="G1888" i="5"/>
  <c r="G1887" i="5"/>
  <c r="G1886" i="5"/>
  <c r="G1885" i="5"/>
  <c r="G1884" i="5"/>
  <c r="G1883" i="5"/>
  <c r="G1882" i="5"/>
  <c r="G1881" i="5"/>
  <c r="G1880" i="5"/>
  <c r="G1879" i="5"/>
  <c r="G1878" i="5"/>
  <c r="G1877" i="5"/>
  <c r="G1876" i="5"/>
  <c r="G1875" i="5"/>
  <c r="G1874" i="5"/>
  <c r="G1873" i="5"/>
  <c r="G1872" i="5"/>
  <c r="G1871" i="5"/>
  <c r="G1870" i="5"/>
  <c r="G1869" i="5"/>
  <c r="G1868" i="5"/>
  <c r="G1867" i="5"/>
  <c r="G1866" i="5"/>
  <c r="G1865" i="5"/>
  <c r="G1864" i="5"/>
  <c r="G1863" i="5"/>
  <c r="G1862" i="5"/>
  <c r="G1861" i="5"/>
  <c r="G1860" i="5"/>
  <c r="G1859" i="5"/>
  <c r="G1858" i="5"/>
  <c r="G1857" i="5"/>
  <c r="G1856" i="5"/>
  <c r="G1855" i="5"/>
  <c r="G1854" i="5"/>
  <c r="G1853" i="5"/>
  <c r="G1852" i="5"/>
  <c r="G1851" i="5"/>
  <c r="G1850" i="5"/>
  <c r="G1849" i="5"/>
  <c r="G1848" i="5"/>
  <c r="G1847" i="5"/>
  <c r="G1846" i="5"/>
  <c r="G1845" i="5"/>
  <c r="G1844" i="5"/>
  <c r="G1843" i="5"/>
  <c r="G1842" i="5"/>
  <c r="G1841" i="5"/>
  <c r="G1840" i="5"/>
  <c r="G1839" i="5"/>
  <c r="G1838" i="5"/>
  <c r="G1837" i="5"/>
  <c r="G1836" i="5"/>
  <c r="G1835" i="5"/>
  <c r="G1834" i="5"/>
  <c r="G1833" i="5"/>
  <c r="G1832" i="5"/>
  <c r="G1831" i="5"/>
  <c r="G1830" i="5"/>
  <c r="G1829" i="5"/>
  <c r="G1828" i="5"/>
  <c r="G1827" i="5"/>
  <c r="G1826" i="5"/>
  <c r="G1825" i="5"/>
  <c r="G1824" i="5"/>
  <c r="G1823" i="5"/>
  <c r="G1822" i="5"/>
  <c r="G1821" i="5"/>
  <c r="G1820" i="5"/>
  <c r="G1819" i="5"/>
  <c r="G1818" i="5"/>
  <c r="G1817" i="5"/>
  <c r="G1816" i="5"/>
  <c r="G1815" i="5"/>
  <c r="G1814" i="5"/>
  <c r="G1813" i="5"/>
  <c r="G1812" i="5"/>
  <c r="G1811" i="5"/>
  <c r="G1810" i="5"/>
  <c r="G1809" i="5"/>
  <c r="G1808" i="5"/>
  <c r="G1807" i="5"/>
  <c r="G1806" i="5"/>
  <c r="G1805" i="5"/>
  <c r="G1804" i="5"/>
  <c r="G1803" i="5"/>
  <c r="G1802" i="5"/>
  <c r="G1801" i="5"/>
  <c r="G1800" i="5"/>
  <c r="G1799" i="5"/>
  <c r="G1798" i="5"/>
  <c r="G1797" i="5"/>
  <c r="G1796" i="5"/>
  <c r="G1795" i="5"/>
  <c r="G1794" i="5"/>
  <c r="G1793" i="5"/>
  <c r="G1792" i="5"/>
  <c r="G1791" i="5"/>
  <c r="G1790" i="5"/>
  <c r="G1789" i="5"/>
  <c r="G1788" i="5"/>
  <c r="G1787" i="5"/>
  <c r="G1786" i="5"/>
  <c r="G1785" i="5"/>
  <c r="G1784" i="5"/>
  <c r="G1783" i="5"/>
  <c r="G1782" i="5"/>
  <c r="G1781" i="5"/>
  <c r="G1780" i="5"/>
  <c r="G1779" i="5"/>
  <c r="G1778" i="5"/>
  <c r="G1777" i="5"/>
  <c r="G1776" i="5"/>
  <c r="G1775" i="5"/>
  <c r="G1774" i="5"/>
  <c r="G1773" i="5"/>
  <c r="G1772" i="5"/>
  <c r="G1771" i="5"/>
  <c r="G1770" i="5"/>
  <c r="G1769" i="5"/>
  <c r="G1768" i="5"/>
  <c r="G1767" i="5"/>
  <c r="G1766" i="5"/>
  <c r="G1765" i="5"/>
  <c r="G1764" i="5"/>
  <c r="G1763" i="5"/>
  <c r="G1762" i="5"/>
  <c r="G1761" i="5"/>
  <c r="G1760" i="5"/>
  <c r="G1759" i="5"/>
  <c r="G1758" i="5"/>
  <c r="G1757" i="5"/>
  <c r="G1756" i="5"/>
  <c r="G1755" i="5"/>
  <c r="G1754" i="5"/>
  <c r="G1753" i="5"/>
  <c r="G1752" i="5"/>
  <c r="G1751" i="5"/>
  <c r="G1750" i="5"/>
  <c r="O1749" i="5"/>
  <c r="G1749" i="5"/>
  <c r="O1748" i="5"/>
  <c r="E1748" i="5"/>
  <c r="C1748" i="5"/>
  <c r="G1748" i="5"/>
  <c r="O1747" i="5"/>
  <c r="E1747" i="5"/>
  <c r="C1747" i="5"/>
  <c r="G1747" i="5"/>
  <c r="E1922" i="5"/>
  <c r="G1922" i="5"/>
  <c r="E1923" i="5"/>
  <c r="G1923" i="5"/>
  <c r="E1924" i="5"/>
  <c r="G1924" i="5"/>
  <c r="E1925" i="5"/>
  <c r="G1925" i="5"/>
  <c r="K1925" i="5"/>
  <c r="E1926" i="5"/>
  <c r="G1926" i="5"/>
  <c r="E1927" i="5"/>
  <c r="G1927" i="5"/>
  <c r="E1928" i="5"/>
  <c r="G1928" i="5"/>
  <c r="E1929" i="5"/>
  <c r="G1929" i="5"/>
  <c r="E1930" i="5"/>
  <c r="G1930" i="5"/>
  <c r="K1930" i="5"/>
  <c r="E1931" i="5"/>
  <c r="G1931" i="5"/>
  <c r="E1932" i="5"/>
  <c r="G1932" i="5"/>
  <c r="E1933" i="5"/>
  <c r="G1933" i="5"/>
  <c r="E1934" i="5"/>
  <c r="G1934" i="5"/>
  <c r="E1935" i="5"/>
  <c r="G1935" i="5"/>
  <c r="K1935" i="5"/>
  <c r="E1936" i="5"/>
  <c r="G1936" i="5"/>
  <c r="G1943" i="5"/>
  <c r="G1944" i="5"/>
  <c r="G1945" i="5"/>
  <c r="G1946" i="5"/>
  <c r="G1947" i="5"/>
  <c r="G1948" i="5"/>
  <c r="G1949" i="5"/>
  <c r="G1950" i="5"/>
  <c r="G1951" i="5"/>
  <c r="G1954" i="5"/>
  <c r="G1955" i="5"/>
  <c r="G1956" i="5"/>
  <c r="G1957" i="5"/>
  <c r="G1958" i="5"/>
  <c r="C1959" i="5"/>
  <c r="E1959" i="5" s="1"/>
  <c r="G1959" i="5"/>
  <c r="C1960" i="5"/>
  <c r="E1960" i="5" s="1"/>
  <c r="G1960" i="5"/>
  <c r="C1961" i="5"/>
  <c r="E1961" i="5" s="1"/>
  <c r="G1961" i="5"/>
  <c r="C1962" i="5"/>
  <c r="E1962" i="5"/>
  <c r="G1962" i="5"/>
  <c r="C1963" i="5"/>
  <c r="E1963" i="5" s="1"/>
  <c r="G1963" i="5"/>
  <c r="C1964" i="5"/>
  <c r="E1964" i="5" s="1"/>
  <c r="G1964" i="5"/>
  <c r="C1965" i="5"/>
  <c r="E1965" i="5"/>
  <c r="G1965" i="5"/>
  <c r="K1081" i="5"/>
  <c r="K1080" i="5"/>
  <c r="K1079" i="5"/>
  <c r="K1070" i="5"/>
  <c r="K1069" i="5"/>
  <c r="K1068" i="5"/>
  <c r="K1059" i="5"/>
  <c r="K1058" i="5"/>
  <c r="K1057" i="5"/>
  <c r="K1048" i="5"/>
  <c r="K1047" i="5"/>
  <c r="K1046" i="5"/>
  <c r="K1037" i="5"/>
  <c r="K1036" i="5"/>
  <c r="K1035" i="5"/>
  <c r="K1026" i="5"/>
  <c r="K1025" i="5"/>
  <c r="K1024" i="5"/>
  <c r="K1015" i="5"/>
  <c r="K1014" i="5"/>
  <c r="K1013" i="5"/>
  <c r="K1004" i="5"/>
  <c r="K1003" i="5"/>
  <c r="K1002" i="5"/>
  <c r="K993" i="5"/>
  <c r="K992" i="5"/>
  <c r="K991" i="5"/>
  <c r="K982" i="5"/>
  <c r="K981" i="5"/>
  <c r="K980" i="5"/>
  <c r="K971" i="5"/>
  <c r="K970" i="5"/>
  <c r="K969" i="5"/>
  <c r="K960" i="5"/>
  <c r="K959" i="5"/>
  <c r="K958" i="5"/>
  <c r="K949" i="5"/>
  <c r="K948" i="5"/>
  <c r="K947" i="5"/>
  <c r="K938" i="5"/>
  <c r="K937" i="5"/>
  <c r="K936" i="5"/>
  <c r="K927" i="5"/>
  <c r="K926" i="5"/>
  <c r="K925" i="5"/>
  <c r="K916" i="5"/>
  <c r="K915" i="5"/>
  <c r="K914" i="5"/>
  <c r="K905" i="5"/>
  <c r="K904" i="5"/>
  <c r="K903" i="5"/>
  <c r="K894" i="5"/>
  <c r="K893" i="5"/>
  <c r="K892" i="5"/>
  <c r="K883" i="5"/>
  <c r="K882" i="5"/>
  <c r="K881" i="5"/>
  <c r="K872" i="5"/>
  <c r="K871" i="5"/>
  <c r="K870" i="5"/>
  <c r="K861" i="5"/>
  <c r="K860" i="5"/>
  <c r="K859" i="5"/>
  <c r="K850" i="5"/>
  <c r="K849" i="5"/>
  <c r="K848" i="5"/>
  <c r="K839" i="5"/>
  <c r="K838" i="5"/>
  <c r="K837" i="5"/>
  <c r="K828" i="5"/>
  <c r="K827" i="5"/>
  <c r="K826" i="5"/>
  <c r="K817" i="5"/>
  <c r="K816" i="5"/>
  <c r="K815" i="5"/>
  <c r="K806" i="5"/>
  <c r="K805" i="5"/>
  <c r="K804" i="5"/>
  <c r="K795" i="5"/>
  <c r="K794" i="5"/>
  <c r="K793" i="5"/>
  <c r="K784" i="5"/>
  <c r="K783" i="5"/>
  <c r="K782" i="5"/>
  <c r="K773" i="5"/>
  <c r="K772" i="5"/>
  <c r="K771" i="5"/>
  <c r="K762" i="5"/>
  <c r="K761" i="5"/>
  <c r="K760" i="5"/>
  <c r="K751" i="5"/>
  <c r="K750" i="5"/>
  <c r="K749" i="5"/>
  <c r="K740" i="5"/>
  <c r="K739" i="5"/>
  <c r="K738" i="5"/>
  <c r="K729" i="5"/>
  <c r="K728" i="5"/>
  <c r="K727" i="5"/>
  <c r="K718" i="5"/>
  <c r="K717" i="5"/>
  <c r="K716" i="5"/>
  <c r="K707" i="5"/>
  <c r="K706" i="5"/>
  <c r="K705" i="5"/>
  <c r="K696" i="5"/>
  <c r="K695" i="5"/>
  <c r="K694" i="5"/>
  <c r="K685" i="5"/>
  <c r="K684" i="5"/>
  <c r="K683" i="5"/>
  <c r="K674" i="5"/>
  <c r="K673" i="5"/>
  <c r="K672" i="5"/>
  <c r="K663" i="5"/>
  <c r="K662" i="5"/>
  <c r="K661" i="5"/>
  <c r="K652" i="5"/>
  <c r="K651" i="5"/>
  <c r="K650" i="5"/>
  <c r="K641" i="5"/>
  <c r="K640" i="5"/>
  <c r="K639" i="5"/>
  <c r="K630" i="5"/>
  <c r="K629" i="5"/>
  <c r="K628" i="5"/>
  <c r="K619" i="5"/>
  <c r="K618" i="5"/>
  <c r="K617" i="5"/>
  <c r="K608" i="5"/>
  <c r="K607" i="5"/>
  <c r="K606" i="5"/>
  <c r="K597" i="5"/>
  <c r="K596" i="5"/>
  <c r="K595" i="5"/>
  <c r="K586" i="5"/>
  <c r="K585" i="5"/>
  <c r="K584" i="5"/>
  <c r="K575" i="5"/>
  <c r="K574" i="5"/>
  <c r="K573" i="5"/>
  <c r="K564" i="5"/>
  <c r="K563" i="5"/>
  <c r="K562" i="5"/>
  <c r="K553" i="5"/>
  <c r="K552" i="5"/>
  <c r="K551" i="5"/>
  <c r="K542" i="5"/>
  <c r="K541" i="5"/>
  <c r="K540" i="5"/>
  <c r="K531" i="5"/>
  <c r="K530" i="5"/>
  <c r="K529" i="5"/>
  <c r="K520" i="5"/>
  <c r="K519" i="5"/>
  <c r="K518" i="5"/>
  <c r="K509" i="5"/>
  <c r="K508" i="5"/>
  <c r="K507" i="5"/>
  <c r="K498" i="5"/>
  <c r="K497" i="5"/>
  <c r="K496" i="5"/>
  <c r="K487" i="5"/>
  <c r="K486" i="5"/>
  <c r="K485" i="5"/>
  <c r="K476" i="5"/>
  <c r="K475" i="5"/>
  <c r="K474" i="5"/>
  <c r="H1817" i="1"/>
  <c r="H1816" i="1"/>
  <c r="H1815" i="1"/>
  <c r="H1814" i="1"/>
  <c r="H1813" i="1"/>
  <c r="H1812" i="1"/>
  <c r="H1811" i="1"/>
  <c r="H1810" i="1"/>
  <c r="H1809" i="1"/>
  <c r="H1808" i="1"/>
  <c r="H1807" i="1"/>
  <c r="H1806" i="1"/>
  <c r="H1805" i="1"/>
  <c r="H1804" i="1"/>
  <c r="H1803" i="1"/>
  <c r="H1802" i="1"/>
  <c r="H1801" i="1"/>
  <c r="H1800" i="1"/>
  <c r="H1799" i="1"/>
  <c r="H1798" i="1"/>
  <c r="H1797" i="1"/>
  <c r="H1796" i="1"/>
  <c r="H1795" i="1"/>
  <c r="H1794" i="1"/>
  <c r="H1793" i="1"/>
  <c r="H1792" i="1"/>
  <c r="H1791" i="1"/>
  <c r="H1790" i="1"/>
  <c r="H1789" i="1"/>
  <c r="H1788" i="1"/>
  <c r="H1787" i="1"/>
  <c r="H1786" i="1"/>
  <c r="H1785" i="1"/>
  <c r="H1784" i="1"/>
  <c r="H1783" i="1"/>
  <c r="H1782" i="1"/>
  <c r="H1781" i="1"/>
  <c r="H1780" i="1"/>
  <c r="H1779" i="1"/>
  <c r="H1778" i="1"/>
  <c r="H1777" i="1"/>
  <c r="H1776" i="1"/>
  <c r="H1775" i="1"/>
  <c r="H1774" i="1"/>
  <c r="H1773" i="1"/>
  <c r="H1772" i="1"/>
  <c r="H1771" i="1"/>
  <c r="H1770" i="1"/>
  <c r="H1769" i="1"/>
  <c r="H1768" i="1"/>
  <c r="H1767" i="1"/>
  <c r="H1766" i="1"/>
  <c r="H1765" i="1"/>
  <c r="H1764" i="1"/>
  <c r="H1763" i="1"/>
  <c r="H1762" i="1"/>
  <c r="H1761" i="1"/>
  <c r="H1760" i="1"/>
  <c r="H1759" i="1"/>
  <c r="H1758" i="1"/>
  <c r="H1757" i="1"/>
  <c r="H1756" i="1"/>
  <c r="H1755" i="1"/>
  <c r="H1754" i="1"/>
  <c r="H1753" i="1"/>
  <c r="H1752" i="1"/>
  <c r="H1751" i="1"/>
  <c r="H1750" i="1"/>
  <c r="H1749" i="1"/>
  <c r="H1748" i="1"/>
  <c r="H1747" i="1"/>
  <c r="H1746" i="1"/>
  <c r="H1745" i="1"/>
  <c r="H1744" i="1"/>
  <c r="H1743" i="1"/>
  <c r="H1742" i="1"/>
  <c r="H1741" i="1"/>
  <c r="H1740" i="1"/>
  <c r="H1739" i="1"/>
  <c r="H1738" i="1"/>
  <c r="H1737" i="1"/>
  <c r="H1736" i="1"/>
  <c r="H1735" i="1"/>
  <c r="H1734" i="1"/>
  <c r="H1733" i="1"/>
  <c r="H1732" i="1"/>
  <c r="H1731" i="1"/>
  <c r="H1730" i="1"/>
  <c r="H1729" i="1"/>
  <c r="H1728" i="1"/>
  <c r="H1727" i="1"/>
  <c r="H1726" i="1"/>
  <c r="H1725" i="1"/>
  <c r="H1724" i="1"/>
  <c r="H1723" i="1"/>
  <c r="H1722" i="1"/>
  <c r="H1721" i="1"/>
  <c r="H1720" i="1"/>
  <c r="H1719" i="1"/>
  <c r="H1718" i="1"/>
  <c r="H1717" i="1"/>
  <c r="H1716" i="1"/>
  <c r="H1715" i="1"/>
  <c r="H1714" i="1"/>
  <c r="H1713" i="1"/>
  <c r="H1712" i="1"/>
  <c r="H1711" i="1"/>
  <c r="H1710" i="1"/>
  <c r="H1709" i="1"/>
  <c r="H1708" i="1"/>
  <c r="H1707" i="1"/>
  <c r="H1706" i="1"/>
  <c r="H1705" i="1"/>
  <c r="H1704" i="1"/>
  <c r="H1703" i="1"/>
  <c r="H1702" i="1"/>
  <c r="H1701" i="1"/>
  <c r="H1700" i="1"/>
  <c r="H1699" i="1"/>
  <c r="H1698" i="1"/>
  <c r="H1697" i="1"/>
  <c r="H1696" i="1"/>
  <c r="H1695" i="1"/>
  <c r="H1694" i="1"/>
  <c r="H1693" i="1"/>
  <c r="H1692" i="1"/>
  <c r="H1691" i="1"/>
  <c r="H1690" i="1"/>
  <c r="H1689" i="1"/>
  <c r="H1688" i="1"/>
  <c r="H1687" i="1"/>
  <c r="H1686" i="1"/>
  <c r="H1685" i="1"/>
  <c r="H1684" i="1"/>
  <c r="H1683" i="1"/>
  <c r="H1682" i="1"/>
  <c r="H1681" i="1"/>
  <c r="H1680" i="1"/>
  <c r="H1679" i="1"/>
  <c r="H1678" i="1"/>
  <c r="H1677" i="1"/>
  <c r="H1676" i="1"/>
  <c r="H1675" i="1"/>
  <c r="H1674" i="1"/>
  <c r="H1673" i="1"/>
  <c r="H1672" i="1"/>
  <c r="H1671" i="1"/>
  <c r="H1670" i="1"/>
  <c r="H1669" i="1"/>
  <c r="H1668" i="1"/>
  <c r="H1667" i="1"/>
  <c r="H1666" i="1"/>
  <c r="H1665" i="1"/>
  <c r="H1664" i="1"/>
  <c r="H1663" i="1"/>
  <c r="H1662" i="1"/>
  <c r="H1661" i="1"/>
  <c r="H1660" i="1"/>
  <c r="H1659" i="1"/>
  <c r="H1658" i="1"/>
  <c r="H1657" i="1"/>
  <c r="H1656" i="1"/>
  <c r="H1655" i="1"/>
  <c r="H1654" i="1"/>
  <c r="H1653" i="1"/>
  <c r="H1652" i="1"/>
  <c r="H1651" i="1"/>
  <c r="H1650" i="1"/>
  <c r="H1649" i="1"/>
  <c r="H1648" i="1"/>
  <c r="H1647" i="1"/>
  <c r="H1646" i="1"/>
  <c r="H1645" i="1"/>
  <c r="H1644" i="1"/>
  <c r="H1643" i="1"/>
  <c r="H1642" i="1"/>
  <c r="H1641" i="1"/>
  <c r="H1640" i="1"/>
  <c r="H1639" i="1"/>
  <c r="H1638" i="1"/>
  <c r="H1637" i="1"/>
  <c r="H1636" i="1"/>
  <c r="H1635" i="1"/>
  <c r="H1634" i="1"/>
  <c r="H1633" i="1"/>
  <c r="H1632" i="1"/>
  <c r="H1631" i="1"/>
  <c r="H1630" i="1"/>
  <c r="H1629" i="1"/>
  <c r="H1628" i="1"/>
  <c r="H1627" i="1"/>
  <c r="H1626" i="1"/>
  <c r="H1625" i="1"/>
  <c r="H1624" i="1"/>
  <c r="H1623" i="1"/>
  <c r="H1622" i="1"/>
  <c r="H1621" i="1"/>
  <c r="H1620" i="1"/>
  <c r="H1619" i="1"/>
  <c r="H1618" i="1"/>
  <c r="H1617" i="1"/>
  <c r="H1616" i="1"/>
  <c r="H1615" i="1"/>
  <c r="H1614" i="1"/>
  <c r="H1613" i="1"/>
  <c r="H1612" i="1"/>
  <c r="H1611" i="1"/>
  <c r="H1610" i="1"/>
  <c r="H1609" i="1"/>
  <c r="H1608" i="1"/>
  <c r="H1607" i="1"/>
  <c r="H1606" i="1"/>
  <c r="H1605" i="1"/>
  <c r="H1604" i="1"/>
  <c r="H1603" i="1"/>
  <c r="H1602" i="1"/>
  <c r="H1601" i="1"/>
  <c r="H1600" i="1"/>
  <c r="H1599" i="1"/>
  <c r="H1598" i="1"/>
  <c r="P1597" i="1"/>
  <c r="F1597" i="1" s="1"/>
  <c r="H1597" i="1"/>
  <c r="H1596" i="1"/>
  <c r="F1596" i="1"/>
  <c r="D1596" i="1"/>
  <c r="H1595" i="1"/>
  <c r="H1594" i="1"/>
  <c r="H1593" i="1"/>
  <c r="I1592" i="1"/>
  <c r="H1592" i="1"/>
  <c r="H1591" i="1"/>
  <c r="H1590" i="1"/>
  <c r="H1589" i="1"/>
  <c r="H1588" i="1"/>
  <c r="C69" i="6"/>
  <c r="C20" i="6"/>
  <c r="C43" i="6"/>
  <c r="C57" i="6"/>
  <c r="C66" i="6"/>
  <c r="C21" i="6"/>
  <c r="C72" i="6"/>
  <c r="C77" i="6"/>
  <c r="C102" i="6"/>
  <c r="C101" i="6"/>
  <c r="C31" i="6"/>
  <c r="C83" i="6"/>
  <c r="C51" i="6"/>
  <c r="C24" i="6"/>
  <c r="C81" i="6"/>
  <c r="C90" i="6"/>
  <c r="C27" i="6"/>
  <c r="C32" i="6"/>
  <c r="C40" i="6"/>
  <c r="C89" i="6"/>
  <c r="C18" i="6"/>
  <c r="C47" i="6"/>
  <c r="C94" i="6"/>
  <c r="C73" i="6"/>
  <c r="C53" i="6"/>
  <c r="C19" i="6"/>
  <c r="C17" i="6"/>
  <c r="C34" i="6"/>
  <c r="C103" i="6"/>
  <c r="C93" i="6"/>
  <c r="C46" i="6"/>
  <c r="C99" i="6"/>
  <c r="C95" i="6"/>
  <c r="C58" i="6"/>
  <c r="C64" i="6"/>
  <c r="C60" i="6"/>
  <c r="C80" i="6"/>
  <c r="C76" i="6"/>
  <c r="C29" i="6"/>
  <c r="C42" i="6"/>
  <c r="C104" i="6"/>
  <c r="C55" i="6"/>
  <c r="C26" i="6"/>
  <c r="C88" i="6"/>
  <c r="C78" i="6"/>
  <c r="C97" i="6"/>
  <c r="C59" i="6"/>
  <c r="C23" i="6"/>
  <c r="C87" i="6"/>
  <c r="C37" i="6"/>
  <c r="C71" i="6"/>
  <c r="C56" i="6"/>
  <c r="C82" i="6"/>
  <c r="C62" i="6"/>
  <c r="C28" i="6"/>
  <c r="C96" i="6"/>
  <c r="C74" i="6"/>
  <c r="C84" i="6"/>
  <c r="C105" i="6"/>
  <c r="C33" i="6"/>
  <c r="C25" i="6"/>
  <c r="C70" i="6"/>
  <c r="C41" i="6"/>
  <c r="C63" i="6"/>
  <c r="C48" i="6"/>
  <c r="C44" i="6"/>
  <c r="C92" i="6"/>
  <c r="C22" i="6"/>
  <c r="C35" i="6"/>
  <c r="C54" i="6"/>
  <c r="C91" i="6"/>
  <c r="C75" i="6"/>
  <c r="C79" i="6"/>
  <c r="C36" i="6"/>
  <c r="C86" i="6"/>
  <c r="C106" i="6"/>
  <c r="C65" i="6"/>
  <c r="C45" i="6"/>
  <c r="C39" i="6"/>
  <c r="C67" i="6"/>
  <c r="C38" i="6"/>
  <c r="C68" i="6"/>
  <c r="C50" i="6"/>
  <c r="C98" i="6"/>
  <c r="C85" i="6"/>
  <c r="C30" i="6"/>
  <c r="C100" i="6"/>
  <c r="C52" i="6"/>
  <c r="C49" i="6"/>
  <c r="C61" i="6"/>
  <c r="D1597" i="1" l="1"/>
  <c r="P1598" i="1"/>
  <c r="I168" i="6"/>
  <c r="K168" i="6" s="1"/>
  <c r="I128" i="6"/>
  <c r="K128" i="6" s="1"/>
  <c r="K120" i="6"/>
  <c r="K200" i="6"/>
  <c r="K409" i="6"/>
  <c r="K490" i="6"/>
  <c r="K522" i="6"/>
  <c r="K551" i="6"/>
  <c r="K181" i="6"/>
  <c r="K203" i="6"/>
  <c r="K259" i="6"/>
  <c r="K317" i="6"/>
  <c r="K330" i="6"/>
  <c r="K389" i="6"/>
  <c r="K411" i="6"/>
  <c r="K113" i="6"/>
  <c r="K123" i="6"/>
  <c r="K149" i="6"/>
  <c r="K167" i="6"/>
  <c r="K247" i="6"/>
  <c r="K361" i="6"/>
  <c r="K387" i="6"/>
  <c r="K392" i="6"/>
  <c r="K407" i="6"/>
  <c r="K439" i="6"/>
  <c r="K469" i="6"/>
  <c r="K493" i="6"/>
  <c r="K512" i="6"/>
  <c r="K520" i="6"/>
  <c r="K179" i="6"/>
  <c r="K201" i="6"/>
  <c r="K209" i="6"/>
  <c r="K311" i="6"/>
  <c r="K333" i="6"/>
  <c r="K359" i="6"/>
  <c r="K501" i="6"/>
  <c r="K549" i="6"/>
  <c r="K111" i="6"/>
  <c r="K121" i="6"/>
  <c r="K159" i="6"/>
  <c r="K177" i="6"/>
  <c r="K182" i="6"/>
  <c r="K260" i="6"/>
  <c r="K290" i="6"/>
  <c r="K293" i="6"/>
  <c r="K309" i="6"/>
  <c r="K321" i="6"/>
  <c r="K329" i="6"/>
  <c r="K357" i="6"/>
  <c r="K370" i="6"/>
  <c r="K390" i="6"/>
  <c r="K412" i="6"/>
  <c r="K491" i="6"/>
  <c r="K507" i="6"/>
  <c r="K523" i="6"/>
  <c r="K541" i="6"/>
  <c r="K547" i="6"/>
  <c r="K552" i="6"/>
  <c r="K331" i="6"/>
  <c r="K410" i="6"/>
  <c r="K180" i="6"/>
  <c r="K202" i="6"/>
  <c r="K210" i="6"/>
  <c r="K479" i="6"/>
  <c r="K519" i="6"/>
  <c r="K117" i="6"/>
  <c r="K197" i="6"/>
  <c r="K122" i="6"/>
  <c r="K261" i="6"/>
  <c r="K310" i="6"/>
  <c r="K360" i="6"/>
  <c r="K391" i="6"/>
  <c r="K413" i="6"/>
  <c r="K487" i="6"/>
  <c r="K492" i="6"/>
  <c r="K517" i="6"/>
  <c r="E1749" i="5"/>
  <c r="O1750" i="5"/>
  <c r="C1749" i="5"/>
  <c r="K132" i="6"/>
  <c r="K127" i="6"/>
  <c r="K133" i="6"/>
  <c r="K131" i="6"/>
  <c r="K110" i="6"/>
  <c r="K139" i="6"/>
  <c r="K140" i="6"/>
  <c r="K143" i="6"/>
  <c r="K141" i="6"/>
  <c r="K130" i="6"/>
  <c r="K137" i="6"/>
  <c r="K142" i="6"/>
  <c r="K112" i="6"/>
  <c r="K107" i="6"/>
  <c r="K109" i="6"/>
  <c r="K119" i="6"/>
  <c r="K163" i="6"/>
  <c r="K170" i="6"/>
  <c r="K187" i="6"/>
  <c r="K192" i="6"/>
  <c r="K199" i="6"/>
  <c r="K221" i="6"/>
  <c r="K243" i="6"/>
  <c r="K250" i="6"/>
  <c r="K267" i="6"/>
  <c r="K272" i="6"/>
  <c r="K279" i="6"/>
  <c r="K301" i="6"/>
  <c r="K153" i="6"/>
  <c r="K160" i="6"/>
  <c r="K189" i="6"/>
  <c r="K211" i="6"/>
  <c r="K233" i="6"/>
  <c r="K240" i="6"/>
  <c r="K257" i="6"/>
  <c r="K262" i="6"/>
  <c r="K269" i="6"/>
  <c r="K291" i="6"/>
  <c r="K303" i="6"/>
  <c r="K312" i="6"/>
  <c r="K340" i="6"/>
  <c r="K223" i="6"/>
  <c r="K230" i="6"/>
  <c r="K157" i="6"/>
  <c r="K162" i="6"/>
  <c r="K191" i="6"/>
  <c r="K213" i="6"/>
  <c r="K220" i="6"/>
  <c r="K237" i="6"/>
  <c r="K242" i="6"/>
  <c r="K271" i="6"/>
  <c r="K300" i="6"/>
  <c r="K320" i="6"/>
  <c r="K322" i="6"/>
  <c r="K193" i="6"/>
  <c r="K217" i="6"/>
  <c r="K222" i="6"/>
  <c r="K229" i="6"/>
  <c r="K273" i="6"/>
  <c r="K297" i="6"/>
  <c r="K302" i="6"/>
  <c r="K341" i="6"/>
  <c r="K190" i="6"/>
  <c r="K207" i="6"/>
  <c r="K219" i="6"/>
  <c r="K270" i="6"/>
  <c r="K287" i="6"/>
  <c r="K299" i="6"/>
  <c r="I298" i="6" s="1"/>
  <c r="K319" i="6"/>
  <c r="K342" i="6"/>
  <c r="K337" i="6"/>
  <c r="K343" i="6"/>
  <c r="K349" i="6"/>
  <c r="K350" i="6"/>
  <c r="K353" i="6"/>
  <c r="K351" i="6"/>
  <c r="K352" i="6"/>
  <c r="K373" i="6"/>
  <c r="K380" i="6"/>
  <c r="K397" i="6"/>
  <c r="K402" i="6"/>
  <c r="K431" i="6"/>
  <c r="K453" i="6"/>
  <c r="K460" i="6"/>
  <c r="K477" i="6"/>
  <c r="K482" i="6"/>
  <c r="K511" i="6"/>
  <c r="K533" i="6"/>
  <c r="K540" i="6"/>
  <c r="K377" i="6"/>
  <c r="K382" i="6"/>
  <c r="K433" i="6"/>
  <c r="K457" i="6"/>
  <c r="K462" i="6"/>
  <c r="K513" i="6"/>
  <c r="K537" i="6"/>
  <c r="K542" i="6"/>
  <c r="K367" i="6"/>
  <c r="K372" i="6"/>
  <c r="K379" i="6"/>
  <c r="K401" i="6"/>
  <c r="K423" i="6"/>
  <c r="K430" i="6"/>
  <c r="K447" i="6"/>
  <c r="K452" i="6"/>
  <c r="K459" i="6"/>
  <c r="K481" i="6"/>
  <c r="K503" i="6"/>
  <c r="K510" i="6"/>
  <c r="K527" i="6"/>
  <c r="K532" i="6"/>
  <c r="K539" i="6"/>
  <c r="K420" i="6"/>
  <c r="K449" i="6"/>
  <c r="K500" i="6"/>
  <c r="K529" i="6"/>
  <c r="K381" i="6"/>
  <c r="K403" i="6"/>
  <c r="K461" i="6"/>
  <c r="K483" i="6"/>
  <c r="K400" i="6"/>
  <c r="K417" i="6"/>
  <c r="I418" i="6" s="1"/>
  <c r="K422" i="6"/>
  <c r="K429" i="6"/>
  <c r="K480" i="6"/>
  <c r="K497" i="6"/>
  <c r="I498" i="6" s="1"/>
  <c r="K502" i="6"/>
  <c r="K509" i="6"/>
  <c r="K553" i="6"/>
  <c r="K550" i="6"/>
  <c r="I318" i="6" l="1"/>
  <c r="I508" i="6"/>
  <c r="I398" i="6"/>
  <c r="I338" i="6"/>
  <c r="I268" i="6"/>
  <c r="I448" i="6"/>
  <c r="K448" i="6" s="1"/>
  <c r="I458" i="6"/>
  <c r="K458" i="6" s="1"/>
  <c r="I348" i="6"/>
  <c r="K348" i="6" s="1"/>
  <c r="I218" i="6"/>
  <c r="K218" i="6" s="1"/>
  <c r="I248" i="6"/>
  <c r="I488" i="6"/>
  <c r="K488" i="6" s="1"/>
  <c r="I518" i="6"/>
  <c r="K518" i="6" s="1"/>
  <c r="P1599" i="1"/>
  <c r="D1598" i="1"/>
  <c r="F1598" i="1"/>
  <c r="I188" i="6"/>
  <c r="K188" i="6" s="1"/>
  <c r="I108" i="6"/>
  <c r="K108" i="6" s="1"/>
  <c r="I548" i="6"/>
  <c r="K548" i="6" s="1"/>
  <c r="I408" i="6"/>
  <c r="I428" i="6"/>
  <c r="K428" i="6" s="1"/>
  <c r="I528" i="6"/>
  <c r="K528" i="6" s="1"/>
  <c r="I378" i="6"/>
  <c r="K378" i="6" s="1"/>
  <c r="I138" i="6"/>
  <c r="K138" i="6" s="1"/>
  <c r="I198" i="6"/>
  <c r="K198" i="6" s="1"/>
  <c r="I358" i="6"/>
  <c r="K358" i="6" s="1"/>
  <c r="I258" i="6"/>
  <c r="I468" i="6"/>
  <c r="K468" i="6" s="1"/>
  <c r="I148" i="6"/>
  <c r="K148" i="6" s="1"/>
  <c r="I278" i="6"/>
  <c r="K278" i="6" s="1"/>
  <c r="I438" i="6"/>
  <c r="K438" i="6" s="1"/>
  <c r="I538" i="6"/>
  <c r="K538" i="6" s="1"/>
  <c r="I228" i="6"/>
  <c r="K228" i="6" s="1"/>
  <c r="I478" i="6"/>
  <c r="K478" i="6" s="1"/>
  <c r="I328" i="6"/>
  <c r="K328" i="6" s="1"/>
  <c r="I158" i="6"/>
  <c r="K158" i="6" s="1"/>
  <c r="I208" i="6"/>
  <c r="K208" i="6" s="1"/>
  <c r="I368" i="6"/>
  <c r="K368" i="6" s="1"/>
  <c r="I238" i="6"/>
  <c r="K238" i="6" s="1"/>
  <c r="K248" i="6"/>
  <c r="I118" i="6"/>
  <c r="K118" i="6" s="1"/>
  <c r="I308" i="6"/>
  <c r="K308" i="6" s="1"/>
  <c r="I178" i="6"/>
  <c r="K178" i="6" s="1"/>
  <c r="I388" i="6"/>
  <c r="K388" i="6" s="1"/>
  <c r="I288" i="6"/>
  <c r="K288" i="6" s="1"/>
  <c r="K258" i="6"/>
  <c r="K318" i="6"/>
  <c r="K268" i="6"/>
  <c r="K298" i="6"/>
  <c r="K408" i="6"/>
  <c r="K498" i="6"/>
  <c r="K338" i="6"/>
  <c r="K398" i="6"/>
  <c r="K418" i="6"/>
  <c r="C1750" i="5"/>
  <c r="E1750" i="5"/>
  <c r="O1751" i="5"/>
  <c r="K508" i="6"/>
  <c r="D1599" i="1" l="1"/>
  <c r="P1600" i="1"/>
  <c r="F1599" i="1"/>
  <c r="O1752" i="5"/>
  <c r="E1751" i="5"/>
  <c r="C1751" i="5"/>
  <c r="P1601" i="1" l="1"/>
  <c r="F1600" i="1"/>
  <c r="D1600" i="1"/>
  <c r="E1752" i="5"/>
  <c r="C1752" i="5"/>
  <c r="O1753" i="5"/>
  <c r="F1601" i="1" l="1"/>
  <c r="P1602" i="1"/>
  <c r="D1601" i="1"/>
  <c r="O1754" i="5"/>
  <c r="E1753" i="5"/>
  <c r="C1753" i="5"/>
  <c r="D1602" i="1" l="1"/>
  <c r="P1603" i="1"/>
  <c r="F1602" i="1"/>
  <c r="O1755" i="5"/>
  <c r="C1754" i="5"/>
  <c r="E1754" i="5"/>
  <c r="D1603" i="1" l="1"/>
  <c r="P1604" i="1"/>
  <c r="F1603" i="1"/>
  <c r="O1756" i="5"/>
  <c r="C1755" i="5"/>
  <c r="E1755" i="5"/>
  <c r="P1605" i="1" l="1"/>
  <c r="D1604" i="1"/>
  <c r="F1604" i="1"/>
  <c r="C1756" i="5"/>
  <c r="E1756" i="5"/>
  <c r="O1757" i="5"/>
  <c r="F1605" i="1" l="1"/>
  <c r="D1605" i="1"/>
  <c r="P1606" i="1"/>
  <c r="E1757" i="5"/>
  <c r="C1757" i="5"/>
  <c r="O1758" i="5"/>
  <c r="P1607" i="1" l="1"/>
  <c r="D1606" i="1"/>
  <c r="F1606" i="1"/>
  <c r="E1758" i="5"/>
  <c r="O1759" i="5"/>
  <c r="C1758" i="5"/>
  <c r="P1608" i="1" l="1"/>
  <c r="D1607" i="1"/>
  <c r="F1607" i="1"/>
  <c r="O1760" i="5"/>
  <c r="E1759" i="5"/>
  <c r="C1759" i="5"/>
  <c r="D1608" i="1" l="1"/>
  <c r="P1609" i="1"/>
  <c r="F1608" i="1"/>
  <c r="C1760" i="5"/>
  <c r="E1760" i="5"/>
  <c r="O1761" i="5"/>
  <c r="P1610" i="1" l="1"/>
  <c r="D1609" i="1"/>
  <c r="F1609" i="1"/>
  <c r="E1761" i="5"/>
  <c r="O1762" i="5"/>
  <c r="C1761" i="5"/>
  <c r="F1610" i="1" l="1"/>
  <c r="P1611" i="1"/>
  <c r="D1610" i="1"/>
  <c r="O1763" i="5"/>
  <c r="C1762" i="5"/>
  <c r="E1762" i="5"/>
  <c r="D1611" i="1" l="1"/>
  <c r="P1612" i="1"/>
  <c r="F1611" i="1"/>
  <c r="C1763" i="5"/>
  <c r="E1763" i="5"/>
  <c r="O1764" i="5"/>
  <c r="P1613" i="1" l="1"/>
  <c r="F1612" i="1"/>
  <c r="D1612" i="1"/>
  <c r="E1764" i="5"/>
  <c r="C1764" i="5"/>
  <c r="D1613" i="1" l="1"/>
  <c r="P1614" i="1"/>
  <c r="F1613" i="1"/>
  <c r="E1765" i="5"/>
  <c r="O1766" i="5"/>
  <c r="C1765" i="5"/>
  <c r="P1615" i="1" l="1"/>
  <c r="F1614" i="1"/>
  <c r="D1614" i="1"/>
  <c r="C1766" i="5"/>
  <c r="E1766" i="5"/>
  <c r="O1767" i="5"/>
  <c r="D1615" i="1" l="1"/>
  <c r="F1615" i="1"/>
  <c r="P1616" i="1"/>
  <c r="E1767" i="5"/>
  <c r="C1767" i="5"/>
  <c r="O1768" i="5"/>
  <c r="D1616" i="1" l="1"/>
  <c r="F1616" i="1"/>
  <c r="P1617" i="1"/>
  <c r="E1768" i="5"/>
  <c r="O1769" i="5"/>
  <c r="C1768" i="5"/>
  <c r="D1617" i="1" l="1"/>
  <c r="P1618" i="1"/>
  <c r="F1617" i="1"/>
  <c r="E1769" i="5"/>
  <c r="C1769" i="5"/>
  <c r="O1770" i="5"/>
  <c r="F1618" i="1" l="1"/>
  <c r="D1618" i="1"/>
  <c r="P1619" i="1"/>
  <c r="O1771" i="5"/>
  <c r="C1770" i="5"/>
  <c r="E1770" i="5"/>
  <c r="P1620" i="1" l="1"/>
  <c r="F1619" i="1"/>
  <c r="D1619" i="1"/>
  <c r="E1771" i="5"/>
  <c r="C1771" i="5"/>
  <c r="O1772" i="5"/>
  <c r="P1621" i="1" l="1"/>
  <c r="F1620" i="1"/>
  <c r="D1620" i="1"/>
  <c r="C1772" i="5"/>
  <c r="E1772" i="5"/>
  <c r="O1773" i="5"/>
  <c r="P1622" i="1" l="1"/>
  <c r="F1621" i="1"/>
  <c r="D1621" i="1"/>
  <c r="E1773" i="5"/>
  <c r="C1773" i="5"/>
  <c r="O1774" i="5"/>
  <c r="D1622" i="1" l="1"/>
  <c r="F1622" i="1"/>
  <c r="P1623" i="1"/>
  <c r="O1775" i="5"/>
  <c r="C1774" i="5"/>
  <c r="E1774" i="5"/>
  <c r="P1624" i="1" l="1"/>
  <c r="D1623" i="1"/>
  <c r="F1623" i="1"/>
  <c r="C1775" i="5"/>
  <c r="O1776" i="5"/>
  <c r="E1775" i="5"/>
  <c r="D1624" i="1" l="1"/>
  <c r="P1625" i="1"/>
  <c r="F1624" i="1"/>
  <c r="O1777" i="5"/>
  <c r="E1776" i="5"/>
  <c r="C1776" i="5"/>
  <c r="P1626" i="1" l="1"/>
  <c r="D1625" i="1"/>
  <c r="F1625" i="1"/>
  <c r="E1777" i="5"/>
  <c r="O1778" i="5"/>
  <c r="C1777" i="5"/>
  <c r="F1626" i="1" l="1"/>
  <c r="D1626" i="1"/>
  <c r="P1627" i="1"/>
  <c r="O1779" i="5"/>
  <c r="C1778" i="5"/>
  <c r="E1778" i="5"/>
  <c r="F1627" i="1" l="1"/>
  <c r="D1627" i="1"/>
  <c r="P1628" i="1"/>
  <c r="C1779" i="5"/>
  <c r="O1780" i="5"/>
  <c r="E1779" i="5"/>
  <c r="D1628" i="1" l="1"/>
  <c r="P1629" i="1"/>
  <c r="F1628" i="1"/>
  <c r="O1781" i="5"/>
  <c r="E1780" i="5"/>
  <c r="C1780" i="5"/>
  <c r="P1630" i="1" l="1"/>
  <c r="D1629" i="1"/>
  <c r="F1629" i="1"/>
  <c r="E1781" i="5"/>
  <c r="O1782" i="5"/>
  <c r="C1781" i="5"/>
  <c r="D1630" i="1" l="1"/>
  <c r="F1630" i="1"/>
  <c r="P1631" i="1"/>
  <c r="E1782" i="5"/>
  <c r="C1782" i="5"/>
  <c r="O1783" i="5"/>
  <c r="F1631" i="1" l="1"/>
  <c r="D1631" i="1"/>
  <c r="P1632" i="1"/>
  <c r="E1783" i="5"/>
  <c r="C1783" i="5"/>
  <c r="O1784" i="5"/>
  <c r="D1632" i="1" l="1"/>
  <c r="F1632" i="1"/>
  <c r="P1633" i="1"/>
  <c r="E1784" i="5"/>
  <c r="C1784" i="5"/>
  <c r="O1785" i="5"/>
  <c r="P1634" i="1" l="1"/>
  <c r="F1633" i="1"/>
  <c r="D1633" i="1"/>
  <c r="O1786" i="5"/>
  <c r="E1785" i="5"/>
  <c r="C1785" i="5"/>
  <c r="F1634" i="1" l="1"/>
  <c r="P1635" i="1"/>
  <c r="D1634" i="1"/>
  <c r="O1787" i="5"/>
  <c r="C1786" i="5"/>
  <c r="E1786" i="5"/>
  <c r="D1635" i="1" l="1"/>
  <c r="P1636" i="1"/>
  <c r="F1635" i="1"/>
  <c r="O1788" i="5"/>
  <c r="C1787" i="5"/>
  <c r="E1787" i="5"/>
  <c r="F1636" i="1" l="1"/>
  <c r="P1637" i="1"/>
  <c r="D1636" i="1"/>
  <c r="C1788" i="5"/>
  <c r="O1789" i="5"/>
  <c r="E1788" i="5"/>
  <c r="P1638" i="1" l="1"/>
  <c r="F1637" i="1"/>
  <c r="D1637" i="1"/>
  <c r="E1789" i="5"/>
  <c r="O1790" i="5"/>
  <c r="C1789" i="5"/>
  <c r="F1638" i="1" l="1"/>
  <c r="P1639" i="1"/>
  <c r="D1638" i="1"/>
  <c r="E1790" i="5"/>
  <c r="C1790" i="5"/>
  <c r="O1791" i="5"/>
  <c r="F1639" i="1" l="1"/>
  <c r="P1640" i="1"/>
  <c r="D1639" i="1"/>
  <c r="E1791" i="5"/>
  <c r="O1792" i="5"/>
  <c r="C1791" i="5"/>
  <c r="F1640" i="1" l="1"/>
  <c r="D1640" i="1"/>
  <c r="P1641" i="1"/>
  <c r="E1792" i="5"/>
  <c r="C1792" i="5"/>
  <c r="O1793" i="5"/>
  <c r="F1641" i="1" l="1"/>
  <c r="P1642" i="1"/>
  <c r="D1641" i="1"/>
  <c r="E1793" i="5"/>
  <c r="C1793" i="5"/>
  <c r="O1794" i="5"/>
  <c r="P1643" i="1" l="1"/>
  <c r="F1642" i="1"/>
  <c r="D1642" i="1"/>
  <c r="O1795" i="5"/>
  <c r="C1794" i="5"/>
  <c r="E1794" i="5"/>
  <c r="D1643" i="1" l="1"/>
  <c r="F1643" i="1"/>
  <c r="P1644" i="1"/>
  <c r="C1795" i="5"/>
  <c r="E1795" i="5"/>
  <c r="O1796" i="5"/>
  <c r="D1644" i="1" l="1"/>
  <c r="F1644" i="1"/>
  <c r="P1645" i="1"/>
  <c r="O1797" i="5"/>
  <c r="E1796" i="5"/>
  <c r="C1796" i="5"/>
  <c r="D1645" i="1" l="1"/>
  <c r="P1646" i="1"/>
  <c r="F1645" i="1"/>
  <c r="E1797" i="5"/>
  <c r="O1798" i="5"/>
  <c r="C1797" i="5"/>
  <c r="D1646" i="1" l="1"/>
  <c r="F1646" i="1"/>
  <c r="P1647" i="1"/>
  <c r="O1799" i="5"/>
  <c r="E1798" i="5"/>
  <c r="C1798" i="5"/>
  <c r="P1648" i="1" l="1"/>
  <c r="F1647" i="1"/>
  <c r="D1647" i="1"/>
  <c r="C1799" i="5"/>
  <c r="E1799" i="5"/>
  <c r="O1800" i="5"/>
  <c r="D1648" i="1" l="1"/>
  <c r="F1648" i="1"/>
  <c r="P1649" i="1"/>
  <c r="E1800" i="5"/>
  <c r="C1800" i="5"/>
  <c r="O1801" i="5"/>
  <c r="P1650" i="1" l="1"/>
  <c r="F1649" i="1"/>
  <c r="D1649" i="1"/>
  <c r="C1801" i="5"/>
  <c r="O1802" i="5"/>
  <c r="E1801" i="5"/>
  <c r="F1650" i="1" l="1"/>
  <c r="P1651" i="1"/>
  <c r="D1650" i="1"/>
  <c r="O1803" i="5"/>
  <c r="C1802" i="5"/>
  <c r="E1802" i="5"/>
  <c r="D1651" i="1" l="1"/>
  <c r="F1651" i="1"/>
  <c r="P1652" i="1"/>
  <c r="C1803" i="5"/>
  <c r="O1804" i="5"/>
  <c r="E1803" i="5"/>
  <c r="F1652" i="1" l="1"/>
  <c r="D1652" i="1"/>
  <c r="P1653" i="1"/>
  <c r="C1804" i="5"/>
  <c r="E1804" i="5"/>
  <c r="O1805" i="5"/>
  <c r="D1653" i="1" l="1"/>
  <c r="P1654" i="1"/>
  <c r="F1653" i="1"/>
  <c r="E1805" i="5"/>
  <c r="C1805" i="5"/>
  <c r="O1806" i="5"/>
  <c r="D1654" i="1" l="1"/>
  <c r="P1655" i="1"/>
  <c r="F1654" i="1"/>
  <c r="O1807" i="5"/>
  <c r="C1806" i="5"/>
  <c r="E1806" i="5"/>
  <c r="P1656" i="1" l="1"/>
  <c r="F1655" i="1"/>
  <c r="D1655" i="1"/>
  <c r="O1808" i="5"/>
  <c r="C1807" i="5"/>
  <c r="E1807" i="5"/>
  <c r="D1656" i="1" l="1"/>
  <c r="F1656" i="1"/>
  <c r="P1657" i="1"/>
  <c r="C1808" i="5"/>
  <c r="E1808" i="5"/>
  <c r="O1809" i="5"/>
  <c r="D1657" i="1" l="1"/>
  <c r="P1658" i="1"/>
  <c r="F1657" i="1"/>
  <c r="E1809" i="5"/>
  <c r="O1810" i="5"/>
  <c r="C1809" i="5"/>
  <c r="F1658" i="1" l="1"/>
  <c r="P1659" i="1"/>
  <c r="D1658" i="1"/>
  <c r="O1811" i="5"/>
  <c r="C1810" i="5"/>
  <c r="E1810" i="5"/>
  <c r="P1660" i="1" l="1"/>
  <c r="D1659" i="1"/>
  <c r="F1659" i="1"/>
  <c r="C1811" i="5"/>
  <c r="O1812" i="5"/>
  <c r="E1811" i="5"/>
  <c r="F1660" i="1" l="1"/>
  <c r="P1661" i="1"/>
  <c r="D1660" i="1"/>
  <c r="C1812" i="5"/>
  <c r="O1813" i="5"/>
  <c r="E1812" i="5"/>
  <c r="D1661" i="1" l="1"/>
  <c r="P1662" i="1"/>
  <c r="F1661" i="1"/>
  <c r="E1813" i="5"/>
  <c r="O1814" i="5"/>
  <c r="C1813" i="5"/>
  <c r="P1663" i="1" l="1"/>
  <c r="F1662" i="1"/>
  <c r="D1662" i="1"/>
  <c r="C1814" i="5"/>
  <c r="O1815" i="5"/>
  <c r="E1814" i="5"/>
  <c r="P1664" i="1" l="1"/>
  <c r="F1663" i="1"/>
  <c r="D1663" i="1"/>
  <c r="O1816" i="5"/>
  <c r="C1815" i="5"/>
  <c r="E1815" i="5"/>
  <c r="D1664" i="1" l="1"/>
  <c r="P1665" i="1"/>
  <c r="F1664" i="1"/>
  <c r="E1816" i="5"/>
  <c r="C1816" i="5"/>
  <c r="O1817" i="5"/>
  <c r="D1665" i="1" l="1"/>
  <c r="P1666" i="1"/>
  <c r="F1665" i="1"/>
  <c r="O1818" i="5"/>
  <c r="E1817" i="5"/>
  <c r="C1817" i="5"/>
  <c r="F1666" i="1" l="1"/>
  <c r="D1666" i="1"/>
  <c r="P1667" i="1"/>
  <c r="O1819" i="5"/>
  <c r="C1818" i="5"/>
  <c r="E1818" i="5"/>
  <c r="D1667" i="1" l="1"/>
  <c r="F1667" i="1"/>
  <c r="P1668" i="1"/>
  <c r="O1820" i="5"/>
  <c r="E1819" i="5"/>
  <c r="C1819" i="5"/>
  <c r="D1668" i="1" l="1"/>
  <c r="F1668" i="1"/>
  <c r="P1669" i="1"/>
  <c r="C1820" i="5"/>
  <c r="O1821" i="5"/>
  <c r="E1820" i="5"/>
  <c r="P1670" i="1" l="1"/>
  <c r="D1669" i="1"/>
  <c r="F1669" i="1"/>
  <c r="E1821" i="5"/>
  <c r="C1821" i="5"/>
  <c r="O1822" i="5"/>
  <c r="D1670" i="1" l="1"/>
  <c r="F1670" i="1"/>
  <c r="P1671" i="1"/>
  <c r="E1822" i="5"/>
  <c r="C1822" i="5"/>
  <c r="O1823" i="5"/>
  <c r="F1671" i="1" l="1"/>
  <c r="P1672" i="1"/>
  <c r="D1671" i="1"/>
  <c r="E1823" i="5"/>
  <c r="C1823" i="5"/>
  <c r="O1824" i="5"/>
  <c r="P1673" i="1" l="1"/>
  <c r="F1672" i="1"/>
  <c r="D1672" i="1"/>
  <c r="C1824" i="5"/>
  <c r="O1825" i="5"/>
  <c r="E1824" i="5"/>
  <c r="D1673" i="1" l="1"/>
  <c r="P1674" i="1"/>
  <c r="F1673" i="1"/>
  <c r="E1825" i="5"/>
  <c r="C1825" i="5"/>
  <c r="O1826" i="5"/>
  <c r="P1675" i="1" l="1"/>
  <c r="D1674" i="1"/>
  <c r="F1674" i="1"/>
  <c r="O1827" i="5"/>
  <c r="C1826" i="5"/>
  <c r="E1826" i="5"/>
  <c r="P1676" i="1" l="1"/>
  <c r="F1675" i="1"/>
  <c r="D1675" i="1"/>
  <c r="C1827" i="5"/>
  <c r="O1828" i="5"/>
  <c r="E1827" i="5"/>
  <c r="F1676" i="1" l="1"/>
  <c r="P1677" i="1"/>
  <c r="D1676" i="1"/>
  <c r="E1828" i="5"/>
  <c r="C1828" i="5"/>
  <c r="O1829" i="5"/>
  <c r="F1677" i="1" l="1"/>
  <c r="D1677" i="1"/>
  <c r="P1678" i="1"/>
  <c r="E1829" i="5"/>
  <c r="O1830" i="5"/>
  <c r="C1829" i="5"/>
  <c r="D1678" i="1" l="1"/>
  <c r="P1679" i="1"/>
  <c r="F1678" i="1"/>
  <c r="C1830" i="5"/>
  <c r="E1830" i="5"/>
  <c r="O1831" i="5"/>
  <c r="P1680" i="1" l="1"/>
  <c r="F1679" i="1"/>
  <c r="D1679" i="1"/>
  <c r="C1831" i="5"/>
  <c r="O1832" i="5"/>
  <c r="E1831" i="5"/>
  <c r="D1680" i="1" l="1"/>
  <c r="P1681" i="1"/>
  <c r="F1680" i="1"/>
  <c r="E1832" i="5"/>
  <c r="C1832" i="5"/>
  <c r="O1833" i="5"/>
  <c r="P1682" i="1" l="1"/>
  <c r="D1681" i="1"/>
  <c r="F1681" i="1"/>
  <c r="E1833" i="5"/>
  <c r="C1833" i="5"/>
  <c r="O1834" i="5"/>
  <c r="D1682" i="1" l="1"/>
  <c r="P1683" i="1"/>
  <c r="F1682" i="1"/>
  <c r="O1835" i="5"/>
  <c r="C1834" i="5"/>
  <c r="E1834" i="5"/>
  <c r="F1683" i="1" l="1"/>
  <c r="D1683" i="1"/>
  <c r="P1684" i="1"/>
  <c r="O1836" i="5"/>
  <c r="E1835" i="5"/>
  <c r="C1835" i="5"/>
  <c r="P1685" i="1" l="1"/>
  <c r="D1684" i="1"/>
  <c r="F1684" i="1"/>
  <c r="C1836" i="5"/>
  <c r="E1836" i="5"/>
  <c r="O1837" i="5"/>
  <c r="D1685" i="1" l="1"/>
  <c r="F1685" i="1"/>
  <c r="P1686" i="1"/>
  <c r="E1837" i="5"/>
  <c r="O1838" i="5"/>
  <c r="C1837" i="5"/>
  <c r="D1686" i="1" l="1"/>
  <c r="F1686" i="1"/>
  <c r="P1687" i="1"/>
  <c r="O1839" i="5"/>
  <c r="C1838" i="5"/>
  <c r="E1838" i="5"/>
  <c r="F1687" i="1" l="1"/>
  <c r="P1688" i="1"/>
  <c r="D1687" i="1"/>
  <c r="O1840" i="5"/>
  <c r="E1839" i="5"/>
  <c r="C1839" i="5"/>
  <c r="P1689" i="1" l="1"/>
  <c r="D1688" i="1"/>
  <c r="F1688" i="1"/>
  <c r="O1841" i="5"/>
  <c r="C1840" i="5"/>
  <c r="E1840" i="5"/>
  <c r="D1689" i="1" l="1"/>
  <c r="P1690" i="1"/>
  <c r="F1689" i="1"/>
  <c r="E1841" i="5"/>
  <c r="O1842" i="5"/>
  <c r="C1841" i="5"/>
  <c r="P1691" i="1" l="1"/>
  <c r="F1690" i="1"/>
  <c r="D1690" i="1"/>
  <c r="O1843" i="5"/>
  <c r="C1842" i="5"/>
  <c r="E1842" i="5"/>
  <c r="P1692" i="1" l="1"/>
  <c r="D1691" i="1"/>
  <c r="F1691" i="1"/>
  <c r="C1843" i="5"/>
  <c r="O1844" i="5"/>
  <c r="E1843" i="5"/>
  <c r="F1692" i="1" l="1"/>
  <c r="D1692" i="1"/>
  <c r="P1693" i="1"/>
  <c r="O1845" i="5"/>
  <c r="E1844" i="5"/>
  <c r="C1844" i="5"/>
  <c r="P1694" i="1" l="1"/>
  <c r="F1693" i="1"/>
  <c r="D1693" i="1"/>
  <c r="E1845" i="5"/>
  <c r="O1846" i="5"/>
  <c r="C1845" i="5"/>
  <c r="D1694" i="1" l="1"/>
  <c r="F1694" i="1"/>
  <c r="P1695" i="1"/>
  <c r="E1846" i="5"/>
  <c r="C1846" i="5"/>
  <c r="O1847" i="5"/>
  <c r="P1696" i="1" l="1"/>
  <c r="D1695" i="1"/>
  <c r="F1695" i="1"/>
  <c r="C1847" i="5"/>
  <c r="O1848" i="5"/>
  <c r="E1847" i="5"/>
  <c r="P1697" i="1" l="1"/>
  <c r="F1696" i="1"/>
  <c r="D1696" i="1"/>
  <c r="E1848" i="5"/>
  <c r="C1848" i="5"/>
  <c r="O1849" i="5"/>
  <c r="F1697" i="1" l="1"/>
  <c r="D1697" i="1"/>
  <c r="P1698" i="1"/>
  <c r="C1849" i="5"/>
  <c r="E1849" i="5"/>
  <c r="O1850" i="5"/>
  <c r="D1698" i="1" l="1"/>
  <c r="F1698" i="1"/>
  <c r="P1699" i="1"/>
  <c r="O1851" i="5"/>
  <c r="C1850" i="5"/>
  <c r="E1850" i="5"/>
  <c r="F1699" i="1" l="1"/>
  <c r="P1700" i="1"/>
  <c r="D1699" i="1"/>
  <c r="E1851" i="5"/>
  <c r="C1851" i="5"/>
  <c r="O1852" i="5"/>
  <c r="P1701" i="1" l="1"/>
  <c r="F1700" i="1"/>
  <c r="D1700" i="1"/>
  <c r="C1852" i="5"/>
  <c r="O1853" i="5"/>
  <c r="E1852" i="5"/>
  <c r="P1702" i="1" l="1"/>
  <c r="F1701" i="1"/>
  <c r="D1701" i="1"/>
  <c r="E1853" i="5"/>
  <c r="O1854" i="5"/>
  <c r="C1853" i="5"/>
  <c r="F1702" i="1" l="1"/>
  <c r="D1702" i="1"/>
  <c r="P1703" i="1"/>
  <c r="O1855" i="5"/>
  <c r="E1854" i="5"/>
  <c r="C1854" i="5"/>
  <c r="F1703" i="1" l="1"/>
  <c r="P1704" i="1"/>
  <c r="D1703" i="1"/>
  <c r="E1855" i="5"/>
  <c r="C1855" i="5"/>
  <c r="O1856" i="5"/>
  <c r="P1705" i="1" l="1"/>
  <c r="F1704" i="1"/>
  <c r="D1704" i="1"/>
  <c r="E1856" i="5"/>
  <c r="C1856" i="5"/>
  <c r="O1857" i="5"/>
  <c r="P1706" i="1" l="1"/>
  <c r="F1705" i="1"/>
  <c r="D1705" i="1"/>
  <c r="E1857" i="5"/>
  <c r="C1857" i="5"/>
  <c r="O1858" i="5"/>
  <c r="P1707" i="1" l="1"/>
  <c r="D1706" i="1"/>
  <c r="F1706" i="1"/>
  <c r="O1859" i="5"/>
  <c r="C1858" i="5"/>
  <c r="E1858" i="5"/>
  <c r="P1708" i="1" l="1"/>
  <c r="D1707" i="1"/>
  <c r="F1707" i="1"/>
  <c r="C1859" i="5"/>
  <c r="E1859" i="5"/>
  <c r="O1860" i="5"/>
  <c r="P1709" i="1" l="1"/>
  <c r="D1708" i="1"/>
  <c r="F1708" i="1"/>
  <c r="E1860" i="5"/>
  <c r="C1860" i="5"/>
  <c r="O1861" i="5"/>
  <c r="D1709" i="1" l="1"/>
  <c r="P1710" i="1"/>
  <c r="F1709" i="1"/>
  <c r="E1861" i="5"/>
  <c r="O1862" i="5"/>
  <c r="C1861" i="5"/>
  <c r="D1710" i="1" l="1"/>
  <c r="P1711" i="1"/>
  <c r="F1710" i="1"/>
  <c r="E1862" i="5"/>
  <c r="O1863" i="5"/>
  <c r="C1862" i="5"/>
  <c r="F1711" i="1" l="1"/>
  <c r="P1712" i="1"/>
  <c r="D1711" i="1"/>
  <c r="C1863" i="5"/>
  <c r="O1864" i="5"/>
  <c r="E1863" i="5"/>
  <c r="F1712" i="1" l="1"/>
  <c r="P1713" i="1"/>
  <c r="D1712" i="1"/>
  <c r="E1864" i="5"/>
  <c r="O1865" i="5"/>
  <c r="C1864" i="5"/>
  <c r="D1713" i="1" l="1"/>
  <c r="F1713" i="1"/>
  <c r="P1714" i="1"/>
  <c r="C1865" i="5"/>
  <c r="O1866" i="5"/>
  <c r="E1865" i="5"/>
  <c r="F1714" i="1" l="1"/>
  <c r="D1714" i="1"/>
  <c r="P1715" i="1"/>
  <c r="O1867" i="5"/>
  <c r="C1866" i="5"/>
  <c r="E1866" i="5"/>
  <c r="F1715" i="1" l="1"/>
  <c r="D1715" i="1"/>
  <c r="P1716" i="1"/>
  <c r="C1867" i="5"/>
  <c r="O1868" i="5"/>
  <c r="E1867" i="5"/>
  <c r="F1716" i="1" l="1"/>
  <c r="P1717" i="1"/>
  <c r="D1716" i="1"/>
  <c r="C1868" i="5"/>
  <c r="E1868" i="5"/>
  <c r="O1869" i="5"/>
  <c r="D1717" i="1" l="1"/>
  <c r="F1717" i="1"/>
  <c r="P1718" i="1"/>
  <c r="E1869" i="5"/>
  <c r="C1869" i="5"/>
  <c r="O1870" i="5"/>
  <c r="P1719" i="1" l="1"/>
  <c r="F1718" i="1"/>
  <c r="D1718" i="1"/>
  <c r="E1870" i="5"/>
  <c r="O1871" i="5"/>
  <c r="C1870" i="5"/>
  <c r="D1719" i="1" l="1"/>
  <c r="F1719" i="1"/>
  <c r="P1720" i="1"/>
  <c r="O1872" i="5"/>
  <c r="C1871" i="5"/>
  <c r="E1871" i="5"/>
  <c r="D1720" i="1" l="1"/>
  <c r="F1720" i="1"/>
  <c r="P1721" i="1"/>
  <c r="E1872" i="5"/>
  <c r="C1872" i="5"/>
  <c r="O1873" i="5"/>
  <c r="P1722" i="1" l="1"/>
  <c r="D1721" i="1"/>
  <c r="F1721" i="1"/>
  <c r="E1873" i="5"/>
  <c r="O1874" i="5"/>
  <c r="C1873" i="5"/>
  <c r="D1722" i="1" l="1"/>
  <c r="P1723" i="1"/>
  <c r="F1722" i="1"/>
  <c r="O1875" i="5"/>
  <c r="C1874" i="5"/>
  <c r="E1874" i="5"/>
  <c r="P1724" i="1" l="1"/>
  <c r="F1723" i="1"/>
  <c r="D1723" i="1"/>
  <c r="C1875" i="5"/>
  <c r="O1876" i="5"/>
  <c r="E1875" i="5"/>
  <c r="D1724" i="1" l="1"/>
  <c r="F1724" i="1"/>
  <c r="P1725" i="1"/>
  <c r="O1877" i="5"/>
  <c r="C1876" i="5"/>
  <c r="E1876" i="5"/>
  <c r="P1726" i="1" l="1"/>
  <c r="F1725" i="1"/>
  <c r="D1725" i="1"/>
  <c r="E1877" i="5"/>
  <c r="O1878" i="5"/>
  <c r="C1877" i="5"/>
  <c r="P1727" i="1" l="1"/>
  <c r="F1726" i="1"/>
  <c r="D1726" i="1"/>
  <c r="O1879" i="5"/>
  <c r="E1878" i="5"/>
  <c r="C1878" i="5"/>
  <c r="D1727" i="1" l="1"/>
  <c r="P1728" i="1"/>
  <c r="F1727" i="1"/>
  <c r="O1880" i="5"/>
  <c r="E1879" i="5"/>
  <c r="C1879" i="5"/>
  <c r="F1728" i="1" l="1"/>
  <c r="P1729" i="1"/>
  <c r="D1728" i="1"/>
  <c r="E1880" i="5"/>
  <c r="C1880" i="5"/>
  <c r="O1881" i="5"/>
  <c r="P1730" i="1" l="1"/>
  <c r="F1729" i="1"/>
  <c r="D1729" i="1"/>
  <c r="O1882" i="5"/>
  <c r="C1881" i="5"/>
  <c r="E1881" i="5"/>
  <c r="D1730" i="1" l="1"/>
  <c r="F1730" i="1"/>
  <c r="P1731" i="1"/>
  <c r="O1883" i="5"/>
  <c r="C1882" i="5"/>
  <c r="E1882" i="5"/>
  <c r="P1732" i="1" l="1"/>
  <c r="F1731" i="1"/>
  <c r="D1731" i="1"/>
  <c r="O1884" i="5"/>
  <c r="E1883" i="5"/>
  <c r="C1883" i="5"/>
  <c r="D1732" i="1" l="1"/>
  <c r="P1733" i="1"/>
  <c r="F1732" i="1"/>
  <c r="C1884" i="5"/>
  <c r="O1885" i="5"/>
  <c r="E1884" i="5"/>
  <c r="F1733" i="1" l="1"/>
  <c r="P1734" i="1"/>
  <c r="D1733" i="1"/>
  <c r="E1885" i="5"/>
  <c r="C1885" i="5"/>
  <c r="O1886" i="5"/>
  <c r="P1735" i="1" l="1"/>
  <c r="D1734" i="1"/>
  <c r="F1734" i="1"/>
  <c r="E1886" i="5"/>
  <c r="O1887" i="5"/>
  <c r="C1886" i="5"/>
  <c r="D1735" i="1" l="1"/>
  <c r="F1735" i="1"/>
  <c r="P1736" i="1"/>
  <c r="E1887" i="5"/>
  <c r="C1887" i="5"/>
  <c r="O1888" i="5"/>
  <c r="F1736" i="1" l="1"/>
  <c r="D1736" i="1"/>
  <c r="P1737" i="1"/>
  <c r="C1888" i="5"/>
  <c r="E1888" i="5"/>
  <c r="O1889" i="5"/>
  <c r="F1737" i="1" l="1"/>
  <c r="D1737" i="1"/>
  <c r="P1738" i="1"/>
  <c r="E1889" i="5"/>
  <c r="O1890" i="5"/>
  <c r="C1889" i="5"/>
  <c r="D1738" i="1" l="1"/>
  <c r="P1739" i="1"/>
  <c r="F1738" i="1"/>
  <c r="O1891" i="5"/>
  <c r="C1890" i="5"/>
  <c r="E1890" i="5"/>
  <c r="D1739" i="1" l="1"/>
  <c r="P1740" i="1"/>
  <c r="F1739" i="1"/>
  <c r="C1891" i="5"/>
  <c r="O1892" i="5"/>
  <c r="E1891" i="5"/>
  <c r="D1740" i="1" l="1"/>
  <c r="F1740" i="1"/>
  <c r="P1741" i="1"/>
  <c r="E1892" i="5"/>
  <c r="C1892" i="5"/>
  <c r="O1893" i="5"/>
  <c r="P1742" i="1" l="1"/>
  <c r="D1741" i="1"/>
  <c r="F1741" i="1"/>
  <c r="E1893" i="5"/>
  <c r="O1894" i="5"/>
  <c r="C1893" i="5"/>
  <c r="P1743" i="1" l="1"/>
  <c r="F1742" i="1"/>
  <c r="D1742" i="1"/>
  <c r="C1894" i="5"/>
  <c r="E1894" i="5"/>
  <c r="O1895" i="5"/>
  <c r="F1743" i="1" l="1"/>
  <c r="P1744" i="1"/>
  <c r="D1743" i="1"/>
  <c r="C1895" i="5"/>
  <c r="O1896" i="5"/>
  <c r="E1895" i="5"/>
  <c r="F1744" i="1" l="1"/>
  <c r="P1745" i="1"/>
  <c r="D1744" i="1"/>
  <c r="E1896" i="5"/>
  <c r="C1896" i="5"/>
  <c r="O1897" i="5"/>
  <c r="P1746" i="1" l="1"/>
  <c r="D1745" i="1"/>
  <c r="F1745" i="1"/>
  <c r="C1897" i="5"/>
  <c r="E1897" i="5"/>
  <c r="O1898" i="5"/>
  <c r="P1747" i="1" l="1"/>
  <c r="D1746" i="1"/>
  <c r="F1746" i="1"/>
  <c r="O1899" i="5"/>
  <c r="C1898" i="5"/>
  <c r="E1898" i="5"/>
  <c r="P1748" i="1" l="1"/>
  <c r="F1747" i="1"/>
  <c r="D1747" i="1"/>
  <c r="C1899" i="5"/>
  <c r="E1899" i="5"/>
  <c r="O1900" i="5"/>
  <c r="D1748" i="1" l="1"/>
  <c r="F1748" i="1"/>
  <c r="P1749" i="1"/>
  <c r="C1900" i="5"/>
  <c r="E1900" i="5"/>
  <c r="O1901" i="5"/>
  <c r="F1749" i="1" l="1"/>
  <c r="P1750" i="1"/>
  <c r="D1749" i="1"/>
  <c r="E1901" i="5"/>
  <c r="C1901" i="5"/>
  <c r="O1902" i="5"/>
  <c r="D1750" i="1" l="1"/>
  <c r="P1751" i="1"/>
  <c r="F1750" i="1"/>
  <c r="O1903" i="5"/>
  <c r="C1902" i="5"/>
  <c r="E1902" i="5"/>
  <c r="P1752" i="1" l="1"/>
  <c r="F1751" i="1"/>
  <c r="D1751" i="1"/>
  <c r="E1903" i="5"/>
  <c r="O1904" i="5"/>
  <c r="C1903" i="5"/>
  <c r="F1752" i="1" l="1"/>
  <c r="P1753" i="1"/>
  <c r="D1752" i="1"/>
  <c r="O1905" i="5"/>
  <c r="E1904" i="5"/>
  <c r="C1904" i="5"/>
  <c r="F1753" i="1" l="1"/>
  <c r="P1754" i="1"/>
  <c r="D1753" i="1"/>
  <c r="E1905" i="5"/>
  <c r="O1906" i="5"/>
  <c r="C1905" i="5"/>
  <c r="D1754" i="1" l="1"/>
  <c r="F1754" i="1"/>
  <c r="P1755" i="1"/>
  <c r="O1907" i="5"/>
  <c r="C1906" i="5"/>
  <c r="E1906" i="5"/>
  <c r="P1756" i="1" l="1"/>
  <c r="D1755" i="1"/>
  <c r="F1755" i="1"/>
  <c r="C1907" i="5"/>
  <c r="O1908" i="5"/>
  <c r="E1907" i="5"/>
  <c r="D1756" i="1" l="1"/>
  <c r="F1756" i="1"/>
  <c r="P1757" i="1"/>
  <c r="O1909" i="5"/>
  <c r="E1908" i="5"/>
  <c r="C1908" i="5"/>
  <c r="F1757" i="1" l="1"/>
  <c r="P1758" i="1"/>
  <c r="D1757" i="1"/>
  <c r="E1909" i="5"/>
  <c r="O1910" i="5"/>
  <c r="C1909" i="5"/>
  <c r="P1759" i="1" l="1"/>
  <c r="F1758" i="1"/>
  <c r="D1758" i="1"/>
  <c r="O1911" i="5"/>
  <c r="E1910" i="5"/>
  <c r="C1910" i="5"/>
  <c r="F1759" i="1" l="1"/>
  <c r="P1760" i="1"/>
  <c r="D1759" i="1"/>
  <c r="C1911" i="5"/>
  <c r="O1912" i="5"/>
  <c r="E1911" i="5"/>
  <c r="F1760" i="1" l="1"/>
  <c r="D1760" i="1"/>
  <c r="P1761" i="1"/>
  <c r="E1912" i="5"/>
  <c r="O1913" i="5"/>
  <c r="C1912" i="5"/>
  <c r="P1762" i="1" l="1"/>
  <c r="F1761" i="1"/>
  <c r="D1761" i="1"/>
  <c r="E1913" i="5"/>
  <c r="C1913" i="5"/>
  <c r="O1914" i="5"/>
  <c r="P1763" i="1" l="1"/>
  <c r="F1762" i="1"/>
  <c r="D1762" i="1"/>
  <c r="O1915" i="5"/>
  <c r="C1914" i="5"/>
  <c r="E1914" i="5"/>
  <c r="P1764" i="1" l="1"/>
  <c r="F1763" i="1"/>
  <c r="D1763" i="1"/>
  <c r="E1915" i="5"/>
  <c r="C1915" i="5"/>
  <c r="O1916" i="5"/>
  <c r="P1765" i="1" l="1"/>
  <c r="F1764" i="1"/>
  <c r="D1764" i="1"/>
  <c r="C1916" i="5"/>
  <c r="O1917" i="5"/>
  <c r="E1916" i="5"/>
  <c r="P1766" i="1" l="1"/>
  <c r="F1765" i="1"/>
  <c r="D1765" i="1"/>
  <c r="E1917" i="5"/>
  <c r="O1918" i="5"/>
  <c r="C1917" i="5"/>
  <c r="D1766" i="1" l="1"/>
  <c r="F1766" i="1"/>
  <c r="P1767" i="1"/>
  <c r="E1918" i="5"/>
  <c r="C1918" i="5"/>
  <c r="F1767" i="1" l="1"/>
  <c r="D1767" i="1"/>
  <c r="P1768" i="1"/>
  <c r="P1769" i="1" l="1"/>
  <c r="D1768" i="1"/>
  <c r="F1768" i="1"/>
  <c r="P1770" i="1" l="1"/>
  <c r="D1769" i="1"/>
  <c r="F1769" i="1"/>
  <c r="D1770" i="1" l="1"/>
  <c r="F1770" i="1"/>
  <c r="P1771" i="1"/>
  <c r="F1771" i="1" l="1"/>
  <c r="P1772" i="1"/>
  <c r="D1771" i="1"/>
  <c r="P1773" i="1" l="1"/>
  <c r="F1772" i="1"/>
  <c r="D1772" i="1"/>
  <c r="D1773" i="1" l="1"/>
  <c r="F1773" i="1"/>
  <c r="P1774" i="1"/>
  <c r="F1774" i="1" l="1"/>
  <c r="D1774" i="1"/>
  <c r="P1775" i="1"/>
  <c r="P1776" i="1" l="1"/>
  <c r="F1775" i="1"/>
  <c r="D1775" i="1"/>
  <c r="F1776" i="1" l="1"/>
  <c r="D1776" i="1"/>
  <c r="P1777" i="1"/>
  <c r="F1777" i="1" l="1"/>
  <c r="D1777" i="1"/>
  <c r="P1778" i="1"/>
  <c r="P1779" i="1" l="1"/>
  <c r="D1778" i="1"/>
  <c r="F1778" i="1"/>
  <c r="P1780" i="1" l="1"/>
  <c r="F1779" i="1"/>
  <c r="D1779" i="1"/>
  <c r="D1780" i="1" l="1"/>
  <c r="F1780" i="1"/>
  <c r="P1781" i="1"/>
  <c r="D1781" i="1" l="1"/>
  <c r="F1781" i="1"/>
  <c r="P1782" i="1"/>
  <c r="P1783" i="1" l="1"/>
  <c r="D1782" i="1"/>
  <c r="F1782" i="1"/>
  <c r="F1783" i="1" l="1"/>
  <c r="D1783" i="1"/>
  <c r="P1784" i="1"/>
  <c r="P1785" i="1" l="1"/>
  <c r="D1784" i="1"/>
  <c r="F1784" i="1"/>
  <c r="F1785" i="1" l="1"/>
  <c r="D1785" i="1"/>
  <c r="P1786" i="1"/>
  <c r="P1787" i="1" l="1"/>
  <c r="D1786" i="1"/>
  <c r="F1786" i="1"/>
  <c r="P1788" i="1" l="1"/>
  <c r="D1787" i="1"/>
  <c r="F1787" i="1"/>
  <c r="F1788" i="1" l="1"/>
  <c r="P1789" i="1"/>
  <c r="D1788" i="1"/>
  <c r="P1790" i="1" l="1"/>
  <c r="F1789" i="1"/>
  <c r="D1789" i="1"/>
  <c r="D1790" i="1" l="1"/>
  <c r="F1790" i="1"/>
  <c r="P1791" i="1"/>
  <c r="F1791" i="1" l="1"/>
  <c r="P1792" i="1"/>
  <c r="D1791" i="1"/>
  <c r="F1792" i="1" l="1"/>
  <c r="D1792" i="1"/>
  <c r="P1793" i="1"/>
  <c r="F1793" i="1" l="1"/>
  <c r="D1793" i="1"/>
  <c r="P1794" i="1"/>
  <c r="F1794" i="1" l="1"/>
  <c r="P1795" i="1"/>
  <c r="D1794" i="1"/>
  <c r="F1795" i="1" l="1"/>
  <c r="D1795" i="1"/>
  <c r="P1796" i="1"/>
  <c r="D1796" i="1" l="1"/>
  <c r="F1796" i="1"/>
  <c r="P1797" i="1"/>
  <c r="P1798" i="1" l="1"/>
  <c r="F1797" i="1"/>
  <c r="D1797" i="1"/>
  <c r="P1799" i="1" l="1"/>
  <c r="F1798" i="1"/>
  <c r="D1798" i="1"/>
  <c r="D1799" i="1" l="1"/>
  <c r="F1799" i="1"/>
  <c r="P1800" i="1"/>
  <c r="F1800" i="1" l="1"/>
  <c r="P1801" i="1"/>
  <c r="D1800" i="1"/>
  <c r="F1801" i="1" l="1"/>
  <c r="P1802" i="1"/>
  <c r="D1801" i="1"/>
  <c r="D1802" i="1" l="1"/>
  <c r="P1803" i="1"/>
  <c r="F1802" i="1"/>
  <c r="P1804" i="1" l="1"/>
  <c r="F1803" i="1"/>
  <c r="D1803" i="1"/>
  <c r="D1804" i="1" l="1"/>
  <c r="F1804" i="1"/>
  <c r="P1805" i="1"/>
  <c r="P1806" i="1" l="1"/>
  <c r="F1805" i="1"/>
  <c r="D1805" i="1"/>
  <c r="F1806" i="1" l="1"/>
  <c r="D1806" i="1"/>
  <c r="P1807" i="1"/>
  <c r="F1807" i="1" l="1"/>
  <c r="D1807" i="1"/>
  <c r="P1808" i="1"/>
  <c r="D1808" i="1" l="1"/>
  <c r="F1808" i="1"/>
  <c r="P1809" i="1"/>
  <c r="P1810" i="1" l="1"/>
  <c r="D1809" i="1"/>
  <c r="F1809" i="1"/>
  <c r="D1810" i="1" l="1"/>
  <c r="P1811" i="1"/>
  <c r="F1810" i="1"/>
  <c r="D1811" i="1" l="1"/>
  <c r="P1812" i="1"/>
  <c r="F1811" i="1"/>
  <c r="P1813" i="1" l="1"/>
  <c r="F1812" i="1"/>
  <c r="D1812" i="1"/>
  <c r="P1814" i="1" l="1"/>
  <c r="D1813" i="1"/>
  <c r="F1813" i="1"/>
  <c r="F1814" i="1" l="1"/>
  <c r="D1814" i="1"/>
  <c r="P1815" i="1"/>
  <c r="P1816" i="1" l="1"/>
  <c r="F1815" i="1"/>
  <c r="D1815" i="1"/>
  <c r="F1816" i="1" l="1"/>
  <c r="P1817" i="1"/>
  <c r="D1816" i="1"/>
  <c r="H1088" i="1"/>
  <c r="C1088" i="1"/>
  <c r="F1088" i="1" s="1"/>
  <c r="E1088" i="5" s="1"/>
  <c r="H1087" i="1"/>
  <c r="C1087" i="1"/>
  <c r="F1087" i="1" s="1"/>
  <c r="E1087" i="5" s="1"/>
  <c r="H1086" i="1"/>
  <c r="C1086" i="1"/>
  <c r="F1086" i="1" s="1"/>
  <c r="E1086" i="5" s="1"/>
  <c r="H1085" i="1"/>
  <c r="C1085" i="1"/>
  <c r="F1085" i="1" s="1"/>
  <c r="E1085" i="5" s="1"/>
  <c r="H1084" i="1"/>
  <c r="C1084" i="1"/>
  <c r="F1084" i="1" s="1"/>
  <c r="E1084" i="5" s="1"/>
  <c r="H1083" i="1"/>
  <c r="C1083" i="1"/>
  <c r="F1083" i="1" s="1"/>
  <c r="E1083" i="5" s="1"/>
  <c r="H1082" i="1"/>
  <c r="F1082" i="1"/>
  <c r="E1082" i="5" s="1"/>
  <c r="C1082" i="1"/>
  <c r="H1081" i="1"/>
  <c r="C1081" i="1"/>
  <c r="H1080" i="1"/>
  <c r="C1080" i="1"/>
  <c r="H1079" i="1"/>
  <c r="C1079" i="1"/>
  <c r="H1078" i="1"/>
  <c r="C1078" i="1"/>
  <c r="J1078" i="1" s="1"/>
  <c r="H1077" i="1"/>
  <c r="C1077" i="1"/>
  <c r="F1077" i="1" s="1"/>
  <c r="E1077" i="5" s="1"/>
  <c r="H1076" i="1"/>
  <c r="C1076" i="1"/>
  <c r="F1076" i="1" s="1"/>
  <c r="E1076" i="5" s="1"/>
  <c r="H1075" i="1"/>
  <c r="C1075" i="1"/>
  <c r="F1075" i="1" s="1"/>
  <c r="E1075" i="5" s="1"/>
  <c r="H1074" i="1"/>
  <c r="C1074" i="1"/>
  <c r="F1074" i="1" s="1"/>
  <c r="E1074" i="5" s="1"/>
  <c r="H1073" i="1"/>
  <c r="C1073" i="1"/>
  <c r="F1073" i="1" s="1"/>
  <c r="E1073" i="5" s="1"/>
  <c r="H1072" i="1"/>
  <c r="C1072" i="1"/>
  <c r="F1072" i="1" s="1"/>
  <c r="E1072" i="5" s="1"/>
  <c r="H1071" i="1"/>
  <c r="C1071" i="1"/>
  <c r="F1071" i="1" s="1"/>
  <c r="E1071" i="5" s="1"/>
  <c r="H1070" i="1"/>
  <c r="C1070" i="1"/>
  <c r="H1069" i="1"/>
  <c r="F1069" i="1"/>
  <c r="E1069" i="5" s="1"/>
  <c r="C1069" i="1"/>
  <c r="J1069" i="1" s="1"/>
  <c r="L1069" i="1" s="1"/>
  <c r="H1068" i="1"/>
  <c r="C1068" i="1"/>
  <c r="H1067" i="1"/>
  <c r="C1067" i="1"/>
  <c r="H1066" i="1"/>
  <c r="C1066" i="1"/>
  <c r="F1066" i="1" s="1"/>
  <c r="E1066" i="5" s="1"/>
  <c r="H1065" i="1"/>
  <c r="C1065" i="1"/>
  <c r="F1065" i="1" s="1"/>
  <c r="E1065" i="5" s="1"/>
  <c r="H1064" i="1"/>
  <c r="C1064" i="1"/>
  <c r="F1064" i="1" s="1"/>
  <c r="E1064" i="5" s="1"/>
  <c r="H1063" i="1"/>
  <c r="C1063" i="1"/>
  <c r="F1063" i="1" s="1"/>
  <c r="E1063" i="5" s="1"/>
  <c r="H1062" i="1"/>
  <c r="C1062" i="1"/>
  <c r="F1062" i="1" s="1"/>
  <c r="E1062" i="5" s="1"/>
  <c r="H1061" i="1"/>
  <c r="C1061" i="1"/>
  <c r="F1061" i="1" s="1"/>
  <c r="E1061" i="5" s="1"/>
  <c r="H1060" i="1"/>
  <c r="C1060" i="1"/>
  <c r="F1060" i="1" s="1"/>
  <c r="E1060" i="5" s="1"/>
  <c r="H1059" i="1"/>
  <c r="C1059" i="1"/>
  <c r="H1058" i="1"/>
  <c r="C1058" i="1"/>
  <c r="H1057" i="1"/>
  <c r="C1057" i="1"/>
  <c r="H1056" i="1"/>
  <c r="C1056" i="1"/>
  <c r="J1056" i="1" s="1"/>
  <c r="H1055" i="1"/>
  <c r="F1055" i="1"/>
  <c r="E1055" i="5" s="1"/>
  <c r="C1055" i="1"/>
  <c r="H1054" i="1"/>
  <c r="C1054" i="1"/>
  <c r="F1054" i="1" s="1"/>
  <c r="E1054" i="5" s="1"/>
  <c r="H1053" i="1"/>
  <c r="C1053" i="1"/>
  <c r="F1053" i="1" s="1"/>
  <c r="E1053" i="5" s="1"/>
  <c r="H1052" i="1"/>
  <c r="C1052" i="1"/>
  <c r="F1052" i="1" s="1"/>
  <c r="E1052" i="5" s="1"/>
  <c r="H1051" i="1"/>
  <c r="C1051" i="1"/>
  <c r="F1051" i="1" s="1"/>
  <c r="E1051" i="5" s="1"/>
  <c r="H1050" i="1"/>
  <c r="C1050" i="1"/>
  <c r="F1050" i="1" s="1"/>
  <c r="E1050" i="5" s="1"/>
  <c r="H1049" i="1"/>
  <c r="C1049" i="1"/>
  <c r="F1049" i="1" s="1"/>
  <c r="E1049" i="5" s="1"/>
  <c r="H1048" i="1"/>
  <c r="C1048" i="1"/>
  <c r="H1047" i="1"/>
  <c r="C1047" i="1"/>
  <c r="H1046" i="1"/>
  <c r="C1046" i="1"/>
  <c r="H1045" i="1"/>
  <c r="C1045" i="1"/>
  <c r="J1045" i="1" s="1"/>
  <c r="H1044" i="1"/>
  <c r="C1044" i="1"/>
  <c r="F1044" i="1" s="1"/>
  <c r="E1044" i="5" s="1"/>
  <c r="H1043" i="1"/>
  <c r="C1043" i="1"/>
  <c r="F1043" i="1" s="1"/>
  <c r="E1043" i="5" s="1"/>
  <c r="H1042" i="1"/>
  <c r="C1042" i="1"/>
  <c r="F1042" i="1" s="1"/>
  <c r="E1042" i="5" s="1"/>
  <c r="H1041" i="1"/>
  <c r="F1041" i="1"/>
  <c r="E1041" i="5" s="1"/>
  <c r="C1041" i="1"/>
  <c r="H1040" i="1"/>
  <c r="C1040" i="1"/>
  <c r="F1040" i="1" s="1"/>
  <c r="E1040" i="5" s="1"/>
  <c r="H1039" i="1"/>
  <c r="F1039" i="1"/>
  <c r="E1039" i="5" s="1"/>
  <c r="C1039" i="1"/>
  <c r="H1038" i="1"/>
  <c r="F1038" i="1"/>
  <c r="E1038" i="5" s="1"/>
  <c r="C1038" i="1"/>
  <c r="H1037" i="1"/>
  <c r="F1037" i="1"/>
  <c r="E1037" i="5" s="1"/>
  <c r="C1037" i="1"/>
  <c r="H1036" i="1"/>
  <c r="C1036" i="1"/>
  <c r="H1035" i="1"/>
  <c r="C1035" i="1"/>
  <c r="J1035" i="1" s="1"/>
  <c r="L1035" i="1" s="1"/>
  <c r="H1034" i="1"/>
  <c r="C1034" i="1"/>
  <c r="J1034" i="1" s="1"/>
  <c r="H1033" i="1"/>
  <c r="F1033" i="1"/>
  <c r="E1033" i="5" s="1"/>
  <c r="C1033" i="1"/>
  <c r="H1032" i="1"/>
  <c r="C1032" i="1"/>
  <c r="F1032" i="1" s="1"/>
  <c r="E1032" i="5" s="1"/>
  <c r="H1031" i="1"/>
  <c r="C1031" i="1"/>
  <c r="F1031" i="1" s="1"/>
  <c r="E1031" i="5" s="1"/>
  <c r="H1030" i="1"/>
  <c r="F1030" i="1"/>
  <c r="E1030" i="5" s="1"/>
  <c r="C1030" i="1"/>
  <c r="H1029" i="1"/>
  <c r="C1029" i="1"/>
  <c r="F1029" i="1" s="1"/>
  <c r="E1029" i="5" s="1"/>
  <c r="H1028" i="1"/>
  <c r="C1028" i="1"/>
  <c r="F1028" i="1" s="1"/>
  <c r="E1028" i="5" s="1"/>
  <c r="H1027" i="1"/>
  <c r="C1027" i="1"/>
  <c r="F1027" i="1" s="1"/>
  <c r="E1027" i="5" s="1"/>
  <c r="H1026" i="1"/>
  <c r="C1026" i="1"/>
  <c r="H1025" i="1"/>
  <c r="C1025" i="1"/>
  <c r="H1024" i="1"/>
  <c r="C1024" i="1"/>
  <c r="J1024" i="1" s="1"/>
  <c r="L1024" i="1" s="1"/>
  <c r="H1023" i="1"/>
  <c r="F1023" i="1"/>
  <c r="E1023" i="5" s="1"/>
  <c r="C1023" i="1"/>
  <c r="J1023" i="1" s="1"/>
  <c r="H1022" i="1"/>
  <c r="C1022" i="1"/>
  <c r="F1022" i="1" s="1"/>
  <c r="E1022" i="5" s="1"/>
  <c r="H1021" i="1"/>
  <c r="C1021" i="1"/>
  <c r="F1021" i="1" s="1"/>
  <c r="E1021" i="5" s="1"/>
  <c r="H1020" i="1"/>
  <c r="C1020" i="1"/>
  <c r="F1020" i="1" s="1"/>
  <c r="E1020" i="5" s="1"/>
  <c r="H1019" i="1"/>
  <c r="C1019" i="1"/>
  <c r="F1019" i="1" s="1"/>
  <c r="E1019" i="5" s="1"/>
  <c r="H1018" i="1"/>
  <c r="C1018" i="1"/>
  <c r="F1018" i="1" s="1"/>
  <c r="E1018" i="5" s="1"/>
  <c r="H1017" i="1"/>
  <c r="F1017" i="1"/>
  <c r="E1017" i="5" s="1"/>
  <c r="C1017" i="1"/>
  <c r="H1016" i="1"/>
  <c r="C1016" i="1"/>
  <c r="F1016" i="1" s="1"/>
  <c r="E1016" i="5" s="1"/>
  <c r="H1015" i="1"/>
  <c r="C1015" i="1"/>
  <c r="J1015" i="1" s="1"/>
  <c r="L1015" i="1" s="1"/>
  <c r="H1014" i="1"/>
  <c r="C1014" i="1"/>
  <c r="H1013" i="1"/>
  <c r="C1013" i="1"/>
  <c r="H1012" i="1"/>
  <c r="C1012" i="1"/>
  <c r="H1011" i="1"/>
  <c r="C1011" i="1"/>
  <c r="F1011" i="1" s="1"/>
  <c r="E1011" i="5" s="1"/>
  <c r="H1010" i="1"/>
  <c r="C1010" i="1"/>
  <c r="F1010" i="1" s="1"/>
  <c r="E1010" i="5" s="1"/>
  <c r="H1009" i="1"/>
  <c r="C1009" i="1"/>
  <c r="F1009" i="1" s="1"/>
  <c r="E1009" i="5" s="1"/>
  <c r="H1008" i="1"/>
  <c r="C1008" i="1"/>
  <c r="F1008" i="1" s="1"/>
  <c r="E1008" i="5" s="1"/>
  <c r="H1007" i="1"/>
  <c r="F1007" i="1"/>
  <c r="E1007" i="5" s="1"/>
  <c r="C1007" i="1"/>
  <c r="H1006" i="1"/>
  <c r="C1006" i="1"/>
  <c r="F1006" i="1" s="1"/>
  <c r="E1006" i="5" s="1"/>
  <c r="H1005" i="1"/>
  <c r="F1005" i="1"/>
  <c r="E1005" i="5" s="1"/>
  <c r="C1005" i="1"/>
  <c r="L1004" i="1"/>
  <c r="H1004" i="1"/>
  <c r="F1004" i="1"/>
  <c r="E1004" i="5" s="1"/>
  <c r="C1004" i="1"/>
  <c r="J1004" i="1" s="1"/>
  <c r="H1003" i="1"/>
  <c r="C1003" i="1"/>
  <c r="H1002" i="1"/>
  <c r="C1002" i="1"/>
  <c r="H1001" i="1"/>
  <c r="F1001" i="1"/>
  <c r="E1001" i="5" s="1"/>
  <c r="C1001" i="1"/>
  <c r="J1001" i="1" s="1"/>
  <c r="H1000" i="1"/>
  <c r="C1000" i="1"/>
  <c r="F1000" i="1" s="1"/>
  <c r="E1000" i="5" s="1"/>
  <c r="H999" i="1"/>
  <c r="F999" i="1"/>
  <c r="E999" i="5" s="1"/>
  <c r="C999" i="1"/>
  <c r="H998" i="1"/>
  <c r="C998" i="1"/>
  <c r="F998" i="1" s="1"/>
  <c r="E998" i="5" s="1"/>
  <c r="H997" i="1"/>
  <c r="C997" i="1"/>
  <c r="F997" i="1" s="1"/>
  <c r="E997" i="5" s="1"/>
  <c r="H996" i="1"/>
  <c r="C996" i="1"/>
  <c r="F996" i="1" s="1"/>
  <c r="E996" i="5" s="1"/>
  <c r="H995" i="1"/>
  <c r="C995" i="1"/>
  <c r="F995" i="1" s="1"/>
  <c r="E995" i="5" s="1"/>
  <c r="H994" i="1"/>
  <c r="C994" i="1"/>
  <c r="F994" i="1" s="1"/>
  <c r="E994" i="5" s="1"/>
  <c r="H993" i="1"/>
  <c r="C993" i="1"/>
  <c r="H992" i="1"/>
  <c r="C992" i="1"/>
  <c r="H991" i="1"/>
  <c r="C991" i="1"/>
  <c r="H990" i="1"/>
  <c r="C990" i="1"/>
  <c r="J990" i="1" s="1"/>
  <c r="H989" i="1"/>
  <c r="C989" i="1"/>
  <c r="F989" i="1" s="1"/>
  <c r="E989" i="5" s="1"/>
  <c r="H988" i="1"/>
  <c r="C988" i="1"/>
  <c r="F988" i="1" s="1"/>
  <c r="E988" i="5" s="1"/>
  <c r="H987" i="1"/>
  <c r="C987" i="1"/>
  <c r="F987" i="1" s="1"/>
  <c r="E987" i="5" s="1"/>
  <c r="H986" i="1"/>
  <c r="C986" i="1"/>
  <c r="F986" i="1" s="1"/>
  <c r="E986" i="5" s="1"/>
  <c r="H985" i="1"/>
  <c r="F985" i="1"/>
  <c r="E985" i="5" s="1"/>
  <c r="C985" i="1"/>
  <c r="H984" i="1"/>
  <c r="C984" i="1"/>
  <c r="F984" i="1" s="1"/>
  <c r="E984" i="5" s="1"/>
  <c r="H983" i="1"/>
  <c r="C983" i="1"/>
  <c r="F983" i="1" s="1"/>
  <c r="E983" i="5" s="1"/>
  <c r="H982" i="1"/>
  <c r="C982" i="1"/>
  <c r="L981" i="1"/>
  <c r="H981" i="1"/>
  <c r="C981" i="1"/>
  <c r="J981" i="1" s="1"/>
  <c r="H980" i="1"/>
  <c r="C980" i="1"/>
  <c r="H979" i="1"/>
  <c r="C979" i="1"/>
  <c r="H978" i="1"/>
  <c r="C978" i="1"/>
  <c r="F978" i="1" s="1"/>
  <c r="E978" i="5" s="1"/>
  <c r="H977" i="1"/>
  <c r="C977" i="1"/>
  <c r="F977" i="1" s="1"/>
  <c r="E977" i="5" s="1"/>
  <c r="H976" i="1"/>
  <c r="C976" i="1"/>
  <c r="F976" i="1" s="1"/>
  <c r="E976" i="5" s="1"/>
  <c r="H975" i="1"/>
  <c r="F975" i="1"/>
  <c r="E975" i="5" s="1"/>
  <c r="C975" i="1"/>
  <c r="H974" i="1"/>
  <c r="C974" i="1"/>
  <c r="F974" i="1" s="1"/>
  <c r="E974" i="5" s="1"/>
  <c r="H973" i="1"/>
  <c r="C973" i="1"/>
  <c r="F973" i="1" s="1"/>
  <c r="E973" i="5" s="1"/>
  <c r="H972" i="1"/>
  <c r="C972" i="1"/>
  <c r="F972" i="1" s="1"/>
  <c r="E972" i="5" s="1"/>
  <c r="H971" i="1"/>
  <c r="C971" i="1"/>
  <c r="L970" i="1"/>
  <c r="H970" i="1"/>
  <c r="F970" i="1"/>
  <c r="E970" i="5" s="1"/>
  <c r="C970" i="1"/>
  <c r="J970" i="1" s="1"/>
  <c r="H969" i="1"/>
  <c r="F969" i="1"/>
  <c r="E969" i="5" s="1"/>
  <c r="C969" i="1"/>
  <c r="H968" i="1"/>
  <c r="C968" i="1"/>
  <c r="H967" i="1"/>
  <c r="F967" i="1"/>
  <c r="E967" i="5" s="1"/>
  <c r="C967" i="1"/>
  <c r="H966" i="1"/>
  <c r="F966" i="1"/>
  <c r="E966" i="5" s="1"/>
  <c r="C966" i="1"/>
  <c r="H965" i="1"/>
  <c r="C965" i="1"/>
  <c r="F965" i="1" s="1"/>
  <c r="E965" i="5" s="1"/>
  <c r="H964" i="1"/>
  <c r="C964" i="1"/>
  <c r="F964" i="1" s="1"/>
  <c r="E964" i="5" s="1"/>
  <c r="H963" i="1"/>
  <c r="C963" i="1"/>
  <c r="F963" i="1" s="1"/>
  <c r="E963" i="5" s="1"/>
  <c r="H962" i="1"/>
  <c r="C962" i="1"/>
  <c r="F962" i="1" s="1"/>
  <c r="E962" i="5" s="1"/>
  <c r="H961" i="1"/>
  <c r="C961" i="1"/>
  <c r="F961" i="1" s="1"/>
  <c r="E961" i="5" s="1"/>
  <c r="H960" i="1"/>
  <c r="C960" i="1"/>
  <c r="H959" i="1"/>
  <c r="C959" i="1"/>
  <c r="H958" i="1"/>
  <c r="C958" i="1"/>
  <c r="H957" i="1"/>
  <c r="C957" i="1"/>
  <c r="J957" i="1" s="1"/>
  <c r="H956" i="1"/>
  <c r="C956" i="1"/>
  <c r="F956" i="1" s="1"/>
  <c r="E956" i="5" s="1"/>
  <c r="H955" i="1"/>
  <c r="C955" i="1"/>
  <c r="F955" i="1" s="1"/>
  <c r="E955" i="5" s="1"/>
  <c r="H954" i="1"/>
  <c r="C954" i="1"/>
  <c r="F954" i="1" s="1"/>
  <c r="E954" i="5" s="1"/>
  <c r="H953" i="1"/>
  <c r="F953" i="1"/>
  <c r="E953" i="5" s="1"/>
  <c r="C953" i="1"/>
  <c r="H952" i="1"/>
  <c r="C952" i="1"/>
  <c r="F952" i="1" s="1"/>
  <c r="E952" i="5" s="1"/>
  <c r="H951" i="1"/>
  <c r="F951" i="1"/>
  <c r="E951" i="5" s="1"/>
  <c r="C951" i="1"/>
  <c r="H950" i="1"/>
  <c r="F950" i="1"/>
  <c r="E950" i="5" s="1"/>
  <c r="C950" i="1"/>
  <c r="H949" i="1"/>
  <c r="F949" i="1"/>
  <c r="E949" i="5" s="1"/>
  <c r="C949" i="1"/>
  <c r="H948" i="1"/>
  <c r="C948" i="1"/>
  <c r="H947" i="1"/>
  <c r="C947" i="1"/>
  <c r="J947" i="1" s="1"/>
  <c r="L947" i="1" s="1"/>
  <c r="H946" i="1"/>
  <c r="C946" i="1"/>
  <c r="J946" i="1" s="1"/>
  <c r="H945" i="1"/>
  <c r="F945" i="1"/>
  <c r="E945" i="5" s="1"/>
  <c r="C945" i="1"/>
  <c r="H944" i="1"/>
  <c r="C944" i="1"/>
  <c r="F944" i="1" s="1"/>
  <c r="E944" i="5" s="1"/>
  <c r="H943" i="1"/>
  <c r="C943" i="1"/>
  <c r="F943" i="1" s="1"/>
  <c r="E943" i="5" s="1"/>
  <c r="H942" i="1"/>
  <c r="F942" i="1"/>
  <c r="E942" i="5" s="1"/>
  <c r="C942" i="1"/>
  <c r="H941" i="1"/>
  <c r="C941" i="1"/>
  <c r="F941" i="1" s="1"/>
  <c r="E941" i="5" s="1"/>
  <c r="H940" i="1"/>
  <c r="C940" i="1"/>
  <c r="F940" i="1" s="1"/>
  <c r="E940" i="5" s="1"/>
  <c r="H939" i="1"/>
  <c r="C939" i="1"/>
  <c r="F939" i="1" s="1"/>
  <c r="E939" i="5" s="1"/>
  <c r="H938" i="1"/>
  <c r="C938" i="1"/>
  <c r="H937" i="1"/>
  <c r="C937" i="1"/>
  <c r="H936" i="1"/>
  <c r="C936" i="1"/>
  <c r="J936" i="1" s="1"/>
  <c r="L936" i="1" s="1"/>
  <c r="H935" i="1"/>
  <c r="F935" i="1"/>
  <c r="E935" i="5" s="1"/>
  <c r="C935" i="1"/>
  <c r="J935" i="1" s="1"/>
  <c r="H934" i="1"/>
  <c r="C934" i="1"/>
  <c r="F934" i="1" s="1"/>
  <c r="E934" i="5" s="1"/>
  <c r="H933" i="1"/>
  <c r="C933" i="1"/>
  <c r="F933" i="1" s="1"/>
  <c r="E933" i="5" s="1"/>
  <c r="H932" i="1"/>
  <c r="C932" i="1"/>
  <c r="F932" i="1" s="1"/>
  <c r="E932" i="5" s="1"/>
  <c r="H931" i="1"/>
  <c r="C931" i="1"/>
  <c r="F931" i="1" s="1"/>
  <c r="E931" i="5" s="1"/>
  <c r="H930" i="1"/>
  <c r="C930" i="1"/>
  <c r="F930" i="1" s="1"/>
  <c r="E930" i="5" s="1"/>
  <c r="H929" i="1"/>
  <c r="F929" i="1"/>
  <c r="E929" i="5" s="1"/>
  <c r="C929" i="1"/>
  <c r="H928" i="1"/>
  <c r="C928" i="1"/>
  <c r="F928" i="1" s="1"/>
  <c r="E928" i="5" s="1"/>
  <c r="H927" i="1"/>
  <c r="C927" i="1"/>
  <c r="J927" i="1" s="1"/>
  <c r="L927" i="1" s="1"/>
  <c r="H926" i="1"/>
  <c r="C926" i="1"/>
  <c r="H925" i="1"/>
  <c r="C925" i="1"/>
  <c r="H924" i="1"/>
  <c r="C924" i="1"/>
  <c r="H923" i="1"/>
  <c r="C923" i="1"/>
  <c r="F923" i="1" s="1"/>
  <c r="E923" i="5" s="1"/>
  <c r="H922" i="1"/>
  <c r="C922" i="1"/>
  <c r="F922" i="1" s="1"/>
  <c r="E922" i="5" s="1"/>
  <c r="H921" i="1"/>
  <c r="C921" i="1"/>
  <c r="F921" i="1" s="1"/>
  <c r="E921" i="5" s="1"/>
  <c r="H920" i="1"/>
  <c r="C920" i="1"/>
  <c r="F920" i="1" s="1"/>
  <c r="E920" i="5" s="1"/>
  <c r="H919" i="1"/>
  <c r="C919" i="1"/>
  <c r="F919" i="1" s="1"/>
  <c r="E919" i="5" s="1"/>
  <c r="H918" i="1"/>
  <c r="C918" i="1"/>
  <c r="F918" i="1" s="1"/>
  <c r="E918" i="5" s="1"/>
  <c r="H917" i="1"/>
  <c r="F917" i="1"/>
  <c r="E917" i="5" s="1"/>
  <c r="C917" i="1"/>
  <c r="L916" i="1"/>
  <c r="H916" i="1"/>
  <c r="F916" i="1"/>
  <c r="E916" i="5" s="1"/>
  <c r="C916" i="1"/>
  <c r="J916" i="1" s="1"/>
  <c r="H915" i="1"/>
  <c r="C915" i="1"/>
  <c r="H914" i="1"/>
  <c r="C914" i="1"/>
  <c r="H913" i="1"/>
  <c r="C913" i="1"/>
  <c r="J913" i="1" s="1"/>
  <c r="H912" i="1"/>
  <c r="C912" i="1"/>
  <c r="F912" i="1" s="1"/>
  <c r="E912" i="5" s="1"/>
  <c r="H911" i="1"/>
  <c r="C911" i="1"/>
  <c r="F911" i="1" s="1"/>
  <c r="E911" i="5" s="1"/>
  <c r="H910" i="1"/>
  <c r="C910" i="1"/>
  <c r="F910" i="1" s="1"/>
  <c r="E910" i="5" s="1"/>
  <c r="H909" i="1"/>
  <c r="C909" i="1"/>
  <c r="F909" i="1" s="1"/>
  <c r="E909" i="5" s="1"/>
  <c r="H908" i="1"/>
  <c r="C908" i="1"/>
  <c r="F908" i="1" s="1"/>
  <c r="E908" i="5" s="1"/>
  <c r="H907" i="1"/>
  <c r="C907" i="1"/>
  <c r="F907" i="1" s="1"/>
  <c r="E907" i="5" s="1"/>
  <c r="H906" i="1"/>
  <c r="C906" i="1"/>
  <c r="F906" i="1" s="1"/>
  <c r="E906" i="5" s="1"/>
  <c r="H905" i="1"/>
  <c r="C905" i="1"/>
  <c r="H904" i="1"/>
  <c r="C904" i="1"/>
  <c r="H903" i="1"/>
  <c r="C903" i="1"/>
  <c r="H902" i="1"/>
  <c r="C902" i="1"/>
  <c r="J902" i="1" s="1"/>
  <c r="H901" i="1"/>
  <c r="C901" i="1"/>
  <c r="F901" i="1" s="1"/>
  <c r="E901" i="5" s="1"/>
  <c r="H900" i="1"/>
  <c r="C900" i="1"/>
  <c r="F900" i="1" s="1"/>
  <c r="E900" i="5" s="1"/>
  <c r="H899" i="1"/>
  <c r="C899" i="1"/>
  <c r="F899" i="1" s="1"/>
  <c r="E899" i="5" s="1"/>
  <c r="H898" i="1"/>
  <c r="C898" i="1"/>
  <c r="F898" i="1" s="1"/>
  <c r="E898" i="5" s="1"/>
  <c r="H897" i="1"/>
  <c r="C897" i="1"/>
  <c r="F897" i="1" s="1"/>
  <c r="E897" i="5" s="1"/>
  <c r="H896" i="1"/>
  <c r="C896" i="1"/>
  <c r="F896" i="1" s="1"/>
  <c r="E896" i="5" s="1"/>
  <c r="H895" i="1"/>
  <c r="C895" i="1"/>
  <c r="F895" i="1" s="1"/>
  <c r="E895" i="5" s="1"/>
  <c r="H894" i="1"/>
  <c r="C894" i="1"/>
  <c r="L893" i="1"/>
  <c r="H893" i="1"/>
  <c r="C893" i="1"/>
  <c r="J893" i="1" s="1"/>
  <c r="H892" i="1"/>
  <c r="C892" i="1"/>
  <c r="H891" i="1"/>
  <c r="C891" i="1"/>
  <c r="H890" i="1"/>
  <c r="C890" i="1"/>
  <c r="F890" i="1" s="1"/>
  <c r="E890" i="5" s="1"/>
  <c r="H889" i="1"/>
  <c r="C889" i="1"/>
  <c r="F889" i="1" s="1"/>
  <c r="E889" i="5" s="1"/>
  <c r="H888" i="1"/>
  <c r="C888" i="1"/>
  <c r="F888" i="1" s="1"/>
  <c r="E888" i="5" s="1"/>
  <c r="H887" i="1"/>
  <c r="F887" i="1"/>
  <c r="E887" i="5" s="1"/>
  <c r="C887" i="1"/>
  <c r="H886" i="1"/>
  <c r="C886" i="1"/>
  <c r="F886" i="1" s="1"/>
  <c r="E886" i="5" s="1"/>
  <c r="H885" i="1"/>
  <c r="C885" i="1"/>
  <c r="F885" i="1" s="1"/>
  <c r="E885" i="5" s="1"/>
  <c r="H884" i="1"/>
  <c r="C884" i="1"/>
  <c r="F884" i="1" s="1"/>
  <c r="E884" i="5" s="1"/>
  <c r="H883" i="1"/>
  <c r="C883" i="1"/>
  <c r="L882" i="1"/>
  <c r="H882" i="1"/>
  <c r="F882" i="1"/>
  <c r="E882" i="5" s="1"/>
  <c r="C882" i="1"/>
  <c r="J882" i="1" s="1"/>
  <c r="H881" i="1"/>
  <c r="F881" i="1"/>
  <c r="E881" i="5" s="1"/>
  <c r="C881" i="1"/>
  <c r="H880" i="1"/>
  <c r="C880" i="1"/>
  <c r="H879" i="1"/>
  <c r="F879" i="1"/>
  <c r="E879" i="5" s="1"/>
  <c r="C879" i="1"/>
  <c r="H878" i="1"/>
  <c r="F878" i="1"/>
  <c r="E878" i="5" s="1"/>
  <c r="C878" i="1"/>
  <c r="H877" i="1"/>
  <c r="C877" i="1"/>
  <c r="F877" i="1" s="1"/>
  <c r="E877" i="5" s="1"/>
  <c r="H876" i="1"/>
  <c r="C876" i="1"/>
  <c r="F876" i="1" s="1"/>
  <c r="E876" i="5" s="1"/>
  <c r="H875" i="1"/>
  <c r="C875" i="1"/>
  <c r="F875" i="1" s="1"/>
  <c r="E875" i="5" s="1"/>
  <c r="H874" i="1"/>
  <c r="C874" i="1"/>
  <c r="F874" i="1" s="1"/>
  <c r="E874" i="5" s="1"/>
  <c r="H873" i="1"/>
  <c r="C873" i="1"/>
  <c r="F873" i="1" s="1"/>
  <c r="E873" i="5" s="1"/>
  <c r="H872" i="1"/>
  <c r="C872" i="1"/>
  <c r="H871" i="1"/>
  <c r="C871" i="1"/>
  <c r="H870" i="1"/>
  <c r="C870" i="1"/>
  <c r="H869" i="1"/>
  <c r="C869" i="1"/>
  <c r="J869" i="1" s="1"/>
  <c r="H868" i="1"/>
  <c r="C868" i="1"/>
  <c r="F868" i="1" s="1"/>
  <c r="E868" i="5" s="1"/>
  <c r="H867" i="1"/>
  <c r="C867" i="1"/>
  <c r="F867" i="1" s="1"/>
  <c r="E867" i="5" s="1"/>
  <c r="H866" i="1"/>
  <c r="C866" i="1"/>
  <c r="F866" i="1" s="1"/>
  <c r="E866" i="5" s="1"/>
  <c r="H865" i="1"/>
  <c r="F865" i="1"/>
  <c r="E865" i="5" s="1"/>
  <c r="C865" i="1"/>
  <c r="H864" i="1"/>
  <c r="C864" i="1"/>
  <c r="F864" i="1" s="1"/>
  <c r="E864" i="5" s="1"/>
  <c r="H863" i="1"/>
  <c r="F863" i="1"/>
  <c r="E863" i="5" s="1"/>
  <c r="C863" i="1"/>
  <c r="H862" i="1"/>
  <c r="F862" i="1"/>
  <c r="E862" i="5" s="1"/>
  <c r="C862" i="1"/>
  <c r="H861" i="1"/>
  <c r="F861" i="1"/>
  <c r="E861" i="5" s="1"/>
  <c r="C861" i="1"/>
  <c r="H860" i="1"/>
  <c r="C860" i="1"/>
  <c r="H859" i="1"/>
  <c r="C859" i="1"/>
  <c r="J859" i="1" s="1"/>
  <c r="L859" i="1" s="1"/>
  <c r="H858" i="1"/>
  <c r="C858" i="1"/>
  <c r="J858" i="1" s="1"/>
  <c r="H857" i="1"/>
  <c r="F857" i="1"/>
  <c r="E857" i="5" s="1"/>
  <c r="C857" i="1"/>
  <c r="H856" i="1"/>
  <c r="C856" i="1"/>
  <c r="F856" i="1" s="1"/>
  <c r="E856" i="5" s="1"/>
  <c r="H855" i="1"/>
  <c r="C855" i="1"/>
  <c r="F855" i="1" s="1"/>
  <c r="E855" i="5" s="1"/>
  <c r="H854" i="1"/>
  <c r="F854" i="1"/>
  <c r="E854" i="5" s="1"/>
  <c r="C854" i="1"/>
  <c r="H853" i="1"/>
  <c r="C853" i="1"/>
  <c r="F853" i="1" s="1"/>
  <c r="E853" i="5" s="1"/>
  <c r="H852" i="1"/>
  <c r="C852" i="1"/>
  <c r="F852" i="1" s="1"/>
  <c r="E852" i="5" s="1"/>
  <c r="H851" i="1"/>
  <c r="C851" i="1"/>
  <c r="F851" i="1" s="1"/>
  <c r="E851" i="5" s="1"/>
  <c r="H850" i="1"/>
  <c r="C850" i="1"/>
  <c r="H849" i="1"/>
  <c r="C849" i="1"/>
  <c r="H848" i="1"/>
  <c r="C848" i="1"/>
  <c r="J848" i="1" s="1"/>
  <c r="L848" i="1" s="1"/>
  <c r="H847" i="1"/>
  <c r="C847" i="1"/>
  <c r="J847" i="1" s="1"/>
  <c r="H846" i="1"/>
  <c r="C846" i="1"/>
  <c r="F846" i="1" s="1"/>
  <c r="E846" i="5" s="1"/>
  <c r="H845" i="1"/>
  <c r="C845" i="1"/>
  <c r="F845" i="1" s="1"/>
  <c r="E845" i="5" s="1"/>
  <c r="H844" i="1"/>
  <c r="C844" i="1"/>
  <c r="F844" i="1" s="1"/>
  <c r="E844" i="5" s="1"/>
  <c r="H843" i="1"/>
  <c r="C843" i="1"/>
  <c r="F843" i="1" s="1"/>
  <c r="E843" i="5" s="1"/>
  <c r="H842" i="1"/>
  <c r="C842" i="1"/>
  <c r="F842" i="1" s="1"/>
  <c r="E842" i="5" s="1"/>
  <c r="H841" i="1"/>
  <c r="F841" i="1"/>
  <c r="E841" i="5" s="1"/>
  <c r="C841" i="1"/>
  <c r="H840" i="1"/>
  <c r="C840" i="1"/>
  <c r="F840" i="1" s="1"/>
  <c r="E840" i="5" s="1"/>
  <c r="H839" i="1"/>
  <c r="C839" i="1"/>
  <c r="J839" i="1" s="1"/>
  <c r="L839" i="1" s="1"/>
  <c r="H838" i="1"/>
  <c r="C838" i="1"/>
  <c r="H837" i="1"/>
  <c r="C837" i="1"/>
  <c r="H836" i="1"/>
  <c r="C836" i="1"/>
  <c r="H835" i="1"/>
  <c r="C835" i="1"/>
  <c r="F835" i="1" s="1"/>
  <c r="E835" i="5" s="1"/>
  <c r="H834" i="1"/>
  <c r="C834" i="1"/>
  <c r="F834" i="1" s="1"/>
  <c r="E834" i="5" s="1"/>
  <c r="H833" i="1"/>
  <c r="C833" i="1"/>
  <c r="F833" i="1" s="1"/>
  <c r="E833" i="5" s="1"/>
  <c r="H832" i="1"/>
  <c r="C832" i="1"/>
  <c r="F832" i="1" s="1"/>
  <c r="E832" i="5" s="1"/>
  <c r="H831" i="1"/>
  <c r="C831" i="1"/>
  <c r="F831" i="1" s="1"/>
  <c r="E831" i="5" s="1"/>
  <c r="H830" i="1"/>
  <c r="F830" i="1"/>
  <c r="E830" i="5" s="1"/>
  <c r="C830" i="1"/>
  <c r="H829" i="1"/>
  <c r="C829" i="1"/>
  <c r="F829" i="1" s="1"/>
  <c r="E829" i="5" s="1"/>
  <c r="H828" i="1"/>
  <c r="C828" i="1"/>
  <c r="J828" i="1" s="1"/>
  <c r="L828" i="1" s="1"/>
  <c r="H827" i="1"/>
  <c r="C827" i="1"/>
  <c r="J827" i="1" s="1"/>
  <c r="H826" i="1"/>
  <c r="C826" i="1"/>
  <c r="H825" i="1"/>
  <c r="C825" i="1"/>
  <c r="J825" i="1" s="1"/>
  <c r="H824" i="1"/>
  <c r="C824" i="1"/>
  <c r="F824" i="1" s="1"/>
  <c r="E824" i="5" s="1"/>
  <c r="H823" i="1"/>
  <c r="C823" i="1"/>
  <c r="F823" i="1" s="1"/>
  <c r="E823" i="5" s="1"/>
  <c r="H822" i="1"/>
  <c r="C822" i="1"/>
  <c r="F822" i="1" s="1"/>
  <c r="E822" i="5" s="1"/>
  <c r="H821" i="1"/>
  <c r="C821" i="1"/>
  <c r="F821" i="1" s="1"/>
  <c r="E821" i="5" s="1"/>
  <c r="H820" i="1"/>
  <c r="C820" i="1"/>
  <c r="F820" i="1" s="1"/>
  <c r="E820" i="5" s="1"/>
  <c r="H819" i="1"/>
  <c r="C819" i="1"/>
  <c r="F819" i="1" s="1"/>
  <c r="E819" i="5" s="1"/>
  <c r="H818" i="1"/>
  <c r="C818" i="1"/>
  <c r="F818" i="1" s="1"/>
  <c r="E818" i="5" s="1"/>
  <c r="H817" i="1"/>
  <c r="C817" i="1"/>
  <c r="H816" i="1"/>
  <c r="F816" i="1"/>
  <c r="E816" i="5" s="1"/>
  <c r="C816" i="1"/>
  <c r="H815" i="1"/>
  <c r="C815" i="1"/>
  <c r="H814" i="1"/>
  <c r="C814" i="1"/>
  <c r="J814" i="1" s="1"/>
  <c r="H813" i="1"/>
  <c r="C813" i="1"/>
  <c r="F813" i="1" s="1"/>
  <c r="E813" i="5" s="1"/>
  <c r="H812" i="1"/>
  <c r="C812" i="1"/>
  <c r="F812" i="1" s="1"/>
  <c r="E812" i="5" s="1"/>
  <c r="H811" i="1"/>
  <c r="C811" i="1"/>
  <c r="F811" i="1" s="1"/>
  <c r="E811" i="5" s="1"/>
  <c r="H810" i="1"/>
  <c r="C810" i="1"/>
  <c r="F810" i="1" s="1"/>
  <c r="E810" i="5" s="1"/>
  <c r="H809" i="1"/>
  <c r="F809" i="1"/>
  <c r="E809" i="5" s="1"/>
  <c r="C809" i="1"/>
  <c r="H808" i="1"/>
  <c r="C808" i="1"/>
  <c r="F808" i="1" s="1"/>
  <c r="E808" i="5" s="1"/>
  <c r="H807" i="1"/>
  <c r="C807" i="1"/>
  <c r="F807" i="1" s="1"/>
  <c r="E807" i="5" s="1"/>
  <c r="H806" i="1"/>
  <c r="C806" i="1"/>
  <c r="H805" i="1"/>
  <c r="C805" i="1"/>
  <c r="J805" i="1" s="1"/>
  <c r="L805" i="1" s="1"/>
  <c r="H804" i="1"/>
  <c r="C804" i="1"/>
  <c r="H803" i="1"/>
  <c r="C803" i="1"/>
  <c r="H802" i="1"/>
  <c r="C802" i="1"/>
  <c r="F802" i="1" s="1"/>
  <c r="E802" i="5" s="1"/>
  <c r="H801" i="1"/>
  <c r="F801" i="1"/>
  <c r="E801" i="5" s="1"/>
  <c r="C801" i="1"/>
  <c r="H800" i="1"/>
  <c r="C800" i="1"/>
  <c r="F800" i="1" s="1"/>
  <c r="E800" i="5" s="1"/>
  <c r="H799" i="1"/>
  <c r="C799" i="1"/>
  <c r="F799" i="1" s="1"/>
  <c r="E799" i="5" s="1"/>
  <c r="H798" i="1"/>
  <c r="C798" i="1"/>
  <c r="F798" i="1" s="1"/>
  <c r="E798" i="5" s="1"/>
  <c r="H797" i="1"/>
  <c r="C797" i="1"/>
  <c r="F797" i="1" s="1"/>
  <c r="E797" i="5" s="1"/>
  <c r="H796" i="1"/>
  <c r="C796" i="1"/>
  <c r="F796" i="1" s="1"/>
  <c r="E796" i="5" s="1"/>
  <c r="H795" i="1"/>
  <c r="C795" i="1"/>
  <c r="L794" i="1"/>
  <c r="H794" i="1"/>
  <c r="C794" i="1"/>
  <c r="J794" i="1" s="1"/>
  <c r="H793" i="1"/>
  <c r="C793" i="1"/>
  <c r="J793" i="1" s="1"/>
  <c r="H792" i="1"/>
  <c r="C792" i="1"/>
  <c r="H791" i="1"/>
  <c r="C791" i="1"/>
  <c r="F791" i="1" s="1"/>
  <c r="E791" i="5" s="1"/>
  <c r="H790" i="1"/>
  <c r="F790" i="1"/>
  <c r="E790" i="5" s="1"/>
  <c r="C790" i="1"/>
  <c r="H789" i="1"/>
  <c r="C789" i="1"/>
  <c r="F789" i="1" s="1"/>
  <c r="E789" i="5" s="1"/>
  <c r="H788" i="1"/>
  <c r="C788" i="1"/>
  <c r="F788" i="1" s="1"/>
  <c r="E788" i="5" s="1"/>
  <c r="H787" i="1"/>
  <c r="C787" i="1"/>
  <c r="F787" i="1" s="1"/>
  <c r="E787" i="5" s="1"/>
  <c r="H786" i="1"/>
  <c r="C786" i="1"/>
  <c r="F786" i="1" s="1"/>
  <c r="E786" i="5" s="1"/>
  <c r="H785" i="1"/>
  <c r="C785" i="1"/>
  <c r="F785" i="1" s="1"/>
  <c r="E785" i="5" s="1"/>
  <c r="H784" i="1"/>
  <c r="C784" i="1"/>
  <c r="J784" i="1" s="1"/>
  <c r="H783" i="1"/>
  <c r="C783" i="1"/>
  <c r="H782" i="1"/>
  <c r="C782" i="1"/>
  <c r="H781" i="1"/>
  <c r="C781" i="1"/>
  <c r="J781" i="1" s="1"/>
  <c r="H780" i="1"/>
  <c r="C780" i="1"/>
  <c r="F780" i="1" s="1"/>
  <c r="E780" i="5" s="1"/>
  <c r="H779" i="1"/>
  <c r="C779" i="1"/>
  <c r="F779" i="1" s="1"/>
  <c r="E779" i="5" s="1"/>
  <c r="H778" i="1"/>
  <c r="C778" i="1"/>
  <c r="F778" i="1" s="1"/>
  <c r="E778" i="5" s="1"/>
  <c r="H777" i="1"/>
  <c r="C777" i="1"/>
  <c r="F777" i="1" s="1"/>
  <c r="E777" i="5" s="1"/>
  <c r="H776" i="1"/>
  <c r="C776" i="1"/>
  <c r="F776" i="1" s="1"/>
  <c r="E776" i="5" s="1"/>
  <c r="H775" i="1"/>
  <c r="C775" i="1"/>
  <c r="F775" i="1" s="1"/>
  <c r="E775" i="5" s="1"/>
  <c r="H774" i="1"/>
  <c r="F774" i="1"/>
  <c r="E774" i="5" s="1"/>
  <c r="C774" i="1"/>
  <c r="H773" i="1"/>
  <c r="C773" i="1"/>
  <c r="H772" i="1"/>
  <c r="C772" i="1"/>
  <c r="H771" i="1"/>
  <c r="C771" i="1"/>
  <c r="H770" i="1"/>
  <c r="C770" i="1"/>
  <c r="J770" i="1" s="1"/>
  <c r="H769" i="1"/>
  <c r="C769" i="1"/>
  <c r="F769" i="1" s="1"/>
  <c r="E769" i="5" s="1"/>
  <c r="H768" i="1"/>
  <c r="C768" i="1"/>
  <c r="F768" i="1" s="1"/>
  <c r="E768" i="5" s="1"/>
  <c r="H767" i="1"/>
  <c r="C767" i="1"/>
  <c r="F767" i="1" s="1"/>
  <c r="E767" i="5" s="1"/>
  <c r="H766" i="1"/>
  <c r="C766" i="1"/>
  <c r="F766" i="1" s="1"/>
  <c r="E766" i="5" s="1"/>
  <c r="H765" i="1"/>
  <c r="C765" i="1"/>
  <c r="F765" i="1" s="1"/>
  <c r="E765" i="5" s="1"/>
  <c r="H764" i="1"/>
  <c r="C764" i="1"/>
  <c r="F764" i="1" s="1"/>
  <c r="E764" i="5" s="1"/>
  <c r="H763" i="1"/>
  <c r="F763" i="1"/>
  <c r="E763" i="5" s="1"/>
  <c r="C763" i="1"/>
  <c r="H762" i="1"/>
  <c r="C762" i="1"/>
  <c r="H761" i="1"/>
  <c r="C761" i="1"/>
  <c r="L760" i="1"/>
  <c r="H760" i="1"/>
  <c r="F760" i="1"/>
  <c r="E760" i="5" s="1"/>
  <c r="C760" i="1"/>
  <c r="J760" i="1" s="1"/>
  <c r="H759" i="1"/>
  <c r="F759" i="1"/>
  <c r="E759" i="5" s="1"/>
  <c r="C759" i="1"/>
  <c r="J759" i="1" s="1"/>
  <c r="H758" i="1"/>
  <c r="F758" i="1"/>
  <c r="E758" i="5" s="1"/>
  <c r="C758" i="1"/>
  <c r="H757" i="1"/>
  <c r="C757" i="1"/>
  <c r="F757" i="1" s="1"/>
  <c r="E757" i="5" s="1"/>
  <c r="H756" i="1"/>
  <c r="F756" i="1"/>
  <c r="E756" i="5" s="1"/>
  <c r="C756" i="1"/>
  <c r="H755" i="1"/>
  <c r="C755" i="1"/>
  <c r="F755" i="1" s="1"/>
  <c r="E755" i="5" s="1"/>
  <c r="H754" i="1"/>
  <c r="C754" i="1"/>
  <c r="F754" i="1" s="1"/>
  <c r="E754" i="5" s="1"/>
  <c r="H753" i="1"/>
  <c r="C753" i="1"/>
  <c r="F753" i="1" s="1"/>
  <c r="E753" i="5" s="1"/>
  <c r="H752" i="1"/>
  <c r="C752" i="1"/>
  <c r="F752" i="1" s="1"/>
  <c r="E752" i="5" s="1"/>
  <c r="H751" i="1"/>
  <c r="C751" i="1"/>
  <c r="H750" i="1"/>
  <c r="C750" i="1"/>
  <c r="J750" i="1" s="1"/>
  <c r="H749" i="1"/>
  <c r="C749" i="1"/>
  <c r="H748" i="1"/>
  <c r="C748" i="1"/>
  <c r="J748" i="1" s="1"/>
  <c r="H747" i="1"/>
  <c r="C747" i="1"/>
  <c r="F747" i="1" s="1"/>
  <c r="E747" i="5" s="1"/>
  <c r="H746" i="1"/>
  <c r="C746" i="1"/>
  <c r="F746" i="1" s="1"/>
  <c r="E746" i="5" s="1"/>
  <c r="H745" i="1"/>
  <c r="C745" i="1"/>
  <c r="F745" i="1" s="1"/>
  <c r="E745" i="5" s="1"/>
  <c r="H744" i="1"/>
  <c r="C744" i="1"/>
  <c r="F744" i="1" s="1"/>
  <c r="E744" i="5" s="1"/>
  <c r="H743" i="1"/>
  <c r="C743" i="1"/>
  <c r="F743" i="1" s="1"/>
  <c r="E743" i="5" s="1"/>
  <c r="H742" i="1"/>
  <c r="C742" i="1"/>
  <c r="F742" i="1" s="1"/>
  <c r="E742" i="5" s="1"/>
  <c r="H741" i="1"/>
  <c r="C741" i="1"/>
  <c r="F741" i="1" s="1"/>
  <c r="E741" i="5" s="1"/>
  <c r="L740" i="1"/>
  <c r="H740" i="1"/>
  <c r="F740" i="1"/>
  <c r="E740" i="5" s="1"/>
  <c r="C740" i="1"/>
  <c r="J740" i="1" s="1"/>
  <c r="H739" i="1"/>
  <c r="C739" i="1"/>
  <c r="H738" i="1"/>
  <c r="C738" i="1"/>
  <c r="H737" i="1"/>
  <c r="C737" i="1"/>
  <c r="J737" i="1" s="1"/>
  <c r="H736" i="1"/>
  <c r="C736" i="1"/>
  <c r="F736" i="1" s="1"/>
  <c r="E736" i="5" s="1"/>
  <c r="H735" i="1"/>
  <c r="C735" i="1"/>
  <c r="F735" i="1" s="1"/>
  <c r="E735" i="5" s="1"/>
  <c r="H734" i="1"/>
  <c r="C734" i="1"/>
  <c r="F734" i="1" s="1"/>
  <c r="E734" i="5" s="1"/>
  <c r="H733" i="1"/>
  <c r="F733" i="1"/>
  <c r="E733" i="5" s="1"/>
  <c r="C733" i="1"/>
  <c r="H732" i="1"/>
  <c r="F732" i="1"/>
  <c r="E732" i="5" s="1"/>
  <c r="C732" i="1"/>
  <c r="H731" i="1"/>
  <c r="C731" i="1"/>
  <c r="F731" i="1" s="1"/>
  <c r="E731" i="5" s="1"/>
  <c r="H730" i="1"/>
  <c r="C730" i="1"/>
  <c r="F730" i="1" s="1"/>
  <c r="E730" i="5" s="1"/>
  <c r="H729" i="1"/>
  <c r="C729" i="1"/>
  <c r="J729" i="1" s="1"/>
  <c r="L729" i="1" s="1"/>
  <c r="H728" i="1"/>
  <c r="F728" i="1"/>
  <c r="E728" i="5" s="1"/>
  <c r="C728" i="1"/>
  <c r="L727" i="1"/>
  <c r="H727" i="1"/>
  <c r="F727" i="1"/>
  <c r="E727" i="5" s="1"/>
  <c r="C727" i="1"/>
  <c r="J727" i="1" s="1"/>
  <c r="H726" i="1"/>
  <c r="C726" i="1"/>
  <c r="J726" i="1" s="1"/>
  <c r="H725" i="1"/>
  <c r="F725" i="1"/>
  <c r="E725" i="5" s="1"/>
  <c r="C725" i="1"/>
  <c r="H724" i="1"/>
  <c r="F724" i="1"/>
  <c r="E724" i="5" s="1"/>
  <c r="C724" i="1"/>
  <c r="H723" i="1"/>
  <c r="C723" i="1"/>
  <c r="F723" i="1" s="1"/>
  <c r="E723" i="5" s="1"/>
  <c r="H722" i="1"/>
  <c r="C722" i="1"/>
  <c r="F722" i="1" s="1"/>
  <c r="E722" i="5" s="1"/>
  <c r="H721" i="1"/>
  <c r="C721" i="1"/>
  <c r="F721" i="1" s="1"/>
  <c r="E721" i="5" s="1"/>
  <c r="H720" i="1"/>
  <c r="C720" i="1"/>
  <c r="F720" i="1" s="1"/>
  <c r="E720" i="5" s="1"/>
  <c r="H719" i="1"/>
  <c r="C719" i="1"/>
  <c r="F719" i="1" s="1"/>
  <c r="E719" i="5" s="1"/>
  <c r="H718" i="1"/>
  <c r="C718" i="1"/>
  <c r="H717" i="1"/>
  <c r="C717" i="1"/>
  <c r="H716" i="1"/>
  <c r="C716" i="1"/>
  <c r="J716" i="1" s="1"/>
  <c r="L716" i="1" s="1"/>
  <c r="H715" i="1"/>
  <c r="C715" i="1"/>
  <c r="J715" i="1" s="1"/>
  <c r="H714" i="1"/>
  <c r="C714" i="1"/>
  <c r="F714" i="1" s="1"/>
  <c r="E714" i="5" s="1"/>
  <c r="H713" i="1"/>
  <c r="C713" i="1"/>
  <c r="F713" i="1" s="1"/>
  <c r="E713" i="5" s="1"/>
  <c r="H712" i="1"/>
  <c r="C712" i="1"/>
  <c r="F712" i="1" s="1"/>
  <c r="E712" i="5" s="1"/>
  <c r="H711" i="1"/>
  <c r="F711" i="1"/>
  <c r="E711" i="5" s="1"/>
  <c r="C711" i="1"/>
  <c r="H710" i="1"/>
  <c r="C710" i="1"/>
  <c r="F710" i="1" s="1"/>
  <c r="E710" i="5" s="1"/>
  <c r="H709" i="1"/>
  <c r="C709" i="1"/>
  <c r="F709" i="1" s="1"/>
  <c r="E709" i="5" s="1"/>
  <c r="H708" i="1"/>
  <c r="C708" i="1"/>
  <c r="F708" i="1" s="1"/>
  <c r="E708" i="5" s="1"/>
  <c r="H707" i="1"/>
  <c r="C707" i="1"/>
  <c r="H706" i="1"/>
  <c r="C706" i="1"/>
  <c r="H705" i="1"/>
  <c r="C705" i="1"/>
  <c r="H704" i="1"/>
  <c r="C704" i="1"/>
  <c r="H703" i="1"/>
  <c r="C703" i="1"/>
  <c r="F703" i="1" s="1"/>
  <c r="E703" i="5" s="1"/>
  <c r="H702" i="1"/>
  <c r="C702" i="1"/>
  <c r="F702" i="1" s="1"/>
  <c r="E702" i="5" s="1"/>
  <c r="H701" i="1"/>
  <c r="C701" i="1"/>
  <c r="F701" i="1" s="1"/>
  <c r="E701" i="5" s="1"/>
  <c r="H700" i="1"/>
  <c r="C700" i="1"/>
  <c r="F700" i="1" s="1"/>
  <c r="E700" i="5" s="1"/>
  <c r="H699" i="1"/>
  <c r="C699" i="1"/>
  <c r="F699" i="1" s="1"/>
  <c r="E699" i="5" s="1"/>
  <c r="H698" i="1"/>
  <c r="F698" i="1"/>
  <c r="E698" i="5" s="1"/>
  <c r="C698" i="1"/>
  <c r="H697" i="1"/>
  <c r="C697" i="1"/>
  <c r="F697" i="1" s="1"/>
  <c r="E697" i="5" s="1"/>
  <c r="H696" i="1"/>
  <c r="C696" i="1"/>
  <c r="L695" i="1"/>
  <c r="H695" i="1"/>
  <c r="F695" i="1"/>
  <c r="E695" i="5" s="1"/>
  <c r="C695" i="1"/>
  <c r="J695" i="1" s="1"/>
  <c r="H694" i="1"/>
  <c r="C694" i="1"/>
  <c r="H693" i="1"/>
  <c r="C693" i="1"/>
  <c r="J693" i="1" s="1"/>
  <c r="H692" i="1"/>
  <c r="C692" i="1"/>
  <c r="F692" i="1" s="1"/>
  <c r="E692" i="5" s="1"/>
  <c r="H691" i="1"/>
  <c r="C691" i="1"/>
  <c r="F691" i="1" s="1"/>
  <c r="E691" i="5" s="1"/>
  <c r="H690" i="1"/>
  <c r="C690" i="1"/>
  <c r="F690" i="1" s="1"/>
  <c r="E690" i="5" s="1"/>
  <c r="H689" i="1"/>
  <c r="C689" i="1"/>
  <c r="F689" i="1" s="1"/>
  <c r="E689" i="5" s="1"/>
  <c r="H688" i="1"/>
  <c r="C688" i="1"/>
  <c r="F688" i="1" s="1"/>
  <c r="E688" i="5" s="1"/>
  <c r="H687" i="1"/>
  <c r="C687" i="1"/>
  <c r="F687" i="1" s="1"/>
  <c r="E687" i="5" s="1"/>
  <c r="H686" i="1"/>
  <c r="C686" i="1"/>
  <c r="F686" i="1" s="1"/>
  <c r="E686" i="5" s="1"/>
  <c r="H685" i="1"/>
  <c r="C685" i="1"/>
  <c r="H684" i="1"/>
  <c r="C684" i="1"/>
  <c r="H683" i="1"/>
  <c r="C683" i="1"/>
  <c r="H682" i="1"/>
  <c r="F682" i="1"/>
  <c r="E682" i="5" s="1"/>
  <c r="C682" i="1"/>
  <c r="J682" i="1" s="1"/>
  <c r="H681" i="1"/>
  <c r="C681" i="1"/>
  <c r="F681" i="1" s="1"/>
  <c r="E681" i="5" s="1"/>
  <c r="H680" i="1"/>
  <c r="C680" i="1"/>
  <c r="F680" i="1" s="1"/>
  <c r="E680" i="5" s="1"/>
  <c r="H679" i="1"/>
  <c r="C679" i="1"/>
  <c r="F679" i="1" s="1"/>
  <c r="E679" i="5" s="1"/>
  <c r="H678" i="1"/>
  <c r="C678" i="1"/>
  <c r="F678" i="1" s="1"/>
  <c r="E678" i="5" s="1"/>
  <c r="H677" i="1"/>
  <c r="C677" i="1"/>
  <c r="F677" i="1" s="1"/>
  <c r="E677" i="5" s="1"/>
  <c r="H676" i="1"/>
  <c r="C676" i="1"/>
  <c r="F676" i="1" s="1"/>
  <c r="E676" i="5" s="1"/>
  <c r="H675" i="1"/>
  <c r="F675" i="1"/>
  <c r="E675" i="5" s="1"/>
  <c r="C675" i="1"/>
  <c r="L674" i="1"/>
  <c r="H674" i="1"/>
  <c r="C674" i="1"/>
  <c r="J674" i="1" s="1"/>
  <c r="H673" i="1"/>
  <c r="C673" i="1"/>
  <c r="H672" i="1"/>
  <c r="C672" i="1"/>
  <c r="H671" i="1"/>
  <c r="C671" i="1"/>
  <c r="H670" i="1"/>
  <c r="C670" i="1"/>
  <c r="F670" i="1" s="1"/>
  <c r="E670" i="5" s="1"/>
  <c r="H669" i="1"/>
  <c r="C669" i="1"/>
  <c r="F669" i="1" s="1"/>
  <c r="E669" i="5" s="1"/>
  <c r="H668" i="1"/>
  <c r="C668" i="1"/>
  <c r="F668" i="1" s="1"/>
  <c r="E668" i="5" s="1"/>
  <c r="H667" i="1"/>
  <c r="C667" i="1"/>
  <c r="F667" i="1" s="1"/>
  <c r="E667" i="5" s="1"/>
  <c r="H666" i="1"/>
  <c r="C666" i="1"/>
  <c r="F666" i="1" s="1"/>
  <c r="E666" i="5" s="1"/>
  <c r="H665" i="1"/>
  <c r="C665" i="1"/>
  <c r="F665" i="1" s="1"/>
  <c r="E665" i="5" s="1"/>
  <c r="H664" i="1"/>
  <c r="C664" i="1"/>
  <c r="F664" i="1" s="1"/>
  <c r="E664" i="5" s="1"/>
  <c r="H663" i="1"/>
  <c r="C663" i="1"/>
  <c r="L662" i="1"/>
  <c r="H662" i="1"/>
  <c r="F662" i="1"/>
  <c r="E662" i="5" s="1"/>
  <c r="C662" i="1"/>
  <c r="J662" i="1" s="1"/>
  <c r="H661" i="1"/>
  <c r="C661" i="1"/>
  <c r="H660" i="1"/>
  <c r="F660" i="1"/>
  <c r="E660" i="5" s="1"/>
  <c r="C660" i="1"/>
  <c r="J660" i="1" s="1"/>
  <c r="H659" i="1"/>
  <c r="F659" i="1"/>
  <c r="E659" i="5" s="1"/>
  <c r="C659" i="1"/>
  <c r="H658" i="1"/>
  <c r="F658" i="1"/>
  <c r="E658" i="5" s="1"/>
  <c r="C658" i="1"/>
  <c r="H657" i="1"/>
  <c r="C657" i="1"/>
  <c r="F657" i="1" s="1"/>
  <c r="E657" i="5" s="1"/>
  <c r="H656" i="1"/>
  <c r="C656" i="1"/>
  <c r="F656" i="1" s="1"/>
  <c r="E656" i="5" s="1"/>
  <c r="H655" i="1"/>
  <c r="C655" i="1"/>
  <c r="F655" i="1" s="1"/>
  <c r="E655" i="5" s="1"/>
  <c r="H654" i="1"/>
  <c r="C654" i="1"/>
  <c r="F654" i="1" s="1"/>
  <c r="E654" i="5" s="1"/>
  <c r="H653" i="1"/>
  <c r="C653" i="1"/>
  <c r="F653" i="1" s="1"/>
  <c r="E653" i="5" s="1"/>
  <c r="H652" i="1"/>
  <c r="C652" i="1"/>
  <c r="H651" i="1"/>
  <c r="C651" i="1"/>
  <c r="H650" i="1"/>
  <c r="C650" i="1"/>
  <c r="H649" i="1"/>
  <c r="C649" i="1"/>
  <c r="H648" i="1"/>
  <c r="C648" i="1"/>
  <c r="F648" i="1" s="1"/>
  <c r="E648" i="5" s="1"/>
  <c r="H647" i="1"/>
  <c r="C647" i="1"/>
  <c r="F647" i="1" s="1"/>
  <c r="E647" i="5" s="1"/>
  <c r="H646" i="1"/>
  <c r="C646" i="1"/>
  <c r="F646" i="1" s="1"/>
  <c r="E646" i="5" s="1"/>
  <c r="H645" i="1"/>
  <c r="C645" i="1"/>
  <c r="F645" i="1" s="1"/>
  <c r="E645" i="5" s="1"/>
  <c r="H644" i="1"/>
  <c r="C644" i="1"/>
  <c r="F644" i="1" s="1"/>
  <c r="E644" i="5" s="1"/>
  <c r="H643" i="1"/>
  <c r="C643" i="1"/>
  <c r="F643" i="1" s="1"/>
  <c r="E643" i="5" s="1"/>
  <c r="H642" i="1"/>
  <c r="F642" i="1"/>
  <c r="E642" i="5" s="1"/>
  <c r="C642" i="1"/>
  <c r="H641" i="1"/>
  <c r="C641" i="1"/>
  <c r="H640" i="1"/>
  <c r="C640" i="1"/>
  <c r="J640" i="1" s="1"/>
  <c r="L640" i="1" s="1"/>
  <c r="H639" i="1"/>
  <c r="C639" i="1"/>
  <c r="H638" i="1"/>
  <c r="C638" i="1"/>
  <c r="J638" i="1" s="1"/>
  <c r="H637" i="1"/>
  <c r="C637" i="1"/>
  <c r="F637" i="1" s="1"/>
  <c r="E637" i="5" s="1"/>
  <c r="H636" i="1"/>
  <c r="F636" i="1"/>
  <c r="E636" i="5" s="1"/>
  <c r="C636" i="1"/>
  <c r="H635" i="1"/>
  <c r="C635" i="1"/>
  <c r="F635" i="1" s="1"/>
  <c r="E635" i="5" s="1"/>
  <c r="H634" i="1"/>
  <c r="F634" i="1"/>
  <c r="E634" i="5" s="1"/>
  <c r="C634" i="1"/>
  <c r="H633" i="1"/>
  <c r="C633" i="1"/>
  <c r="F633" i="1" s="1"/>
  <c r="E633" i="5" s="1"/>
  <c r="H632" i="1"/>
  <c r="C632" i="1"/>
  <c r="F632" i="1" s="1"/>
  <c r="E632" i="5" s="1"/>
  <c r="H631" i="1"/>
  <c r="C631" i="1"/>
  <c r="F631" i="1" s="1"/>
  <c r="E631" i="5" s="1"/>
  <c r="H630" i="1"/>
  <c r="C630" i="1"/>
  <c r="H629" i="1"/>
  <c r="C629" i="1"/>
  <c r="H628" i="1"/>
  <c r="C628" i="1"/>
  <c r="J628" i="1" s="1"/>
  <c r="L628" i="1" s="1"/>
  <c r="H627" i="1"/>
  <c r="F627" i="1"/>
  <c r="E627" i="5" s="1"/>
  <c r="C627" i="1"/>
  <c r="J627" i="1" s="1"/>
  <c r="H626" i="1"/>
  <c r="C626" i="1"/>
  <c r="F626" i="1" s="1"/>
  <c r="E626" i="5" s="1"/>
  <c r="H625" i="1"/>
  <c r="C625" i="1"/>
  <c r="F625" i="1" s="1"/>
  <c r="E625" i="5" s="1"/>
  <c r="H624" i="1"/>
  <c r="C624" i="1"/>
  <c r="F624" i="1" s="1"/>
  <c r="E624" i="5" s="1"/>
  <c r="H623" i="1"/>
  <c r="C623" i="1"/>
  <c r="F623" i="1" s="1"/>
  <c r="E623" i="5" s="1"/>
  <c r="H622" i="1"/>
  <c r="C622" i="1"/>
  <c r="F622" i="1" s="1"/>
  <c r="E622" i="5" s="1"/>
  <c r="H621" i="1"/>
  <c r="C621" i="1"/>
  <c r="F621" i="1" s="1"/>
  <c r="E621" i="5" s="1"/>
  <c r="H620" i="1"/>
  <c r="F620" i="1"/>
  <c r="E620" i="5" s="1"/>
  <c r="C620" i="1"/>
  <c r="H619" i="1"/>
  <c r="C619" i="1"/>
  <c r="H618" i="1"/>
  <c r="C618" i="1"/>
  <c r="H617" i="1"/>
  <c r="C617" i="1"/>
  <c r="H616" i="1"/>
  <c r="C616" i="1"/>
  <c r="J616" i="1" s="1"/>
  <c r="H615" i="1"/>
  <c r="C615" i="1"/>
  <c r="F615" i="1" s="1"/>
  <c r="E615" i="5" s="1"/>
  <c r="H614" i="1"/>
  <c r="C614" i="1"/>
  <c r="F614" i="1" s="1"/>
  <c r="E614" i="5" s="1"/>
  <c r="H613" i="1"/>
  <c r="C613" i="1"/>
  <c r="F613" i="1" s="1"/>
  <c r="E613" i="5" s="1"/>
  <c r="H612" i="1"/>
  <c r="C612" i="1"/>
  <c r="F612" i="1" s="1"/>
  <c r="E612" i="5" s="1"/>
  <c r="H611" i="1"/>
  <c r="C611" i="1"/>
  <c r="F611" i="1" s="1"/>
  <c r="E611" i="5" s="1"/>
  <c r="H610" i="1"/>
  <c r="E610" i="5"/>
  <c r="C610" i="1"/>
  <c r="H609" i="1"/>
  <c r="C609" i="1"/>
  <c r="F609" i="1" s="1"/>
  <c r="E609" i="5" s="1"/>
  <c r="H608" i="1"/>
  <c r="C608" i="1"/>
  <c r="J608" i="1" s="1"/>
  <c r="L608" i="1" s="1"/>
  <c r="H607" i="1"/>
  <c r="C607" i="1"/>
  <c r="L606" i="1"/>
  <c r="H606" i="1"/>
  <c r="F606" i="1"/>
  <c r="E606" i="5" s="1"/>
  <c r="C606" i="1"/>
  <c r="J606" i="1" s="1"/>
  <c r="H605" i="1"/>
  <c r="C605" i="1"/>
  <c r="J605" i="1" s="1"/>
  <c r="H604" i="1"/>
  <c r="C604" i="1"/>
  <c r="F604" i="1" s="1"/>
  <c r="E604" i="5" s="1"/>
  <c r="H603" i="1"/>
  <c r="F603" i="1"/>
  <c r="E603" i="5" s="1"/>
  <c r="C603" i="1"/>
  <c r="H602" i="1"/>
  <c r="F602" i="1"/>
  <c r="E602" i="5" s="1"/>
  <c r="C602" i="1"/>
  <c r="H601" i="1"/>
  <c r="C601" i="1"/>
  <c r="F601" i="1" s="1"/>
  <c r="E601" i="5" s="1"/>
  <c r="H600" i="1"/>
  <c r="C600" i="1"/>
  <c r="F600" i="1" s="1"/>
  <c r="E600" i="5" s="1"/>
  <c r="H599" i="1"/>
  <c r="F599" i="1"/>
  <c r="E599" i="5" s="1"/>
  <c r="C599" i="1"/>
  <c r="H598" i="1"/>
  <c r="C598" i="1"/>
  <c r="F598" i="1" s="1"/>
  <c r="E598" i="5" s="1"/>
  <c r="L597" i="1"/>
  <c r="H597" i="1"/>
  <c r="F597" i="1"/>
  <c r="E597" i="5" s="1"/>
  <c r="C597" i="1"/>
  <c r="J597" i="1" s="1"/>
  <c r="H596" i="1"/>
  <c r="C596" i="1"/>
  <c r="H595" i="1"/>
  <c r="C595" i="1"/>
  <c r="H594" i="1"/>
  <c r="F594" i="1"/>
  <c r="E594" i="5" s="1"/>
  <c r="C594" i="1"/>
  <c r="J594" i="1" s="1"/>
  <c r="H593" i="1"/>
  <c r="C593" i="1"/>
  <c r="F593" i="1" s="1"/>
  <c r="E593" i="5" s="1"/>
  <c r="H592" i="1"/>
  <c r="C592" i="1"/>
  <c r="F592" i="1" s="1"/>
  <c r="E592" i="5" s="1"/>
  <c r="H591" i="1"/>
  <c r="C591" i="1"/>
  <c r="F591" i="1" s="1"/>
  <c r="E591" i="5" s="1"/>
  <c r="H590" i="1"/>
  <c r="C590" i="1"/>
  <c r="F590" i="1" s="1"/>
  <c r="E590" i="5" s="1"/>
  <c r="H589" i="1"/>
  <c r="C589" i="1"/>
  <c r="F589" i="1" s="1"/>
  <c r="E589" i="5" s="1"/>
  <c r="H588" i="1"/>
  <c r="F588" i="1"/>
  <c r="E588" i="5" s="1"/>
  <c r="C588" i="1"/>
  <c r="H587" i="1"/>
  <c r="C587" i="1"/>
  <c r="F587" i="1" s="1"/>
  <c r="E587" i="5" s="1"/>
  <c r="H586" i="1"/>
  <c r="C586" i="1"/>
  <c r="J586" i="1" s="1"/>
  <c r="L586" i="1" s="1"/>
  <c r="H585" i="1"/>
  <c r="C585" i="1"/>
  <c r="H584" i="1"/>
  <c r="C584" i="1"/>
  <c r="H583" i="1"/>
  <c r="C583" i="1"/>
  <c r="J583" i="1" s="1"/>
  <c r="H582" i="1"/>
  <c r="C582" i="1"/>
  <c r="F582" i="1" s="1"/>
  <c r="E582" i="5" s="1"/>
  <c r="H581" i="1"/>
  <c r="C581" i="1"/>
  <c r="F581" i="1" s="1"/>
  <c r="E581" i="5" s="1"/>
  <c r="H580" i="1"/>
  <c r="F580" i="1"/>
  <c r="E580" i="5" s="1"/>
  <c r="C580" i="1"/>
  <c r="H579" i="1"/>
  <c r="F579" i="1"/>
  <c r="E579" i="5" s="1"/>
  <c r="C579" i="1"/>
  <c r="H578" i="1"/>
  <c r="C578" i="1"/>
  <c r="F578" i="1" s="1"/>
  <c r="E578" i="5" s="1"/>
  <c r="H577" i="1"/>
  <c r="C577" i="1"/>
  <c r="F577" i="1" s="1"/>
  <c r="E577" i="5" s="1"/>
  <c r="H576" i="1"/>
  <c r="C576" i="1"/>
  <c r="F576" i="1" s="1"/>
  <c r="E576" i="5" s="1"/>
  <c r="H575" i="1"/>
  <c r="C575" i="1"/>
  <c r="L574" i="1"/>
  <c r="H574" i="1"/>
  <c r="C574" i="1"/>
  <c r="J574" i="1" s="1"/>
  <c r="H573" i="1"/>
  <c r="C573" i="1"/>
  <c r="H572" i="1"/>
  <c r="F572" i="1"/>
  <c r="E572" i="5" s="1"/>
  <c r="C572" i="1"/>
  <c r="J572" i="1" s="1"/>
  <c r="H571" i="1"/>
  <c r="C571" i="1"/>
  <c r="F571" i="1" s="1"/>
  <c r="E571" i="5" s="1"/>
  <c r="H570" i="1"/>
  <c r="F570" i="1"/>
  <c r="E570" i="5" s="1"/>
  <c r="C570" i="1"/>
  <c r="H569" i="1"/>
  <c r="C569" i="1"/>
  <c r="F569" i="1" s="1"/>
  <c r="E569" i="5" s="1"/>
  <c r="H568" i="1"/>
  <c r="C568" i="1"/>
  <c r="F568" i="1" s="1"/>
  <c r="E568" i="5" s="1"/>
  <c r="H567" i="1"/>
  <c r="C567" i="1"/>
  <c r="F567" i="1" s="1"/>
  <c r="E567" i="5" s="1"/>
  <c r="H566" i="1"/>
  <c r="C566" i="1"/>
  <c r="F566" i="1" s="1"/>
  <c r="E566" i="5" s="1"/>
  <c r="H565" i="1"/>
  <c r="C565" i="1"/>
  <c r="F565" i="1" s="1"/>
  <c r="E565" i="5" s="1"/>
  <c r="H564" i="1"/>
  <c r="C564" i="1"/>
  <c r="H563" i="1"/>
  <c r="C563" i="1"/>
  <c r="H562" i="1"/>
  <c r="C562" i="1"/>
  <c r="H561" i="1"/>
  <c r="C561" i="1"/>
  <c r="H560" i="1"/>
  <c r="C560" i="1"/>
  <c r="F560" i="1" s="1"/>
  <c r="E560" i="5" s="1"/>
  <c r="H559" i="1"/>
  <c r="F559" i="1"/>
  <c r="E559" i="5" s="1"/>
  <c r="C559" i="1"/>
  <c r="H558" i="1"/>
  <c r="C558" i="1"/>
  <c r="F558" i="1" s="1"/>
  <c r="E558" i="5" s="1"/>
  <c r="H557" i="1"/>
  <c r="C557" i="1"/>
  <c r="F557" i="1" s="1"/>
  <c r="E557" i="5" s="1"/>
  <c r="H556" i="1"/>
  <c r="C556" i="1"/>
  <c r="F556" i="1" s="1"/>
  <c r="E556" i="5" s="1"/>
  <c r="H555" i="1"/>
  <c r="F555" i="1"/>
  <c r="E555" i="5" s="1"/>
  <c r="C555" i="1"/>
  <c r="H554" i="1"/>
  <c r="C554" i="1"/>
  <c r="F554" i="1" s="1"/>
  <c r="E554" i="5" s="1"/>
  <c r="H553" i="1"/>
  <c r="F553" i="1"/>
  <c r="E553" i="5" s="1"/>
  <c r="C553" i="1"/>
  <c r="L552" i="1"/>
  <c r="H552" i="1"/>
  <c r="C552" i="1"/>
  <c r="J552" i="1" s="1"/>
  <c r="H551" i="1"/>
  <c r="C551" i="1"/>
  <c r="H550" i="1"/>
  <c r="C550" i="1"/>
  <c r="J550" i="1" s="1"/>
  <c r="H549" i="1"/>
  <c r="C549" i="1"/>
  <c r="F549" i="1" s="1"/>
  <c r="E549" i="5" s="1"/>
  <c r="H548" i="1"/>
  <c r="C548" i="1"/>
  <c r="F548" i="1" s="1"/>
  <c r="E548" i="5" s="1"/>
  <c r="H547" i="1"/>
  <c r="F547" i="1"/>
  <c r="E547" i="5" s="1"/>
  <c r="C547" i="1"/>
  <c r="H546" i="1"/>
  <c r="F546" i="1"/>
  <c r="E546" i="5" s="1"/>
  <c r="C546" i="1"/>
  <c r="H545" i="1"/>
  <c r="C545" i="1"/>
  <c r="F545" i="1" s="1"/>
  <c r="E545" i="5" s="1"/>
  <c r="H544" i="1"/>
  <c r="C544" i="1"/>
  <c r="F544" i="1" s="1"/>
  <c r="E544" i="5" s="1"/>
  <c r="H543" i="1"/>
  <c r="F543" i="1"/>
  <c r="E543" i="5" s="1"/>
  <c r="C543" i="1"/>
  <c r="H542" i="1"/>
  <c r="C542" i="1"/>
  <c r="H541" i="1"/>
  <c r="C541" i="1"/>
  <c r="L540" i="1"/>
  <c r="H540" i="1"/>
  <c r="F540" i="1"/>
  <c r="E540" i="5" s="1"/>
  <c r="C540" i="1"/>
  <c r="J540" i="1" s="1"/>
  <c r="H539" i="1"/>
  <c r="F539" i="1"/>
  <c r="E539" i="5" s="1"/>
  <c r="C539" i="1"/>
  <c r="J539" i="1" s="1"/>
  <c r="H538" i="1"/>
  <c r="C538" i="1"/>
  <c r="F538" i="1" s="1"/>
  <c r="E538" i="5" s="1"/>
  <c r="H537" i="1"/>
  <c r="C537" i="1"/>
  <c r="F537" i="1" s="1"/>
  <c r="E537" i="5" s="1"/>
  <c r="H536" i="1"/>
  <c r="C536" i="1"/>
  <c r="F536" i="1" s="1"/>
  <c r="E536" i="5" s="1"/>
  <c r="H535" i="1"/>
  <c r="C535" i="1"/>
  <c r="F535" i="1" s="1"/>
  <c r="E535" i="5" s="1"/>
  <c r="H534" i="1"/>
  <c r="C534" i="1"/>
  <c r="F534" i="1" s="1"/>
  <c r="E534" i="5" s="1"/>
  <c r="H533" i="1"/>
  <c r="C533" i="1"/>
  <c r="F533" i="1" s="1"/>
  <c r="E533" i="5" s="1"/>
  <c r="H532" i="1"/>
  <c r="F532" i="1"/>
  <c r="E532" i="5" s="1"/>
  <c r="C532" i="1"/>
  <c r="H531" i="1"/>
  <c r="C531" i="1"/>
  <c r="H530" i="1"/>
  <c r="C530" i="1"/>
  <c r="H529" i="1"/>
  <c r="C529" i="1"/>
  <c r="H528" i="1"/>
  <c r="C528" i="1"/>
  <c r="J528" i="1" s="1"/>
  <c r="H527" i="1"/>
  <c r="C527" i="1"/>
  <c r="F527" i="1" s="1"/>
  <c r="E527" i="5" s="1"/>
  <c r="H526" i="1"/>
  <c r="C526" i="1"/>
  <c r="F526" i="1" s="1"/>
  <c r="E526" i="5" s="1"/>
  <c r="H525" i="1"/>
  <c r="C525" i="1"/>
  <c r="F525" i="1" s="1"/>
  <c r="E525" i="5" s="1"/>
  <c r="H524" i="1"/>
  <c r="F524" i="1"/>
  <c r="E524" i="5" s="1"/>
  <c r="C524" i="1"/>
  <c r="H523" i="1"/>
  <c r="F523" i="1"/>
  <c r="E523" i="5" s="1"/>
  <c r="C523" i="1"/>
  <c r="H522" i="1"/>
  <c r="F522" i="1"/>
  <c r="E522" i="5" s="1"/>
  <c r="C522" i="1"/>
  <c r="H521" i="1"/>
  <c r="C521" i="1"/>
  <c r="F521" i="1" s="1"/>
  <c r="E521" i="5" s="1"/>
  <c r="L520" i="1"/>
  <c r="H520" i="1"/>
  <c r="C520" i="1"/>
  <c r="J520" i="1" s="1"/>
  <c r="H519" i="1"/>
  <c r="C519" i="1"/>
  <c r="L518" i="1"/>
  <c r="H518" i="1"/>
  <c r="F518" i="1"/>
  <c r="E518" i="5" s="1"/>
  <c r="C518" i="1"/>
  <c r="J518" i="1" s="1"/>
  <c r="H517" i="1"/>
  <c r="C517" i="1"/>
  <c r="J517" i="1" s="1"/>
  <c r="H516" i="1"/>
  <c r="F516" i="1"/>
  <c r="E516" i="5" s="1"/>
  <c r="C516" i="1"/>
  <c r="H515" i="1"/>
  <c r="F515" i="1"/>
  <c r="E515" i="5" s="1"/>
  <c r="C515" i="1"/>
  <c r="H514" i="1"/>
  <c r="F514" i="1"/>
  <c r="E514" i="5" s="1"/>
  <c r="C514" i="1"/>
  <c r="H513" i="1"/>
  <c r="C513" i="1"/>
  <c r="F513" i="1" s="1"/>
  <c r="E513" i="5" s="1"/>
  <c r="H512" i="1"/>
  <c r="C512" i="1"/>
  <c r="F512" i="1" s="1"/>
  <c r="E512" i="5" s="1"/>
  <c r="H511" i="1"/>
  <c r="C511" i="1"/>
  <c r="F511" i="1" s="1"/>
  <c r="E511" i="5" s="1"/>
  <c r="H510" i="1"/>
  <c r="C510" i="1"/>
  <c r="F510" i="1" s="1"/>
  <c r="E510" i="5" s="1"/>
  <c r="H509" i="1"/>
  <c r="C509" i="1"/>
  <c r="H508" i="1"/>
  <c r="C508" i="1"/>
  <c r="H507" i="1"/>
  <c r="C507" i="1"/>
  <c r="H506" i="1"/>
  <c r="C506" i="1"/>
  <c r="J506" i="1" s="1"/>
  <c r="H505" i="1"/>
  <c r="C505" i="1"/>
  <c r="F505" i="1" s="1"/>
  <c r="E505" i="5" s="1"/>
  <c r="H504" i="1"/>
  <c r="C504" i="1"/>
  <c r="F504" i="1" s="1"/>
  <c r="E504" i="5" s="1"/>
  <c r="H503" i="1"/>
  <c r="F503" i="1"/>
  <c r="E503" i="5" s="1"/>
  <c r="C503" i="1"/>
  <c r="H502" i="1"/>
  <c r="C502" i="1"/>
  <c r="F502" i="1" s="1"/>
  <c r="E502" i="5" s="1"/>
  <c r="H501" i="1"/>
  <c r="C501" i="1"/>
  <c r="F501" i="1" s="1"/>
  <c r="E501" i="5" s="1"/>
  <c r="H500" i="1"/>
  <c r="C500" i="1"/>
  <c r="F500" i="1" s="1"/>
  <c r="E500" i="5" s="1"/>
  <c r="H499" i="1"/>
  <c r="C499" i="1"/>
  <c r="F499" i="1" s="1"/>
  <c r="E499" i="5" s="1"/>
  <c r="H498" i="1"/>
  <c r="C498" i="1"/>
  <c r="H497" i="1"/>
  <c r="C497" i="1"/>
  <c r="H496" i="1"/>
  <c r="C496" i="1"/>
  <c r="H495" i="1"/>
  <c r="F495" i="1"/>
  <c r="E495" i="5" s="1"/>
  <c r="C495" i="1"/>
  <c r="J495" i="1" s="1"/>
  <c r="H494" i="1"/>
  <c r="C494" i="1"/>
  <c r="F494" i="1" s="1"/>
  <c r="E494" i="5" s="1"/>
  <c r="H493" i="1"/>
  <c r="C493" i="1"/>
  <c r="F493" i="1" s="1"/>
  <c r="E493" i="5" s="1"/>
  <c r="H492" i="1"/>
  <c r="C492" i="1"/>
  <c r="F492" i="1" s="1"/>
  <c r="E492" i="5" s="1"/>
  <c r="H491" i="1"/>
  <c r="C491" i="1"/>
  <c r="F491" i="1" s="1"/>
  <c r="E491" i="5" s="1"/>
  <c r="H490" i="1"/>
  <c r="C490" i="1"/>
  <c r="F490" i="1" s="1"/>
  <c r="E490" i="5" s="1"/>
  <c r="H489" i="1"/>
  <c r="F489" i="1"/>
  <c r="E489" i="5" s="1"/>
  <c r="C489" i="1"/>
  <c r="H488" i="1"/>
  <c r="C488" i="1"/>
  <c r="F488" i="1" s="1"/>
  <c r="E488" i="5" s="1"/>
  <c r="L487" i="1"/>
  <c r="H487" i="1"/>
  <c r="F487" i="1"/>
  <c r="E487" i="5" s="1"/>
  <c r="C487" i="1"/>
  <c r="J487" i="1" s="1"/>
  <c r="H486" i="1"/>
  <c r="F486" i="1"/>
  <c r="E486" i="5" s="1"/>
  <c r="C486" i="1"/>
  <c r="H485" i="1"/>
  <c r="F485" i="1"/>
  <c r="E485" i="5" s="1"/>
  <c r="C485" i="1"/>
  <c r="H484" i="1"/>
  <c r="C484" i="1"/>
  <c r="H483" i="1"/>
  <c r="C483" i="1"/>
  <c r="F483" i="1" s="1"/>
  <c r="E483" i="5" s="1"/>
  <c r="H482" i="1"/>
  <c r="C482" i="1"/>
  <c r="F482" i="1" s="1"/>
  <c r="E482" i="5" s="1"/>
  <c r="H481" i="1"/>
  <c r="C481" i="1"/>
  <c r="F481" i="1" s="1"/>
  <c r="E481" i="5" s="1"/>
  <c r="H480" i="1"/>
  <c r="C480" i="1"/>
  <c r="F480" i="1" s="1"/>
  <c r="E480" i="5" s="1"/>
  <c r="H479" i="1"/>
  <c r="C479" i="1"/>
  <c r="F479" i="1" s="1"/>
  <c r="E479" i="5" s="1"/>
  <c r="H478" i="1"/>
  <c r="C478" i="1"/>
  <c r="F478" i="1" s="1"/>
  <c r="E478" i="5" s="1"/>
  <c r="H477" i="1"/>
  <c r="C477" i="1"/>
  <c r="F477" i="1" s="1"/>
  <c r="E477" i="5" s="1"/>
  <c r="H476" i="1"/>
  <c r="C476" i="1"/>
  <c r="H475" i="1"/>
  <c r="C475" i="1"/>
  <c r="H474" i="1"/>
  <c r="C474" i="1"/>
  <c r="J474" i="1" s="1"/>
  <c r="L474" i="1" s="1"/>
  <c r="H473" i="1"/>
  <c r="C473" i="1"/>
  <c r="J473" i="1" s="1"/>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337" i="5"/>
  <c r="G2338" i="5"/>
  <c r="G2339" i="5"/>
  <c r="G2340" i="5"/>
  <c r="G2341" i="5"/>
  <c r="G2342" i="5"/>
  <c r="G2343" i="5"/>
  <c r="G2344" i="5"/>
  <c r="G2345" i="5"/>
  <c r="G2346" i="5"/>
  <c r="G2347" i="5"/>
  <c r="G2348" i="5"/>
  <c r="G2349" i="5"/>
  <c r="G2350" i="5"/>
  <c r="G2351" i="5"/>
  <c r="G2352" i="5"/>
  <c r="G2353" i="5"/>
  <c r="G2354" i="5"/>
  <c r="G2355" i="5"/>
  <c r="G2356" i="5"/>
  <c r="G2357" i="5"/>
  <c r="G2358" i="5"/>
  <c r="G2359" i="5"/>
  <c r="G2360" i="5"/>
  <c r="G2361" i="5"/>
  <c r="G2362" i="5"/>
  <c r="G2363" i="5"/>
  <c r="G2364" i="5"/>
  <c r="G2365" i="5"/>
  <c r="G2366" i="5"/>
  <c r="G2367" i="5"/>
  <c r="G2368" i="5"/>
  <c r="G2369" i="5"/>
  <c r="G2370" i="5"/>
  <c r="G2371" i="5"/>
  <c r="G2372" i="5"/>
  <c r="G2373" i="5"/>
  <c r="G2239" i="5"/>
  <c r="E2369" i="5"/>
  <c r="E2345" i="5"/>
  <c r="E2341" i="5"/>
  <c r="E2309" i="5"/>
  <c r="E2285" i="5"/>
  <c r="E2273" i="5"/>
  <c r="C2371" i="5"/>
  <c r="E2371" i="5" s="1"/>
  <c r="C2368" i="5"/>
  <c r="E2368" i="5" s="1"/>
  <c r="C2365" i="5"/>
  <c r="E2365" i="5" s="1"/>
  <c r="C2362" i="5"/>
  <c r="E2362" i="5" s="1"/>
  <c r="C2359" i="5"/>
  <c r="E2359" i="5" s="1"/>
  <c r="C2356" i="5"/>
  <c r="E2356" i="5" s="1"/>
  <c r="C2353" i="5"/>
  <c r="E2353" i="5" s="1"/>
  <c r="C2350" i="5"/>
  <c r="E2350" i="5" s="1"/>
  <c r="C2347" i="5"/>
  <c r="E2347" i="5" s="1"/>
  <c r="C2344" i="5"/>
  <c r="E2344" i="5" s="1"/>
  <c r="C2341" i="5"/>
  <c r="C2338" i="5"/>
  <c r="E2338" i="5" s="1"/>
  <c r="C2335" i="5"/>
  <c r="E2335" i="5" s="1"/>
  <c r="C2332" i="5"/>
  <c r="E2332" i="5" s="1"/>
  <c r="C2329" i="5"/>
  <c r="E2329" i="5" s="1"/>
  <c r="C2326" i="5"/>
  <c r="E2326" i="5" s="1"/>
  <c r="C2323" i="5"/>
  <c r="E2323" i="5" s="1"/>
  <c r="C2320" i="5"/>
  <c r="E2320" i="5" s="1"/>
  <c r="C2317" i="5"/>
  <c r="E2317" i="5" s="1"/>
  <c r="C2314" i="5"/>
  <c r="E2314" i="5" s="1"/>
  <c r="C2311" i="5"/>
  <c r="E2311" i="5" s="1"/>
  <c r="C2308" i="5"/>
  <c r="E2308" i="5" s="1"/>
  <c r="C2305" i="5"/>
  <c r="E2305" i="5" s="1"/>
  <c r="C2302" i="5"/>
  <c r="E2302" i="5" s="1"/>
  <c r="C2299" i="5"/>
  <c r="E2299" i="5" s="1"/>
  <c r="C2296" i="5"/>
  <c r="E2296" i="5" s="1"/>
  <c r="C2293" i="5"/>
  <c r="E2293" i="5" s="1"/>
  <c r="C2290" i="5"/>
  <c r="E2290" i="5" s="1"/>
  <c r="C2287" i="5"/>
  <c r="E2287" i="5" s="1"/>
  <c r="C2284" i="5"/>
  <c r="E2284" i="5" s="1"/>
  <c r="C2281" i="5"/>
  <c r="E2281" i="5" s="1"/>
  <c r="C2278" i="5"/>
  <c r="E2278" i="5" s="1"/>
  <c r="C2275" i="5"/>
  <c r="E2275" i="5" s="1"/>
  <c r="C2272" i="5"/>
  <c r="E2272" i="5" s="1"/>
  <c r="C2269" i="5"/>
  <c r="E2269" i="5" s="1"/>
  <c r="C2266" i="5"/>
  <c r="C2263" i="5"/>
  <c r="C2260" i="5"/>
  <c r="C2257" i="5"/>
  <c r="C2254" i="5"/>
  <c r="C2251" i="5"/>
  <c r="C2248" i="5"/>
  <c r="C2245" i="5"/>
  <c r="C2242" i="5"/>
  <c r="C2239" i="5"/>
  <c r="C2373" i="5"/>
  <c r="E2373" i="5" s="1"/>
  <c r="C2372" i="5"/>
  <c r="E2372" i="5" s="1"/>
  <c r="C2370" i="5"/>
  <c r="E2370" i="5" s="1"/>
  <c r="C2369" i="5"/>
  <c r="C2367" i="5"/>
  <c r="E2367" i="5" s="1"/>
  <c r="C2366" i="5"/>
  <c r="E2366" i="5" s="1"/>
  <c r="C2364" i="5"/>
  <c r="E2364" i="5" s="1"/>
  <c r="C2363" i="5"/>
  <c r="E2363" i="5" s="1"/>
  <c r="C2361" i="5"/>
  <c r="E2361" i="5" s="1"/>
  <c r="C2360" i="5"/>
  <c r="E2360" i="5" s="1"/>
  <c r="C2358" i="5"/>
  <c r="E2358" i="5" s="1"/>
  <c r="C2357" i="5"/>
  <c r="E2357" i="5" s="1"/>
  <c r="C2355" i="5"/>
  <c r="E2355" i="5" s="1"/>
  <c r="C2354" i="5"/>
  <c r="E2354" i="5" s="1"/>
  <c r="C2352" i="5"/>
  <c r="E2352" i="5" s="1"/>
  <c r="C2351" i="5"/>
  <c r="E2351" i="5" s="1"/>
  <c r="C2349" i="5"/>
  <c r="E2349" i="5" s="1"/>
  <c r="C2348" i="5"/>
  <c r="E2348" i="5" s="1"/>
  <c r="C2346" i="5"/>
  <c r="E2346" i="5" s="1"/>
  <c r="C2345" i="5"/>
  <c r="C2343" i="5"/>
  <c r="E2343" i="5" s="1"/>
  <c r="C2342" i="5"/>
  <c r="E2342" i="5" s="1"/>
  <c r="C2340" i="5"/>
  <c r="E2340" i="5" s="1"/>
  <c r="C2339" i="5"/>
  <c r="E2339" i="5" s="1"/>
  <c r="C2337" i="5"/>
  <c r="E2337" i="5" s="1"/>
  <c r="C2336" i="5"/>
  <c r="E2336" i="5" s="1"/>
  <c r="C2334" i="5"/>
  <c r="E2334" i="5" s="1"/>
  <c r="C2333" i="5"/>
  <c r="E2333" i="5" s="1"/>
  <c r="C2331" i="5"/>
  <c r="E2331" i="5" s="1"/>
  <c r="C2330" i="5"/>
  <c r="E2330" i="5" s="1"/>
  <c r="C2328" i="5"/>
  <c r="E2328" i="5" s="1"/>
  <c r="C2327" i="5"/>
  <c r="E2327" i="5" s="1"/>
  <c r="C2325" i="5"/>
  <c r="E2325" i="5" s="1"/>
  <c r="C2324" i="5"/>
  <c r="E2324" i="5" s="1"/>
  <c r="C2322" i="5"/>
  <c r="E2322" i="5" s="1"/>
  <c r="C2321" i="5"/>
  <c r="E2321" i="5" s="1"/>
  <c r="C2319" i="5"/>
  <c r="E2319" i="5" s="1"/>
  <c r="C2318" i="5"/>
  <c r="E2318" i="5" s="1"/>
  <c r="C2316" i="5"/>
  <c r="E2316" i="5" s="1"/>
  <c r="C2315" i="5"/>
  <c r="E2315" i="5" s="1"/>
  <c r="C2313" i="5"/>
  <c r="E2313" i="5" s="1"/>
  <c r="C2312" i="5"/>
  <c r="E2312" i="5" s="1"/>
  <c r="C2310" i="5"/>
  <c r="E2310" i="5" s="1"/>
  <c r="C2309" i="5"/>
  <c r="C2307" i="5"/>
  <c r="E2307" i="5" s="1"/>
  <c r="C2306" i="5"/>
  <c r="E2306" i="5" s="1"/>
  <c r="C2304" i="5"/>
  <c r="E2304" i="5" s="1"/>
  <c r="C2303" i="5"/>
  <c r="E2303" i="5" s="1"/>
  <c r="C2301" i="5"/>
  <c r="E2301" i="5" s="1"/>
  <c r="C2300" i="5"/>
  <c r="E2300" i="5" s="1"/>
  <c r="C2298" i="5"/>
  <c r="E2298" i="5" s="1"/>
  <c r="C2297" i="5"/>
  <c r="E2297" i="5" s="1"/>
  <c r="C2295" i="5"/>
  <c r="E2295" i="5" s="1"/>
  <c r="C2294" i="5"/>
  <c r="E2294" i="5" s="1"/>
  <c r="C2292" i="5"/>
  <c r="E2292" i="5" s="1"/>
  <c r="C2291" i="5"/>
  <c r="E2291" i="5" s="1"/>
  <c r="C2289" i="5"/>
  <c r="E2289" i="5" s="1"/>
  <c r="C2288" i="5"/>
  <c r="E2288" i="5" s="1"/>
  <c r="C2286" i="5"/>
  <c r="E2286" i="5" s="1"/>
  <c r="C2285" i="5"/>
  <c r="C2283" i="5"/>
  <c r="E2283" i="5" s="1"/>
  <c r="C2282" i="5"/>
  <c r="E2282" i="5" s="1"/>
  <c r="C2280" i="5"/>
  <c r="E2280" i="5" s="1"/>
  <c r="C2279" i="5"/>
  <c r="E2279" i="5" s="1"/>
  <c r="C2277" i="5"/>
  <c r="E2277" i="5" s="1"/>
  <c r="C2276" i="5"/>
  <c r="E2276" i="5" s="1"/>
  <c r="C2274" i="5"/>
  <c r="E2274" i="5" s="1"/>
  <c r="C2273" i="5"/>
  <c r="C2271" i="5"/>
  <c r="E2271" i="5" s="1"/>
  <c r="C2270" i="5"/>
  <c r="E2270" i="5" s="1"/>
  <c r="C2268" i="5"/>
  <c r="C2267" i="5"/>
  <c r="C2265" i="5"/>
  <c r="C2264" i="5"/>
  <c r="C2262" i="5"/>
  <c r="C2261" i="5"/>
  <c r="C2259" i="5"/>
  <c r="C2258" i="5"/>
  <c r="C2256" i="5"/>
  <c r="C2255" i="5"/>
  <c r="C2253" i="5"/>
  <c r="C2252" i="5"/>
  <c r="C2250" i="5"/>
  <c r="C2249" i="5"/>
  <c r="C2247" i="5"/>
  <c r="C2246" i="5"/>
  <c r="C2244" i="5"/>
  <c r="C2243" i="5"/>
  <c r="C2241" i="5"/>
  <c r="C2240"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099" i="5"/>
  <c r="E2233" i="5"/>
  <c r="E2185" i="5"/>
  <c r="E2169" i="5"/>
  <c r="E2153" i="5"/>
  <c r="E2145" i="5"/>
  <c r="C2233" i="5"/>
  <c r="C2232" i="5"/>
  <c r="E2232" i="5" s="1"/>
  <c r="C2231" i="5"/>
  <c r="E2231" i="5" s="1"/>
  <c r="C2230" i="5"/>
  <c r="E2230" i="5" s="1"/>
  <c r="C2229" i="5"/>
  <c r="E2229" i="5" s="1"/>
  <c r="C2228" i="5"/>
  <c r="E2228" i="5" s="1"/>
  <c r="C2227" i="5"/>
  <c r="E2227" i="5" s="1"/>
  <c r="C2226" i="5"/>
  <c r="E2226" i="5" s="1"/>
  <c r="C2225" i="5"/>
  <c r="E2225" i="5" s="1"/>
  <c r="C2224" i="5"/>
  <c r="E2224" i="5" s="1"/>
  <c r="C2223" i="5"/>
  <c r="E2223" i="5" s="1"/>
  <c r="C2222" i="5"/>
  <c r="E2222" i="5" s="1"/>
  <c r="C2221" i="5"/>
  <c r="E2221" i="5" s="1"/>
  <c r="C2220" i="5"/>
  <c r="E2220" i="5" s="1"/>
  <c r="C2219" i="5"/>
  <c r="E2219" i="5" s="1"/>
  <c r="C2218" i="5"/>
  <c r="E2218" i="5" s="1"/>
  <c r="C2217" i="5"/>
  <c r="E2217" i="5" s="1"/>
  <c r="C2216" i="5"/>
  <c r="E2216" i="5" s="1"/>
  <c r="C2215" i="5"/>
  <c r="E2215" i="5" s="1"/>
  <c r="C2214" i="5"/>
  <c r="E2214" i="5" s="1"/>
  <c r="C2213" i="5"/>
  <c r="E2213" i="5" s="1"/>
  <c r="C2212" i="5"/>
  <c r="E2212" i="5" s="1"/>
  <c r="C2211" i="5"/>
  <c r="E2211" i="5" s="1"/>
  <c r="C2210" i="5"/>
  <c r="E2210" i="5" s="1"/>
  <c r="C2209" i="5"/>
  <c r="E2209" i="5" s="1"/>
  <c r="C2208" i="5"/>
  <c r="E2208" i="5" s="1"/>
  <c r="C2207" i="5"/>
  <c r="E2207" i="5" s="1"/>
  <c r="C2206" i="5"/>
  <c r="E2206" i="5" s="1"/>
  <c r="C2205" i="5"/>
  <c r="E2205" i="5" s="1"/>
  <c r="C2204" i="5"/>
  <c r="E2204" i="5" s="1"/>
  <c r="C2203" i="5"/>
  <c r="E2203" i="5" s="1"/>
  <c r="C2202" i="5"/>
  <c r="E2202" i="5" s="1"/>
  <c r="C2201" i="5"/>
  <c r="E2201" i="5" s="1"/>
  <c r="C2200" i="5"/>
  <c r="E2200" i="5" s="1"/>
  <c r="C2199" i="5"/>
  <c r="E2199" i="5" s="1"/>
  <c r="C2198" i="5"/>
  <c r="E2198" i="5" s="1"/>
  <c r="C2197" i="5"/>
  <c r="E2197" i="5" s="1"/>
  <c r="C2196" i="5"/>
  <c r="E2196" i="5" s="1"/>
  <c r="C2195" i="5"/>
  <c r="E2195" i="5" s="1"/>
  <c r="C2194" i="5"/>
  <c r="E2194" i="5" s="1"/>
  <c r="C2193" i="5"/>
  <c r="E2193" i="5" s="1"/>
  <c r="C2192" i="5"/>
  <c r="E2192" i="5" s="1"/>
  <c r="C2191" i="5"/>
  <c r="E2191" i="5" s="1"/>
  <c r="C2190" i="5"/>
  <c r="E2190" i="5" s="1"/>
  <c r="C2189" i="5"/>
  <c r="E2189" i="5" s="1"/>
  <c r="C2188" i="5"/>
  <c r="E2188" i="5" s="1"/>
  <c r="C2187" i="5"/>
  <c r="E2187" i="5" s="1"/>
  <c r="C2186" i="5"/>
  <c r="E2186" i="5" s="1"/>
  <c r="C2185" i="5"/>
  <c r="C2184" i="5"/>
  <c r="E2184" i="5" s="1"/>
  <c r="C2183" i="5"/>
  <c r="E2183" i="5" s="1"/>
  <c r="C2182" i="5"/>
  <c r="E2182" i="5" s="1"/>
  <c r="C2181" i="5"/>
  <c r="E2181" i="5" s="1"/>
  <c r="C2180" i="5"/>
  <c r="E2180" i="5" s="1"/>
  <c r="C2179" i="5"/>
  <c r="E2179" i="5" s="1"/>
  <c r="C2178" i="5"/>
  <c r="E2178" i="5" s="1"/>
  <c r="C2177" i="5"/>
  <c r="E2177" i="5" s="1"/>
  <c r="C2176" i="5"/>
  <c r="E2176" i="5" s="1"/>
  <c r="C2175" i="5"/>
  <c r="E2175" i="5" s="1"/>
  <c r="C2174" i="5"/>
  <c r="E2174" i="5" s="1"/>
  <c r="C2173" i="5"/>
  <c r="E2173" i="5" s="1"/>
  <c r="C2172" i="5"/>
  <c r="E2172" i="5" s="1"/>
  <c r="C2171" i="5"/>
  <c r="E2171" i="5" s="1"/>
  <c r="C2170" i="5"/>
  <c r="E2170" i="5" s="1"/>
  <c r="C2169" i="5"/>
  <c r="C2168" i="5"/>
  <c r="E2168" i="5" s="1"/>
  <c r="C2167" i="5"/>
  <c r="E2167" i="5" s="1"/>
  <c r="C2166" i="5"/>
  <c r="E2166" i="5" s="1"/>
  <c r="C2165" i="5"/>
  <c r="E2165" i="5" s="1"/>
  <c r="C2164" i="5"/>
  <c r="E2164" i="5" s="1"/>
  <c r="C2163" i="5"/>
  <c r="E2163" i="5" s="1"/>
  <c r="C2162" i="5"/>
  <c r="E2162" i="5" s="1"/>
  <c r="C2161" i="5"/>
  <c r="E2161" i="5" s="1"/>
  <c r="C2160" i="5"/>
  <c r="E2160" i="5" s="1"/>
  <c r="C2159" i="5"/>
  <c r="E2159" i="5" s="1"/>
  <c r="C2158" i="5"/>
  <c r="E2158" i="5" s="1"/>
  <c r="C2157" i="5"/>
  <c r="E2157" i="5" s="1"/>
  <c r="C2156" i="5"/>
  <c r="E2156" i="5" s="1"/>
  <c r="C2155" i="5"/>
  <c r="E2155" i="5" s="1"/>
  <c r="C2154" i="5"/>
  <c r="E2154" i="5" s="1"/>
  <c r="C2153" i="5"/>
  <c r="C2152" i="5"/>
  <c r="E2152" i="5" s="1"/>
  <c r="C2151" i="5"/>
  <c r="E2151" i="5" s="1"/>
  <c r="C2150" i="5"/>
  <c r="E2150" i="5" s="1"/>
  <c r="C2149" i="5"/>
  <c r="E2149" i="5" s="1"/>
  <c r="C2148" i="5"/>
  <c r="E2148" i="5" s="1"/>
  <c r="C2147" i="5"/>
  <c r="E2147" i="5" s="1"/>
  <c r="C2146" i="5"/>
  <c r="E2146" i="5" s="1"/>
  <c r="C2145" i="5"/>
  <c r="C2144" i="5"/>
  <c r="E2144" i="5" s="1"/>
  <c r="C2143" i="5"/>
  <c r="E2143" i="5" s="1"/>
  <c r="C2142" i="5"/>
  <c r="E2142" i="5" s="1"/>
  <c r="C2141" i="5"/>
  <c r="E2141" i="5" s="1"/>
  <c r="C2140" i="5"/>
  <c r="E2140" i="5" s="1"/>
  <c r="C2139" i="5"/>
  <c r="E2139" i="5" s="1"/>
  <c r="C2138" i="5"/>
  <c r="E2138" i="5" s="1"/>
  <c r="C2137" i="5"/>
  <c r="E2137" i="5" s="1"/>
  <c r="C2136" i="5"/>
  <c r="E2136" i="5" s="1"/>
  <c r="C2135" i="5"/>
  <c r="E2135" i="5" s="1"/>
  <c r="C2134" i="5"/>
  <c r="E2134" i="5" s="1"/>
  <c r="C2133" i="5"/>
  <c r="E2133" i="5" s="1"/>
  <c r="C2132" i="5"/>
  <c r="E2132" i="5" s="1"/>
  <c r="C2131" i="5"/>
  <c r="E2131" i="5" s="1"/>
  <c r="C2130" i="5"/>
  <c r="E2130" i="5" s="1"/>
  <c r="C2129" i="5"/>
  <c r="E2129" i="5" s="1"/>
  <c r="C2128" i="5"/>
  <c r="C2127" i="5"/>
  <c r="C2126" i="5"/>
  <c r="C2125" i="5"/>
  <c r="C2124" i="5"/>
  <c r="C2123" i="5"/>
  <c r="C2122" i="5"/>
  <c r="C2121" i="5"/>
  <c r="C2120" i="5"/>
  <c r="C1396" i="5"/>
  <c r="C1395" i="5"/>
  <c r="C1394" i="5"/>
  <c r="E1394" i="5" s="1"/>
  <c r="C1393" i="5"/>
  <c r="E1393" i="5" s="1"/>
  <c r="C1392" i="5"/>
  <c r="E1392" i="5" s="1"/>
  <c r="C1391" i="5"/>
  <c r="C1390" i="5"/>
  <c r="C1389" i="5"/>
  <c r="C1388" i="5"/>
  <c r="C1387" i="5"/>
  <c r="C1386" i="5"/>
  <c r="C1385" i="5"/>
  <c r="E1385" i="5" s="1"/>
  <c r="C1384" i="5"/>
  <c r="E1384" i="5" s="1"/>
  <c r="C1383" i="5"/>
  <c r="C1382" i="5"/>
  <c r="C1381" i="5"/>
  <c r="C1380" i="5"/>
  <c r="C1379" i="5"/>
  <c r="C1378" i="5"/>
  <c r="C1377" i="5"/>
  <c r="C1376" i="5"/>
  <c r="E1376" i="5" s="1"/>
  <c r="C1375" i="5"/>
  <c r="C1374" i="5"/>
  <c r="C1373" i="5"/>
  <c r="C1372" i="5"/>
  <c r="C1371" i="5"/>
  <c r="C1370" i="5"/>
  <c r="E1370" i="5" s="1"/>
  <c r="C1369" i="5"/>
  <c r="E1369" i="5" s="1"/>
  <c r="C1368" i="5"/>
  <c r="E1368" i="5" s="1"/>
  <c r="C1367" i="5"/>
  <c r="C1366" i="5"/>
  <c r="C1365" i="5"/>
  <c r="C1364" i="5"/>
  <c r="C1363" i="5"/>
  <c r="C1362" i="5"/>
  <c r="E1362" i="5" s="1"/>
  <c r="C1361" i="5"/>
  <c r="E1361" i="5" s="1"/>
  <c r="C1360" i="5"/>
  <c r="E1360" i="5" s="1"/>
  <c r="C1359" i="5"/>
  <c r="C1358" i="5"/>
  <c r="C1357" i="5"/>
  <c r="C1356" i="5"/>
  <c r="C1355" i="5"/>
  <c r="C1354" i="5"/>
  <c r="E1354" i="5" s="1"/>
  <c r="C1353" i="5"/>
  <c r="E1353" i="5" s="1"/>
  <c r="C1352" i="5"/>
  <c r="E1352" i="5" s="1"/>
  <c r="C1351" i="5"/>
  <c r="C1350" i="5"/>
  <c r="C1349" i="5"/>
  <c r="C1348" i="5"/>
  <c r="C1347" i="5"/>
  <c r="C1346" i="5"/>
  <c r="E1346" i="5" s="1"/>
  <c r="C1345" i="5"/>
  <c r="E1345" i="5" s="1"/>
  <c r="C1344" i="5"/>
  <c r="E1344" i="5" s="1"/>
  <c r="C1343" i="5"/>
  <c r="C1342" i="5"/>
  <c r="C1341" i="5"/>
  <c r="C1340" i="5"/>
  <c r="C1339" i="5"/>
  <c r="C1338" i="5"/>
  <c r="E1338" i="5" s="1"/>
  <c r="C1337" i="5"/>
  <c r="E1337" i="5" s="1"/>
  <c r="C1336" i="5"/>
  <c r="E1336" i="5" s="1"/>
  <c r="C1335" i="5"/>
  <c r="C1334" i="5"/>
  <c r="C1333" i="5"/>
  <c r="C1332" i="5"/>
  <c r="C1331" i="5"/>
  <c r="C1330" i="5"/>
  <c r="E1330" i="5" s="1"/>
  <c r="C1329" i="5"/>
  <c r="E1329" i="5" s="1"/>
  <c r="C1328" i="5"/>
  <c r="E1328" i="5" s="1"/>
  <c r="C1327" i="5"/>
  <c r="C1326" i="5"/>
  <c r="C1325" i="5"/>
  <c r="C1324" i="5"/>
  <c r="C1323" i="5"/>
  <c r="C1322" i="5"/>
  <c r="C1321" i="5"/>
  <c r="E1321" i="5" s="1"/>
  <c r="C1320" i="5"/>
  <c r="E1320" i="5" s="1"/>
  <c r="C1319" i="5"/>
  <c r="C1318" i="5"/>
  <c r="C1317" i="5"/>
  <c r="C1316" i="5"/>
  <c r="C1315" i="5"/>
  <c r="C1314" i="5"/>
  <c r="C1313" i="5"/>
  <c r="C1312" i="5"/>
  <c r="E1312" i="5" s="1"/>
  <c r="C1311" i="5"/>
  <c r="C1310" i="5"/>
  <c r="C1309" i="5"/>
  <c r="C1308" i="5"/>
  <c r="C1307" i="5"/>
  <c r="C1302" i="5"/>
  <c r="E1302" i="5" s="1"/>
  <c r="C1301" i="5"/>
  <c r="C1300" i="5"/>
  <c r="E1300" i="5" s="1"/>
  <c r="C1299" i="5"/>
  <c r="C1298" i="5"/>
  <c r="C1297" i="5"/>
  <c r="C1296" i="5"/>
  <c r="C1295" i="5"/>
  <c r="C1294" i="5"/>
  <c r="E1294" i="5" s="1"/>
  <c r="C1293" i="5"/>
  <c r="E1293" i="5" s="1"/>
  <c r="C1292" i="5"/>
  <c r="E1292" i="5" s="1"/>
  <c r="C1291" i="5"/>
  <c r="C1290" i="5"/>
  <c r="C1289" i="5"/>
  <c r="C1288" i="5"/>
  <c r="C1287" i="5"/>
  <c r="C1286" i="5"/>
  <c r="E1286" i="5" s="1"/>
  <c r="C1285" i="5"/>
  <c r="E1285" i="5" s="1"/>
  <c r="C1284" i="5"/>
  <c r="E1284" i="5" s="1"/>
  <c r="C1283" i="5"/>
  <c r="C1282" i="5"/>
  <c r="C1281" i="5"/>
  <c r="C1280" i="5"/>
  <c r="C1279" i="5"/>
  <c r="C1278" i="5"/>
  <c r="E1278" i="5" s="1"/>
  <c r="C1277" i="5"/>
  <c r="E1277" i="5" s="1"/>
  <c r="C1276" i="5"/>
  <c r="E1276" i="5" s="1"/>
  <c r="C1275" i="5"/>
  <c r="C1274" i="5"/>
  <c r="C1273" i="5"/>
  <c r="C1272" i="5"/>
  <c r="C1271" i="5"/>
  <c r="C1270" i="5"/>
  <c r="E1270" i="5" s="1"/>
  <c r="C1269" i="5"/>
  <c r="C1268" i="5"/>
  <c r="E1268" i="5" s="1"/>
  <c r="C1267" i="5"/>
  <c r="C1266" i="5"/>
  <c r="C1265" i="5"/>
  <c r="C1264" i="5"/>
  <c r="C1263" i="5"/>
  <c r="C1262" i="5"/>
  <c r="E1262" i="5" s="1"/>
  <c r="C1261" i="5"/>
  <c r="E1261" i="5" s="1"/>
  <c r="C1260" i="5"/>
  <c r="E1260" i="5" s="1"/>
  <c r="C1259" i="5"/>
  <c r="C1258" i="5"/>
  <c r="C1257" i="5"/>
  <c r="C1256" i="5"/>
  <c r="C1255" i="5"/>
  <c r="C1254" i="5"/>
  <c r="E1254" i="5" s="1"/>
  <c r="C1253" i="5"/>
  <c r="E1253" i="5" s="1"/>
  <c r="C1252" i="5"/>
  <c r="E1252" i="5" s="1"/>
  <c r="C1251" i="5"/>
  <c r="C1250" i="5"/>
  <c r="C1249" i="5"/>
  <c r="C1248" i="5"/>
  <c r="C1247" i="5"/>
  <c r="C1246" i="5"/>
  <c r="E1246" i="5" s="1"/>
  <c r="C1245" i="5"/>
  <c r="E1245" i="5" s="1"/>
  <c r="C1244" i="5"/>
  <c r="E1244" i="5" s="1"/>
  <c r="C1243" i="5"/>
  <c r="C1242" i="5"/>
  <c r="C1241" i="5"/>
  <c r="C1240" i="5"/>
  <c r="C1239" i="5"/>
  <c r="C1238" i="5"/>
  <c r="E1238" i="5" s="1"/>
  <c r="C1237" i="5"/>
  <c r="C1236" i="5"/>
  <c r="E1236" i="5" s="1"/>
  <c r="C1235" i="5"/>
  <c r="C1234" i="5"/>
  <c r="C1233" i="5"/>
  <c r="C1232" i="5"/>
  <c r="C1231" i="5"/>
  <c r="C1230" i="5"/>
  <c r="E1230" i="5" s="1"/>
  <c r="C1229" i="5"/>
  <c r="E1229" i="5" s="1"/>
  <c r="C1228" i="5"/>
  <c r="E1228" i="5" s="1"/>
  <c r="C1227" i="5"/>
  <c r="C1226" i="5"/>
  <c r="C1225" i="5"/>
  <c r="C1224" i="5"/>
  <c r="C1223" i="5"/>
  <c r="C1222" i="5"/>
  <c r="E1222" i="5" s="1"/>
  <c r="C1221" i="5"/>
  <c r="E1221" i="5" s="1"/>
  <c r="C1220" i="5"/>
  <c r="E1220" i="5" s="1"/>
  <c r="C1219" i="5"/>
  <c r="C1218" i="5"/>
  <c r="C1217" i="5"/>
  <c r="C1216" i="5"/>
  <c r="C1215" i="5"/>
  <c r="C1214" i="5"/>
  <c r="E1214" i="5" s="1"/>
  <c r="C1213" i="5"/>
  <c r="E1213" i="5" s="1"/>
  <c r="C1208" i="5"/>
  <c r="E1208" i="5" s="1"/>
  <c r="C1207" i="5"/>
  <c r="C1206" i="5"/>
  <c r="C1205" i="5"/>
  <c r="C1204" i="5"/>
  <c r="C1203" i="5"/>
  <c r="C1202" i="5"/>
  <c r="E1202" i="5" s="1"/>
  <c r="C1201" i="5"/>
  <c r="E1201" i="5" s="1"/>
  <c r="C1200" i="5"/>
  <c r="E1200" i="5" s="1"/>
  <c r="C1199" i="5"/>
  <c r="C1198" i="5"/>
  <c r="C1197" i="5"/>
  <c r="C1196" i="5"/>
  <c r="C1195" i="5"/>
  <c r="C1194" i="5"/>
  <c r="E1194" i="5" s="1"/>
  <c r="C1193" i="5"/>
  <c r="E1193" i="5" s="1"/>
  <c r="C1192" i="5"/>
  <c r="E1192" i="5" s="1"/>
  <c r="C1191" i="5"/>
  <c r="C1190" i="5"/>
  <c r="C1189" i="5"/>
  <c r="C1188" i="5"/>
  <c r="C1187" i="5"/>
  <c r="C1186" i="5"/>
  <c r="E1186" i="5" s="1"/>
  <c r="C1185" i="5"/>
  <c r="E1185" i="5" s="1"/>
  <c r="C1184" i="5"/>
  <c r="E1184" i="5" s="1"/>
  <c r="C1183" i="5"/>
  <c r="C1182" i="5"/>
  <c r="C1181" i="5"/>
  <c r="C1180" i="5"/>
  <c r="C1179" i="5"/>
  <c r="C1178" i="5"/>
  <c r="E1178" i="5" s="1"/>
  <c r="C1177" i="5"/>
  <c r="E1177" i="5" s="1"/>
  <c r="C1176" i="5"/>
  <c r="E1176" i="5" s="1"/>
  <c r="C1175" i="5"/>
  <c r="C1174" i="5"/>
  <c r="C1173" i="5"/>
  <c r="C1172" i="5"/>
  <c r="C1171" i="5"/>
  <c r="C1170" i="5"/>
  <c r="E1170" i="5" s="1"/>
  <c r="C1169" i="5"/>
  <c r="E1169" i="5" s="1"/>
  <c r="C1168" i="5"/>
  <c r="E1168" i="5" s="1"/>
  <c r="C1167" i="5"/>
  <c r="C1166" i="5"/>
  <c r="C1165" i="5"/>
  <c r="C1164" i="5"/>
  <c r="C1163" i="5"/>
  <c r="C1162" i="5"/>
  <c r="E1162" i="5" s="1"/>
  <c r="C1161" i="5"/>
  <c r="E1161" i="5" s="1"/>
  <c r="C1160" i="5"/>
  <c r="E1160" i="5" s="1"/>
  <c r="C1159" i="5"/>
  <c r="C1158" i="5"/>
  <c r="C1157" i="5"/>
  <c r="C1156" i="5"/>
  <c r="C1155" i="5"/>
  <c r="C1154" i="5"/>
  <c r="C1153" i="5"/>
  <c r="E1153" i="5" s="1"/>
  <c r="C1152" i="5"/>
  <c r="E1152" i="5" s="1"/>
  <c r="C1151" i="5"/>
  <c r="C1150" i="5"/>
  <c r="C1149" i="5"/>
  <c r="C1148" i="5"/>
  <c r="C1147" i="5"/>
  <c r="C1146" i="5"/>
  <c r="C1145" i="5"/>
  <c r="C1144" i="5"/>
  <c r="E1144" i="5" s="1"/>
  <c r="C1143" i="5"/>
  <c r="C1142" i="5"/>
  <c r="C1141" i="5"/>
  <c r="C1140" i="5"/>
  <c r="C1139" i="5"/>
  <c r="C1138" i="5"/>
  <c r="E1138" i="5" s="1"/>
  <c r="C1137" i="5"/>
  <c r="E1137" i="5" s="1"/>
  <c r="C1136" i="5"/>
  <c r="E1136" i="5" s="1"/>
  <c r="C1135" i="5"/>
  <c r="C1134" i="5"/>
  <c r="C1133" i="5"/>
  <c r="C1132" i="5"/>
  <c r="C1131" i="5"/>
  <c r="C1130" i="5"/>
  <c r="E1130" i="5" s="1"/>
  <c r="C1129" i="5"/>
  <c r="C1128" i="5"/>
  <c r="E1128" i="5" s="1"/>
  <c r="C1127" i="5"/>
  <c r="C1126" i="5"/>
  <c r="C1125" i="5"/>
  <c r="C1124" i="5"/>
  <c r="C1123" i="5"/>
  <c r="C1122" i="5"/>
  <c r="E1122" i="5" s="1"/>
  <c r="C1121" i="5"/>
  <c r="E1121" i="5" s="1"/>
  <c r="C1120" i="5"/>
  <c r="E1120" i="5" s="1"/>
  <c r="C1119" i="5"/>
  <c r="C2119" i="5"/>
  <c r="C2118" i="5"/>
  <c r="C2117" i="5"/>
  <c r="C2116" i="5"/>
  <c r="C2115" i="5"/>
  <c r="C2114" i="5"/>
  <c r="C2113" i="5"/>
  <c r="C2112" i="5"/>
  <c r="C2111" i="5"/>
  <c r="C2110" i="5"/>
  <c r="C2109" i="5"/>
  <c r="C2108" i="5"/>
  <c r="C2107" i="5"/>
  <c r="C2106" i="5"/>
  <c r="C2105" i="5"/>
  <c r="C2104" i="5"/>
  <c r="C2103" i="5"/>
  <c r="C2102" i="5"/>
  <c r="C2101" i="5"/>
  <c r="C2100" i="5"/>
  <c r="C2099"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1551" i="5"/>
  <c r="C2093" i="5"/>
  <c r="E2093" i="5" s="1"/>
  <c r="C2090" i="5"/>
  <c r="E2090" i="5" s="1"/>
  <c r="C2087" i="5"/>
  <c r="E2087" i="5" s="1"/>
  <c r="C2084" i="5"/>
  <c r="E2084" i="5" s="1"/>
  <c r="C2081" i="5"/>
  <c r="E2081" i="5" s="1"/>
  <c r="C2078" i="5"/>
  <c r="E2078" i="5" s="1"/>
  <c r="C2075" i="5"/>
  <c r="E2075" i="5" s="1"/>
  <c r="C2072" i="5"/>
  <c r="E2072" i="5" s="1"/>
  <c r="C2069" i="5"/>
  <c r="E2069" i="5" s="1"/>
  <c r="C2066" i="5"/>
  <c r="E2066" i="5" s="1"/>
  <c r="C2063" i="5"/>
  <c r="E2063" i="5" s="1"/>
  <c r="C2060" i="5"/>
  <c r="E2060" i="5" s="1"/>
  <c r="C2057" i="5"/>
  <c r="E2057" i="5" s="1"/>
  <c r="C2054" i="5"/>
  <c r="E2054" i="5" s="1"/>
  <c r="C2051" i="5"/>
  <c r="E2051" i="5" s="1"/>
  <c r="C2048" i="5"/>
  <c r="E2048" i="5" s="1"/>
  <c r="C2045" i="5"/>
  <c r="E2045" i="5" s="1"/>
  <c r="C2042" i="5"/>
  <c r="E2042" i="5" s="1"/>
  <c r="C2039" i="5"/>
  <c r="E2039" i="5" s="1"/>
  <c r="C2036" i="5"/>
  <c r="E2036" i="5" s="1"/>
  <c r="C2033" i="5"/>
  <c r="E2033" i="5" s="1"/>
  <c r="C2030" i="5"/>
  <c r="E2030" i="5" s="1"/>
  <c r="C2027" i="5"/>
  <c r="E2027" i="5" s="1"/>
  <c r="C2024" i="5"/>
  <c r="E2024" i="5" s="1"/>
  <c r="C2021" i="5"/>
  <c r="E2021" i="5" s="1"/>
  <c r="C2018" i="5"/>
  <c r="E2018" i="5" s="1"/>
  <c r="C2015" i="5"/>
  <c r="E2015" i="5" s="1"/>
  <c r="C2012" i="5"/>
  <c r="E2012" i="5" s="1"/>
  <c r="C2009" i="5"/>
  <c r="E2009" i="5" s="1"/>
  <c r="C2006" i="5"/>
  <c r="E2006" i="5" s="1"/>
  <c r="C2003" i="5"/>
  <c r="E2003" i="5" s="1"/>
  <c r="C2000" i="5"/>
  <c r="E2000" i="5" s="1"/>
  <c r="C1997" i="5"/>
  <c r="E1997" i="5" s="1"/>
  <c r="C1994" i="5"/>
  <c r="E1994" i="5" s="1"/>
  <c r="C1991" i="5"/>
  <c r="E1991" i="5" s="1"/>
  <c r="C2092" i="5"/>
  <c r="E2092" i="5" s="1"/>
  <c r="C2089" i="5"/>
  <c r="E2089" i="5" s="1"/>
  <c r="C2086" i="5"/>
  <c r="E2086" i="5" s="1"/>
  <c r="C2083" i="5"/>
  <c r="E2083" i="5" s="1"/>
  <c r="C2080" i="5"/>
  <c r="E2080" i="5" s="1"/>
  <c r="C2077" i="5"/>
  <c r="E2077" i="5" s="1"/>
  <c r="C2074" i="5"/>
  <c r="E2074" i="5" s="1"/>
  <c r="C2071" i="5"/>
  <c r="E2071" i="5" s="1"/>
  <c r="C2068" i="5"/>
  <c r="E2068" i="5" s="1"/>
  <c r="C2065" i="5"/>
  <c r="E2065" i="5" s="1"/>
  <c r="C2062" i="5"/>
  <c r="E2062" i="5" s="1"/>
  <c r="C2059" i="5"/>
  <c r="E2059" i="5" s="1"/>
  <c r="C2056" i="5"/>
  <c r="E2056" i="5" s="1"/>
  <c r="C2053" i="5"/>
  <c r="E2053" i="5" s="1"/>
  <c r="C2050" i="5"/>
  <c r="E2050" i="5" s="1"/>
  <c r="C2047" i="5"/>
  <c r="E2047" i="5" s="1"/>
  <c r="C2044" i="5"/>
  <c r="E2044" i="5" s="1"/>
  <c r="C2041" i="5"/>
  <c r="E2041" i="5" s="1"/>
  <c r="C2038" i="5"/>
  <c r="E2038" i="5" s="1"/>
  <c r="C2035" i="5"/>
  <c r="E2035" i="5" s="1"/>
  <c r="C2032" i="5"/>
  <c r="E2032" i="5" s="1"/>
  <c r="C2029" i="5"/>
  <c r="E2029" i="5" s="1"/>
  <c r="C2026" i="5"/>
  <c r="E2026" i="5" s="1"/>
  <c r="C2023" i="5"/>
  <c r="E2023" i="5" s="1"/>
  <c r="C2020" i="5"/>
  <c r="E2020" i="5" s="1"/>
  <c r="C2017" i="5"/>
  <c r="E2017" i="5" s="1"/>
  <c r="C2014" i="5"/>
  <c r="E2014" i="5" s="1"/>
  <c r="C2011" i="5"/>
  <c r="E2011" i="5" s="1"/>
  <c r="C2008" i="5"/>
  <c r="E2008" i="5" s="1"/>
  <c r="C2005" i="5"/>
  <c r="E2005" i="5" s="1"/>
  <c r="C2002" i="5"/>
  <c r="E2002" i="5" s="1"/>
  <c r="C1999" i="5"/>
  <c r="E1999" i="5" s="1"/>
  <c r="C1996" i="5"/>
  <c r="E1996" i="5" s="1"/>
  <c r="C1993" i="5"/>
  <c r="E1993" i="5" s="1"/>
  <c r="C1990" i="5"/>
  <c r="E1990" i="5" s="1"/>
  <c r="C2091" i="5"/>
  <c r="E2091" i="5" s="1"/>
  <c r="C2088" i="5"/>
  <c r="E2088" i="5" s="1"/>
  <c r="C2085" i="5"/>
  <c r="E2085" i="5" s="1"/>
  <c r="C2082" i="5"/>
  <c r="E2082" i="5" s="1"/>
  <c r="C2079" i="5"/>
  <c r="E2079" i="5" s="1"/>
  <c r="C2076" i="5"/>
  <c r="E2076" i="5" s="1"/>
  <c r="C2073" i="5"/>
  <c r="E2073" i="5" s="1"/>
  <c r="C2070" i="5"/>
  <c r="E2070" i="5" s="1"/>
  <c r="C2067" i="5"/>
  <c r="E2067" i="5" s="1"/>
  <c r="C2064" i="5"/>
  <c r="E2064" i="5" s="1"/>
  <c r="C2061" i="5"/>
  <c r="E2061" i="5" s="1"/>
  <c r="C2058" i="5"/>
  <c r="E2058" i="5" s="1"/>
  <c r="C2055" i="5"/>
  <c r="E2055" i="5" s="1"/>
  <c r="C2052" i="5"/>
  <c r="E2052" i="5" s="1"/>
  <c r="C2049" i="5"/>
  <c r="E2049" i="5" s="1"/>
  <c r="C2046" i="5"/>
  <c r="E2046" i="5" s="1"/>
  <c r="C2043" i="5"/>
  <c r="E2043" i="5" s="1"/>
  <c r="C2040" i="5"/>
  <c r="E2040" i="5" s="1"/>
  <c r="C2037" i="5"/>
  <c r="E2037" i="5" s="1"/>
  <c r="C2034" i="5"/>
  <c r="E2034" i="5" s="1"/>
  <c r="C2031" i="5"/>
  <c r="E2031" i="5" s="1"/>
  <c r="C2028" i="5"/>
  <c r="E2028" i="5" s="1"/>
  <c r="C2025" i="5"/>
  <c r="E2025" i="5" s="1"/>
  <c r="C2022" i="5"/>
  <c r="E2022" i="5" s="1"/>
  <c r="C2019" i="5"/>
  <c r="E2019" i="5" s="1"/>
  <c r="C2016" i="5"/>
  <c r="E2016" i="5" s="1"/>
  <c r="C2013" i="5"/>
  <c r="E2013" i="5" s="1"/>
  <c r="C2010" i="5"/>
  <c r="E2010" i="5" s="1"/>
  <c r="C2007" i="5"/>
  <c r="E2007" i="5" s="1"/>
  <c r="C2004" i="5"/>
  <c r="E2004" i="5" s="1"/>
  <c r="C2001" i="5"/>
  <c r="E2001" i="5" s="1"/>
  <c r="C1998" i="5"/>
  <c r="E1998" i="5" s="1"/>
  <c r="C1995" i="5"/>
  <c r="E1995" i="5" s="1"/>
  <c r="C1992" i="5"/>
  <c r="E1992" i="5" s="1"/>
  <c r="C1989" i="5"/>
  <c r="E1989" i="5" s="1"/>
  <c r="C1986" i="5"/>
  <c r="C1988" i="5"/>
  <c r="C1987" i="5"/>
  <c r="C1985" i="5"/>
  <c r="C1984" i="5"/>
  <c r="C1983" i="5"/>
  <c r="C1982" i="5"/>
  <c r="C1981" i="5"/>
  <c r="C1980" i="5"/>
  <c r="C1979" i="5"/>
  <c r="C1978" i="5"/>
  <c r="C1977" i="5"/>
  <c r="C1976" i="5"/>
  <c r="C1975" i="5"/>
  <c r="C1974" i="5"/>
  <c r="C1973" i="5"/>
  <c r="C1972" i="5"/>
  <c r="C1971" i="5"/>
  <c r="C1970" i="5"/>
  <c r="C1969" i="5"/>
  <c r="C1968" i="5"/>
  <c r="C1967" i="5"/>
  <c r="C1966"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C1562" i="5"/>
  <c r="C1561" i="5"/>
  <c r="C1580" i="5"/>
  <c r="C1579" i="5"/>
  <c r="C1577" i="5"/>
  <c r="C1576" i="5"/>
  <c r="C1574" i="5"/>
  <c r="C1573" i="5"/>
  <c r="C1571" i="5"/>
  <c r="C1570" i="5"/>
  <c r="C1568" i="5"/>
  <c r="C1567" i="5"/>
  <c r="C1565" i="5"/>
  <c r="C1564" i="5"/>
  <c r="C1559" i="5"/>
  <c r="C1558" i="5"/>
  <c r="C1556" i="5"/>
  <c r="C1555" i="5"/>
  <c r="C1554" i="5"/>
  <c r="C1553" i="5"/>
  <c r="C1552" i="5"/>
  <c r="C1685" i="5"/>
  <c r="E1685" i="5" s="1"/>
  <c r="C1682" i="5"/>
  <c r="E1682" i="5" s="1"/>
  <c r="C1679" i="5"/>
  <c r="E1679" i="5" s="1"/>
  <c r="C1676" i="5"/>
  <c r="E1676" i="5" s="1"/>
  <c r="C1673" i="5"/>
  <c r="E1673" i="5" s="1"/>
  <c r="C1670" i="5"/>
  <c r="E1670" i="5" s="1"/>
  <c r="C1667" i="5"/>
  <c r="E1667" i="5" s="1"/>
  <c r="C1664" i="5"/>
  <c r="E1664" i="5" s="1"/>
  <c r="C1661" i="5"/>
  <c r="E1661" i="5" s="1"/>
  <c r="C1658" i="5"/>
  <c r="E1658" i="5" s="1"/>
  <c r="C1655" i="5"/>
  <c r="E1655" i="5" s="1"/>
  <c r="C1652" i="5"/>
  <c r="E1652" i="5" s="1"/>
  <c r="C1649" i="5"/>
  <c r="E1649" i="5" s="1"/>
  <c r="C1646" i="5"/>
  <c r="E1646" i="5" s="1"/>
  <c r="C1643" i="5"/>
  <c r="E1643" i="5" s="1"/>
  <c r="C1640" i="5"/>
  <c r="E1640" i="5" s="1"/>
  <c r="C1637" i="5"/>
  <c r="E1637" i="5" s="1"/>
  <c r="C1634" i="5"/>
  <c r="E1634" i="5" s="1"/>
  <c r="C1631" i="5"/>
  <c r="E1631" i="5" s="1"/>
  <c r="C1628" i="5"/>
  <c r="E1628" i="5" s="1"/>
  <c r="C1625" i="5"/>
  <c r="E1625" i="5" s="1"/>
  <c r="C1622" i="5"/>
  <c r="E1622" i="5" s="1"/>
  <c r="C1619" i="5"/>
  <c r="E1619" i="5" s="1"/>
  <c r="C1616" i="5"/>
  <c r="E1616" i="5" s="1"/>
  <c r="C1613" i="5"/>
  <c r="E1613" i="5" s="1"/>
  <c r="C1610" i="5"/>
  <c r="E1610" i="5" s="1"/>
  <c r="C1607" i="5"/>
  <c r="E1607" i="5" s="1"/>
  <c r="C1604" i="5"/>
  <c r="E1604" i="5" s="1"/>
  <c r="C1601" i="5"/>
  <c r="E1601" i="5" s="1"/>
  <c r="C1598" i="5"/>
  <c r="E1598" i="5" s="1"/>
  <c r="C1595" i="5"/>
  <c r="E1595" i="5" s="1"/>
  <c r="C1592" i="5"/>
  <c r="E1592" i="5" s="1"/>
  <c r="C1589" i="5"/>
  <c r="E1589" i="5" s="1"/>
  <c r="C1586" i="5"/>
  <c r="E1586" i="5" s="1"/>
  <c r="C1583" i="5"/>
  <c r="E1583" i="5" s="1"/>
  <c r="C1684" i="5"/>
  <c r="E1684" i="5" s="1"/>
  <c r="C1681" i="5"/>
  <c r="E1681" i="5" s="1"/>
  <c r="C1678" i="5"/>
  <c r="C1675" i="5"/>
  <c r="E1675" i="5" s="1"/>
  <c r="C1672" i="5"/>
  <c r="E1672" i="5" s="1"/>
  <c r="C1669" i="5"/>
  <c r="C1666" i="5"/>
  <c r="E1666" i="5" s="1"/>
  <c r="C1663" i="5"/>
  <c r="E1663" i="5" s="1"/>
  <c r="C1660" i="5"/>
  <c r="E1660" i="5" s="1"/>
  <c r="C1657" i="5"/>
  <c r="E1657" i="5" s="1"/>
  <c r="C1654" i="5"/>
  <c r="E1654" i="5" s="1"/>
  <c r="C1651" i="5"/>
  <c r="E1651" i="5" s="1"/>
  <c r="C1648" i="5"/>
  <c r="E1648" i="5" s="1"/>
  <c r="C1645" i="5"/>
  <c r="E1645" i="5" s="1"/>
  <c r="C1642" i="5"/>
  <c r="E1642" i="5" s="1"/>
  <c r="C1639" i="5"/>
  <c r="E1639" i="5" s="1"/>
  <c r="C1636" i="5"/>
  <c r="E1636" i="5" s="1"/>
  <c r="C1633" i="5"/>
  <c r="E1633" i="5" s="1"/>
  <c r="C1630" i="5"/>
  <c r="E1630" i="5" s="1"/>
  <c r="C1627" i="5"/>
  <c r="E1627" i="5" s="1"/>
  <c r="C1624" i="5"/>
  <c r="E1624" i="5" s="1"/>
  <c r="C1621" i="5"/>
  <c r="C1618" i="5"/>
  <c r="E1618" i="5" s="1"/>
  <c r="C1615" i="5"/>
  <c r="E1615" i="5" s="1"/>
  <c r="C1612" i="5"/>
  <c r="E1612" i="5" s="1"/>
  <c r="C1609" i="5"/>
  <c r="E1609" i="5" s="1"/>
  <c r="C1606" i="5"/>
  <c r="E1606" i="5" s="1"/>
  <c r="C1603" i="5"/>
  <c r="E1603" i="5" s="1"/>
  <c r="C1600" i="5"/>
  <c r="E1600" i="5" s="1"/>
  <c r="C1597" i="5"/>
  <c r="E1597" i="5" s="1"/>
  <c r="C1594" i="5"/>
  <c r="E1594" i="5" s="1"/>
  <c r="C1591" i="5"/>
  <c r="E1591" i="5" s="1"/>
  <c r="C1588" i="5"/>
  <c r="E1588" i="5" s="1"/>
  <c r="C1585" i="5"/>
  <c r="E1585" i="5" s="1"/>
  <c r="C1582" i="5"/>
  <c r="E1582" i="5" s="1"/>
  <c r="C1551" i="5"/>
  <c r="C1557" i="5"/>
  <c r="C1560" i="5"/>
  <c r="C1563" i="5"/>
  <c r="C1566" i="5"/>
  <c r="C1569" i="5"/>
  <c r="C1572" i="5"/>
  <c r="C1575" i="5"/>
  <c r="C1578" i="5"/>
  <c r="C1683" i="5"/>
  <c r="E1683" i="5" s="1"/>
  <c r="C1680" i="5"/>
  <c r="E1680" i="5" s="1"/>
  <c r="C1677" i="5"/>
  <c r="E1677" i="5" s="1"/>
  <c r="C1674" i="5"/>
  <c r="E1674" i="5" s="1"/>
  <c r="C1671" i="5"/>
  <c r="E1671" i="5" s="1"/>
  <c r="C1668" i="5"/>
  <c r="E1668" i="5" s="1"/>
  <c r="C1665" i="5"/>
  <c r="E1665" i="5" s="1"/>
  <c r="C1662" i="5"/>
  <c r="E1662" i="5" s="1"/>
  <c r="C1659" i="5"/>
  <c r="E1659" i="5" s="1"/>
  <c r="C1656" i="5"/>
  <c r="E1656" i="5" s="1"/>
  <c r="C1653" i="5"/>
  <c r="E1653" i="5" s="1"/>
  <c r="C1650" i="5"/>
  <c r="E1650" i="5" s="1"/>
  <c r="C1647" i="5"/>
  <c r="E1647" i="5" s="1"/>
  <c r="C1644" i="5"/>
  <c r="E1644" i="5" s="1"/>
  <c r="C1641" i="5"/>
  <c r="E1641" i="5" s="1"/>
  <c r="C1638" i="5"/>
  <c r="E1638" i="5" s="1"/>
  <c r="C1635" i="5"/>
  <c r="E1635" i="5" s="1"/>
  <c r="C1632" i="5"/>
  <c r="E1632" i="5" s="1"/>
  <c r="C1629" i="5"/>
  <c r="E1629" i="5" s="1"/>
  <c r="C1626" i="5"/>
  <c r="E1626" i="5" s="1"/>
  <c r="C1623" i="5"/>
  <c r="E1623" i="5" s="1"/>
  <c r="C1620" i="5"/>
  <c r="E1620" i="5" s="1"/>
  <c r="C1617" i="5"/>
  <c r="E1617" i="5" s="1"/>
  <c r="C1614" i="5"/>
  <c r="E1614" i="5" s="1"/>
  <c r="C1611" i="5"/>
  <c r="E1611" i="5" s="1"/>
  <c r="C1608" i="5"/>
  <c r="E1608" i="5" s="1"/>
  <c r="C1605" i="5"/>
  <c r="E1605" i="5" s="1"/>
  <c r="C1602" i="5"/>
  <c r="E1602" i="5" s="1"/>
  <c r="C1599" i="5"/>
  <c r="E1599" i="5" s="1"/>
  <c r="C1596" i="5"/>
  <c r="E1596" i="5" s="1"/>
  <c r="C1593" i="5"/>
  <c r="E1593" i="5" s="1"/>
  <c r="C1590" i="5"/>
  <c r="E1590" i="5" s="1"/>
  <c r="C1587" i="5"/>
  <c r="E1587" i="5" s="1"/>
  <c r="C1584" i="5"/>
  <c r="E1584" i="5" s="1"/>
  <c r="C1581" i="5"/>
  <c r="E1581" i="5" s="1"/>
  <c r="E1621" i="5"/>
  <c r="E1669" i="5"/>
  <c r="E1678"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11" i="5"/>
  <c r="C1545" i="5"/>
  <c r="E1545" i="5" s="1"/>
  <c r="C1544" i="5"/>
  <c r="E1544" i="5" s="1"/>
  <c r="C1543" i="5"/>
  <c r="E1543" i="5" s="1"/>
  <c r="C1542" i="5"/>
  <c r="E1542" i="5" s="1"/>
  <c r="C1541" i="5"/>
  <c r="E1541" i="5" s="1"/>
  <c r="C1540" i="5"/>
  <c r="E1540" i="5" s="1"/>
  <c r="C1539" i="5"/>
  <c r="E1539" i="5" s="1"/>
  <c r="C1538" i="5"/>
  <c r="E1538" i="5" s="1"/>
  <c r="C1537" i="5"/>
  <c r="E1537" i="5" s="1"/>
  <c r="C1536" i="5"/>
  <c r="E1536" i="5" s="1"/>
  <c r="C1535" i="5"/>
  <c r="E1535" i="5" s="1"/>
  <c r="C1534" i="5"/>
  <c r="E1534" i="5" s="1"/>
  <c r="C1533" i="5"/>
  <c r="E1533" i="5" s="1"/>
  <c r="C1532" i="5"/>
  <c r="E1532" i="5" s="1"/>
  <c r="C1531" i="5"/>
  <c r="E1531" i="5" s="1"/>
  <c r="C1530" i="5"/>
  <c r="E1530" i="5" s="1"/>
  <c r="C1529" i="5"/>
  <c r="E1529" i="5" s="1"/>
  <c r="C1528" i="5"/>
  <c r="E1528" i="5" s="1"/>
  <c r="C1527" i="5"/>
  <c r="E1527" i="5" s="1"/>
  <c r="C1526" i="5"/>
  <c r="E1526" i="5" s="1"/>
  <c r="C1525" i="5"/>
  <c r="E1525" i="5" s="1"/>
  <c r="C1524" i="5"/>
  <c r="E1524" i="5" s="1"/>
  <c r="C1523" i="5"/>
  <c r="E1523" i="5" s="1"/>
  <c r="C1522" i="5"/>
  <c r="E1522" i="5" s="1"/>
  <c r="C1521" i="5"/>
  <c r="E1521" i="5" s="1"/>
  <c r="C1520" i="5"/>
  <c r="E1520" i="5" s="1"/>
  <c r="C1519" i="5"/>
  <c r="E1519" i="5" s="1"/>
  <c r="C1518" i="5"/>
  <c r="E1518" i="5" s="1"/>
  <c r="C1517" i="5"/>
  <c r="E1517" i="5" s="1"/>
  <c r="C1516" i="5"/>
  <c r="E1516" i="5" s="1"/>
  <c r="C1515" i="5"/>
  <c r="E1515" i="5" s="1"/>
  <c r="C1514" i="5"/>
  <c r="E1514" i="5" s="1"/>
  <c r="C1513" i="5"/>
  <c r="E1513" i="5" s="1"/>
  <c r="C1512" i="5"/>
  <c r="E1512" i="5" s="1"/>
  <c r="C1511" i="5"/>
  <c r="E1511" i="5" s="1"/>
  <c r="C1510" i="5"/>
  <c r="E1510" i="5" s="1"/>
  <c r="C1509" i="5"/>
  <c r="E1509" i="5" s="1"/>
  <c r="C1508" i="5"/>
  <c r="E1508" i="5" s="1"/>
  <c r="C1507" i="5"/>
  <c r="E1507" i="5" s="1"/>
  <c r="C1506" i="5"/>
  <c r="E1506" i="5" s="1"/>
  <c r="C1505" i="5"/>
  <c r="E1505" i="5" s="1"/>
  <c r="C1504" i="5"/>
  <c r="E1504" i="5" s="1"/>
  <c r="C1503" i="5"/>
  <c r="E1503" i="5" s="1"/>
  <c r="C1502" i="5"/>
  <c r="E1502" i="5" s="1"/>
  <c r="C1501" i="5"/>
  <c r="E1501" i="5" s="1"/>
  <c r="C1500" i="5"/>
  <c r="E1500" i="5" s="1"/>
  <c r="C1499" i="5"/>
  <c r="E1499" i="5" s="1"/>
  <c r="C1498" i="5"/>
  <c r="E1498" i="5" s="1"/>
  <c r="C1497" i="5"/>
  <c r="E1497" i="5" s="1"/>
  <c r="C1496" i="5"/>
  <c r="E1496" i="5" s="1"/>
  <c r="C1495" i="5"/>
  <c r="E1495" i="5" s="1"/>
  <c r="C1494" i="5"/>
  <c r="E1494" i="5" s="1"/>
  <c r="C1493" i="5"/>
  <c r="E1493" i="5" s="1"/>
  <c r="C1492" i="5"/>
  <c r="E1492" i="5" s="1"/>
  <c r="C1491" i="5"/>
  <c r="E1491" i="5" s="1"/>
  <c r="C1490" i="5"/>
  <c r="E1490" i="5" s="1"/>
  <c r="C1489" i="5"/>
  <c r="E1489" i="5" s="1"/>
  <c r="C1488" i="5"/>
  <c r="E1488" i="5" s="1"/>
  <c r="C1487" i="5"/>
  <c r="E1487" i="5" s="1"/>
  <c r="C1486" i="5"/>
  <c r="E1486" i="5" s="1"/>
  <c r="C1485" i="5"/>
  <c r="E1485" i="5" s="1"/>
  <c r="C1484" i="5"/>
  <c r="E1484" i="5" s="1"/>
  <c r="C1483" i="5"/>
  <c r="E1483" i="5" s="1"/>
  <c r="C1482" i="5"/>
  <c r="E1482" i="5" s="1"/>
  <c r="C1481" i="5"/>
  <c r="E1481" i="5" s="1"/>
  <c r="C1480" i="5"/>
  <c r="E1480" i="5" s="1"/>
  <c r="C1479" i="5"/>
  <c r="E1479" i="5" s="1"/>
  <c r="C1478" i="5"/>
  <c r="E1478" i="5" s="1"/>
  <c r="C1477" i="5"/>
  <c r="E1477" i="5" s="1"/>
  <c r="C1476" i="5"/>
  <c r="E1476" i="5" s="1"/>
  <c r="C1475" i="5"/>
  <c r="E1475" i="5" s="1"/>
  <c r="C1474" i="5"/>
  <c r="E1474" i="5" s="1"/>
  <c r="C1473" i="5"/>
  <c r="E1473" i="5" s="1"/>
  <c r="C1472" i="5"/>
  <c r="E1472" i="5" s="1"/>
  <c r="C1471" i="5"/>
  <c r="E1471" i="5" s="1"/>
  <c r="C1470" i="5"/>
  <c r="E1470" i="5" s="1"/>
  <c r="C1469" i="5"/>
  <c r="E1469" i="5" s="1"/>
  <c r="C1468" i="5"/>
  <c r="E1468" i="5" s="1"/>
  <c r="C1467" i="5"/>
  <c r="E1467" i="5" s="1"/>
  <c r="C1466" i="5"/>
  <c r="E1466" i="5" s="1"/>
  <c r="C1465" i="5"/>
  <c r="E1465" i="5" s="1"/>
  <c r="C1464" i="5"/>
  <c r="E1464" i="5" s="1"/>
  <c r="C1463" i="5"/>
  <c r="E1463" i="5" s="1"/>
  <c r="C1462" i="5"/>
  <c r="E1462" i="5" s="1"/>
  <c r="C1461" i="5"/>
  <c r="E1461" i="5" s="1"/>
  <c r="C1460" i="5"/>
  <c r="E1460" i="5" s="1"/>
  <c r="C1459" i="5"/>
  <c r="E1459" i="5" s="1"/>
  <c r="C1458" i="5"/>
  <c r="E1458" i="5" s="1"/>
  <c r="C1457" i="5"/>
  <c r="E1457" i="5" s="1"/>
  <c r="C1456" i="5"/>
  <c r="E1456" i="5" s="1"/>
  <c r="C1455" i="5"/>
  <c r="E1455" i="5" s="1"/>
  <c r="C1454" i="5"/>
  <c r="E1454" i="5" s="1"/>
  <c r="C1453" i="5"/>
  <c r="E1453" i="5" s="1"/>
  <c r="C1452" i="5"/>
  <c r="E1452" i="5" s="1"/>
  <c r="C1451" i="5"/>
  <c r="E1451" i="5" s="1"/>
  <c r="C1450" i="5"/>
  <c r="E1450" i="5" s="1"/>
  <c r="C1449" i="5"/>
  <c r="E1449" i="5" s="1"/>
  <c r="C1448" i="5"/>
  <c r="E1448" i="5" s="1"/>
  <c r="C1447" i="5"/>
  <c r="E1447" i="5" s="1"/>
  <c r="C1446" i="5"/>
  <c r="E1446" i="5" s="1"/>
  <c r="C1445" i="5"/>
  <c r="E1445" i="5" s="1"/>
  <c r="C1444" i="5"/>
  <c r="E1444" i="5" s="1"/>
  <c r="C1443" i="5"/>
  <c r="E1443" i="5" s="1"/>
  <c r="C1442" i="5"/>
  <c r="E1442" i="5" s="1"/>
  <c r="C1441" i="5"/>
  <c r="E1441" i="5" s="1"/>
  <c r="C1439" i="5"/>
  <c r="C1440" i="5"/>
  <c r="C1438" i="5"/>
  <c r="C1437" i="5"/>
  <c r="C1436" i="5"/>
  <c r="C1435" i="5"/>
  <c r="C1434" i="5"/>
  <c r="C1433" i="5"/>
  <c r="C1432" i="5"/>
  <c r="C1431" i="5"/>
  <c r="C1430" i="5"/>
  <c r="C1429" i="5"/>
  <c r="C1428" i="5"/>
  <c r="C1427" i="5"/>
  <c r="C1426" i="5"/>
  <c r="C1425" i="5"/>
  <c r="C1424" i="5"/>
  <c r="C1423" i="5"/>
  <c r="C1422" i="5"/>
  <c r="C1421" i="5"/>
  <c r="C1420" i="5"/>
  <c r="C1419" i="5"/>
  <c r="C1418" i="5"/>
  <c r="C1417" i="5"/>
  <c r="C1416" i="5"/>
  <c r="C1415" i="5"/>
  <c r="C1414" i="5"/>
  <c r="C1413" i="5"/>
  <c r="C1412" i="5"/>
  <c r="C1411"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08" i="5"/>
  <c r="G1309" i="5"/>
  <c r="G1310" i="5"/>
  <c r="G1311" i="5"/>
  <c r="G1312" i="5"/>
  <c r="G1313" i="5"/>
  <c r="G1314" i="5"/>
  <c r="G1315" i="5"/>
  <c r="G1316" i="5"/>
  <c r="G1307" i="5"/>
  <c r="E1396" i="5"/>
  <c r="E1395" i="5"/>
  <c r="E1391" i="5"/>
  <c r="E1390" i="5"/>
  <c r="E1389" i="5"/>
  <c r="E1388" i="5"/>
  <c r="E1387" i="5"/>
  <c r="E1386" i="5"/>
  <c r="E1383" i="5"/>
  <c r="E1382" i="5"/>
  <c r="E1381" i="5"/>
  <c r="E1380" i="5"/>
  <c r="E1379" i="5"/>
  <c r="E1378" i="5"/>
  <c r="E1377" i="5"/>
  <c r="E1375" i="5"/>
  <c r="E1374" i="5"/>
  <c r="E1373" i="5"/>
  <c r="E1372" i="5"/>
  <c r="E1371" i="5"/>
  <c r="E1367" i="5"/>
  <c r="E1366" i="5"/>
  <c r="E1365" i="5"/>
  <c r="E1364" i="5"/>
  <c r="E1363" i="5"/>
  <c r="E1359" i="5"/>
  <c r="E1358" i="5"/>
  <c r="E1357" i="5"/>
  <c r="E1356" i="5"/>
  <c r="E1355" i="5"/>
  <c r="E1351" i="5"/>
  <c r="E1350" i="5"/>
  <c r="E1349" i="5"/>
  <c r="E1348" i="5"/>
  <c r="E1347" i="5"/>
  <c r="E1343" i="5"/>
  <c r="E1342" i="5"/>
  <c r="E1341" i="5"/>
  <c r="E1340" i="5"/>
  <c r="E1339" i="5"/>
  <c r="E1335" i="5"/>
  <c r="E1334" i="5"/>
  <c r="E1333" i="5"/>
  <c r="E1332" i="5"/>
  <c r="E1331" i="5"/>
  <c r="E1327" i="5"/>
  <c r="E1326" i="5"/>
  <c r="E1325" i="5"/>
  <c r="E1324" i="5"/>
  <c r="E1323" i="5"/>
  <c r="E1322" i="5"/>
  <c r="E1319" i="5"/>
  <c r="E1318" i="5"/>
  <c r="E1317" i="5"/>
  <c r="E1316" i="5"/>
  <c r="E1315" i="5"/>
  <c r="E1314" i="5"/>
  <c r="E1313" i="5"/>
  <c r="E1311" i="5"/>
  <c r="E1310" i="5"/>
  <c r="E1309" i="5"/>
  <c r="E1308" i="5"/>
  <c r="E1307"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213" i="5"/>
  <c r="E1301" i="5"/>
  <c r="E1299" i="5"/>
  <c r="E1298" i="5"/>
  <c r="E1297" i="5"/>
  <c r="E1296" i="5"/>
  <c r="E1295" i="5"/>
  <c r="E1291" i="5"/>
  <c r="E1290" i="5"/>
  <c r="E1289" i="5"/>
  <c r="E1288" i="5"/>
  <c r="E1287" i="5"/>
  <c r="E1283" i="5"/>
  <c r="E1282" i="5"/>
  <c r="E1281" i="5"/>
  <c r="E1280" i="5"/>
  <c r="E1279" i="5"/>
  <c r="E1275" i="5"/>
  <c r="E1274" i="5"/>
  <c r="E1273" i="5"/>
  <c r="E1272" i="5"/>
  <c r="E1271" i="5"/>
  <c r="E1269" i="5"/>
  <c r="E1267" i="5"/>
  <c r="E1266" i="5"/>
  <c r="E1265" i="5"/>
  <c r="E1264" i="5"/>
  <c r="E1263" i="5"/>
  <c r="E1259" i="5"/>
  <c r="E1258" i="5"/>
  <c r="E1257" i="5"/>
  <c r="E1256" i="5"/>
  <c r="E1255" i="5"/>
  <c r="E1251" i="5"/>
  <c r="E1250" i="5"/>
  <c r="E1249" i="5"/>
  <c r="E1248" i="5"/>
  <c r="E1247" i="5"/>
  <c r="E1243" i="5"/>
  <c r="E1242" i="5"/>
  <c r="E1241" i="5"/>
  <c r="E1240" i="5"/>
  <c r="E1239" i="5"/>
  <c r="E1237" i="5"/>
  <c r="E1235" i="5"/>
  <c r="E1234" i="5"/>
  <c r="E1233" i="5"/>
  <c r="E1232" i="5"/>
  <c r="E1231" i="5"/>
  <c r="E1227" i="5"/>
  <c r="E1226" i="5"/>
  <c r="E1225" i="5"/>
  <c r="E1224" i="5"/>
  <c r="E1223" i="5"/>
  <c r="E1219" i="5"/>
  <c r="E1218" i="5"/>
  <c r="E1217" i="5"/>
  <c r="E1216" i="5"/>
  <c r="E1215"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E1207" i="5"/>
  <c r="E1206" i="5"/>
  <c r="E1205" i="5"/>
  <c r="E1204" i="5"/>
  <c r="E1203" i="5"/>
  <c r="E1199" i="5"/>
  <c r="E1198" i="5"/>
  <c r="E1197" i="5"/>
  <c r="E1196" i="5"/>
  <c r="E1195" i="5"/>
  <c r="E1191" i="5"/>
  <c r="E1190" i="5"/>
  <c r="E1189" i="5"/>
  <c r="E1188" i="5"/>
  <c r="E1187" i="5"/>
  <c r="E1183" i="5"/>
  <c r="E1182" i="5"/>
  <c r="E1181" i="5"/>
  <c r="E1180" i="5"/>
  <c r="E1179" i="5"/>
  <c r="E1175" i="5"/>
  <c r="E1174" i="5"/>
  <c r="E1173" i="5"/>
  <c r="E1172" i="5"/>
  <c r="E1171" i="5"/>
  <c r="E1167" i="5"/>
  <c r="E1166" i="5"/>
  <c r="E1165" i="5"/>
  <c r="E1164" i="5"/>
  <c r="E1163" i="5"/>
  <c r="E1159" i="5"/>
  <c r="E1158" i="5"/>
  <c r="E1157" i="5"/>
  <c r="E1156" i="5"/>
  <c r="E1155" i="5"/>
  <c r="E1154" i="5"/>
  <c r="E1151" i="5"/>
  <c r="E1150" i="5"/>
  <c r="E1149" i="5"/>
  <c r="E1148" i="5"/>
  <c r="E1147" i="5"/>
  <c r="E1146" i="5"/>
  <c r="E1145" i="5"/>
  <c r="E1143" i="5"/>
  <c r="E1142" i="5"/>
  <c r="E1141" i="5"/>
  <c r="E1140" i="5"/>
  <c r="E1139" i="5"/>
  <c r="G1120" i="5"/>
  <c r="G1121" i="5"/>
  <c r="G1122" i="5"/>
  <c r="G1123" i="5"/>
  <c r="G1124" i="5"/>
  <c r="G1125" i="5"/>
  <c r="G1126" i="5"/>
  <c r="G1127" i="5"/>
  <c r="G1128" i="5"/>
  <c r="G1129" i="5"/>
  <c r="G1130" i="5"/>
  <c r="G1131" i="5"/>
  <c r="G1132" i="5"/>
  <c r="G1133" i="5"/>
  <c r="G1134" i="5"/>
  <c r="G1135" i="5"/>
  <c r="G1136" i="5"/>
  <c r="G1137" i="5"/>
  <c r="G1138" i="5"/>
  <c r="G1119" i="5"/>
  <c r="E1135" i="5"/>
  <c r="E1134" i="5"/>
  <c r="E1133" i="5"/>
  <c r="E1132" i="5"/>
  <c r="E1131" i="5"/>
  <c r="E1129" i="5"/>
  <c r="E1127" i="5"/>
  <c r="E1126" i="5"/>
  <c r="E1125" i="5"/>
  <c r="E1124" i="5"/>
  <c r="E1123" i="5"/>
  <c r="E1119" i="5"/>
  <c r="F783" i="1" l="1"/>
  <c r="E783" i="5" s="1"/>
  <c r="J783" i="1"/>
  <c r="L783" i="1" s="1"/>
  <c r="J530" i="1"/>
  <c r="L530" i="1" s="1"/>
  <c r="J596" i="1"/>
  <c r="L596" i="1" s="1"/>
  <c r="J652" i="1"/>
  <c r="L652" i="1" s="1"/>
  <c r="F671" i="1"/>
  <c r="E671" i="5" s="1"/>
  <c r="J671" i="1"/>
  <c r="J705" i="1"/>
  <c r="L705" i="1" s="1"/>
  <c r="J728" i="1"/>
  <c r="L728" i="1" s="1"/>
  <c r="J762" i="1"/>
  <c r="L762" i="1" s="1"/>
  <c r="J816" i="1"/>
  <c r="L816" i="1" s="1"/>
  <c r="F826" i="1"/>
  <c r="E826" i="5" s="1"/>
  <c r="J826" i="1"/>
  <c r="L826" i="1" s="1"/>
  <c r="J892" i="1"/>
  <c r="L892" i="1" s="1"/>
  <c r="F905" i="1"/>
  <c r="E905" i="5" s="1"/>
  <c r="J905" i="1"/>
  <c r="L905" i="1" s="1"/>
  <c r="J980" i="1"/>
  <c r="L980" i="1" s="1"/>
  <c r="F993" i="1"/>
  <c r="E993" i="5" s="1"/>
  <c r="J993" i="1"/>
  <c r="L993" i="1" s="1"/>
  <c r="F509" i="1"/>
  <c r="E509" i="5" s="1"/>
  <c r="J509" i="1"/>
  <c r="L509" i="1" s="1"/>
  <c r="F685" i="1"/>
  <c r="E685" i="5" s="1"/>
  <c r="J685" i="1"/>
  <c r="L685" i="1" s="1"/>
  <c r="J915" i="1"/>
  <c r="L915" i="1" s="1"/>
  <c r="F948" i="1"/>
  <c r="E948" i="5" s="1"/>
  <c r="J948" i="1"/>
  <c r="L948" i="1" s="1"/>
  <c r="J1003" i="1"/>
  <c r="L1003" i="1" s="1"/>
  <c r="J1059" i="1"/>
  <c r="L1059" i="1" s="1"/>
  <c r="F1080" i="1"/>
  <c r="E1080" i="5" s="1"/>
  <c r="J1080" i="1"/>
  <c r="F484" i="1"/>
  <c r="E484" i="5" s="1"/>
  <c r="J484" i="1"/>
  <c r="J496" i="1"/>
  <c r="L496" i="1" s="1"/>
  <c r="F506" i="1"/>
  <c r="E506" i="5" s="1"/>
  <c r="L531" i="1"/>
  <c r="J531" i="1"/>
  <c r="L553" i="1"/>
  <c r="J553" i="1"/>
  <c r="F575" i="1"/>
  <c r="E575" i="5" s="1"/>
  <c r="J575" i="1"/>
  <c r="L575" i="1" s="1"/>
  <c r="F608" i="1"/>
  <c r="E608" i="5" s="1"/>
  <c r="J630" i="1"/>
  <c r="L630" i="1" s="1"/>
  <c r="F640" i="1"/>
  <c r="E640" i="5" s="1"/>
  <c r="L672" i="1"/>
  <c r="J672" i="1"/>
  <c r="L706" i="1"/>
  <c r="J706" i="1"/>
  <c r="F716" i="1"/>
  <c r="E716" i="5" s="1"/>
  <c r="F738" i="1"/>
  <c r="E738" i="5" s="1"/>
  <c r="J738" i="1"/>
  <c r="L738" i="1" s="1"/>
  <c r="J773" i="1"/>
  <c r="L773" i="1" s="1"/>
  <c r="F836" i="1"/>
  <c r="E836" i="5" s="1"/>
  <c r="J836" i="1"/>
  <c r="F839" i="1"/>
  <c r="E839" i="5" s="1"/>
  <c r="F848" i="1"/>
  <c r="E848" i="5" s="1"/>
  <c r="F870" i="1"/>
  <c r="E870" i="5" s="1"/>
  <c r="J870" i="1"/>
  <c r="L870" i="1" s="1"/>
  <c r="F880" i="1"/>
  <c r="E880" i="5" s="1"/>
  <c r="J880" i="1"/>
  <c r="F902" i="1"/>
  <c r="E902" i="5" s="1"/>
  <c r="F915" i="1"/>
  <c r="E915" i="5" s="1"/>
  <c r="F924" i="1"/>
  <c r="E924" i="5" s="1"/>
  <c r="J924" i="1"/>
  <c r="F927" i="1"/>
  <c r="E927" i="5" s="1"/>
  <c r="F936" i="1"/>
  <c r="E936" i="5" s="1"/>
  <c r="F958" i="1"/>
  <c r="E958" i="5" s="1"/>
  <c r="J958" i="1"/>
  <c r="F968" i="1"/>
  <c r="E968" i="5" s="1"/>
  <c r="J968" i="1"/>
  <c r="F990" i="1"/>
  <c r="E990" i="5" s="1"/>
  <c r="F1003" i="1"/>
  <c r="E1003" i="5" s="1"/>
  <c r="F1012" i="1"/>
  <c r="E1012" i="5" s="1"/>
  <c r="J1012" i="1"/>
  <c r="F1015" i="1"/>
  <c r="E1015" i="5" s="1"/>
  <c r="F1024" i="1"/>
  <c r="E1024" i="5" s="1"/>
  <c r="F1046" i="1"/>
  <c r="E1046" i="5" s="1"/>
  <c r="J1046" i="1"/>
  <c r="J476" i="1"/>
  <c r="L476" i="1" s="1"/>
  <c r="J562" i="1"/>
  <c r="L562" i="1" s="1"/>
  <c r="J584" i="1"/>
  <c r="L584" i="1" s="1"/>
  <c r="F617" i="1"/>
  <c r="E617" i="5" s="1"/>
  <c r="J617" i="1"/>
  <c r="L617" i="1" s="1"/>
  <c r="F649" i="1"/>
  <c r="E649" i="5" s="1"/>
  <c r="J649" i="1"/>
  <c r="F806" i="1"/>
  <c r="E806" i="5" s="1"/>
  <c r="J806" i="1"/>
  <c r="L806" i="1" s="1"/>
  <c r="F1036" i="1"/>
  <c r="E1036" i="5" s="1"/>
  <c r="J1036" i="1"/>
  <c r="L1036" i="1" s="1"/>
  <c r="J519" i="1"/>
  <c r="L519" i="1" s="1"/>
  <c r="F563" i="1"/>
  <c r="E563" i="5" s="1"/>
  <c r="J563" i="1"/>
  <c r="L563" i="1" s="1"/>
  <c r="J573" i="1"/>
  <c r="L573" i="1" s="1"/>
  <c r="J696" i="1"/>
  <c r="L696" i="1" s="1"/>
  <c r="J804" i="1"/>
  <c r="L804" i="1" s="1"/>
  <c r="F817" i="1"/>
  <c r="E817" i="5" s="1"/>
  <c r="J817" i="1"/>
  <c r="L817" i="1" s="1"/>
  <c r="J883" i="1"/>
  <c r="L883" i="1" s="1"/>
  <c r="F893" i="1"/>
  <c r="E893" i="5" s="1"/>
  <c r="L971" i="1"/>
  <c r="J971" i="1"/>
  <c r="F981" i="1"/>
  <c r="E981" i="5" s="1"/>
  <c r="J1057" i="1"/>
  <c r="L1057" i="1" s="1"/>
  <c r="F1067" i="1"/>
  <c r="E1067" i="5" s="1"/>
  <c r="J1067" i="1"/>
  <c r="J1070" i="1"/>
  <c r="L1070" i="1" s="1"/>
  <c r="F1081" i="1"/>
  <c r="E1081" i="5" s="1"/>
  <c r="J1081" i="1"/>
  <c r="L1081" i="1" s="1"/>
  <c r="F541" i="1"/>
  <c r="E541" i="5" s="1"/>
  <c r="J541" i="1"/>
  <c r="L541" i="1" s="1"/>
  <c r="J585" i="1"/>
  <c r="L585" i="1" s="1"/>
  <c r="J650" i="1"/>
  <c r="L650" i="1" s="1"/>
  <c r="F474" i="1"/>
  <c r="E474" i="5" s="1"/>
  <c r="L485" i="1"/>
  <c r="J485" i="1"/>
  <c r="J497" i="1"/>
  <c r="L497" i="1" s="1"/>
  <c r="F507" i="1"/>
  <c r="E507" i="5" s="1"/>
  <c r="J507" i="1"/>
  <c r="L507" i="1" s="1"/>
  <c r="F519" i="1"/>
  <c r="E519" i="5" s="1"/>
  <c r="J551" i="1"/>
  <c r="L551" i="1" s="1"/>
  <c r="F573" i="1"/>
  <c r="E573" i="5" s="1"/>
  <c r="J618" i="1"/>
  <c r="L618" i="1" s="1"/>
  <c r="F628" i="1"/>
  <c r="E628" i="5" s="1"/>
  <c r="F663" i="1"/>
  <c r="E663" i="5" s="1"/>
  <c r="J663" i="1"/>
  <c r="L663" i="1" s="1"/>
  <c r="J673" i="1"/>
  <c r="L673" i="1" s="1"/>
  <c r="J707" i="1"/>
  <c r="L707" i="1" s="1"/>
  <c r="F729" i="1"/>
  <c r="E729" i="5" s="1"/>
  <c r="F751" i="1"/>
  <c r="E751" i="5" s="1"/>
  <c r="J751" i="1"/>
  <c r="L751" i="1" s="1"/>
  <c r="F771" i="1"/>
  <c r="E771" i="5" s="1"/>
  <c r="J771" i="1"/>
  <c r="L771" i="1" s="1"/>
  <c r="F794" i="1"/>
  <c r="E794" i="5" s="1"/>
  <c r="F814" i="1"/>
  <c r="E814" i="5" s="1"/>
  <c r="F837" i="1"/>
  <c r="E837" i="5" s="1"/>
  <c r="J837" i="1"/>
  <c r="L837" i="1" s="1"/>
  <c r="L861" i="1"/>
  <c r="J861" i="1"/>
  <c r="F871" i="1"/>
  <c r="E871" i="5" s="1"/>
  <c r="J871" i="1"/>
  <c r="L871" i="1" s="1"/>
  <c r="L881" i="1"/>
  <c r="J881" i="1"/>
  <c r="J903" i="1"/>
  <c r="L903" i="1" s="1"/>
  <c r="F913" i="1"/>
  <c r="E913" i="5" s="1"/>
  <c r="F925" i="1"/>
  <c r="E925" i="5" s="1"/>
  <c r="J925" i="1"/>
  <c r="L925" i="1" s="1"/>
  <c r="J949" i="1"/>
  <c r="L949" i="1" s="1"/>
  <c r="F959" i="1"/>
  <c r="E959" i="5" s="1"/>
  <c r="J959" i="1"/>
  <c r="L959" i="1" s="1"/>
  <c r="J969" i="1"/>
  <c r="L969" i="1" s="1"/>
  <c r="J991" i="1"/>
  <c r="L991" i="1" s="1"/>
  <c r="F1013" i="1"/>
  <c r="E1013" i="5" s="1"/>
  <c r="J1013" i="1"/>
  <c r="L1013" i="1" s="1"/>
  <c r="J1037" i="1"/>
  <c r="L1037" i="1" s="1"/>
  <c r="F1047" i="1"/>
  <c r="E1047" i="5" s="1"/>
  <c r="J1047" i="1"/>
  <c r="L1047" i="1" s="1"/>
  <c r="F1057" i="1"/>
  <c r="E1057" i="5" s="1"/>
  <c r="F595" i="1"/>
  <c r="E595" i="5" s="1"/>
  <c r="J595" i="1"/>
  <c r="L595" i="1" s="1"/>
  <c r="L641" i="1"/>
  <c r="J641" i="1"/>
  <c r="F651" i="1"/>
  <c r="E651" i="5" s="1"/>
  <c r="J651" i="1"/>
  <c r="L651" i="1" s="1"/>
  <c r="L661" i="1"/>
  <c r="J661" i="1"/>
  <c r="L683" i="1"/>
  <c r="J683" i="1"/>
  <c r="L694" i="1"/>
  <c r="J694" i="1"/>
  <c r="J717" i="1"/>
  <c r="L717" i="1" s="1"/>
  <c r="L739" i="1"/>
  <c r="J739" i="1"/>
  <c r="L849" i="1"/>
  <c r="J849" i="1"/>
  <c r="L937" i="1"/>
  <c r="J937" i="1"/>
  <c r="J1025" i="1"/>
  <c r="L1025" i="1" s="1"/>
  <c r="L1068" i="1"/>
  <c r="J1068" i="1"/>
  <c r="F803" i="1"/>
  <c r="E803" i="5" s="1"/>
  <c r="J803" i="1"/>
  <c r="F860" i="1"/>
  <c r="E860" i="5" s="1"/>
  <c r="J860" i="1"/>
  <c r="L860" i="1" s="1"/>
  <c r="J564" i="1"/>
  <c r="L564" i="1" s="1"/>
  <c r="L607" i="1"/>
  <c r="J607" i="1"/>
  <c r="L619" i="1"/>
  <c r="J619" i="1"/>
  <c r="F641" i="1"/>
  <c r="E641" i="5" s="1"/>
  <c r="F661" i="1"/>
  <c r="E661" i="5" s="1"/>
  <c r="F704" i="1"/>
  <c r="E704" i="5" s="1"/>
  <c r="J704" i="1"/>
  <c r="L761" i="1"/>
  <c r="J761" i="1"/>
  <c r="L782" i="1"/>
  <c r="J782" i="1"/>
  <c r="F805" i="1"/>
  <c r="E805" i="5" s="1"/>
  <c r="J815" i="1"/>
  <c r="L815" i="1" s="1"/>
  <c r="F825" i="1"/>
  <c r="E825" i="5" s="1"/>
  <c r="F828" i="1"/>
  <c r="E828" i="5" s="1"/>
  <c r="F859" i="1"/>
  <c r="E859" i="5" s="1"/>
  <c r="F891" i="1"/>
  <c r="E891" i="5" s="1"/>
  <c r="J891" i="1"/>
  <c r="F894" i="1"/>
  <c r="E894" i="5" s="1"/>
  <c r="J894" i="1"/>
  <c r="L894" i="1" s="1"/>
  <c r="F904" i="1"/>
  <c r="E904" i="5" s="1"/>
  <c r="J904" i="1"/>
  <c r="L904" i="1" s="1"/>
  <c r="F914" i="1"/>
  <c r="E914" i="5" s="1"/>
  <c r="J914" i="1"/>
  <c r="L914" i="1" s="1"/>
  <c r="F947" i="1"/>
  <c r="E947" i="5" s="1"/>
  <c r="F979" i="1"/>
  <c r="E979" i="5" s="1"/>
  <c r="J979" i="1"/>
  <c r="F982" i="1"/>
  <c r="E982" i="5" s="1"/>
  <c r="J982" i="1"/>
  <c r="L982" i="1" s="1"/>
  <c r="F992" i="1"/>
  <c r="E992" i="5" s="1"/>
  <c r="J992" i="1"/>
  <c r="L992" i="1" s="1"/>
  <c r="F1002" i="1"/>
  <c r="E1002" i="5" s="1"/>
  <c r="J1002" i="1"/>
  <c r="L1002" i="1" s="1"/>
  <c r="F1035" i="1"/>
  <c r="E1035" i="5" s="1"/>
  <c r="F1058" i="1"/>
  <c r="E1058" i="5" s="1"/>
  <c r="J1058" i="1"/>
  <c r="L1058" i="1" s="1"/>
  <c r="F1817" i="1"/>
  <c r="D1817" i="1"/>
  <c r="F529" i="1"/>
  <c r="E529" i="5" s="1"/>
  <c r="J529" i="1"/>
  <c r="L529" i="1" s="1"/>
  <c r="F498" i="1"/>
  <c r="E498" i="5" s="1"/>
  <c r="J498" i="1"/>
  <c r="L498" i="1" s="1"/>
  <c r="L542" i="1"/>
  <c r="J542" i="1"/>
  <c r="F586" i="1"/>
  <c r="E586" i="5" s="1"/>
  <c r="J475" i="1"/>
  <c r="L475" i="1" s="1"/>
  <c r="J486" i="1"/>
  <c r="L486" i="1" s="1"/>
  <c r="J508" i="1"/>
  <c r="L508" i="1" s="1"/>
  <c r="F520" i="1"/>
  <c r="E520" i="5" s="1"/>
  <c r="F552" i="1"/>
  <c r="E552" i="5" s="1"/>
  <c r="F561" i="1"/>
  <c r="E561" i="5" s="1"/>
  <c r="J561" i="1"/>
  <c r="F574" i="1"/>
  <c r="E574" i="5" s="1"/>
  <c r="F583" i="1"/>
  <c r="E583" i="5" s="1"/>
  <c r="F607" i="1"/>
  <c r="E607" i="5" s="1"/>
  <c r="F629" i="1"/>
  <c r="E629" i="5" s="1"/>
  <c r="J629" i="1"/>
  <c r="L629" i="1" s="1"/>
  <c r="J639" i="1"/>
  <c r="L639" i="1" s="1"/>
  <c r="F674" i="1"/>
  <c r="E674" i="5" s="1"/>
  <c r="F684" i="1"/>
  <c r="E684" i="5" s="1"/>
  <c r="J684" i="1"/>
  <c r="F715" i="1"/>
  <c r="E715" i="5" s="1"/>
  <c r="F718" i="1"/>
  <c r="E718" i="5" s="1"/>
  <c r="J718" i="1"/>
  <c r="F749" i="1"/>
  <c r="E749" i="5" s="1"/>
  <c r="J749" i="1"/>
  <c r="L749" i="1" s="1"/>
  <c r="F772" i="1"/>
  <c r="E772" i="5" s="1"/>
  <c r="J772" i="1"/>
  <c r="L772" i="1" s="1"/>
  <c r="F782" i="1"/>
  <c r="E782" i="5" s="1"/>
  <c r="F792" i="1"/>
  <c r="E792" i="5" s="1"/>
  <c r="J792" i="1"/>
  <c r="J795" i="1"/>
  <c r="L795" i="1" s="1"/>
  <c r="J838" i="1"/>
  <c r="L838" i="1" s="1"/>
  <c r="F847" i="1"/>
  <c r="E847" i="5" s="1"/>
  <c r="F850" i="1"/>
  <c r="E850" i="5" s="1"/>
  <c r="J850" i="1"/>
  <c r="L872" i="1"/>
  <c r="J872" i="1"/>
  <c r="J926" i="1"/>
  <c r="L926" i="1" s="1"/>
  <c r="F938" i="1"/>
  <c r="E938" i="5" s="1"/>
  <c r="J938" i="1"/>
  <c r="L960" i="1"/>
  <c r="J960" i="1"/>
  <c r="L1014" i="1"/>
  <c r="J1014" i="1"/>
  <c r="F1026" i="1"/>
  <c r="E1026" i="5" s="1"/>
  <c r="J1026" i="1"/>
  <c r="L1026" i="1" s="1"/>
  <c r="L1048" i="1"/>
  <c r="J1048" i="1"/>
  <c r="L1079" i="1"/>
  <c r="J1079" i="1"/>
  <c r="F476" i="1"/>
  <c r="E476" i="5" s="1"/>
  <c r="F497" i="1"/>
  <c r="E497" i="5" s="1"/>
  <c r="F517" i="1"/>
  <c r="E517" i="5" s="1"/>
  <c r="F531" i="1"/>
  <c r="E531" i="5" s="1"/>
  <c r="F551" i="1"/>
  <c r="E551" i="5" s="1"/>
  <c r="F585" i="1"/>
  <c r="E585" i="5" s="1"/>
  <c r="F605" i="1"/>
  <c r="E605" i="5" s="1"/>
  <c r="F619" i="1"/>
  <c r="E619" i="5" s="1"/>
  <c r="F639" i="1"/>
  <c r="E639" i="5" s="1"/>
  <c r="F673" i="1"/>
  <c r="E673" i="5" s="1"/>
  <c r="F705" i="1"/>
  <c r="E705" i="5" s="1"/>
  <c r="F726" i="1"/>
  <c r="E726" i="5" s="1"/>
  <c r="F737" i="1"/>
  <c r="E737" i="5" s="1"/>
  <c r="F739" i="1"/>
  <c r="E739" i="5" s="1"/>
  <c r="L793" i="1"/>
  <c r="F793" i="1"/>
  <c r="E793" i="5" s="1"/>
  <c r="G1952" i="5"/>
  <c r="G1938" i="5"/>
  <c r="G1940" i="5"/>
  <c r="G1919" i="5"/>
  <c r="G1939" i="5"/>
  <c r="G1941" i="5"/>
  <c r="G1942" i="5"/>
  <c r="G1921" i="5"/>
  <c r="G1937" i="5"/>
  <c r="G1920" i="5"/>
  <c r="G1953" i="5"/>
  <c r="F473" i="1"/>
  <c r="E473" i="5" s="1"/>
  <c r="F508" i="1"/>
  <c r="E508" i="5" s="1"/>
  <c r="F528" i="1"/>
  <c r="E528" i="5" s="1"/>
  <c r="F542" i="1"/>
  <c r="E542" i="5" s="1"/>
  <c r="F562" i="1"/>
  <c r="E562" i="5" s="1"/>
  <c r="F596" i="1"/>
  <c r="E596" i="5" s="1"/>
  <c r="F616" i="1"/>
  <c r="E616" i="5" s="1"/>
  <c r="F630" i="1"/>
  <c r="E630" i="5" s="1"/>
  <c r="F650" i="1"/>
  <c r="E650" i="5" s="1"/>
  <c r="L684" i="1"/>
  <c r="F694" i="1"/>
  <c r="E694" i="5" s="1"/>
  <c r="F707" i="1"/>
  <c r="E707" i="5" s="1"/>
  <c r="L718" i="1"/>
  <c r="L750" i="1"/>
  <c r="F750" i="1"/>
  <c r="E750" i="5" s="1"/>
  <c r="F770" i="1"/>
  <c r="E770" i="5" s="1"/>
  <c r="L784" i="1"/>
  <c r="F784" i="1"/>
  <c r="E784" i="5" s="1"/>
  <c r="F475" i="1"/>
  <c r="E475" i="5" s="1"/>
  <c r="F496" i="1"/>
  <c r="E496" i="5" s="1"/>
  <c r="F530" i="1"/>
  <c r="E530" i="5" s="1"/>
  <c r="F550" i="1"/>
  <c r="E550" i="5" s="1"/>
  <c r="F564" i="1"/>
  <c r="E564" i="5" s="1"/>
  <c r="F584" i="1"/>
  <c r="E584" i="5" s="1"/>
  <c r="F618" i="1"/>
  <c r="E618" i="5" s="1"/>
  <c r="F638" i="1"/>
  <c r="E638" i="5" s="1"/>
  <c r="F652" i="1"/>
  <c r="E652" i="5" s="1"/>
  <c r="F672" i="1"/>
  <c r="E672" i="5" s="1"/>
  <c r="F683" i="1"/>
  <c r="E683" i="5" s="1"/>
  <c r="F696" i="1"/>
  <c r="E696" i="5" s="1"/>
  <c r="F717" i="1"/>
  <c r="E717" i="5" s="1"/>
  <c r="F748" i="1"/>
  <c r="E748" i="5" s="1"/>
  <c r="L827" i="1"/>
  <c r="F827" i="1"/>
  <c r="E827" i="5" s="1"/>
  <c r="F693" i="1"/>
  <c r="E693" i="5" s="1"/>
  <c r="F706" i="1"/>
  <c r="E706" i="5" s="1"/>
  <c r="F762" i="1"/>
  <c r="E762" i="5" s="1"/>
  <c r="F773" i="1"/>
  <c r="E773" i="5" s="1"/>
  <c r="G1086" i="5"/>
  <c r="G1082" i="5"/>
  <c r="G1080" i="5"/>
  <c r="G1078" i="5"/>
  <c r="G1074" i="5"/>
  <c r="G1066" i="5"/>
  <c r="G1062" i="5"/>
  <c r="G1059" i="5"/>
  <c r="G1057" i="5"/>
  <c r="G1054" i="5"/>
  <c r="G1050" i="5"/>
  <c r="G1042" i="5"/>
  <c r="G1038" i="5"/>
  <c r="G1036" i="5"/>
  <c r="G1034" i="5"/>
  <c r="G1030" i="5"/>
  <c r="G1022" i="5"/>
  <c r="G1018" i="5"/>
  <c r="G1015" i="5"/>
  <c r="G1013" i="5"/>
  <c r="G1010" i="5"/>
  <c r="G1006" i="5"/>
  <c r="G998" i="5"/>
  <c r="G994" i="5"/>
  <c r="G992" i="5"/>
  <c r="G990" i="5"/>
  <c r="G986" i="5"/>
  <c r="G978" i="5"/>
  <c r="G974" i="5"/>
  <c r="G971" i="5"/>
  <c r="G969" i="5"/>
  <c r="G966" i="5"/>
  <c r="G962" i="5"/>
  <c r="G954" i="5"/>
  <c r="G950" i="5"/>
  <c r="G948" i="5"/>
  <c r="G946" i="5"/>
  <c r="G942" i="5"/>
  <c r="G934" i="5"/>
  <c r="G930" i="5"/>
  <c r="G927" i="5"/>
  <c r="G925" i="5"/>
  <c r="G922" i="5"/>
  <c r="G918" i="5"/>
  <c r="G910" i="5"/>
  <c r="G906" i="5"/>
  <c r="G904" i="5"/>
  <c r="G902" i="5"/>
  <c r="G898" i="5"/>
  <c r="G890" i="5"/>
  <c r="G886" i="5"/>
  <c r="G883" i="5"/>
  <c r="G881" i="5"/>
  <c r="G878" i="5"/>
  <c r="G874" i="5"/>
  <c r="G1088" i="5"/>
  <c r="G1070" i="5"/>
  <c r="G1064" i="5"/>
  <c r="G1047" i="5"/>
  <c r="G1040" i="5"/>
  <c r="G1024" i="5"/>
  <c r="G1016" i="5"/>
  <c r="G1011" i="5"/>
  <c r="G1001" i="5"/>
  <c r="G993" i="5"/>
  <c r="G987" i="5"/>
  <c r="G977" i="5"/>
  <c r="G970" i="5"/>
  <c r="G963" i="5"/>
  <c r="G953" i="5"/>
  <c r="G947" i="5"/>
  <c r="G939" i="5"/>
  <c r="G929" i="5"/>
  <c r="G924" i="5"/>
  <c r="G916" i="5"/>
  <c r="G900" i="5"/>
  <c r="G893" i="5"/>
  <c r="G876" i="5"/>
  <c r="G870" i="5"/>
  <c r="G867" i="5"/>
  <c r="G863" i="5"/>
  <c r="G855" i="5"/>
  <c r="G851" i="5"/>
  <c r="G849" i="5"/>
  <c r="G847" i="5"/>
  <c r="G843" i="5"/>
  <c r="G835" i="5"/>
  <c r="G831" i="5"/>
  <c r="G828" i="5"/>
  <c r="G826" i="5"/>
  <c r="G823" i="5"/>
  <c r="G819" i="5"/>
  <c r="G811" i="5"/>
  <c r="G807" i="5"/>
  <c r="G805" i="5"/>
  <c r="G803" i="5"/>
  <c r="G799" i="5"/>
  <c r="G1075" i="5"/>
  <c r="G1056" i="5"/>
  <c r="G1051" i="5"/>
  <c r="G1044" i="5"/>
  <c r="G1039" i="5"/>
  <c r="G1025" i="5"/>
  <c r="G999" i="5"/>
  <c r="G980" i="5"/>
  <c r="G976" i="5"/>
  <c r="G949" i="5"/>
  <c r="G919" i="5"/>
  <c r="G873" i="5"/>
  <c r="G868" i="5"/>
  <c r="G858" i="5"/>
  <c r="G850" i="5"/>
  <c r="G844" i="5"/>
  <c r="G834" i="5"/>
  <c r="G827" i="5"/>
  <c r="G820" i="5"/>
  <c r="G810" i="5"/>
  <c r="G804" i="5"/>
  <c r="G796" i="5"/>
  <c r="G791" i="5"/>
  <c r="G787" i="5"/>
  <c r="G784" i="5"/>
  <c r="G782" i="5"/>
  <c r="G779" i="5"/>
  <c r="G775" i="5"/>
  <c r="G767" i="5"/>
  <c r="G763" i="5"/>
  <c r="G761" i="5"/>
  <c r="G759" i="5"/>
  <c r="G755" i="5"/>
  <c r="G747" i="5"/>
  <c r="G743" i="5"/>
  <c r="G740" i="5"/>
  <c r="G738" i="5"/>
  <c r="G735" i="5"/>
  <c r="G731" i="5"/>
  <c r="G723" i="5"/>
  <c r="G719" i="5"/>
  <c r="G717" i="5"/>
  <c r="G715" i="5"/>
  <c r="G711" i="5"/>
  <c r="G703" i="5"/>
  <c r="G699" i="5"/>
  <c r="G696" i="5"/>
  <c r="G694" i="5"/>
  <c r="G691" i="5"/>
  <c r="G687" i="5"/>
  <c r="G679" i="5"/>
  <c r="G675" i="5"/>
  <c r="G673" i="5"/>
  <c r="G671" i="5"/>
  <c r="G667" i="5"/>
  <c r="G659" i="5"/>
  <c r="G655" i="5"/>
  <c r="G652" i="5"/>
  <c r="G650" i="5"/>
  <c r="G1083" i="5"/>
  <c r="G1048" i="5"/>
  <c r="G1002" i="5"/>
  <c r="G997" i="5"/>
  <c r="G984" i="5"/>
  <c r="G981" i="5"/>
  <c r="G956" i="5"/>
  <c r="G943" i="5"/>
  <c r="G938" i="5"/>
  <c r="G935" i="5"/>
  <c r="G926" i="5"/>
  <c r="G1073" i="5"/>
  <c r="G1087" i="5"/>
  <c r="G1072" i="5"/>
  <c r="G1043" i="5"/>
  <c r="G1029" i="5"/>
  <c r="G1008" i="5"/>
  <c r="G995" i="5"/>
  <c r="G988" i="5"/>
  <c r="G975" i="5"/>
  <c r="G967" i="5"/>
  <c r="G961" i="5"/>
  <c r="G937" i="5"/>
  <c r="G913" i="5"/>
  <c r="G907" i="5"/>
  <c r="G892" i="5"/>
  <c r="G1058" i="5"/>
  <c r="G1046" i="5"/>
  <c r="G1041" i="5"/>
  <c r="G1033" i="5"/>
  <c r="G1027" i="5"/>
  <c r="G1012" i="5"/>
  <c r="G985" i="5"/>
  <c r="G979" i="5"/>
  <c r="G973" i="5"/>
  <c r="G965" i="5"/>
  <c r="G957" i="5"/>
  <c r="G931" i="5"/>
  <c r="G911" i="5"/>
  <c r="G1084" i="5"/>
  <c r="G1031" i="5"/>
  <c r="G1019" i="5"/>
  <c r="G1005" i="5"/>
  <c r="G1000" i="5"/>
  <c r="G958" i="5"/>
  <c r="G920" i="5"/>
  <c r="G908" i="5"/>
  <c r="G899" i="5"/>
  <c r="G891" i="5"/>
  <c r="G859" i="5"/>
  <c r="G832" i="5"/>
  <c r="G1079" i="5"/>
  <c r="G1063" i="5"/>
  <c r="G1049" i="5"/>
  <c r="G1045" i="5"/>
  <c r="G1037" i="5"/>
  <c r="G945" i="5"/>
  <c r="G914" i="5"/>
  <c r="G889" i="5"/>
  <c r="G880" i="5"/>
  <c r="G865" i="5"/>
  <c r="G861" i="5"/>
  <c r="G854" i="5"/>
  <c r="G842" i="5"/>
  <c r="G825" i="5"/>
  <c r="G816" i="5"/>
  <c r="G813" i="5"/>
  <c r="G808" i="5"/>
  <c r="G802" i="5"/>
  <c r="G797" i="5"/>
  <c r="G794" i="5"/>
  <c r="G786" i="5"/>
  <c r="G781" i="5"/>
  <c r="G773" i="5"/>
  <c r="G757" i="5"/>
  <c r="G750" i="5"/>
  <c r="G733" i="5"/>
  <c r="G727" i="5"/>
  <c r="G709" i="5"/>
  <c r="G704" i="5"/>
  <c r="G1069" i="5"/>
  <c r="G1061" i="5"/>
  <c r="G1017" i="5"/>
  <c r="G1004" i="5"/>
  <c r="G968" i="5"/>
  <c r="G944" i="5"/>
  <c r="G928" i="5"/>
  <c r="G917" i="5"/>
  <c r="G903" i="5"/>
  <c r="G879" i="5"/>
  <c r="G853" i="5"/>
  <c r="G1067" i="5"/>
  <c r="G1055" i="5"/>
  <c r="G1023" i="5"/>
  <c r="G991" i="5"/>
  <c r="G983" i="5"/>
  <c r="G964" i="5"/>
  <c r="G959" i="5"/>
  <c r="G952" i="5"/>
  <c r="G940" i="5"/>
  <c r="G923" i="5"/>
  <c r="G895" i="5"/>
  <c r="G862" i="5"/>
  <c r="G845" i="5"/>
  <c r="G840" i="5"/>
  <c r="G1053" i="5"/>
  <c r="G1026" i="5"/>
  <c r="G1021" i="5"/>
  <c r="G951" i="5"/>
  <c r="G933" i="5"/>
  <c r="G915" i="5"/>
  <c r="G909" i="5"/>
  <c r="G901" i="5"/>
  <c r="G885" i="5"/>
  <c r="G856" i="5"/>
  <c r="G837" i="5"/>
  <c r="G833" i="5"/>
  <c r="G806" i="5"/>
  <c r="G788" i="5"/>
  <c r="G778" i="5"/>
  <c r="G764" i="5"/>
  <c r="G754" i="5"/>
  <c r="G730" i="5"/>
  <c r="G725" i="5"/>
  <c r="G707" i="5"/>
  <c r="G701" i="5"/>
  <c r="G684" i="5"/>
  <c r="G677" i="5"/>
  <c r="G1068" i="5"/>
  <c r="G982" i="5"/>
  <c r="G887" i="5"/>
  <c r="G839" i="5"/>
  <c r="G809" i="5"/>
  <c r="G789" i="5"/>
  <c r="G776" i="5"/>
  <c r="G772" i="5"/>
  <c r="G768" i="5"/>
  <c r="G760" i="5"/>
  <c r="G741" i="5"/>
  <c r="G729" i="5"/>
  <c r="G726" i="5"/>
  <c r="G720" i="5"/>
  <c r="G712" i="5"/>
  <c r="G698" i="5"/>
  <c r="G690" i="5"/>
  <c r="G685" i="5"/>
  <c r="G663" i="5"/>
  <c r="G657" i="5"/>
  <c r="G1065" i="5"/>
  <c r="G1052" i="5"/>
  <c r="G936" i="5"/>
  <c r="G894" i="5"/>
  <c r="G884" i="5"/>
  <c r="G877" i="5"/>
  <c r="G860" i="5"/>
  <c r="G846" i="5"/>
  <c r="G818" i="5"/>
  <c r="G798" i="5"/>
  <c r="G793" i="5"/>
  <c r="G762" i="5"/>
  <c r="G746" i="5"/>
  <c r="G716" i="5"/>
  <c r="G689" i="5"/>
  <c r="G682" i="5"/>
  <c r="G666" i="5"/>
  <c r="G647" i="5"/>
  <c r="G643" i="5"/>
  <c r="G635" i="5"/>
  <c r="G631" i="5"/>
  <c r="G629" i="5"/>
  <c r="G627" i="5"/>
  <c r="G623" i="5"/>
  <c r="G615" i="5"/>
  <c r="G611" i="5"/>
  <c r="G608" i="5"/>
  <c r="G606" i="5"/>
  <c r="G603" i="5"/>
  <c r="G599" i="5"/>
  <c r="G591" i="5"/>
  <c r="G587" i="5"/>
  <c r="G585" i="5"/>
  <c r="G583" i="5"/>
  <c r="G579" i="5"/>
  <c r="G571" i="5"/>
  <c r="G567" i="5"/>
  <c r="G564" i="5"/>
  <c r="G562" i="5"/>
  <c r="G559" i="5"/>
  <c r="G555" i="5"/>
  <c r="G547" i="5"/>
  <c r="G543" i="5"/>
  <c r="G541" i="5"/>
  <c r="G539" i="5"/>
  <c r="G535" i="5"/>
  <c r="G527" i="5"/>
  <c r="G523" i="5"/>
  <c r="G520" i="5"/>
  <c r="G518" i="5"/>
  <c r="G515" i="5"/>
  <c r="G511" i="5"/>
  <c r="G503" i="5"/>
  <c r="G499" i="5"/>
  <c r="G497" i="5"/>
  <c r="G495" i="5"/>
  <c r="G491" i="5"/>
  <c r="G1085" i="5"/>
  <c r="G1077" i="5"/>
  <c r="G1060" i="5"/>
  <c r="G1003" i="5"/>
  <c r="G955" i="5"/>
  <c r="G912" i="5"/>
  <c r="G875" i="5"/>
  <c r="G869" i="5"/>
  <c r="G838" i="5"/>
  <c r="G815" i="5"/>
  <c r="G766" i="5"/>
  <c r="G732" i="5"/>
  <c r="G710" i="5"/>
  <c r="G697" i="5"/>
  <c r="G681" i="5"/>
  <c r="G676" i="5"/>
  <c r="G670" i="5"/>
  <c r="G656" i="5"/>
  <c r="G1076" i="5"/>
  <c r="G1014" i="5"/>
  <c r="G932" i="5"/>
  <c r="G866" i="5"/>
  <c r="G830" i="5"/>
  <c r="G824" i="5"/>
  <c r="G814" i="5"/>
  <c r="G780" i="5"/>
  <c r="G774" i="5"/>
  <c r="G771" i="5"/>
  <c r="G753" i="5"/>
  <c r="G745" i="5"/>
  <c r="G737" i="5"/>
  <c r="G728" i="5"/>
  <c r="G724" i="5"/>
  <c r="G706" i="5"/>
  <c r="G702" i="5"/>
  <c r="G688" i="5"/>
  <c r="G665" i="5"/>
  <c r="G660" i="5"/>
  <c r="G646" i="5"/>
  <c r="G642" i="5"/>
  <c r="G640" i="5"/>
  <c r="G638" i="5"/>
  <c r="G634" i="5"/>
  <c r="G626" i="5"/>
  <c r="G622" i="5"/>
  <c r="G619" i="5"/>
  <c r="G617" i="5"/>
  <c r="G614" i="5"/>
  <c r="G610" i="5"/>
  <c r="G602" i="5"/>
  <c r="G598" i="5"/>
  <c r="G596" i="5"/>
  <c r="G594" i="5"/>
  <c r="G590" i="5"/>
  <c r="G582" i="5"/>
  <c r="G578" i="5"/>
  <c r="G575" i="5"/>
  <c r="G573" i="5"/>
  <c r="G570" i="5"/>
  <c r="G566" i="5"/>
  <c r="G558" i="5"/>
  <c r="G554" i="5"/>
  <c r="G552" i="5"/>
  <c r="G550" i="5"/>
  <c r="G546" i="5"/>
  <c r="G538" i="5"/>
  <c r="G534" i="5"/>
  <c r="G531" i="5"/>
  <c r="G529" i="5"/>
  <c r="G526" i="5"/>
  <c r="G522" i="5"/>
  <c r="G514" i="5"/>
  <c r="G510" i="5"/>
  <c r="G508" i="5"/>
  <c r="G506" i="5"/>
  <c r="G502" i="5"/>
  <c r="G494" i="5"/>
  <c r="G490" i="5"/>
  <c r="G487" i="5"/>
  <c r="G485" i="5"/>
  <c r="G1081" i="5"/>
  <c r="G1032" i="5"/>
  <c r="G996" i="5"/>
  <c r="G972" i="5"/>
  <c r="G872" i="5"/>
  <c r="G841" i="5"/>
  <c r="G817" i="5"/>
  <c r="G812" i="5"/>
  <c r="G795" i="5"/>
  <c r="G785" i="5"/>
  <c r="G770" i="5"/>
  <c r="G739" i="5"/>
  <c r="G736" i="5"/>
  <c r="G722" i="5"/>
  <c r="G714" i="5"/>
  <c r="G708" i="5"/>
  <c r="G686" i="5"/>
  <c r="G672" i="5"/>
  <c r="G664" i="5"/>
  <c r="G654" i="5"/>
  <c r="G649" i="5"/>
  <c r="G645" i="5"/>
  <c r="G637" i="5"/>
  <c r="G633" i="5"/>
  <c r="G630" i="5"/>
  <c r="G628" i="5"/>
  <c r="G625" i="5"/>
  <c r="G621" i="5"/>
  <c r="G613" i="5"/>
  <c r="G609" i="5"/>
  <c r="G607" i="5"/>
  <c r="G605" i="5"/>
  <c r="G601" i="5"/>
  <c r="G593" i="5"/>
  <c r="G589" i="5"/>
  <c r="G586" i="5"/>
  <c r="G584" i="5"/>
  <c r="G581" i="5"/>
  <c r="G577" i="5"/>
  <c r="G569" i="5"/>
  <c r="G565" i="5"/>
  <c r="G563" i="5"/>
  <c r="G561" i="5"/>
  <c r="G557" i="5"/>
  <c r="G678" i="5"/>
  <c r="G669" i="5"/>
  <c r="G648" i="5"/>
  <c r="G632" i="5"/>
  <c r="G612" i="5"/>
  <c r="G592" i="5"/>
  <c r="G576" i="5"/>
  <c r="G572" i="5"/>
  <c r="G540" i="5"/>
  <c r="G528" i="5"/>
  <c r="G519" i="5"/>
  <c r="G516" i="5"/>
  <c r="G504" i="5"/>
  <c r="G496" i="5"/>
  <c r="G492" i="5"/>
  <c r="G477" i="5"/>
  <c r="G777" i="5"/>
  <c r="G769" i="5"/>
  <c r="G713" i="5"/>
  <c r="G695" i="5"/>
  <c r="G668" i="5"/>
  <c r="G661" i="5"/>
  <c r="G618" i="5"/>
  <c r="G597" i="5"/>
  <c r="G556" i="5"/>
  <c r="G551" i="5"/>
  <c r="G544" i="5"/>
  <c r="G1009" i="5"/>
  <c r="G960" i="5"/>
  <c r="G765" i="5"/>
  <c r="G758" i="5"/>
  <c r="G749" i="5"/>
  <c r="G721" i="5"/>
  <c r="G705" i="5"/>
  <c r="G639" i="5"/>
  <c r="G624" i="5"/>
  <c r="G533" i="5"/>
  <c r="G530" i="5"/>
  <c r="G521" i="5"/>
  <c r="G507" i="5"/>
  <c r="G498" i="5"/>
  <c r="G484" i="5"/>
  <c r="G481" i="5"/>
  <c r="G474" i="5"/>
  <c r="G1035" i="5"/>
  <c r="G905" i="5"/>
  <c r="G871" i="5"/>
  <c r="G848" i="5"/>
  <c r="G829" i="5"/>
  <c r="G821" i="5"/>
  <c r="G801" i="5"/>
  <c r="G752" i="5"/>
  <c r="G744" i="5"/>
  <c r="G700" i="5"/>
  <c r="G636" i="5"/>
  <c r="G620" i="5"/>
  <c r="G616" i="5"/>
  <c r="G595" i="5"/>
  <c r="G580" i="5"/>
  <c r="G548" i="5"/>
  <c r="G483" i="5"/>
  <c r="G1028" i="5"/>
  <c r="G989" i="5"/>
  <c r="G921" i="5"/>
  <c r="G882" i="5"/>
  <c r="G852" i="5"/>
  <c r="G800" i="5"/>
  <c r="G742" i="5"/>
  <c r="G680" i="5"/>
  <c r="G641" i="5"/>
  <c r="G600" i="5"/>
  <c r="G560" i="5"/>
  <c r="G536" i="5"/>
  <c r="G524" i="5"/>
  <c r="G517" i="5"/>
  <c r="G512" i="5"/>
  <c r="G505" i="5"/>
  <c r="G500" i="5"/>
  <c r="G493" i="5"/>
  <c r="G488" i="5"/>
  <c r="G478" i="5"/>
  <c r="G473" i="5"/>
  <c r="G941" i="5"/>
  <c r="G857" i="5"/>
  <c r="G574" i="5"/>
  <c r="G489" i="5"/>
  <c r="G822" i="5"/>
  <c r="G748" i="5"/>
  <c r="G658" i="5"/>
  <c r="G549" i="5"/>
  <c r="G513" i="5"/>
  <c r="G476" i="5"/>
  <c r="G1071" i="5"/>
  <c r="G888" i="5"/>
  <c r="G836" i="5"/>
  <c r="G783" i="5"/>
  <c r="G482" i="5"/>
  <c r="G864" i="5"/>
  <c r="G792" i="5"/>
  <c r="G756" i="5"/>
  <c r="G653" i="5"/>
  <c r="G644" i="5"/>
  <c r="G568" i="5"/>
  <c r="G545" i="5"/>
  <c r="G537" i="5"/>
  <c r="G897" i="5"/>
  <c r="G683" i="5"/>
  <c r="G896" i="5"/>
  <c r="G751" i="5"/>
  <c r="G693" i="5"/>
  <c r="G553" i="5"/>
  <c r="G542" i="5"/>
  <c r="G501" i="5"/>
  <c r="G479" i="5"/>
  <c r="G475" i="5"/>
  <c r="G486" i="5"/>
  <c r="G480" i="5"/>
  <c r="G1020" i="5"/>
  <c r="G692" i="5"/>
  <c r="G604" i="5"/>
  <c r="G588" i="5"/>
  <c r="G532" i="5"/>
  <c r="G734" i="5"/>
  <c r="G718" i="5"/>
  <c r="G674" i="5"/>
  <c r="G662" i="5"/>
  <c r="G651" i="5"/>
  <c r="G525" i="5"/>
  <c r="G1007" i="5"/>
  <c r="G790" i="5"/>
  <c r="G509" i="5"/>
  <c r="F804" i="1"/>
  <c r="E804" i="5" s="1"/>
  <c r="F838" i="1"/>
  <c r="E838" i="5" s="1"/>
  <c r="L850" i="1"/>
  <c r="F858" i="1"/>
  <c r="E858" i="5" s="1"/>
  <c r="F872" i="1"/>
  <c r="E872" i="5" s="1"/>
  <c r="F892" i="1"/>
  <c r="E892" i="5" s="1"/>
  <c r="F926" i="1"/>
  <c r="E926" i="5" s="1"/>
  <c r="L938" i="1"/>
  <c r="F946" i="1"/>
  <c r="E946" i="5" s="1"/>
  <c r="L958" i="1"/>
  <c r="F960" i="1"/>
  <c r="E960" i="5" s="1"/>
  <c r="F980" i="1"/>
  <c r="E980" i="5" s="1"/>
  <c r="F1014" i="1"/>
  <c r="E1014" i="5" s="1"/>
  <c r="F1034" i="1"/>
  <c r="E1034" i="5" s="1"/>
  <c r="L1046" i="1"/>
  <c r="F1048" i="1"/>
  <c r="E1048" i="5" s="1"/>
  <c r="F1068" i="1"/>
  <c r="E1068" i="5" s="1"/>
  <c r="L1080" i="1"/>
  <c r="F761" i="1"/>
  <c r="E761" i="5" s="1"/>
  <c r="F781" i="1"/>
  <c r="E781" i="5" s="1"/>
  <c r="F795" i="1"/>
  <c r="E795" i="5" s="1"/>
  <c r="F815" i="1"/>
  <c r="E815" i="5" s="1"/>
  <c r="F849" i="1"/>
  <c r="E849" i="5" s="1"/>
  <c r="F869" i="1"/>
  <c r="E869" i="5" s="1"/>
  <c r="F883" i="1"/>
  <c r="E883" i="5" s="1"/>
  <c r="F903" i="1"/>
  <c r="E903" i="5" s="1"/>
  <c r="F937" i="1"/>
  <c r="E937" i="5" s="1"/>
  <c r="F957" i="1"/>
  <c r="E957" i="5" s="1"/>
  <c r="F971" i="1"/>
  <c r="E971" i="5" s="1"/>
  <c r="F991" i="1"/>
  <c r="E991" i="5" s="1"/>
  <c r="F1025" i="1"/>
  <c r="E1025" i="5" s="1"/>
  <c r="F1045" i="1"/>
  <c r="E1045" i="5" s="1"/>
  <c r="F1059" i="1"/>
  <c r="E1059" i="5" s="1"/>
  <c r="F1079" i="1"/>
  <c r="E1079" i="5" s="1"/>
  <c r="F1056" i="1"/>
  <c r="E1056" i="5" s="1"/>
  <c r="F1070" i="1"/>
  <c r="E1070" i="5" s="1"/>
  <c r="F1078" i="1"/>
  <c r="E1078" i="5" s="1"/>
  <c r="G9" i="5"/>
  <c r="G20" i="5"/>
  <c r="G22" i="5"/>
  <c r="E23" i="5"/>
  <c r="K25" i="5"/>
  <c r="K24" i="5" s="1"/>
  <c r="E24" i="5"/>
  <c r="E25" i="5"/>
  <c r="E26" i="5"/>
  <c r="E27" i="5"/>
  <c r="E28" i="5"/>
  <c r="E29" i="5"/>
  <c r="E30" i="5"/>
  <c r="E31" i="5"/>
  <c r="E32" i="5"/>
  <c r="E33" i="5"/>
  <c r="K35" i="5"/>
  <c r="K34" i="5" s="1"/>
  <c r="E34" i="5"/>
  <c r="E35" i="5"/>
  <c r="E36" i="5"/>
  <c r="E37" i="5"/>
  <c r="E38" i="5"/>
  <c r="E39" i="5"/>
  <c r="E40" i="5"/>
  <c r="E41" i="5"/>
  <c r="E42" i="5"/>
  <c r="E43" i="5"/>
  <c r="K43" i="5"/>
  <c r="E44" i="5"/>
  <c r="E45" i="5"/>
  <c r="E46" i="5"/>
  <c r="E47" i="5"/>
  <c r="E48" i="5"/>
  <c r="E49" i="5"/>
  <c r="E50" i="5"/>
  <c r="E51" i="5"/>
  <c r="E52" i="5"/>
  <c r="E53" i="5"/>
  <c r="K57" i="5"/>
  <c r="E54" i="5"/>
  <c r="E55" i="5"/>
  <c r="E56" i="5"/>
  <c r="E57" i="5"/>
  <c r="E58" i="5"/>
  <c r="E59" i="5"/>
  <c r="E60" i="5"/>
  <c r="E61" i="5"/>
  <c r="E62" i="5"/>
  <c r="E63" i="5"/>
  <c r="K65" i="5"/>
  <c r="K64" i="5" s="1"/>
  <c r="E64" i="5"/>
  <c r="E65" i="5"/>
  <c r="E66" i="5"/>
  <c r="E67" i="5"/>
  <c r="E68" i="5"/>
  <c r="E69" i="5"/>
  <c r="E70" i="5"/>
  <c r="E71" i="5"/>
  <c r="E72" i="5"/>
  <c r="E73" i="5"/>
  <c r="K75" i="5"/>
  <c r="K74" i="5" s="1"/>
  <c r="E74" i="5"/>
  <c r="E75" i="5"/>
  <c r="E76" i="5"/>
  <c r="E77" i="5"/>
  <c r="E78" i="5"/>
  <c r="E79" i="5"/>
  <c r="E80" i="5"/>
  <c r="E81" i="5"/>
  <c r="E82" i="5"/>
  <c r="E83" i="5"/>
  <c r="K89" i="5"/>
  <c r="E84" i="5"/>
  <c r="E85" i="5"/>
  <c r="E86" i="5"/>
  <c r="E87" i="5"/>
  <c r="E88" i="5"/>
  <c r="E89" i="5"/>
  <c r="E90" i="5"/>
  <c r="E91" i="5"/>
  <c r="E92" i="5"/>
  <c r="E93" i="5"/>
  <c r="K93" i="5"/>
  <c r="E94" i="5"/>
  <c r="E95" i="5"/>
  <c r="E96" i="5"/>
  <c r="E97" i="5"/>
  <c r="E98" i="5"/>
  <c r="E99" i="5"/>
  <c r="E100" i="5"/>
  <c r="E101" i="5"/>
  <c r="E102" i="5"/>
  <c r="E103" i="5"/>
  <c r="K105" i="5"/>
  <c r="K104" i="5" s="1"/>
  <c r="E104" i="5"/>
  <c r="E105" i="5"/>
  <c r="E106" i="5"/>
  <c r="E107" i="5"/>
  <c r="E108" i="5"/>
  <c r="E109" i="5"/>
  <c r="E110" i="5"/>
  <c r="E111" i="5"/>
  <c r="E112" i="5"/>
  <c r="E113" i="5"/>
  <c r="K119" i="5"/>
  <c r="E114" i="5"/>
  <c r="E115" i="5"/>
  <c r="E116" i="5"/>
  <c r="E117" i="5"/>
  <c r="E118" i="5"/>
  <c r="E119" i="5"/>
  <c r="E120" i="5"/>
  <c r="E121" i="5"/>
  <c r="E122" i="5"/>
  <c r="E123" i="5"/>
  <c r="K128" i="5"/>
  <c r="E124" i="5"/>
  <c r="E125" i="5"/>
  <c r="E126" i="5"/>
  <c r="E127" i="5"/>
  <c r="E128" i="5"/>
  <c r="E129" i="5"/>
  <c r="E130" i="5"/>
  <c r="E131" i="5"/>
  <c r="E132" i="5"/>
  <c r="E133" i="5"/>
  <c r="K137" i="5"/>
  <c r="E134" i="5"/>
  <c r="E135" i="5"/>
  <c r="E136" i="5"/>
  <c r="E137" i="5"/>
  <c r="E138" i="5"/>
  <c r="E139" i="5"/>
  <c r="E140" i="5"/>
  <c r="E141" i="5"/>
  <c r="E142" i="5"/>
  <c r="E143" i="5"/>
  <c r="K145" i="5"/>
  <c r="E144" i="5"/>
  <c r="E145" i="5"/>
  <c r="E146" i="5"/>
  <c r="E147" i="5"/>
  <c r="E148" i="5"/>
  <c r="E149" i="5"/>
  <c r="E150" i="5"/>
  <c r="E151" i="5"/>
  <c r="E152" i="5"/>
  <c r="E153" i="5"/>
  <c r="K155" i="5"/>
  <c r="E154" i="5"/>
  <c r="E155" i="5"/>
  <c r="E156" i="5"/>
  <c r="E157" i="5"/>
  <c r="E158" i="5"/>
  <c r="E159" i="5"/>
  <c r="E160" i="5"/>
  <c r="E161" i="5"/>
  <c r="E162" i="5"/>
  <c r="E163" i="5"/>
  <c r="K169" i="5"/>
  <c r="E164" i="5"/>
  <c r="E165" i="5"/>
  <c r="E166" i="5"/>
  <c r="E167" i="5"/>
  <c r="E168" i="5"/>
  <c r="E169" i="5"/>
  <c r="E170" i="5"/>
  <c r="E171" i="5"/>
  <c r="E172" i="5"/>
  <c r="E173" i="5"/>
  <c r="K175" i="5"/>
  <c r="E174" i="5"/>
  <c r="E175" i="5"/>
  <c r="E176" i="5"/>
  <c r="E177" i="5"/>
  <c r="E178" i="5"/>
  <c r="E179" i="5"/>
  <c r="E180" i="5"/>
  <c r="E181" i="5"/>
  <c r="E182" i="5"/>
  <c r="E183" i="5"/>
  <c r="K185" i="5"/>
  <c r="E184" i="5"/>
  <c r="E185" i="5"/>
  <c r="E186" i="5"/>
  <c r="E187" i="5"/>
  <c r="E188" i="5"/>
  <c r="E189" i="5"/>
  <c r="E190" i="5"/>
  <c r="E191" i="5"/>
  <c r="E192" i="5"/>
  <c r="E193" i="5"/>
  <c r="K199" i="5"/>
  <c r="E194" i="5"/>
  <c r="E195" i="5"/>
  <c r="E196" i="5"/>
  <c r="E197" i="5"/>
  <c r="E198" i="5"/>
  <c r="E199" i="5"/>
  <c r="E200" i="5"/>
  <c r="E201" i="5"/>
  <c r="E202" i="5"/>
  <c r="E203" i="5"/>
  <c r="K208" i="5"/>
  <c r="E204" i="5"/>
  <c r="E205" i="5"/>
  <c r="E206" i="5"/>
  <c r="E207" i="5"/>
  <c r="E208" i="5"/>
  <c r="E209" i="5"/>
  <c r="E210" i="5"/>
  <c r="E211" i="5"/>
  <c r="E212" i="5"/>
  <c r="E213" i="5"/>
  <c r="K217" i="5"/>
  <c r="E214" i="5"/>
  <c r="E215" i="5"/>
  <c r="E216" i="5"/>
  <c r="E217" i="5"/>
  <c r="E218" i="5"/>
  <c r="E219" i="5"/>
  <c r="E220" i="5"/>
  <c r="E221" i="5"/>
  <c r="E222" i="5"/>
  <c r="E223" i="5"/>
  <c r="K225" i="5"/>
  <c r="E224" i="5"/>
  <c r="E225" i="5"/>
  <c r="E226" i="5"/>
  <c r="E227" i="5"/>
  <c r="E228" i="5"/>
  <c r="E229" i="5"/>
  <c r="E230" i="5"/>
  <c r="E231" i="5"/>
  <c r="E232" i="5"/>
  <c r="E233" i="5"/>
  <c r="K233" i="5"/>
  <c r="E234" i="5"/>
  <c r="E235" i="5"/>
  <c r="E236" i="5"/>
  <c r="E237" i="5"/>
  <c r="E238" i="5"/>
  <c r="E239" i="5"/>
  <c r="E240" i="5"/>
  <c r="E241" i="5"/>
  <c r="E242" i="5"/>
  <c r="E243" i="5"/>
  <c r="K249" i="5"/>
  <c r="E244" i="5"/>
  <c r="E245" i="5"/>
  <c r="E246" i="5"/>
  <c r="E247" i="5"/>
  <c r="E248" i="5"/>
  <c r="E249" i="5"/>
  <c r="E250" i="5"/>
  <c r="E251" i="5"/>
  <c r="E252" i="5"/>
  <c r="E253" i="5"/>
  <c r="K253" i="5"/>
  <c r="E254" i="5"/>
  <c r="E255" i="5"/>
  <c r="E256" i="5"/>
  <c r="E257" i="5"/>
  <c r="E258" i="5"/>
  <c r="E259" i="5"/>
  <c r="E260" i="5"/>
  <c r="E261" i="5"/>
  <c r="E262" i="5"/>
  <c r="E263" i="5"/>
  <c r="K265" i="5"/>
  <c r="E264" i="5"/>
  <c r="E265" i="5"/>
  <c r="E266" i="5"/>
  <c r="E267" i="5"/>
  <c r="E268" i="5"/>
  <c r="E269" i="5"/>
  <c r="E270" i="5"/>
  <c r="E271" i="5"/>
  <c r="E272" i="5"/>
  <c r="E273" i="5"/>
  <c r="K279" i="5"/>
  <c r="E274" i="5"/>
  <c r="E275" i="5"/>
  <c r="E276" i="5"/>
  <c r="E277" i="5"/>
  <c r="E278" i="5"/>
  <c r="E279" i="5"/>
  <c r="E280" i="5"/>
  <c r="E281" i="5"/>
  <c r="E282" i="5"/>
  <c r="E283" i="5"/>
  <c r="K283" i="5"/>
  <c r="E284" i="5"/>
  <c r="E285" i="5"/>
  <c r="E286" i="5"/>
  <c r="E287" i="5"/>
  <c r="E288" i="5"/>
  <c r="E289" i="5"/>
  <c r="E290" i="5"/>
  <c r="E291" i="5"/>
  <c r="E292" i="5"/>
  <c r="E293" i="5"/>
  <c r="K297" i="5"/>
  <c r="E294" i="5"/>
  <c r="E295" i="5"/>
  <c r="E296" i="5"/>
  <c r="E297" i="5"/>
  <c r="E298" i="5"/>
  <c r="E299" i="5"/>
  <c r="E300" i="5"/>
  <c r="E301" i="5"/>
  <c r="E302" i="5"/>
  <c r="E303" i="5"/>
  <c r="K305" i="5"/>
  <c r="E304" i="5"/>
  <c r="E305" i="5"/>
  <c r="E306" i="5"/>
  <c r="E307" i="5"/>
  <c r="E308" i="5"/>
  <c r="E309" i="5"/>
  <c r="E310" i="5"/>
  <c r="E311" i="5"/>
  <c r="E312" i="5"/>
  <c r="E313" i="5"/>
  <c r="K318" i="5"/>
  <c r="E314" i="5"/>
  <c r="E315" i="5"/>
  <c r="E316" i="5"/>
  <c r="E317" i="5"/>
  <c r="E318" i="5"/>
  <c r="E319" i="5"/>
  <c r="E320" i="5"/>
  <c r="E321" i="5"/>
  <c r="E322" i="5"/>
  <c r="E323" i="5"/>
  <c r="K325" i="5"/>
  <c r="E324" i="5"/>
  <c r="E325" i="5"/>
  <c r="E326" i="5"/>
  <c r="E327" i="5"/>
  <c r="E328" i="5"/>
  <c r="E329" i="5"/>
  <c r="E330" i="5"/>
  <c r="E331" i="5"/>
  <c r="E332" i="5"/>
  <c r="E333" i="5"/>
  <c r="K333" i="5"/>
  <c r="E334" i="5"/>
  <c r="E335" i="5"/>
  <c r="E336" i="5"/>
  <c r="E337" i="5"/>
  <c r="E338" i="5"/>
  <c r="E339" i="5"/>
  <c r="E340" i="5"/>
  <c r="E341" i="5"/>
  <c r="E342" i="5"/>
  <c r="E343" i="5"/>
  <c r="E344" i="5"/>
  <c r="E345" i="5"/>
  <c r="E346" i="5"/>
  <c r="E347" i="5"/>
  <c r="E348" i="5"/>
  <c r="E349" i="5"/>
  <c r="E350" i="5"/>
  <c r="E351" i="5"/>
  <c r="E352" i="5"/>
  <c r="E353" i="5"/>
  <c r="K357" i="5"/>
  <c r="E354" i="5"/>
  <c r="E355" i="5"/>
  <c r="E356" i="5"/>
  <c r="E357" i="5"/>
  <c r="E358" i="5"/>
  <c r="E359" i="5"/>
  <c r="E360" i="5"/>
  <c r="E361" i="5"/>
  <c r="E362" i="5"/>
  <c r="E363" i="5"/>
  <c r="K363" i="5"/>
  <c r="E364" i="5"/>
  <c r="E365" i="5"/>
  <c r="E366" i="5"/>
  <c r="E367" i="5"/>
  <c r="E368" i="5"/>
  <c r="E369" i="5"/>
  <c r="E370" i="5"/>
  <c r="E371" i="5"/>
  <c r="E372" i="5"/>
  <c r="E373" i="5"/>
  <c r="K373" i="5"/>
  <c r="E374" i="5"/>
  <c r="E375" i="5"/>
  <c r="E376" i="5"/>
  <c r="E377" i="5"/>
  <c r="E378" i="5"/>
  <c r="E379" i="5"/>
  <c r="E380" i="5"/>
  <c r="E381" i="5"/>
  <c r="E382" i="5"/>
  <c r="E383" i="5"/>
  <c r="K387" i="5"/>
  <c r="E384" i="5"/>
  <c r="E385" i="5"/>
  <c r="E386" i="5"/>
  <c r="E387" i="5"/>
  <c r="E388" i="5"/>
  <c r="E389" i="5"/>
  <c r="E390" i="5"/>
  <c r="E391" i="5"/>
  <c r="E392" i="5"/>
  <c r="E393" i="5"/>
  <c r="K398" i="5"/>
  <c r="E394" i="5"/>
  <c r="E395" i="5"/>
  <c r="E396" i="5"/>
  <c r="E397" i="5"/>
  <c r="E398" i="5"/>
  <c r="E399" i="5"/>
  <c r="E400" i="5"/>
  <c r="E401" i="5"/>
  <c r="E402" i="5"/>
  <c r="E403" i="5"/>
  <c r="E404" i="5"/>
  <c r="E405" i="5"/>
  <c r="E406" i="5"/>
  <c r="E407" i="5"/>
  <c r="E408" i="5"/>
  <c r="E409" i="5"/>
  <c r="E410" i="5"/>
  <c r="E411" i="5"/>
  <c r="E412" i="5"/>
  <c r="E413" i="5"/>
  <c r="K417" i="5"/>
  <c r="E414" i="5"/>
  <c r="E415" i="5"/>
  <c r="E416" i="5"/>
  <c r="E417" i="5"/>
  <c r="E418" i="5"/>
  <c r="E419" i="5"/>
  <c r="E420" i="5"/>
  <c r="E421" i="5"/>
  <c r="E422" i="5"/>
  <c r="E423" i="5"/>
  <c r="K429" i="5"/>
  <c r="E424" i="5"/>
  <c r="E425" i="5"/>
  <c r="E426" i="5"/>
  <c r="E427" i="5"/>
  <c r="E428" i="5"/>
  <c r="E429" i="5"/>
  <c r="E430" i="5"/>
  <c r="E431" i="5"/>
  <c r="E432" i="5"/>
  <c r="E433" i="5"/>
  <c r="K437" i="5"/>
  <c r="E434" i="5"/>
  <c r="E435" i="5"/>
  <c r="E436" i="5"/>
  <c r="E437" i="5"/>
  <c r="E438" i="5"/>
  <c r="E439" i="5"/>
  <c r="E440" i="5"/>
  <c r="E441" i="5"/>
  <c r="E442" i="5"/>
  <c r="E443" i="5"/>
  <c r="K446" i="5"/>
  <c r="E444" i="5"/>
  <c r="E445" i="5"/>
  <c r="E446" i="5"/>
  <c r="E447" i="5"/>
  <c r="E448" i="5"/>
  <c r="E449" i="5"/>
  <c r="E450" i="5"/>
  <c r="E451" i="5"/>
  <c r="E452" i="5"/>
  <c r="E453" i="5"/>
  <c r="K456" i="5"/>
  <c r="E454" i="5"/>
  <c r="E455" i="5"/>
  <c r="E456" i="5"/>
  <c r="E457" i="5"/>
  <c r="E458" i="5"/>
  <c r="E459" i="5"/>
  <c r="E460" i="5"/>
  <c r="E461" i="5"/>
  <c r="E462" i="5"/>
  <c r="E463" i="5"/>
  <c r="K463" i="5"/>
  <c r="E464" i="5"/>
  <c r="E465" i="5"/>
  <c r="E466" i="5"/>
  <c r="E467" i="5"/>
  <c r="E468" i="5"/>
  <c r="E469" i="5"/>
  <c r="E470" i="5"/>
  <c r="E471" i="5"/>
  <c r="E472" i="5"/>
  <c r="G1090" i="5"/>
  <c r="G1091" i="5"/>
  <c r="G1092" i="5"/>
  <c r="G1095" i="5"/>
  <c r="G1096" i="5"/>
  <c r="G1104" i="5"/>
  <c r="G1113" i="5"/>
  <c r="G1114" i="5"/>
  <c r="G1116" i="5"/>
  <c r="G1117" i="5"/>
  <c r="G1118" i="5"/>
  <c r="G1209" i="5"/>
  <c r="G1210" i="5"/>
  <c r="G1211" i="5"/>
  <c r="G1212" i="5"/>
  <c r="G1303" i="5"/>
  <c r="G1304" i="5"/>
  <c r="G1305" i="5"/>
  <c r="G1306" i="5"/>
  <c r="O1397" i="5"/>
  <c r="O1398" i="5"/>
  <c r="O1399" i="5"/>
  <c r="O1400" i="5"/>
  <c r="O1401" i="5"/>
  <c r="O1402" i="5"/>
  <c r="O1403" i="5"/>
  <c r="G1404" i="5"/>
  <c r="G1405" i="5"/>
  <c r="G1407" i="5"/>
  <c r="G1408" i="5"/>
  <c r="G1409" i="5"/>
  <c r="G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G1686" i="5"/>
  <c r="G1687" i="5"/>
  <c r="G1688" i="5"/>
  <c r="G1689" i="5"/>
  <c r="I1689" i="5"/>
  <c r="G1692" i="5"/>
  <c r="G1693" i="5"/>
  <c r="G1694" i="5"/>
  <c r="G1695" i="5"/>
  <c r="G1696" i="5"/>
  <c r="B1697" i="5"/>
  <c r="G1697" i="5" s="1"/>
  <c r="E1697" i="5"/>
  <c r="B1698" i="5"/>
  <c r="G1698" i="5" s="1"/>
  <c r="E1698" i="5"/>
  <c r="B1699" i="5"/>
  <c r="G1699" i="5" s="1"/>
  <c r="E1699" i="5"/>
  <c r="B1700" i="5"/>
  <c r="G1700" i="5" s="1"/>
  <c r="E1700" i="5"/>
  <c r="B1701" i="5"/>
  <c r="G1701" i="5" s="1"/>
  <c r="E1701" i="5"/>
  <c r="B1702" i="5"/>
  <c r="G1702" i="5" s="1"/>
  <c r="E1702" i="5"/>
  <c r="B1703" i="5"/>
  <c r="G1703" i="5" s="1"/>
  <c r="E1703" i="5"/>
  <c r="B1704" i="5"/>
  <c r="G1704" i="5" s="1"/>
  <c r="E1704" i="5"/>
  <c r="B1705" i="5"/>
  <c r="G1705" i="5" s="1"/>
  <c r="E1705" i="5"/>
  <c r="B1706" i="5"/>
  <c r="G1706" i="5" s="1"/>
  <c r="E1706" i="5"/>
  <c r="B1707" i="5"/>
  <c r="G1707" i="5" s="1"/>
  <c r="E1707" i="5"/>
  <c r="B1708" i="5"/>
  <c r="G1708" i="5" s="1"/>
  <c r="E1708" i="5"/>
  <c r="B1709" i="5"/>
  <c r="G1709" i="5" s="1"/>
  <c r="E1709" i="5"/>
  <c r="B1710" i="5"/>
  <c r="G1710" i="5" s="1"/>
  <c r="E1710" i="5"/>
  <c r="B1711" i="5"/>
  <c r="G1711" i="5" s="1"/>
  <c r="E1711" i="5"/>
  <c r="B1712" i="5"/>
  <c r="G1712" i="5" s="1"/>
  <c r="E1712" i="5"/>
  <c r="B1713" i="5"/>
  <c r="G1713" i="5" s="1"/>
  <c r="E1713" i="5"/>
  <c r="B1714" i="5"/>
  <c r="G1714" i="5" s="1"/>
  <c r="E1714" i="5"/>
  <c r="B1715" i="5"/>
  <c r="G1715" i="5" s="1"/>
  <c r="E1715" i="5"/>
  <c r="B1716" i="5"/>
  <c r="G1716" i="5" s="1"/>
  <c r="E1716" i="5"/>
  <c r="B1717" i="5"/>
  <c r="G1717" i="5" s="1"/>
  <c r="E1717" i="5"/>
  <c r="B1718" i="5"/>
  <c r="G1718" i="5" s="1"/>
  <c r="E1718" i="5"/>
  <c r="B1719" i="5"/>
  <c r="G1719" i="5" s="1"/>
  <c r="E1719" i="5"/>
  <c r="B1720" i="5"/>
  <c r="G1720" i="5" s="1"/>
  <c r="E1720" i="5"/>
  <c r="B1721" i="5"/>
  <c r="G1721" i="5" s="1"/>
  <c r="E1721" i="5"/>
  <c r="B1722" i="5"/>
  <c r="G1722" i="5" s="1"/>
  <c r="E1722" i="5"/>
  <c r="B1723" i="5"/>
  <c r="G1723" i="5" s="1"/>
  <c r="E1723" i="5"/>
  <c r="B1724" i="5"/>
  <c r="G1724" i="5" s="1"/>
  <c r="E1724" i="5"/>
  <c r="B1725" i="5"/>
  <c r="G1725" i="5" s="1"/>
  <c r="E1725" i="5"/>
  <c r="B1726" i="5"/>
  <c r="G1726" i="5" s="1"/>
  <c r="E1726" i="5"/>
  <c r="B1727" i="5"/>
  <c r="G1727" i="5" s="1"/>
  <c r="E1727" i="5"/>
  <c r="B1728" i="5"/>
  <c r="G1728" i="5" s="1"/>
  <c r="E1728" i="5"/>
  <c r="B1729" i="5"/>
  <c r="G1729" i="5" s="1"/>
  <c r="E1729" i="5"/>
  <c r="B1730" i="5"/>
  <c r="G1730" i="5" s="1"/>
  <c r="E1730" i="5"/>
  <c r="B1731" i="5"/>
  <c r="G1731" i="5" s="1"/>
  <c r="E1731" i="5"/>
  <c r="B1732" i="5"/>
  <c r="G1732" i="5" s="1"/>
  <c r="E1732" i="5"/>
  <c r="B1733" i="5"/>
  <c r="G1733" i="5" s="1"/>
  <c r="E1733" i="5"/>
  <c r="B1734" i="5"/>
  <c r="G1734" i="5" s="1"/>
  <c r="E1734" i="5"/>
  <c r="B1735" i="5"/>
  <c r="G1735" i="5" s="1"/>
  <c r="E1735" i="5"/>
  <c r="B1736" i="5"/>
  <c r="G1736" i="5" s="1"/>
  <c r="E1736" i="5"/>
  <c r="B1737" i="5"/>
  <c r="G1737" i="5" s="1"/>
  <c r="E1737" i="5"/>
  <c r="B1738" i="5"/>
  <c r="G1738" i="5" s="1"/>
  <c r="E1738" i="5"/>
  <c r="B1739" i="5"/>
  <c r="G1739" i="5" s="1"/>
  <c r="E1739" i="5"/>
  <c r="B1740" i="5"/>
  <c r="G1740" i="5" s="1"/>
  <c r="E1740" i="5"/>
  <c r="B1741" i="5"/>
  <c r="G1741" i="5" s="1"/>
  <c r="E1741" i="5"/>
  <c r="B1742" i="5"/>
  <c r="G1742" i="5" s="1"/>
  <c r="E1742" i="5"/>
  <c r="B1743" i="5"/>
  <c r="G1743" i="5" s="1"/>
  <c r="E1743" i="5"/>
  <c r="B1744" i="5"/>
  <c r="G1744" i="5" s="1"/>
  <c r="E1744" i="5"/>
  <c r="B1745" i="5"/>
  <c r="G1745" i="5" s="1"/>
  <c r="E1745" i="5"/>
  <c r="B1746" i="5"/>
  <c r="G1746" i="5" s="1"/>
  <c r="E1746"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G2094" i="5"/>
  <c r="G2095" i="5"/>
  <c r="G2096" i="5"/>
  <c r="G2097" i="5"/>
  <c r="G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G2234" i="5"/>
  <c r="G2235" i="5"/>
  <c r="G2236" i="5"/>
  <c r="G2237" i="5"/>
  <c r="G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G2374" i="5"/>
  <c r="K2374" i="5"/>
  <c r="K2375" i="5"/>
  <c r="G2376" i="5"/>
  <c r="K2376" i="5"/>
  <c r="G2378" i="5"/>
  <c r="E6" i="4"/>
  <c r="K6" i="4"/>
  <c r="E7" i="4"/>
  <c r="E8" i="4"/>
  <c r="E9" i="4"/>
  <c r="E10" i="4"/>
  <c r="E11" i="4"/>
  <c r="R11" i="4" s="1"/>
  <c r="S11" i="4" s="1"/>
  <c r="T11" i="4" s="1"/>
  <c r="U11" i="4" s="1"/>
  <c r="V11" i="4" s="1"/>
  <c r="W11" i="4" s="1"/>
  <c r="X11" i="4" s="1"/>
  <c r="Y11" i="4" s="1"/>
  <c r="Z11" i="4" s="1"/>
  <c r="AA11" i="4" s="1"/>
  <c r="AB11" i="4" s="1"/>
  <c r="AC11" i="4" s="1"/>
  <c r="AD11" i="4" s="1"/>
  <c r="AE11" i="4" s="1"/>
  <c r="AF11" i="4" s="1"/>
  <c r="AG11" i="4" s="1"/>
  <c r="AH11" i="4" s="1"/>
  <c r="AI11" i="4" s="1"/>
  <c r="AJ11" i="4" s="1"/>
  <c r="AK11" i="4" s="1"/>
  <c r="AL11" i="4" s="1"/>
  <c r="AM11" i="4" s="1"/>
  <c r="AN11" i="4" s="1"/>
  <c r="AO11" i="4" s="1"/>
  <c r="AP11" i="4" s="1"/>
  <c r="E12" i="4"/>
  <c r="R12" i="4" s="1"/>
  <c r="S12" i="4" s="1"/>
  <c r="T12" i="4" s="1"/>
  <c r="U12" i="4" s="1"/>
  <c r="V12" i="4" s="1"/>
  <c r="W12" i="4" s="1"/>
  <c r="X12" i="4" s="1"/>
  <c r="Y12" i="4" s="1"/>
  <c r="Z12" i="4" s="1"/>
  <c r="AA12" i="4" s="1"/>
  <c r="AB12" i="4" s="1"/>
  <c r="AC12" i="4" s="1"/>
  <c r="AD12" i="4" s="1"/>
  <c r="AE12" i="4" s="1"/>
  <c r="AF12" i="4" s="1"/>
  <c r="AG12" i="4" s="1"/>
  <c r="AH12" i="4" s="1"/>
  <c r="AI12" i="4" s="1"/>
  <c r="AJ12" i="4" s="1"/>
  <c r="AK12" i="4" s="1"/>
  <c r="AL12" i="4" s="1"/>
  <c r="AM12" i="4" s="1"/>
  <c r="AN12" i="4" s="1"/>
  <c r="AO12" i="4" s="1"/>
  <c r="AP12" i="4" s="1"/>
  <c r="E13" i="4"/>
  <c r="E14" i="4"/>
  <c r="E15" i="4"/>
  <c r="E16" i="4"/>
  <c r="K20" i="4"/>
  <c r="E17" i="4"/>
  <c r="E18" i="4"/>
  <c r="E19" i="4"/>
  <c r="E20" i="4"/>
  <c r="E21" i="4"/>
  <c r="R21" i="4" s="1"/>
  <c r="S21" i="4" s="1"/>
  <c r="T21" i="4" s="1"/>
  <c r="U21" i="4" s="1"/>
  <c r="V21" i="4" s="1"/>
  <c r="W21" i="4" s="1"/>
  <c r="X21" i="4" s="1"/>
  <c r="Y21" i="4" s="1"/>
  <c r="Z21" i="4" s="1"/>
  <c r="AA21" i="4" s="1"/>
  <c r="AB21" i="4" s="1"/>
  <c r="AC21" i="4" s="1"/>
  <c r="AD21" i="4" s="1"/>
  <c r="AE21" i="4" s="1"/>
  <c r="AF21" i="4" s="1"/>
  <c r="AG21" i="4" s="1"/>
  <c r="AH21" i="4" s="1"/>
  <c r="AI21" i="4" s="1"/>
  <c r="AJ21" i="4" s="1"/>
  <c r="AK21" i="4" s="1"/>
  <c r="AL21" i="4" s="1"/>
  <c r="AM21" i="4" s="1"/>
  <c r="AN21" i="4" s="1"/>
  <c r="AO21" i="4" s="1"/>
  <c r="AP21" i="4" s="1"/>
  <c r="E22" i="4"/>
  <c r="R22" i="4"/>
  <c r="S22" i="4" s="1"/>
  <c r="T22" i="4" s="1"/>
  <c r="U22" i="4" s="1"/>
  <c r="V22" i="4" s="1"/>
  <c r="W22" i="4" s="1"/>
  <c r="X22" i="4" s="1"/>
  <c r="Y22" i="4" s="1"/>
  <c r="Z22" i="4" s="1"/>
  <c r="AA22" i="4" s="1"/>
  <c r="AB22" i="4" s="1"/>
  <c r="AC22" i="4" s="1"/>
  <c r="AD22" i="4" s="1"/>
  <c r="AE22" i="4" s="1"/>
  <c r="AF22" i="4" s="1"/>
  <c r="AG22" i="4" s="1"/>
  <c r="AH22" i="4" s="1"/>
  <c r="AI22" i="4" s="1"/>
  <c r="AJ22" i="4" s="1"/>
  <c r="AK22" i="4" s="1"/>
  <c r="AL22" i="4" s="1"/>
  <c r="AM22" i="4" s="1"/>
  <c r="AN22" i="4" s="1"/>
  <c r="AO22" i="4" s="1"/>
  <c r="AP22" i="4" s="1"/>
  <c r="E23" i="4"/>
  <c r="E24" i="4"/>
  <c r="E25" i="4"/>
  <c r="E26" i="4"/>
  <c r="K28" i="4"/>
  <c r="K27" i="4" s="1"/>
  <c r="E27" i="4"/>
  <c r="E28" i="4"/>
  <c r="E29" i="4"/>
  <c r="E30" i="4"/>
  <c r="E31" i="4"/>
  <c r="R31" i="4" s="1"/>
  <c r="S31" i="4" s="1"/>
  <c r="T31" i="4" s="1"/>
  <c r="U31" i="4" s="1"/>
  <c r="V31" i="4" s="1"/>
  <c r="W31" i="4" s="1"/>
  <c r="X31" i="4" s="1"/>
  <c r="Y31" i="4" s="1"/>
  <c r="Z31" i="4" s="1"/>
  <c r="AA31" i="4" s="1"/>
  <c r="AB31" i="4" s="1"/>
  <c r="AC31" i="4" s="1"/>
  <c r="AD31" i="4" s="1"/>
  <c r="AE31" i="4" s="1"/>
  <c r="AF31" i="4" s="1"/>
  <c r="AG31" i="4" s="1"/>
  <c r="AH31" i="4" s="1"/>
  <c r="AI31" i="4" s="1"/>
  <c r="AJ31" i="4" s="1"/>
  <c r="AK31" i="4" s="1"/>
  <c r="AL31" i="4" s="1"/>
  <c r="AM31" i="4" s="1"/>
  <c r="AN31" i="4" s="1"/>
  <c r="AO31" i="4" s="1"/>
  <c r="AP31" i="4" s="1"/>
  <c r="E32" i="4"/>
  <c r="R32" i="4"/>
  <c r="S32" i="4" s="1"/>
  <c r="T32" i="4" s="1"/>
  <c r="U32" i="4" s="1"/>
  <c r="V32" i="4" s="1"/>
  <c r="W32" i="4" s="1"/>
  <c r="X32" i="4" s="1"/>
  <c r="Y32" i="4" s="1"/>
  <c r="Z32" i="4" s="1"/>
  <c r="AA32" i="4" s="1"/>
  <c r="AB32" i="4" s="1"/>
  <c r="AC32" i="4" s="1"/>
  <c r="AD32" i="4" s="1"/>
  <c r="AE32" i="4" s="1"/>
  <c r="AF32" i="4" s="1"/>
  <c r="AG32" i="4" s="1"/>
  <c r="AH32" i="4" s="1"/>
  <c r="AI32" i="4" s="1"/>
  <c r="AJ32" i="4" s="1"/>
  <c r="AK32" i="4" s="1"/>
  <c r="AL32" i="4" s="1"/>
  <c r="AM32" i="4" s="1"/>
  <c r="AN32" i="4" s="1"/>
  <c r="AO32" i="4" s="1"/>
  <c r="AP32" i="4" s="1"/>
  <c r="E33" i="4"/>
  <c r="E34" i="4"/>
  <c r="E35" i="4"/>
  <c r="E36" i="4"/>
  <c r="E37" i="4"/>
  <c r="E38" i="4"/>
  <c r="E39" i="4"/>
  <c r="E40" i="4"/>
  <c r="K40" i="4"/>
  <c r="E41" i="4"/>
  <c r="R41" i="4" s="1"/>
  <c r="S41" i="4" s="1"/>
  <c r="T41" i="4" s="1"/>
  <c r="U41" i="4" s="1"/>
  <c r="V41" i="4" s="1"/>
  <c r="W41" i="4" s="1"/>
  <c r="X41" i="4" s="1"/>
  <c r="Y41" i="4" s="1"/>
  <c r="Z41" i="4" s="1"/>
  <c r="AA41" i="4" s="1"/>
  <c r="AB41" i="4" s="1"/>
  <c r="AC41" i="4" s="1"/>
  <c r="AD41" i="4" s="1"/>
  <c r="AE41" i="4" s="1"/>
  <c r="AF41" i="4" s="1"/>
  <c r="AG41" i="4" s="1"/>
  <c r="AH41" i="4" s="1"/>
  <c r="AI41" i="4" s="1"/>
  <c r="AJ41" i="4" s="1"/>
  <c r="AK41" i="4" s="1"/>
  <c r="AL41" i="4" s="1"/>
  <c r="AM41" i="4" s="1"/>
  <c r="AN41" i="4" s="1"/>
  <c r="AO41" i="4" s="1"/>
  <c r="AP41" i="4" s="1"/>
  <c r="K41" i="4"/>
  <c r="E42" i="4"/>
  <c r="R42" i="4" s="1"/>
  <c r="S42" i="4" s="1"/>
  <c r="T42" i="4" s="1"/>
  <c r="U42" i="4" s="1"/>
  <c r="V42" i="4" s="1"/>
  <c r="W42" i="4" s="1"/>
  <c r="X42" i="4" s="1"/>
  <c r="Y42" i="4" s="1"/>
  <c r="Z42" i="4" s="1"/>
  <c r="AA42" i="4" s="1"/>
  <c r="AB42" i="4" s="1"/>
  <c r="AC42" i="4" s="1"/>
  <c r="AD42" i="4" s="1"/>
  <c r="AE42" i="4" s="1"/>
  <c r="AF42" i="4" s="1"/>
  <c r="AG42" i="4" s="1"/>
  <c r="AH42" i="4" s="1"/>
  <c r="AI42" i="4" s="1"/>
  <c r="AJ42" i="4" s="1"/>
  <c r="AK42" i="4" s="1"/>
  <c r="AL42" i="4" s="1"/>
  <c r="AM42" i="4" s="1"/>
  <c r="AN42" i="4" s="1"/>
  <c r="AO42" i="4" s="1"/>
  <c r="AP42" i="4" s="1"/>
  <c r="K42" i="4"/>
  <c r="E43" i="4"/>
  <c r="E44" i="4"/>
  <c r="E45" i="4"/>
  <c r="E46" i="4"/>
  <c r="K48" i="4"/>
  <c r="K47" i="4" s="1"/>
  <c r="E47" i="4"/>
  <c r="E48" i="4"/>
  <c r="E49" i="4"/>
  <c r="E50" i="4"/>
  <c r="E51" i="4"/>
  <c r="R51" i="4" s="1"/>
  <c r="S51" i="4" s="1"/>
  <c r="T51" i="4" s="1"/>
  <c r="U51" i="4" s="1"/>
  <c r="V51" i="4" s="1"/>
  <c r="W51" i="4" s="1"/>
  <c r="X51" i="4" s="1"/>
  <c r="Y51" i="4" s="1"/>
  <c r="Z51" i="4" s="1"/>
  <c r="AA51" i="4" s="1"/>
  <c r="AB51" i="4" s="1"/>
  <c r="AC51" i="4" s="1"/>
  <c r="AD51" i="4" s="1"/>
  <c r="AE51" i="4" s="1"/>
  <c r="AF51" i="4" s="1"/>
  <c r="AG51" i="4" s="1"/>
  <c r="AH51" i="4" s="1"/>
  <c r="AI51" i="4" s="1"/>
  <c r="AJ51" i="4" s="1"/>
  <c r="AK51" i="4" s="1"/>
  <c r="AL51" i="4" s="1"/>
  <c r="AM51" i="4" s="1"/>
  <c r="AN51" i="4" s="1"/>
  <c r="AO51" i="4" s="1"/>
  <c r="AP51" i="4" s="1"/>
  <c r="E52" i="4"/>
  <c r="K52" i="4"/>
  <c r="R52" i="4"/>
  <c r="S52" i="4" s="1"/>
  <c r="T52" i="4" s="1"/>
  <c r="U52" i="4" s="1"/>
  <c r="V52" i="4" s="1"/>
  <c r="W52" i="4" s="1"/>
  <c r="X52" i="4" s="1"/>
  <c r="Y52" i="4" s="1"/>
  <c r="Z52" i="4" s="1"/>
  <c r="AA52" i="4" s="1"/>
  <c r="AB52" i="4" s="1"/>
  <c r="AC52" i="4" s="1"/>
  <c r="AD52" i="4" s="1"/>
  <c r="AE52" i="4" s="1"/>
  <c r="AF52" i="4" s="1"/>
  <c r="AG52" i="4" s="1"/>
  <c r="AH52" i="4" s="1"/>
  <c r="AI52" i="4" s="1"/>
  <c r="AJ52" i="4" s="1"/>
  <c r="AK52" i="4" s="1"/>
  <c r="AL52" i="4" s="1"/>
  <c r="AM52" i="4" s="1"/>
  <c r="AN52" i="4" s="1"/>
  <c r="AO52" i="4" s="1"/>
  <c r="AP52" i="4" s="1"/>
  <c r="E53" i="4"/>
  <c r="E54" i="4"/>
  <c r="E55" i="4"/>
  <c r="E56" i="4"/>
  <c r="E57" i="4"/>
  <c r="E58" i="4"/>
  <c r="E59" i="4"/>
  <c r="E60" i="4"/>
  <c r="E61" i="4"/>
  <c r="R61" i="4" s="1"/>
  <c r="S61" i="4" s="1"/>
  <c r="T61" i="4" s="1"/>
  <c r="U61" i="4" s="1"/>
  <c r="V61" i="4" s="1"/>
  <c r="W61" i="4" s="1"/>
  <c r="X61" i="4" s="1"/>
  <c r="Y61" i="4" s="1"/>
  <c r="Z61" i="4" s="1"/>
  <c r="AA61" i="4" s="1"/>
  <c r="AB61" i="4" s="1"/>
  <c r="AC61" i="4" s="1"/>
  <c r="AD61" i="4" s="1"/>
  <c r="AE61" i="4" s="1"/>
  <c r="AF61" i="4" s="1"/>
  <c r="AG61" i="4" s="1"/>
  <c r="AH61" i="4" s="1"/>
  <c r="AI61" i="4" s="1"/>
  <c r="AJ61" i="4" s="1"/>
  <c r="AK61" i="4" s="1"/>
  <c r="AL61" i="4" s="1"/>
  <c r="AM61" i="4" s="1"/>
  <c r="AN61" i="4" s="1"/>
  <c r="AO61" i="4" s="1"/>
  <c r="AP61" i="4" s="1"/>
  <c r="E62" i="4"/>
  <c r="R62" i="4"/>
  <c r="S62" i="4" s="1"/>
  <c r="T62" i="4" s="1"/>
  <c r="U62" i="4" s="1"/>
  <c r="V62" i="4" s="1"/>
  <c r="W62" i="4" s="1"/>
  <c r="X62" i="4" s="1"/>
  <c r="Y62" i="4" s="1"/>
  <c r="Z62" i="4" s="1"/>
  <c r="AA62" i="4" s="1"/>
  <c r="AB62" i="4" s="1"/>
  <c r="AC62" i="4" s="1"/>
  <c r="AD62" i="4" s="1"/>
  <c r="AE62" i="4" s="1"/>
  <c r="AF62" i="4" s="1"/>
  <c r="AG62" i="4" s="1"/>
  <c r="AH62" i="4" s="1"/>
  <c r="AI62" i="4" s="1"/>
  <c r="AJ62" i="4" s="1"/>
  <c r="AK62" i="4" s="1"/>
  <c r="AL62" i="4" s="1"/>
  <c r="AM62" i="4" s="1"/>
  <c r="AN62" i="4" s="1"/>
  <c r="AO62" i="4" s="1"/>
  <c r="AP62" i="4" s="1"/>
  <c r="E63" i="4"/>
  <c r="E64" i="4"/>
  <c r="E65" i="4"/>
  <c r="E66" i="4"/>
  <c r="K68" i="4"/>
  <c r="K67" i="4" s="1"/>
  <c r="E67" i="4"/>
  <c r="E68" i="4"/>
  <c r="E69" i="4"/>
  <c r="E70" i="4"/>
  <c r="E71" i="4"/>
  <c r="R71" i="4" s="1"/>
  <c r="S71" i="4" s="1"/>
  <c r="T71" i="4" s="1"/>
  <c r="U71" i="4" s="1"/>
  <c r="V71" i="4" s="1"/>
  <c r="W71" i="4" s="1"/>
  <c r="X71" i="4" s="1"/>
  <c r="Y71" i="4" s="1"/>
  <c r="Z71" i="4" s="1"/>
  <c r="AA71" i="4" s="1"/>
  <c r="AB71" i="4" s="1"/>
  <c r="AC71" i="4" s="1"/>
  <c r="AD71" i="4" s="1"/>
  <c r="AE71" i="4" s="1"/>
  <c r="AF71" i="4" s="1"/>
  <c r="AG71" i="4" s="1"/>
  <c r="AH71" i="4" s="1"/>
  <c r="AI71" i="4" s="1"/>
  <c r="AJ71" i="4" s="1"/>
  <c r="AK71" i="4" s="1"/>
  <c r="AL71" i="4" s="1"/>
  <c r="AM71" i="4" s="1"/>
  <c r="AN71" i="4" s="1"/>
  <c r="AO71" i="4" s="1"/>
  <c r="AP71" i="4" s="1"/>
  <c r="E72" i="4"/>
  <c r="R72" i="4" s="1"/>
  <c r="S72" i="4" s="1"/>
  <c r="T72" i="4" s="1"/>
  <c r="U72" i="4" s="1"/>
  <c r="V72" i="4" s="1"/>
  <c r="W72" i="4" s="1"/>
  <c r="X72" i="4" s="1"/>
  <c r="Y72" i="4" s="1"/>
  <c r="Z72" i="4" s="1"/>
  <c r="AA72" i="4" s="1"/>
  <c r="AB72" i="4" s="1"/>
  <c r="AC72" i="4" s="1"/>
  <c r="AD72" i="4" s="1"/>
  <c r="AE72" i="4" s="1"/>
  <c r="AF72" i="4" s="1"/>
  <c r="AG72" i="4" s="1"/>
  <c r="AH72" i="4" s="1"/>
  <c r="AI72" i="4" s="1"/>
  <c r="AJ72" i="4" s="1"/>
  <c r="AK72" i="4" s="1"/>
  <c r="AL72" i="4" s="1"/>
  <c r="AM72" i="4" s="1"/>
  <c r="AN72" i="4" s="1"/>
  <c r="AO72" i="4" s="1"/>
  <c r="AP72" i="4" s="1"/>
  <c r="E73" i="4"/>
  <c r="E74" i="4"/>
  <c r="E75" i="4"/>
  <c r="E76" i="4"/>
  <c r="K78" i="4"/>
  <c r="K77" i="4" s="1"/>
  <c r="E77" i="4"/>
  <c r="E78" i="4"/>
  <c r="E79" i="4"/>
  <c r="E80" i="4"/>
  <c r="E81" i="4"/>
  <c r="R81" i="4" s="1"/>
  <c r="S81" i="4"/>
  <c r="T81" i="4" s="1"/>
  <c r="U81" i="4" s="1"/>
  <c r="V81" i="4" s="1"/>
  <c r="W81" i="4" s="1"/>
  <c r="X81" i="4" s="1"/>
  <c r="Y81" i="4" s="1"/>
  <c r="Z81" i="4" s="1"/>
  <c r="AA81" i="4" s="1"/>
  <c r="AB81" i="4" s="1"/>
  <c r="AC81" i="4" s="1"/>
  <c r="AD81" i="4" s="1"/>
  <c r="AE81" i="4" s="1"/>
  <c r="AF81" i="4" s="1"/>
  <c r="AG81" i="4" s="1"/>
  <c r="AH81" i="4" s="1"/>
  <c r="AI81" i="4" s="1"/>
  <c r="AJ81" i="4" s="1"/>
  <c r="AK81" i="4" s="1"/>
  <c r="AL81" i="4" s="1"/>
  <c r="AM81" i="4" s="1"/>
  <c r="AN81" i="4" s="1"/>
  <c r="AO81" i="4" s="1"/>
  <c r="AP81" i="4" s="1"/>
  <c r="E82" i="4"/>
  <c r="R82" i="4" s="1"/>
  <c r="S82" i="4" s="1"/>
  <c r="T82" i="4" s="1"/>
  <c r="U82" i="4" s="1"/>
  <c r="V82" i="4" s="1"/>
  <c r="W82" i="4" s="1"/>
  <c r="X82" i="4" s="1"/>
  <c r="Y82" i="4" s="1"/>
  <c r="Z82" i="4" s="1"/>
  <c r="AA82" i="4" s="1"/>
  <c r="AB82" i="4" s="1"/>
  <c r="AC82" i="4" s="1"/>
  <c r="AD82" i="4" s="1"/>
  <c r="AE82" i="4" s="1"/>
  <c r="AF82" i="4" s="1"/>
  <c r="AG82" i="4" s="1"/>
  <c r="AH82" i="4" s="1"/>
  <c r="AI82" i="4" s="1"/>
  <c r="AJ82" i="4" s="1"/>
  <c r="AK82" i="4" s="1"/>
  <c r="AL82" i="4" s="1"/>
  <c r="AM82" i="4" s="1"/>
  <c r="AN82" i="4" s="1"/>
  <c r="AO82" i="4" s="1"/>
  <c r="AP82" i="4" s="1"/>
  <c r="E83" i="4"/>
  <c r="E84" i="4"/>
  <c r="E85" i="4"/>
  <c r="E86" i="4"/>
  <c r="K90" i="4"/>
  <c r="E87" i="4"/>
  <c r="E88" i="4"/>
  <c r="E89" i="4"/>
  <c r="E90" i="4"/>
  <c r="E91" i="4"/>
  <c r="R91" i="4"/>
  <c r="S91" i="4" s="1"/>
  <c r="T91" i="4" s="1"/>
  <c r="U91" i="4" s="1"/>
  <c r="V91" i="4" s="1"/>
  <c r="W91" i="4" s="1"/>
  <c r="X91" i="4" s="1"/>
  <c r="Y91" i="4" s="1"/>
  <c r="Z91" i="4" s="1"/>
  <c r="AA91" i="4" s="1"/>
  <c r="AB91" i="4" s="1"/>
  <c r="AC91" i="4" s="1"/>
  <c r="AD91" i="4" s="1"/>
  <c r="AE91" i="4" s="1"/>
  <c r="AF91" i="4" s="1"/>
  <c r="AG91" i="4" s="1"/>
  <c r="AH91" i="4" s="1"/>
  <c r="AI91" i="4" s="1"/>
  <c r="AJ91" i="4" s="1"/>
  <c r="AK91" i="4" s="1"/>
  <c r="AL91" i="4" s="1"/>
  <c r="AM91" i="4" s="1"/>
  <c r="AN91" i="4" s="1"/>
  <c r="AO91" i="4" s="1"/>
  <c r="AP91" i="4" s="1"/>
  <c r="E92" i="4"/>
  <c r="R92" i="4" s="1"/>
  <c r="S92" i="4" s="1"/>
  <c r="T92" i="4" s="1"/>
  <c r="U92" i="4" s="1"/>
  <c r="V92" i="4" s="1"/>
  <c r="W92" i="4" s="1"/>
  <c r="X92" i="4" s="1"/>
  <c r="Y92" i="4" s="1"/>
  <c r="Z92" i="4" s="1"/>
  <c r="AA92" i="4" s="1"/>
  <c r="AB92" i="4" s="1"/>
  <c r="AC92" i="4" s="1"/>
  <c r="AD92" i="4" s="1"/>
  <c r="AE92" i="4" s="1"/>
  <c r="AF92" i="4" s="1"/>
  <c r="AG92" i="4" s="1"/>
  <c r="AH92" i="4" s="1"/>
  <c r="AI92" i="4" s="1"/>
  <c r="AJ92" i="4" s="1"/>
  <c r="AK92" i="4" s="1"/>
  <c r="AL92" i="4" s="1"/>
  <c r="AM92" i="4" s="1"/>
  <c r="AN92" i="4" s="1"/>
  <c r="AO92" i="4" s="1"/>
  <c r="AP92" i="4" s="1"/>
  <c r="E93" i="4"/>
  <c r="E94" i="4"/>
  <c r="E95" i="4"/>
  <c r="E96" i="4"/>
  <c r="E97" i="4"/>
  <c r="E98" i="4"/>
  <c r="E99" i="4"/>
  <c r="E100" i="4"/>
  <c r="E101" i="4"/>
  <c r="R101" i="4" s="1"/>
  <c r="S101" i="4" s="1"/>
  <c r="T101" i="4" s="1"/>
  <c r="U101" i="4" s="1"/>
  <c r="V101" i="4" s="1"/>
  <c r="W101" i="4" s="1"/>
  <c r="X101" i="4" s="1"/>
  <c r="Y101" i="4" s="1"/>
  <c r="Z101" i="4" s="1"/>
  <c r="AA101" i="4" s="1"/>
  <c r="AB101" i="4" s="1"/>
  <c r="AC101" i="4" s="1"/>
  <c r="AD101" i="4" s="1"/>
  <c r="AE101" i="4" s="1"/>
  <c r="AF101" i="4" s="1"/>
  <c r="AG101" i="4" s="1"/>
  <c r="AH101" i="4" s="1"/>
  <c r="AI101" i="4" s="1"/>
  <c r="AJ101" i="4" s="1"/>
  <c r="AK101" i="4" s="1"/>
  <c r="AL101" i="4" s="1"/>
  <c r="AM101" i="4" s="1"/>
  <c r="AN101" i="4" s="1"/>
  <c r="AO101" i="4" s="1"/>
  <c r="AP101" i="4" s="1"/>
  <c r="E102" i="4"/>
  <c r="R102" i="4"/>
  <c r="S102" i="4" s="1"/>
  <c r="T102" i="4" s="1"/>
  <c r="U102" i="4" s="1"/>
  <c r="V102" i="4" s="1"/>
  <c r="W102" i="4" s="1"/>
  <c r="X102" i="4" s="1"/>
  <c r="Y102" i="4" s="1"/>
  <c r="Z102" i="4" s="1"/>
  <c r="AA102" i="4" s="1"/>
  <c r="AB102" i="4" s="1"/>
  <c r="AC102" i="4" s="1"/>
  <c r="AD102" i="4" s="1"/>
  <c r="AE102" i="4" s="1"/>
  <c r="AF102" i="4" s="1"/>
  <c r="AG102" i="4" s="1"/>
  <c r="AH102" i="4" s="1"/>
  <c r="AI102" i="4" s="1"/>
  <c r="AJ102" i="4" s="1"/>
  <c r="AK102" i="4" s="1"/>
  <c r="AL102" i="4" s="1"/>
  <c r="AM102" i="4" s="1"/>
  <c r="AN102" i="4" s="1"/>
  <c r="AO102" i="4" s="1"/>
  <c r="AP102" i="4" s="1"/>
  <c r="E103" i="4"/>
  <c r="E104" i="4"/>
  <c r="E105" i="4"/>
  <c r="E106" i="4"/>
  <c r="K111" i="4"/>
  <c r="E107" i="4"/>
  <c r="E108" i="4"/>
  <c r="E109" i="4"/>
  <c r="E110" i="4"/>
  <c r="E111" i="4"/>
  <c r="E112" i="4"/>
  <c r="E113" i="4"/>
  <c r="E114" i="4"/>
  <c r="E115" i="4"/>
  <c r="E116" i="4"/>
  <c r="K116" i="4"/>
  <c r="E117" i="4"/>
  <c r="E118" i="4"/>
  <c r="E119" i="4"/>
  <c r="E120" i="4"/>
  <c r="E121" i="4"/>
  <c r="E122" i="4"/>
  <c r="E123" i="4"/>
  <c r="E124" i="4"/>
  <c r="E125" i="4"/>
  <c r="E126" i="4"/>
  <c r="E127" i="4"/>
  <c r="E128" i="4"/>
  <c r="E129" i="4"/>
  <c r="K129" i="4"/>
  <c r="E130" i="4"/>
  <c r="E131" i="4"/>
  <c r="E132" i="4"/>
  <c r="K132" i="4"/>
  <c r="E133" i="4"/>
  <c r="E134" i="4"/>
  <c r="E135" i="4"/>
  <c r="E136" i="4"/>
  <c r="K138" i="4"/>
  <c r="E137" i="4"/>
  <c r="E138" i="4"/>
  <c r="E139" i="4"/>
  <c r="K139" i="4"/>
  <c r="E140" i="4"/>
  <c r="E141" i="4"/>
  <c r="K141" i="4"/>
  <c r="E142" i="4"/>
  <c r="K142" i="4"/>
  <c r="E143" i="4"/>
  <c r="E144" i="4"/>
  <c r="E145" i="4"/>
  <c r="E146" i="4"/>
  <c r="K151" i="4"/>
  <c r="E147" i="4"/>
  <c r="E148" i="4"/>
  <c r="E149" i="4"/>
  <c r="E150" i="4"/>
  <c r="K150" i="4"/>
  <c r="E151" i="4"/>
  <c r="E152" i="4"/>
  <c r="K152" i="4"/>
  <c r="E153" i="4"/>
  <c r="E154" i="4"/>
  <c r="E155" i="4"/>
  <c r="E156" i="4"/>
  <c r="E157" i="4"/>
  <c r="E158" i="4"/>
  <c r="E159" i="4"/>
  <c r="E160" i="4"/>
  <c r="E161" i="4"/>
  <c r="E162" i="4"/>
  <c r="E163" i="4"/>
  <c r="E164" i="4"/>
  <c r="E165" i="4"/>
  <c r="E166" i="4"/>
  <c r="K169" i="4"/>
  <c r="K166" i="4"/>
  <c r="E167" i="4"/>
  <c r="E168" i="4"/>
  <c r="K168" i="4"/>
  <c r="E169" i="4"/>
  <c r="E170" i="4"/>
  <c r="K170" i="4"/>
  <c r="E171" i="4"/>
  <c r="E172" i="4"/>
  <c r="K172" i="4"/>
  <c r="E173" i="4"/>
  <c r="E174" i="4"/>
  <c r="E175" i="4"/>
  <c r="E176" i="4"/>
  <c r="K180" i="4"/>
  <c r="K176" i="4"/>
  <c r="E177" i="4"/>
  <c r="E178" i="4"/>
  <c r="E179" i="4"/>
  <c r="E180" i="4"/>
  <c r="E181" i="4"/>
  <c r="E182" i="4"/>
  <c r="E183" i="4"/>
  <c r="E184" i="4"/>
  <c r="E185" i="4"/>
  <c r="E186" i="4"/>
  <c r="E187" i="4"/>
  <c r="E188" i="4"/>
  <c r="E189" i="4"/>
  <c r="E190" i="4"/>
  <c r="E191" i="4"/>
  <c r="E192" i="4"/>
  <c r="E193" i="4"/>
  <c r="E194" i="4"/>
  <c r="E195" i="4"/>
  <c r="E196" i="4"/>
  <c r="K198" i="4"/>
  <c r="E197" i="4"/>
  <c r="E198" i="4"/>
  <c r="E199" i="4"/>
  <c r="E200" i="4"/>
  <c r="E201" i="4"/>
  <c r="E202" i="4"/>
  <c r="E203" i="4"/>
  <c r="E204" i="4"/>
  <c r="E205" i="4"/>
  <c r="E206" i="4"/>
  <c r="K211" i="4"/>
  <c r="E207" i="4"/>
  <c r="E208" i="4"/>
  <c r="E209" i="4"/>
  <c r="E210" i="4"/>
  <c r="K210" i="4"/>
  <c r="E211" i="4"/>
  <c r="E212" i="4"/>
  <c r="E213" i="4"/>
  <c r="E214" i="4"/>
  <c r="E215" i="4"/>
  <c r="E216" i="4"/>
  <c r="K216" i="4"/>
  <c r="E217" i="4"/>
  <c r="E218" i="4"/>
  <c r="E219" i="4"/>
  <c r="E220" i="4"/>
  <c r="K220" i="4"/>
  <c r="E221" i="4"/>
  <c r="E222" i="4"/>
  <c r="E223" i="4"/>
  <c r="E224" i="4"/>
  <c r="E225" i="4"/>
  <c r="E226" i="4"/>
  <c r="K231" i="4"/>
  <c r="E227" i="4"/>
  <c r="E228" i="4"/>
  <c r="E229" i="4"/>
  <c r="E230" i="4"/>
  <c r="E231" i="4"/>
  <c r="E232" i="4"/>
  <c r="E233" i="4"/>
  <c r="E234" i="4"/>
  <c r="E235" i="4"/>
  <c r="E236" i="4"/>
  <c r="K240" i="4"/>
  <c r="E237" i="4"/>
  <c r="E238" i="4"/>
  <c r="E239" i="4"/>
  <c r="E240" i="4"/>
  <c r="E241" i="4"/>
  <c r="E242" i="4"/>
  <c r="E243" i="4"/>
  <c r="E244" i="4"/>
  <c r="E245" i="4"/>
  <c r="E246" i="4"/>
  <c r="K252" i="4"/>
  <c r="E247" i="4"/>
  <c r="E248" i="4"/>
  <c r="E249" i="4"/>
  <c r="E250" i="4"/>
  <c r="E251" i="4"/>
  <c r="E252" i="4"/>
  <c r="E253" i="4"/>
  <c r="E254" i="4"/>
  <c r="E255" i="4"/>
  <c r="E256" i="4"/>
  <c r="E257" i="4"/>
  <c r="E258" i="4"/>
  <c r="E259" i="4"/>
  <c r="E260" i="4"/>
  <c r="E261" i="4"/>
  <c r="E262" i="4"/>
  <c r="E263" i="4"/>
  <c r="E264" i="4"/>
  <c r="E265" i="4"/>
  <c r="E266" i="4"/>
  <c r="K271" i="4"/>
  <c r="E267" i="4"/>
  <c r="E268" i="4"/>
  <c r="E269" i="4"/>
  <c r="E270" i="4"/>
  <c r="E271" i="4"/>
  <c r="E272" i="4"/>
  <c r="K272" i="4"/>
  <c r="E273" i="4"/>
  <c r="E274" i="4"/>
  <c r="E275" i="4"/>
  <c r="E276" i="4"/>
  <c r="K276" i="4"/>
  <c r="E277" i="4"/>
  <c r="E278" i="4"/>
  <c r="E279" i="4"/>
  <c r="E280" i="4"/>
  <c r="E281" i="4"/>
  <c r="E282" i="4"/>
  <c r="E283" i="4"/>
  <c r="E284" i="4"/>
  <c r="E285" i="4"/>
  <c r="E286" i="4"/>
  <c r="K292" i="4"/>
  <c r="E287" i="4"/>
  <c r="E288" i="4"/>
  <c r="E289" i="4"/>
  <c r="E290" i="4"/>
  <c r="E291" i="4"/>
  <c r="K291" i="4"/>
  <c r="E292" i="4"/>
  <c r="E293" i="4"/>
  <c r="E294" i="4"/>
  <c r="E295" i="4"/>
  <c r="E296" i="4"/>
  <c r="K298" i="4"/>
  <c r="E297" i="4"/>
  <c r="E298" i="4"/>
  <c r="E299" i="4"/>
  <c r="E300" i="4"/>
  <c r="E301" i="4"/>
  <c r="E302" i="4"/>
  <c r="E303" i="4"/>
  <c r="E304" i="4"/>
  <c r="E305" i="4"/>
  <c r="E306" i="4"/>
  <c r="K306" i="4"/>
  <c r="E307" i="4"/>
  <c r="E308" i="4"/>
  <c r="E309" i="4"/>
  <c r="E310" i="4"/>
  <c r="E311" i="4"/>
  <c r="E312" i="4"/>
  <c r="E313" i="4"/>
  <c r="E314" i="4"/>
  <c r="E315" i="4"/>
  <c r="E316" i="4"/>
  <c r="K321" i="4"/>
  <c r="E317" i="4"/>
  <c r="E318" i="4"/>
  <c r="E319" i="4"/>
  <c r="E320" i="4"/>
  <c r="E321" i="4"/>
  <c r="E322" i="4"/>
  <c r="E323" i="4"/>
  <c r="E324" i="4"/>
  <c r="E325" i="4"/>
  <c r="E326" i="4"/>
  <c r="E327" i="4"/>
  <c r="E328" i="4"/>
  <c r="E329" i="4"/>
  <c r="E330" i="4"/>
  <c r="E331" i="4"/>
  <c r="E332" i="4"/>
  <c r="E333" i="4"/>
  <c r="E334" i="4"/>
  <c r="E335" i="4"/>
  <c r="E336" i="4"/>
  <c r="K342" i="4"/>
  <c r="K336" i="4"/>
  <c r="E337" i="4"/>
  <c r="E338" i="4"/>
  <c r="K338" i="4"/>
  <c r="K337" i="4" s="1"/>
  <c r="E339" i="4"/>
  <c r="K339" i="4"/>
  <c r="E340" i="4"/>
  <c r="K340" i="4"/>
  <c r="E341" i="4"/>
  <c r="K341" i="4"/>
  <c r="E342" i="4"/>
  <c r="E343" i="4"/>
  <c r="E344" i="4"/>
  <c r="E345" i="4"/>
  <c r="E346" i="4"/>
  <c r="K346" i="4"/>
  <c r="E347" i="4"/>
  <c r="E348" i="4"/>
  <c r="E349" i="4"/>
  <c r="K349" i="4"/>
  <c r="E350" i="4"/>
  <c r="E351" i="4"/>
  <c r="E352" i="4"/>
  <c r="E353" i="4"/>
  <c r="E354" i="4"/>
  <c r="E355" i="4"/>
  <c r="E356" i="4"/>
  <c r="K360" i="4"/>
  <c r="E357" i="4"/>
  <c r="E358" i="4"/>
  <c r="E359" i="4"/>
  <c r="E360" i="4"/>
  <c r="E361" i="4"/>
  <c r="E362" i="4"/>
  <c r="E363" i="4"/>
  <c r="E364" i="4"/>
  <c r="E365" i="4"/>
  <c r="E366" i="4"/>
  <c r="K372" i="4"/>
  <c r="E367" i="4"/>
  <c r="E368" i="4"/>
  <c r="E369" i="4"/>
  <c r="E370" i="4"/>
  <c r="E371" i="4"/>
  <c r="K371" i="4"/>
  <c r="E372" i="4"/>
  <c r="E373" i="4"/>
  <c r="E374" i="4"/>
  <c r="E375" i="4"/>
  <c r="E376" i="4"/>
  <c r="K382" i="4"/>
  <c r="E377" i="4"/>
  <c r="E378" i="4"/>
  <c r="E379" i="4"/>
  <c r="E380" i="4"/>
  <c r="E381" i="4"/>
  <c r="E382" i="4"/>
  <c r="E383" i="4"/>
  <c r="E384" i="4"/>
  <c r="E385" i="4"/>
  <c r="E386" i="4"/>
  <c r="K391" i="4"/>
  <c r="K386" i="4"/>
  <c r="E387" i="4"/>
  <c r="E388" i="4"/>
  <c r="E389" i="4"/>
  <c r="K389" i="4"/>
  <c r="E390" i="4"/>
  <c r="K390" i="4"/>
  <c r="E391" i="4"/>
  <c r="E392" i="4"/>
  <c r="E393" i="4"/>
  <c r="E394" i="4"/>
  <c r="E395" i="4"/>
  <c r="E396" i="4"/>
  <c r="K400" i="4"/>
  <c r="E397" i="4"/>
  <c r="E398" i="4"/>
  <c r="K398" i="4"/>
  <c r="E399" i="4"/>
  <c r="E400" i="4"/>
  <c r="E401" i="4"/>
  <c r="E402" i="4"/>
  <c r="K402" i="4"/>
  <c r="E403" i="4"/>
  <c r="E404" i="4"/>
  <c r="E405" i="4"/>
  <c r="E406" i="4"/>
  <c r="K406" i="4"/>
  <c r="E407" i="4"/>
  <c r="E408" i="4"/>
  <c r="E409" i="4"/>
  <c r="E410" i="4"/>
  <c r="E411" i="4"/>
  <c r="E412" i="4"/>
  <c r="E413" i="4"/>
  <c r="E414" i="4"/>
  <c r="E415" i="4"/>
  <c r="E416" i="4"/>
  <c r="K418" i="4"/>
  <c r="E417" i="4"/>
  <c r="E418" i="4"/>
  <c r="E419" i="4"/>
  <c r="E420" i="4"/>
  <c r="E421" i="4"/>
  <c r="E422" i="4"/>
  <c r="E423" i="4"/>
  <c r="E424" i="4"/>
  <c r="E425" i="4"/>
  <c r="E426" i="4"/>
  <c r="K430" i="4"/>
  <c r="E427" i="4"/>
  <c r="E428" i="4"/>
  <c r="E429" i="4"/>
  <c r="E430" i="4"/>
  <c r="E431" i="4"/>
  <c r="E432" i="4"/>
  <c r="E433" i="4"/>
  <c r="E434" i="4"/>
  <c r="E435" i="4"/>
  <c r="E436" i="4"/>
  <c r="K436" i="4"/>
  <c r="E437" i="4"/>
  <c r="E438" i="4"/>
  <c r="E439" i="4"/>
  <c r="E440" i="4"/>
  <c r="E441" i="4"/>
  <c r="K441" i="4"/>
  <c r="E442" i="4"/>
  <c r="K442" i="4"/>
  <c r="E443" i="4"/>
  <c r="E444" i="4"/>
  <c r="E445" i="4"/>
  <c r="E446" i="4"/>
  <c r="K452" i="4"/>
  <c r="E447" i="4"/>
  <c r="E448" i="4"/>
  <c r="E449" i="4"/>
  <c r="K449" i="4"/>
  <c r="E450" i="4"/>
  <c r="E451" i="4"/>
  <c r="K451" i="4"/>
  <c r="E452" i="4"/>
  <c r="E453" i="4"/>
  <c r="E454" i="4"/>
  <c r="E455" i="4"/>
  <c r="K439" i="4" l="1"/>
  <c r="K318" i="4"/>
  <c r="K270" i="4"/>
  <c r="K179" i="4"/>
  <c r="K11" i="4"/>
  <c r="K46" i="5"/>
  <c r="K202" i="4"/>
  <c r="K88" i="4"/>
  <c r="K87" i="4" s="1"/>
  <c r="K438" i="4"/>
  <c r="K420" i="4"/>
  <c r="K322" i="4"/>
  <c r="K239" i="4"/>
  <c r="K229" i="4"/>
  <c r="K71" i="4"/>
  <c r="K10" i="4"/>
  <c r="K256" i="4"/>
  <c r="K201" i="4"/>
  <c r="K196" i="4"/>
  <c r="K440" i="4"/>
  <c r="K261" i="4"/>
  <c r="K242" i="4"/>
  <c r="K91" i="4"/>
  <c r="K319" i="4"/>
  <c r="K236" i="4"/>
  <c r="K232" i="4"/>
  <c r="K226" i="4"/>
  <c r="K199" i="4"/>
  <c r="K31" i="4"/>
  <c r="K448" i="4"/>
  <c r="K370" i="4"/>
  <c r="K366" i="5"/>
  <c r="G1109" i="5"/>
  <c r="G1549" i="5"/>
  <c r="G1550" i="5"/>
  <c r="G1546" i="5"/>
  <c r="G1547" i="5"/>
  <c r="G1548" i="5"/>
  <c r="G2377" i="5"/>
  <c r="G1106" i="5"/>
  <c r="G1115" i="5"/>
  <c r="G1105" i="5"/>
  <c r="G1691" i="5"/>
  <c r="G1112" i="5"/>
  <c r="G2375" i="5"/>
  <c r="G1690" i="5"/>
  <c r="K378" i="5"/>
  <c r="K136" i="5"/>
  <c r="K377" i="5"/>
  <c r="K449" i="5"/>
  <c r="K157" i="5"/>
  <c r="K189" i="5"/>
  <c r="K127" i="5"/>
  <c r="K48" i="5"/>
  <c r="K329" i="5"/>
  <c r="K448" i="5"/>
  <c r="K313" i="5"/>
  <c r="K298" i="5"/>
  <c r="K288" i="5"/>
  <c r="K98" i="5"/>
  <c r="K53" i="5"/>
  <c r="K45" i="5"/>
  <c r="K44" i="5" s="1"/>
  <c r="K49" i="5"/>
  <c r="K289" i="5"/>
  <c r="K467" i="5"/>
  <c r="K447" i="5"/>
  <c r="K355" i="5"/>
  <c r="K198" i="5"/>
  <c r="K107" i="5"/>
  <c r="K97" i="5"/>
  <c r="K58" i="5"/>
  <c r="K359" i="5"/>
  <c r="K138" i="5"/>
  <c r="K278" i="5"/>
  <c r="K358" i="5"/>
  <c r="K353" i="5"/>
  <c r="K338" i="5"/>
  <c r="K273" i="5"/>
  <c r="K218" i="5"/>
  <c r="K196" i="5"/>
  <c r="K445" i="5"/>
  <c r="K418" i="5"/>
  <c r="K396" i="5"/>
  <c r="K317" i="5"/>
  <c r="K29" i="5"/>
  <c r="K269" i="5"/>
  <c r="K365" i="5"/>
  <c r="K364" i="5" s="1"/>
  <c r="K236" i="5"/>
  <c r="K216" i="5"/>
  <c r="K159" i="5"/>
  <c r="K125" i="5"/>
  <c r="K395" i="5"/>
  <c r="K356" i="5"/>
  <c r="K316" i="5"/>
  <c r="K285" i="5"/>
  <c r="K267" i="5"/>
  <c r="K179" i="5"/>
  <c r="K173" i="5"/>
  <c r="K153" i="5"/>
  <c r="K133" i="5"/>
  <c r="K109" i="5"/>
  <c r="K95" i="5"/>
  <c r="K94" i="5" s="1"/>
  <c r="K275" i="5"/>
  <c r="K235" i="5"/>
  <c r="K234" i="5" s="1"/>
  <c r="K129" i="5"/>
  <c r="K99" i="5"/>
  <c r="K56" i="5"/>
  <c r="K238" i="5"/>
  <c r="K239" i="5"/>
  <c r="K177" i="5"/>
  <c r="K359" i="4"/>
  <c r="K251" i="4"/>
  <c r="K192" i="4"/>
  <c r="K51" i="4"/>
  <c r="K30" i="4"/>
  <c r="K436" i="5"/>
  <c r="K423" i="5"/>
  <c r="K399" i="5"/>
  <c r="K369" i="5"/>
  <c r="K176" i="5"/>
  <c r="K76" i="5"/>
  <c r="K37" i="5"/>
  <c r="K33" i="5"/>
  <c r="K432" i="4"/>
  <c r="K388" i="4"/>
  <c r="K387" i="4" s="1"/>
  <c r="K320" i="4"/>
  <c r="K269" i="4"/>
  <c r="K188" i="4"/>
  <c r="K140" i="4"/>
  <c r="K136" i="4"/>
  <c r="K120" i="4"/>
  <c r="K296" i="5"/>
  <c r="K450" i="4"/>
  <c r="K446" i="4"/>
  <c r="K376" i="4"/>
  <c r="K368" i="4"/>
  <c r="K348" i="4"/>
  <c r="K316" i="4"/>
  <c r="K317" i="4" s="1"/>
  <c r="K299" i="4"/>
  <c r="K290" i="4"/>
  <c r="K260" i="4"/>
  <c r="K250" i="4"/>
  <c r="K241" i="4"/>
  <c r="K160" i="4"/>
  <c r="K50" i="4"/>
  <c r="K12" i="4"/>
  <c r="K8" i="4"/>
  <c r="K7" i="4" s="1"/>
  <c r="K443" i="5"/>
  <c r="K427" i="5"/>
  <c r="K385" i="5"/>
  <c r="K368" i="5"/>
  <c r="K319" i="5"/>
  <c r="K287" i="5"/>
  <c r="K205" i="5"/>
  <c r="K115" i="5"/>
  <c r="K47" i="5"/>
  <c r="K36" i="5"/>
  <c r="K431" i="4"/>
  <c r="K426" i="4"/>
  <c r="K362" i="4"/>
  <c r="K352" i="4"/>
  <c r="K268" i="4"/>
  <c r="K238" i="4"/>
  <c r="K237" i="4" s="1"/>
  <c r="K191" i="4"/>
  <c r="K182" i="4"/>
  <c r="K119" i="4"/>
  <c r="K439" i="5"/>
  <c r="K435" i="5"/>
  <c r="K376" i="5"/>
  <c r="K315" i="5"/>
  <c r="K255" i="5"/>
  <c r="K237" i="5"/>
  <c r="K213" i="5"/>
  <c r="K187" i="5"/>
  <c r="K178" i="5"/>
  <c r="K39" i="5"/>
  <c r="K38" i="4"/>
  <c r="K37" i="4" s="1"/>
  <c r="K18" i="4"/>
  <c r="K17" i="4" s="1"/>
  <c r="K426" i="5"/>
  <c r="K397" i="5"/>
  <c r="K393" i="5"/>
  <c r="K367" i="5"/>
  <c r="K337" i="5"/>
  <c r="K276" i="5"/>
  <c r="K258" i="5"/>
  <c r="K209" i="5"/>
  <c r="K195" i="5"/>
  <c r="K156" i="5"/>
  <c r="K118" i="5"/>
  <c r="K79" i="5"/>
  <c r="K27" i="5"/>
  <c r="K302" i="4"/>
  <c r="K288" i="4"/>
  <c r="K190" i="4"/>
  <c r="K167" i="4"/>
  <c r="K92" i="4"/>
  <c r="K81" i="4"/>
  <c r="K438" i="5"/>
  <c r="K383" i="5"/>
  <c r="K293" i="5"/>
  <c r="K113" i="5"/>
  <c r="K73" i="5"/>
  <c r="K38" i="5"/>
  <c r="K379" i="4"/>
  <c r="K350" i="4"/>
  <c r="K330" i="4"/>
  <c r="K296" i="4"/>
  <c r="K266" i="4"/>
  <c r="K228" i="4"/>
  <c r="K122" i="4"/>
  <c r="K433" i="5"/>
  <c r="K447" i="4"/>
  <c r="K437" i="4"/>
  <c r="K429" i="4"/>
  <c r="K297" i="4"/>
  <c r="K257" i="5"/>
  <c r="K207" i="5"/>
  <c r="K193" i="5"/>
  <c r="K116" i="5"/>
  <c r="K347" i="4"/>
  <c r="K280" i="4"/>
  <c r="K408" i="4"/>
  <c r="K399" i="4"/>
  <c r="K396" i="4"/>
  <c r="K397" i="4" s="1"/>
  <c r="K381" i="4"/>
  <c r="K366" i="4"/>
  <c r="K369" i="4"/>
  <c r="K356" i="4"/>
  <c r="K311" i="4"/>
  <c r="K286" i="4"/>
  <c r="K289" i="4"/>
  <c r="K287" i="4" s="1"/>
  <c r="K282" i="4"/>
  <c r="K222" i="4"/>
  <c r="K218" i="4"/>
  <c r="K221" i="4"/>
  <c r="K162" i="4"/>
  <c r="K156" i="4"/>
  <c r="K159" i="4"/>
  <c r="K158" i="4"/>
  <c r="K161" i="4"/>
  <c r="K126" i="4"/>
  <c r="K128" i="4"/>
  <c r="K131" i="4"/>
  <c r="K106" i="4"/>
  <c r="K109" i="4"/>
  <c r="K112" i="4"/>
  <c r="K422" i="4"/>
  <c r="K378" i="4"/>
  <c r="K377" i="4" s="1"/>
  <c r="K351" i="4"/>
  <c r="K308" i="4"/>
  <c r="K246" i="4"/>
  <c r="K249" i="4"/>
  <c r="K248" i="4"/>
  <c r="K227" i="4"/>
  <c r="K130" i="4"/>
  <c r="K56" i="4"/>
  <c r="K59" i="4"/>
  <c r="K60" i="4"/>
  <c r="K58" i="4"/>
  <c r="K57" i="4" s="1"/>
  <c r="K61" i="4"/>
  <c r="K62" i="4"/>
  <c r="K428" i="4"/>
  <c r="K427" i="4" s="1"/>
  <c r="K419" i="4"/>
  <c r="K416" i="4"/>
  <c r="K410" i="4"/>
  <c r="K401" i="4"/>
  <c r="K392" i="4"/>
  <c r="K332" i="4"/>
  <c r="K329" i="4"/>
  <c r="K326" i="4"/>
  <c r="K301" i="4"/>
  <c r="K278" i="4"/>
  <c r="K219" i="4"/>
  <c r="K110" i="4"/>
  <c r="K279" i="4"/>
  <c r="K380" i="4"/>
  <c r="K310" i="4"/>
  <c r="K208" i="4"/>
  <c r="K206" i="4"/>
  <c r="K209" i="4"/>
  <c r="K212" i="4"/>
  <c r="K197" i="4"/>
  <c r="G11" i="5"/>
  <c r="G12" i="5"/>
  <c r="G13" i="5"/>
  <c r="G14" i="5"/>
  <c r="K421" i="4"/>
  <c r="K412" i="4"/>
  <c r="K361" i="4"/>
  <c r="K358" i="4"/>
  <c r="K357" i="4" s="1"/>
  <c r="K258" i="4"/>
  <c r="K262" i="4"/>
  <c r="K309" i="4"/>
  <c r="K411" i="4"/>
  <c r="K281" i="4"/>
  <c r="K409" i="4"/>
  <c r="K331" i="4"/>
  <c r="K328" i="4"/>
  <c r="K312" i="4"/>
  <c r="K300" i="4"/>
  <c r="K259" i="4"/>
  <c r="K108" i="4"/>
  <c r="K96" i="4"/>
  <c r="K99" i="4"/>
  <c r="K98" i="4"/>
  <c r="K101" i="4"/>
  <c r="K100" i="4"/>
  <c r="K102" i="4"/>
  <c r="K76" i="4"/>
  <c r="K79" i="4"/>
  <c r="K82" i="4"/>
  <c r="K80" i="4"/>
  <c r="K230" i="4"/>
  <c r="K181" i="4"/>
  <c r="K178" i="4"/>
  <c r="K177" i="4" s="1"/>
  <c r="K148" i="4"/>
  <c r="K137" i="4"/>
  <c r="K200" i="4"/>
  <c r="K32" i="4"/>
  <c r="K186" i="4"/>
  <c r="K189" i="4"/>
  <c r="K66" i="4"/>
  <c r="K69" i="4"/>
  <c r="K70" i="4"/>
  <c r="K72" i="4"/>
  <c r="K26" i="4"/>
  <c r="K29" i="4"/>
  <c r="K171" i="4"/>
  <c r="K146" i="4"/>
  <c r="K149" i="4"/>
  <c r="K118" i="4"/>
  <c r="K117" i="4" s="1"/>
  <c r="K121" i="4"/>
  <c r="K22" i="4"/>
  <c r="K86" i="4"/>
  <c r="K89" i="4"/>
  <c r="K16" i="4"/>
  <c r="K19" i="4"/>
  <c r="K345" i="5"/>
  <c r="K348" i="5"/>
  <c r="K343" i="5"/>
  <c r="K347" i="5"/>
  <c r="K349" i="5"/>
  <c r="K346" i="5"/>
  <c r="K455" i="5"/>
  <c r="K459" i="5"/>
  <c r="K453" i="5"/>
  <c r="K457" i="5"/>
  <c r="K458" i="5"/>
  <c r="K36" i="4"/>
  <c r="K39" i="4"/>
  <c r="K46" i="4"/>
  <c r="K49" i="4"/>
  <c r="K21" i="4"/>
  <c r="K469" i="5"/>
  <c r="K468" i="5"/>
  <c r="K407" i="5"/>
  <c r="K403" i="5"/>
  <c r="K406" i="5"/>
  <c r="K466" i="5"/>
  <c r="K413" i="5"/>
  <c r="K416" i="5"/>
  <c r="K419" i="5"/>
  <c r="K415" i="5"/>
  <c r="K143" i="5"/>
  <c r="K146" i="5"/>
  <c r="K149" i="5"/>
  <c r="K147" i="5"/>
  <c r="K148" i="5"/>
  <c r="K87" i="5"/>
  <c r="K85" i="5"/>
  <c r="K84" i="5" s="1"/>
  <c r="K88" i="5"/>
  <c r="K83" i="5"/>
  <c r="K86" i="5"/>
  <c r="K465" i="5"/>
  <c r="K464" i="5" s="1"/>
  <c r="K409" i="5"/>
  <c r="K375" i="5"/>
  <c r="K379" i="5"/>
  <c r="K223" i="5"/>
  <c r="K226" i="5"/>
  <c r="K229" i="5"/>
  <c r="K227" i="5"/>
  <c r="K228" i="5"/>
  <c r="G1102" i="5"/>
  <c r="G1110" i="5"/>
  <c r="G1103" i="5"/>
  <c r="G1111" i="5"/>
  <c r="G1406" i="5"/>
  <c r="K9" i="4"/>
  <c r="K425" i="5"/>
  <c r="K428" i="5"/>
  <c r="K405" i="5"/>
  <c r="K389" i="5"/>
  <c r="K388" i="5"/>
  <c r="K247" i="5"/>
  <c r="K245" i="5"/>
  <c r="K248" i="5"/>
  <c r="K243" i="5"/>
  <c r="K246" i="5"/>
  <c r="K386" i="5"/>
  <c r="K303" i="5"/>
  <c r="K306" i="5"/>
  <c r="K309" i="5"/>
  <c r="K307" i="5"/>
  <c r="K308" i="5"/>
  <c r="K167" i="5"/>
  <c r="K165" i="5"/>
  <c r="K168" i="5"/>
  <c r="K163" i="5"/>
  <c r="K166" i="5"/>
  <c r="G1089" i="5"/>
  <c r="G1093" i="5"/>
  <c r="K408" i="5"/>
  <c r="K327" i="5"/>
  <c r="K328" i="5"/>
  <c r="K323" i="5"/>
  <c r="K326" i="5"/>
  <c r="K63" i="5"/>
  <c r="K66" i="5"/>
  <c r="K69" i="5"/>
  <c r="K67" i="5"/>
  <c r="K68" i="5"/>
  <c r="K335" i="5"/>
  <c r="K299" i="5"/>
  <c r="K219" i="5"/>
  <c r="K139" i="5"/>
  <c r="K77" i="5"/>
  <c r="K59" i="5"/>
  <c r="K266" i="5"/>
  <c r="K263" i="5"/>
  <c r="K186" i="5"/>
  <c r="K183" i="5"/>
  <c r="K106" i="5"/>
  <c r="K103" i="5"/>
  <c r="K26" i="5"/>
  <c r="K23" i="5"/>
  <c r="K339" i="5"/>
  <c r="K295" i="5"/>
  <c r="K286" i="5"/>
  <c r="K277" i="5"/>
  <c r="K268" i="5"/>
  <c r="K259" i="5"/>
  <c r="K215" i="5"/>
  <c r="K206" i="5"/>
  <c r="K203" i="5"/>
  <c r="K197" i="5"/>
  <c r="K188" i="5"/>
  <c r="K135" i="5"/>
  <c r="K126" i="5"/>
  <c r="K123" i="5"/>
  <c r="K117" i="5"/>
  <c r="K108" i="5"/>
  <c r="K55" i="5"/>
  <c r="K54" i="5" s="1"/>
  <c r="K28" i="5"/>
  <c r="K336" i="5"/>
  <c r="K256" i="5"/>
  <c r="K158" i="5"/>
  <c r="K96" i="5"/>
  <c r="K78" i="5"/>
  <c r="K194" i="5" l="1"/>
  <c r="K134" i="5"/>
  <c r="K254" i="5"/>
  <c r="K384" i="5"/>
  <c r="K204" i="5"/>
  <c r="K274" i="5"/>
  <c r="K444" i="5"/>
  <c r="K394" i="5"/>
  <c r="K354" i="5"/>
  <c r="K144" i="5"/>
  <c r="K424" i="5"/>
  <c r="K434" i="5"/>
  <c r="K114" i="5"/>
  <c r="K294" i="5"/>
  <c r="K404" i="5"/>
  <c r="K214" i="5"/>
  <c r="K174" i="5"/>
  <c r="K184" i="5"/>
  <c r="K154" i="5"/>
  <c r="K244" i="5"/>
  <c r="K284" i="5"/>
  <c r="K374" i="5"/>
  <c r="K314" i="5"/>
  <c r="K267" i="4"/>
  <c r="K124" i="5"/>
  <c r="K217" i="4"/>
  <c r="K454" i="5"/>
  <c r="K147" i="4"/>
  <c r="K157" i="4"/>
  <c r="K367" i="4"/>
  <c r="K324" i="5"/>
  <c r="K304" i="5"/>
  <c r="K224" i="5"/>
  <c r="K187" i="4"/>
  <c r="K264" i="5"/>
  <c r="K417" i="4"/>
  <c r="K97" i="4"/>
  <c r="K127" i="4"/>
  <c r="K257" i="4"/>
  <c r="K207" i="4"/>
  <c r="K307" i="4"/>
  <c r="K414" i="5"/>
  <c r="K327" i="4"/>
  <c r="K277" i="4"/>
  <c r="K334" i="5"/>
  <c r="K164" i="5"/>
  <c r="K344" i="5"/>
  <c r="K107" i="4"/>
  <c r="K247" i="4"/>
  <c r="K407" i="4"/>
  <c r="H1111" i="1" l="1"/>
  <c r="H1308"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311"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217" i="1"/>
  <c r="D1306" i="1"/>
  <c r="F1306" i="1" s="1"/>
  <c r="D1305" i="1"/>
  <c r="F1305" i="1" s="1"/>
  <c r="D1304" i="1"/>
  <c r="F1304" i="1" s="1"/>
  <c r="D1303" i="1"/>
  <c r="F1303" i="1" s="1"/>
  <c r="D1302" i="1"/>
  <c r="F1302" i="1" s="1"/>
  <c r="D1301" i="1"/>
  <c r="F1301" i="1" s="1"/>
  <c r="D1300" i="1"/>
  <c r="F1300" i="1" s="1"/>
  <c r="D1299" i="1"/>
  <c r="F1299" i="1" s="1"/>
  <c r="D1298" i="1"/>
  <c r="F1298" i="1" s="1"/>
  <c r="D1297" i="1"/>
  <c r="F1297" i="1" s="1"/>
  <c r="D1296" i="1"/>
  <c r="F1296" i="1" s="1"/>
  <c r="D1295" i="1"/>
  <c r="F1295" i="1" s="1"/>
  <c r="D1294" i="1"/>
  <c r="F1294" i="1" s="1"/>
  <c r="D1293" i="1"/>
  <c r="F1293" i="1" s="1"/>
  <c r="D1292" i="1"/>
  <c r="D1291" i="1"/>
  <c r="F1291" i="1" s="1"/>
  <c r="D1290" i="1"/>
  <c r="F1290" i="1" s="1"/>
  <c r="D1289" i="1"/>
  <c r="F1289" i="1" s="1"/>
  <c r="D1288" i="1"/>
  <c r="F1288" i="1" s="1"/>
  <c r="D1287" i="1"/>
  <c r="F1287" i="1" s="1"/>
  <c r="D1286" i="1"/>
  <c r="F1286" i="1" s="1"/>
  <c r="D1285" i="1"/>
  <c r="F1285" i="1" s="1"/>
  <c r="D1284" i="1"/>
  <c r="F1284" i="1" s="1"/>
  <c r="D1283" i="1"/>
  <c r="F1283" i="1" s="1"/>
  <c r="D1282" i="1"/>
  <c r="F1282" i="1" s="1"/>
  <c r="D1281" i="1"/>
  <c r="F1281" i="1" s="1"/>
  <c r="D1280" i="1"/>
  <c r="F1280" i="1" s="1"/>
  <c r="D1279" i="1"/>
  <c r="F1279" i="1" s="1"/>
  <c r="D1278" i="1"/>
  <c r="D1277" i="1"/>
  <c r="F1277" i="1" s="1"/>
  <c r="D1276" i="1"/>
  <c r="F1276" i="1" s="1"/>
  <c r="D1275" i="1"/>
  <c r="F1275" i="1" s="1"/>
  <c r="D1274" i="1"/>
  <c r="F1274" i="1" s="1"/>
  <c r="D1273" i="1"/>
  <c r="F1273" i="1" s="1"/>
  <c r="D1272" i="1"/>
  <c r="F1272" i="1" s="1"/>
  <c r="D1271" i="1"/>
  <c r="F1271" i="1" s="1"/>
  <c r="D1270" i="1"/>
  <c r="F1270" i="1" s="1"/>
  <c r="D1269" i="1"/>
  <c r="F1269" i="1" s="1"/>
  <c r="D1268" i="1"/>
  <c r="F1268" i="1" s="1"/>
  <c r="D1267" i="1"/>
  <c r="F1267" i="1" s="1"/>
  <c r="D1266" i="1"/>
  <c r="F1266" i="1" s="1"/>
  <c r="D1265" i="1"/>
  <c r="F1265" i="1" s="1"/>
  <c r="D1264" i="1"/>
  <c r="F1264" i="1" s="1"/>
  <c r="D1263" i="1"/>
  <c r="F1263" i="1" s="1"/>
  <c r="D1262" i="1"/>
  <c r="F1262" i="1" s="1"/>
  <c r="D1261" i="1"/>
  <c r="F1261" i="1" s="1"/>
  <c r="D1260" i="1"/>
  <c r="F1260" i="1" s="1"/>
  <c r="D1259" i="1"/>
  <c r="F1259" i="1" s="1"/>
  <c r="D1258" i="1"/>
  <c r="F1258" i="1" s="1"/>
  <c r="D1257" i="1"/>
  <c r="F1257" i="1" s="1"/>
  <c r="D1256" i="1"/>
  <c r="F1256" i="1" s="1"/>
  <c r="D1255" i="1"/>
  <c r="F1255" i="1" s="1"/>
  <c r="D1254" i="1"/>
  <c r="F1254" i="1" s="1"/>
  <c r="D1253" i="1"/>
  <c r="F1253" i="1" s="1"/>
  <c r="D1252" i="1"/>
  <c r="F1252" i="1" s="1"/>
  <c r="D1251" i="1"/>
  <c r="F1251" i="1" s="1"/>
  <c r="D1250" i="1"/>
  <c r="F1250" i="1" s="1"/>
  <c r="D1249" i="1"/>
  <c r="F1249" i="1" s="1"/>
  <c r="D1248" i="1"/>
  <c r="F1248" i="1" s="1"/>
  <c r="D1247" i="1"/>
  <c r="F1247" i="1" s="1"/>
  <c r="D1246" i="1"/>
  <c r="F1246" i="1" s="1"/>
  <c r="D1245" i="1"/>
  <c r="F1245" i="1" s="1"/>
  <c r="D1244" i="1"/>
  <c r="F1244" i="1" s="1"/>
  <c r="D1243" i="1"/>
  <c r="F1243" i="1" s="1"/>
  <c r="D1242" i="1"/>
  <c r="F1242" i="1" s="1"/>
  <c r="D1241" i="1"/>
  <c r="F1241" i="1" s="1"/>
  <c r="D1240" i="1"/>
  <c r="F1240" i="1" s="1"/>
  <c r="D1239" i="1"/>
  <c r="F1239" i="1" s="1"/>
  <c r="D1238" i="1"/>
  <c r="F1238" i="1" s="1"/>
  <c r="D1237" i="1"/>
  <c r="F1237" i="1" s="1"/>
  <c r="D1236" i="1"/>
  <c r="F1278" i="1"/>
  <c r="F1292" i="1"/>
  <c r="H1215" i="1"/>
  <c r="H1216" i="1"/>
  <c r="H1214"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123" i="1"/>
  <c r="D2252" i="1" l="1"/>
  <c r="F2252" i="1" s="1"/>
  <c r="D2249" i="1"/>
  <c r="F2249" i="1" s="1"/>
  <c r="D2246" i="1"/>
  <c r="F2246" i="1" s="1"/>
  <c r="D2243" i="1"/>
  <c r="F2243" i="1" s="1"/>
  <c r="D2240" i="1"/>
  <c r="F2240" i="1" s="1"/>
  <c r="D2237" i="1"/>
  <c r="F2237" i="1" s="1"/>
  <c r="D2234" i="1"/>
  <c r="F2234" i="1" s="1"/>
  <c r="D2231" i="1"/>
  <c r="F2231" i="1" s="1"/>
  <c r="D2228" i="1"/>
  <c r="F2228" i="1" s="1"/>
  <c r="D2225" i="1"/>
  <c r="F2225" i="1" s="1"/>
  <c r="D2222" i="1"/>
  <c r="F2222" i="1" s="1"/>
  <c r="D2219" i="1"/>
  <c r="F2219" i="1" s="1"/>
  <c r="D2216" i="1"/>
  <c r="D2213" i="1"/>
  <c r="D2210" i="1"/>
  <c r="F2210" i="1" s="1"/>
  <c r="D2207" i="1"/>
  <c r="F2207" i="1" s="1"/>
  <c r="D2204" i="1"/>
  <c r="D2201" i="1"/>
  <c r="F2201" i="1" s="1"/>
  <c r="D2198" i="1"/>
  <c r="F2198" i="1" s="1"/>
  <c r="D2195" i="1"/>
  <c r="F2195" i="1" s="1"/>
  <c r="D2192" i="1"/>
  <c r="F2192" i="1" s="1"/>
  <c r="D2189" i="1"/>
  <c r="F2189" i="1" s="1"/>
  <c r="D2186" i="1"/>
  <c r="F2186" i="1" s="1"/>
  <c r="D2183" i="1"/>
  <c r="F2183" i="1" s="1"/>
  <c r="D2180" i="1"/>
  <c r="F2180" i="1" s="1"/>
  <c r="D2177" i="1"/>
  <c r="F2177" i="1" s="1"/>
  <c r="D2174" i="1"/>
  <c r="F2174" i="1" s="1"/>
  <c r="D2171" i="1"/>
  <c r="F2171" i="1" s="1"/>
  <c r="D2168" i="1"/>
  <c r="F2168" i="1" s="1"/>
  <c r="D2165" i="1"/>
  <c r="F2165" i="1" s="1"/>
  <c r="D2162" i="1"/>
  <c r="F2162" i="1" s="1"/>
  <c r="D2159" i="1"/>
  <c r="F2159" i="1" s="1"/>
  <c r="D2156" i="1"/>
  <c r="F2156" i="1" s="1"/>
  <c r="D2153" i="1"/>
  <c r="F2153" i="1" s="1"/>
  <c r="D2150" i="1"/>
  <c r="F2150" i="1" s="1"/>
  <c r="F2216" i="1"/>
  <c r="F2213" i="1"/>
  <c r="F2204" i="1"/>
  <c r="H2254" i="1"/>
  <c r="D2254" i="1"/>
  <c r="F2254" i="1" s="1"/>
  <c r="H2253" i="1"/>
  <c r="D2253" i="1"/>
  <c r="F2253" i="1" s="1"/>
  <c r="H2252" i="1"/>
  <c r="H2251" i="1"/>
  <c r="D2251" i="1"/>
  <c r="F2251" i="1" s="1"/>
  <c r="H2250" i="1"/>
  <c r="D2250" i="1"/>
  <c r="F2250" i="1" s="1"/>
  <c r="H2249" i="1"/>
  <c r="H2248" i="1"/>
  <c r="D2248" i="1"/>
  <c r="F2248" i="1" s="1"/>
  <c r="H2247" i="1"/>
  <c r="D2247" i="1"/>
  <c r="F2247" i="1" s="1"/>
  <c r="H2246" i="1"/>
  <c r="H2245" i="1"/>
  <c r="D2245" i="1"/>
  <c r="F2245" i="1" s="1"/>
  <c r="H2244" i="1"/>
  <c r="D2244" i="1"/>
  <c r="F2244" i="1" s="1"/>
  <c r="H2243" i="1"/>
  <c r="H2242" i="1"/>
  <c r="D2242" i="1"/>
  <c r="F2242" i="1" s="1"/>
  <c r="H2241" i="1"/>
  <c r="D2241" i="1"/>
  <c r="F2241" i="1" s="1"/>
  <c r="H2240" i="1"/>
  <c r="H2239" i="1"/>
  <c r="D2239" i="1"/>
  <c r="F2239" i="1" s="1"/>
  <c r="H2238" i="1"/>
  <c r="D2238" i="1"/>
  <c r="F2238" i="1" s="1"/>
  <c r="H2237" i="1"/>
  <c r="H2236" i="1"/>
  <c r="D2236" i="1"/>
  <c r="F2236" i="1" s="1"/>
  <c r="H2235" i="1"/>
  <c r="D2235" i="1"/>
  <c r="F2235" i="1" s="1"/>
  <c r="H2234" i="1"/>
  <c r="H2233" i="1"/>
  <c r="D2233" i="1"/>
  <c r="F2233" i="1" s="1"/>
  <c r="H2232" i="1"/>
  <c r="D2232" i="1"/>
  <c r="F2232" i="1" s="1"/>
  <c r="H2231" i="1"/>
  <c r="H2230" i="1"/>
  <c r="D2230" i="1"/>
  <c r="F2230" i="1" s="1"/>
  <c r="H2229" i="1"/>
  <c r="D2229" i="1"/>
  <c r="F2229" i="1" s="1"/>
  <c r="H2228" i="1"/>
  <c r="H2227" i="1"/>
  <c r="D2227" i="1"/>
  <c r="F2227" i="1" s="1"/>
  <c r="H2226" i="1"/>
  <c r="D2226" i="1"/>
  <c r="F2226" i="1" s="1"/>
  <c r="H2225" i="1"/>
  <c r="H2224" i="1"/>
  <c r="D2224" i="1"/>
  <c r="F2224" i="1" s="1"/>
  <c r="H2223" i="1"/>
  <c r="D2223" i="1"/>
  <c r="F2223" i="1" s="1"/>
  <c r="H2222" i="1"/>
  <c r="H2221" i="1"/>
  <c r="D2221" i="1"/>
  <c r="F2221" i="1" s="1"/>
  <c r="H2220" i="1"/>
  <c r="D2220" i="1"/>
  <c r="F2220" i="1" s="1"/>
  <c r="H2219" i="1"/>
  <c r="H2218" i="1"/>
  <c r="D2218" i="1"/>
  <c r="F2218" i="1" s="1"/>
  <c r="H2217" i="1"/>
  <c r="D2217" i="1"/>
  <c r="F2217" i="1" s="1"/>
  <c r="H2216" i="1"/>
  <c r="H2215" i="1"/>
  <c r="D2215" i="1"/>
  <c r="F2215" i="1" s="1"/>
  <c r="H2214" i="1"/>
  <c r="D2214" i="1"/>
  <c r="F2214" i="1" s="1"/>
  <c r="H2213" i="1"/>
  <c r="H2212" i="1"/>
  <c r="D2212" i="1"/>
  <c r="F2212" i="1" s="1"/>
  <c r="H2211" i="1"/>
  <c r="D2211" i="1"/>
  <c r="F2211" i="1" s="1"/>
  <c r="H2210" i="1"/>
  <c r="H2209" i="1"/>
  <c r="D2209" i="1"/>
  <c r="F2209" i="1" s="1"/>
  <c r="H2208" i="1"/>
  <c r="D2208" i="1"/>
  <c r="F2208" i="1" s="1"/>
  <c r="H2207" i="1"/>
  <c r="H2206" i="1"/>
  <c r="D2206" i="1"/>
  <c r="F2206" i="1" s="1"/>
  <c r="H2205" i="1"/>
  <c r="D2205" i="1"/>
  <c r="F2205" i="1" s="1"/>
  <c r="H2204" i="1"/>
  <c r="H2203" i="1"/>
  <c r="D2203" i="1"/>
  <c r="F2203" i="1" s="1"/>
  <c r="H2202" i="1"/>
  <c r="D2202" i="1"/>
  <c r="F2202" i="1" s="1"/>
  <c r="H2201" i="1"/>
  <c r="H2200" i="1"/>
  <c r="D2200" i="1"/>
  <c r="F2200" i="1" s="1"/>
  <c r="H2199" i="1"/>
  <c r="D2199" i="1"/>
  <c r="F2199" i="1" s="1"/>
  <c r="H2198" i="1"/>
  <c r="H2197" i="1"/>
  <c r="D2197" i="1"/>
  <c r="F2197" i="1" s="1"/>
  <c r="H2196" i="1"/>
  <c r="D2196" i="1"/>
  <c r="F2196" i="1" s="1"/>
  <c r="H2195" i="1"/>
  <c r="H2194" i="1"/>
  <c r="D2194" i="1"/>
  <c r="F2194" i="1" s="1"/>
  <c r="H2193" i="1"/>
  <c r="D2193" i="1"/>
  <c r="F2193" i="1" s="1"/>
  <c r="H2192" i="1"/>
  <c r="H2191" i="1"/>
  <c r="D2191" i="1"/>
  <c r="F2191" i="1" s="1"/>
  <c r="H2190" i="1"/>
  <c r="D2190" i="1"/>
  <c r="F2190" i="1" s="1"/>
  <c r="H2189" i="1"/>
  <c r="H2188" i="1"/>
  <c r="D2188" i="1"/>
  <c r="F2188" i="1" s="1"/>
  <c r="H2187" i="1"/>
  <c r="D2187" i="1"/>
  <c r="F2187" i="1" s="1"/>
  <c r="H2186" i="1"/>
  <c r="H2185" i="1"/>
  <c r="D2185" i="1"/>
  <c r="F2185" i="1" s="1"/>
  <c r="H2184" i="1"/>
  <c r="D2184" i="1"/>
  <c r="F2184" i="1" s="1"/>
  <c r="H2183" i="1"/>
  <c r="H2182" i="1"/>
  <c r="D2182" i="1"/>
  <c r="F2182" i="1" s="1"/>
  <c r="H2181" i="1"/>
  <c r="D2181" i="1"/>
  <c r="F2181" i="1" s="1"/>
  <c r="H2180" i="1"/>
  <c r="H2179" i="1"/>
  <c r="D2179" i="1"/>
  <c r="F2179" i="1" s="1"/>
  <c r="H2178" i="1"/>
  <c r="D2178" i="1"/>
  <c r="F2178" i="1" s="1"/>
  <c r="H2177" i="1"/>
  <c r="H2176" i="1"/>
  <c r="D2176" i="1"/>
  <c r="F2176" i="1" s="1"/>
  <c r="H2175" i="1"/>
  <c r="D2175" i="1"/>
  <c r="F2175" i="1" s="1"/>
  <c r="H2174" i="1"/>
  <c r="H2173" i="1"/>
  <c r="D2173" i="1"/>
  <c r="F2173" i="1" s="1"/>
  <c r="H2172" i="1"/>
  <c r="D2172" i="1"/>
  <c r="F2172" i="1" s="1"/>
  <c r="H2171" i="1"/>
  <c r="H2170" i="1"/>
  <c r="D2170" i="1"/>
  <c r="F2170" i="1" s="1"/>
  <c r="H2169" i="1"/>
  <c r="D2169" i="1"/>
  <c r="F2169" i="1" s="1"/>
  <c r="H2168" i="1"/>
  <c r="H2167" i="1"/>
  <c r="D2167" i="1"/>
  <c r="F2167" i="1" s="1"/>
  <c r="H2166" i="1"/>
  <c r="D2166" i="1"/>
  <c r="F2166" i="1" s="1"/>
  <c r="H2165" i="1"/>
  <c r="H2164" i="1"/>
  <c r="D2164" i="1"/>
  <c r="F2164" i="1" s="1"/>
  <c r="H2163" i="1"/>
  <c r="D2163" i="1"/>
  <c r="F2163" i="1" s="1"/>
  <c r="H2162" i="1"/>
  <c r="H2161" i="1"/>
  <c r="D2161" i="1"/>
  <c r="F2161" i="1" s="1"/>
  <c r="H2160" i="1"/>
  <c r="D2160" i="1"/>
  <c r="F2160" i="1" s="1"/>
  <c r="H2159" i="1"/>
  <c r="H2158" i="1"/>
  <c r="D2158" i="1"/>
  <c r="F2158" i="1" s="1"/>
  <c r="H2157" i="1"/>
  <c r="D2157" i="1"/>
  <c r="F2157" i="1" s="1"/>
  <c r="H2156" i="1"/>
  <c r="H2155" i="1"/>
  <c r="D2155" i="1"/>
  <c r="F2155" i="1" s="1"/>
  <c r="H2154" i="1"/>
  <c r="D2154" i="1"/>
  <c r="F2154" i="1" s="1"/>
  <c r="H2153" i="1"/>
  <c r="H2152" i="1"/>
  <c r="D2152" i="1"/>
  <c r="F2152" i="1" s="1"/>
  <c r="H2151" i="1"/>
  <c r="D2151" i="1"/>
  <c r="F2151" i="1" s="1"/>
  <c r="H2150" i="1"/>
  <c r="D2112" i="1"/>
  <c r="F2112" i="1" s="1"/>
  <c r="D2109" i="1"/>
  <c r="F2109" i="1" s="1"/>
  <c r="D2106" i="1"/>
  <c r="F2106" i="1" s="1"/>
  <c r="D2103" i="1"/>
  <c r="F2103" i="1" s="1"/>
  <c r="D2100" i="1"/>
  <c r="F2100" i="1" s="1"/>
  <c r="D2097" i="1"/>
  <c r="F2097" i="1" s="1"/>
  <c r="D2094" i="1"/>
  <c r="F2094" i="1" s="1"/>
  <c r="D2091" i="1"/>
  <c r="F2091" i="1" s="1"/>
  <c r="D2088" i="1"/>
  <c r="F2088" i="1" s="1"/>
  <c r="D2085" i="1"/>
  <c r="F2085" i="1" s="1"/>
  <c r="D2082" i="1"/>
  <c r="F2082" i="1" s="1"/>
  <c r="D2079" i="1"/>
  <c r="F2079" i="1" s="1"/>
  <c r="D2076" i="1"/>
  <c r="F2076" i="1" s="1"/>
  <c r="D2073" i="1"/>
  <c r="F2073" i="1" s="1"/>
  <c r="D2070" i="1"/>
  <c r="F2070" i="1" s="1"/>
  <c r="D2067" i="1"/>
  <c r="F2067" i="1" s="1"/>
  <c r="D2064" i="1"/>
  <c r="F2064" i="1" s="1"/>
  <c r="D2061" i="1"/>
  <c r="F2061" i="1" s="1"/>
  <c r="D2058" i="1"/>
  <c r="F2058" i="1" s="1"/>
  <c r="D2055" i="1"/>
  <c r="F2055" i="1" s="1"/>
  <c r="D2052" i="1"/>
  <c r="F2052" i="1" s="1"/>
  <c r="D2049" i="1"/>
  <c r="F2049" i="1" s="1"/>
  <c r="D2046" i="1"/>
  <c r="F2046" i="1" s="1"/>
  <c r="D2043" i="1"/>
  <c r="F2043" i="1" s="1"/>
  <c r="D2040" i="1"/>
  <c r="F2040" i="1" s="1"/>
  <c r="D2037" i="1"/>
  <c r="F2037" i="1" s="1"/>
  <c r="D2034" i="1"/>
  <c r="F2034" i="1" s="1"/>
  <c r="D2031" i="1"/>
  <c r="F2031" i="1" s="1"/>
  <c r="D2028" i="1"/>
  <c r="F2028" i="1" s="1"/>
  <c r="D2025" i="1"/>
  <c r="F2025" i="1" s="1"/>
  <c r="D2022" i="1"/>
  <c r="F2022" i="1" s="1"/>
  <c r="D2019" i="1"/>
  <c r="F2019" i="1" s="1"/>
  <c r="D2016" i="1"/>
  <c r="F2016" i="1" s="1"/>
  <c r="D2013" i="1"/>
  <c r="F2013" i="1" s="1"/>
  <c r="D2010" i="1"/>
  <c r="F2010" i="1" s="1"/>
  <c r="H2114" i="1"/>
  <c r="D2114" i="1"/>
  <c r="F2114" i="1" s="1"/>
  <c r="H2113" i="1"/>
  <c r="D2113" i="1"/>
  <c r="F2113" i="1" s="1"/>
  <c r="H2112" i="1"/>
  <c r="H2111" i="1"/>
  <c r="D2111" i="1"/>
  <c r="F2111" i="1" s="1"/>
  <c r="H2110" i="1"/>
  <c r="D2110" i="1"/>
  <c r="F2110" i="1" s="1"/>
  <c r="H2109" i="1"/>
  <c r="H2108" i="1"/>
  <c r="D2108" i="1"/>
  <c r="F2108" i="1" s="1"/>
  <c r="H2107" i="1"/>
  <c r="D2107" i="1"/>
  <c r="F2107" i="1" s="1"/>
  <c r="H2106" i="1"/>
  <c r="H2105" i="1"/>
  <c r="D2105" i="1"/>
  <c r="F2105" i="1" s="1"/>
  <c r="H2104" i="1"/>
  <c r="D2104" i="1"/>
  <c r="F2104" i="1" s="1"/>
  <c r="H2103" i="1"/>
  <c r="H2102" i="1"/>
  <c r="D2102" i="1"/>
  <c r="F2102" i="1" s="1"/>
  <c r="H2101" i="1"/>
  <c r="D2101" i="1"/>
  <c r="F2101" i="1" s="1"/>
  <c r="H2100" i="1"/>
  <c r="H2099" i="1"/>
  <c r="D2099" i="1"/>
  <c r="F2099" i="1" s="1"/>
  <c r="H2098" i="1"/>
  <c r="D2098" i="1"/>
  <c r="F2098" i="1" s="1"/>
  <c r="H2097" i="1"/>
  <c r="H2096" i="1"/>
  <c r="D2096" i="1"/>
  <c r="F2096" i="1" s="1"/>
  <c r="H2095" i="1"/>
  <c r="D2095" i="1"/>
  <c r="F2095" i="1" s="1"/>
  <c r="H2094" i="1"/>
  <c r="H2093" i="1"/>
  <c r="D2093" i="1"/>
  <c r="F2093" i="1" s="1"/>
  <c r="H2092" i="1"/>
  <c r="D2092" i="1"/>
  <c r="F2092" i="1" s="1"/>
  <c r="H2091" i="1"/>
  <c r="H2090" i="1"/>
  <c r="D2090" i="1"/>
  <c r="F2090" i="1" s="1"/>
  <c r="H2089" i="1"/>
  <c r="D2089" i="1"/>
  <c r="F2089" i="1" s="1"/>
  <c r="H2088" i="1"/>
  <c r="H2087" i="1"/>
  <c r="D2087" i="1"/>
  <c r="F2087" i="1" s="1"/>
  <c r="H2086" i="1"/>
  <c r="D2086" i="1"/>
  <c r="F2086" i="1" s="1"/>
  <c r="H2085" i="1"/>
  <c r="H2084" i="1"/>
  <c r="D2084" i="1"/>
  <c r="F2084" i="1" s="1"/>
  <c r="H2083" i="1"/>
  <c r="D2083" i="1"/>
  <c r="F2083" i="1" s="1"/>
  <c r="H2082" i="1"/>
  <c r="H2081" i="1"/>
  <c r="D2081" i="1"/>
  <c r="F2081" i="1" s="1"/>
  <c r="H2080" i="1"/>
  <c r="D2080" i="1"/>
  <c r="F2080" i="1" s="1"/>
  <c r="H2079" i="1"/>
  <c r="H2078" i="1"/>
  <c r="D2078" i="1"/>
  <c r="F2078" i="1" s="1"/>
  <c r="H2077" i="1"/>
  <c r="D2077" i="1"/>
  <c r="F2077" i="1" s="1"/>
  <c r="H2076" i="1"/>
  <c r="H2075" i="1"/>
  <c r="D2075" i="1"/>
  <c r="F2075" i="1" s="1"/>
  <c r="H2074" i="1"/>
  <c r="D2074" i="1"/>
  <c r="F2074" i="1" s="1"/>
  <c r="H2073" i="1"/>
  <c r="H2072" i="1"/>
  <c r="D2072" i="1"/>
  <c r="F2072" i="1" s="1"/>
  <c r="H2071" i="1"/>
  <c r="D2071" i="1"/>
  <c r="F2071" i="1" s="1"/>
  <c r="H2070" i="1"/>
  <c r="H2069" i="1"/>
  <c r="D2069" i="1"/>
  <c r="F2069" i="1" s="1"/>
  <c r="H2068" i="1"/>
  <c r="D2068" i="1"/>
  <c r="F2068" i="1" s="1"/>
  <c r="H2067" i="1"/>
  <c r="H2066" i="1"/>
  <c r="D2066" i="1"/>
  <c r="F2066" i="1" s="1"/>
  <c r="H2065" i="1"/>
  <c r="D2065" i="1"/>
  <c r="F2065" i="1" s="1"/>
  <c r="H2064" i="1"/>
  <c r="H2063" i="1"/>
  <c r="D2063" i="1"/>
  <c r="F2063" i="1" s="1"/>
  <c r="H2062" i="1"/>
  <c r="D2062" i="1"/>
  <c r="F2062" i="1" s="1"/>
  <c r="H2061" i="1"/>
  <c r="H2060" i="1"/>
  <c r="D2060" i="1"/>
  <c r="F2060" i="1" s="1"/>
  <c r="H2059" i="1"/>
  <c r="D2059" i="1"/>
  <c r="F2059" i="1" s="1"/>
  <c r="H2058" i="1"/>
  <c r="H2057" i="1"/>
  <c r="D2057" i="1"/>
  <c r="F2057" i="1" s="1"/>
  <c r="H2056" i="1"/>
  <c r="D2056" i="1"/>
  <c r="F2056" i="1" s="1"/>
  <c r="H2055" i="1"/>
  <c r="H2054" i="1"/>
  <c r="D2054" i="1"/>
  <c r="F2054" i="1" s="1"/>
  <c r="H2053" i="1"/>
  <c r="D2053" i="1"/>
  <c r="F2053" i="1" s="1"/>
  <c r="H2052" i="1"/>
  <c r="H2051" i="1"/>
  <c r="D2051" i="1"/>
  <c r="F2051" i="1" s="1"/>
  <c r="H2050" i="1"/>
  <c r="D2050" i="1"/>
  <c r="F2050" i="1" s="1"/>
  <c r="H2049" i="1"/>
  <c r="H2048" i="1"/>
  <c r="D2048" i="1"/>
  <c r="F2048" i="1" s="1"/>
  <c r="H2047" i="1"/>
  <c r="D2047" i="1"/>
  <c r="F2047" i="1" s="1"/>
  <c r="H2046" i="1"/>
  <c r="H2045" i="1"/>
  <c r="D2045" i="1"/>
  <c r="F2045" i="1" s="1"/>
  <c r="H2044" i="1"/>
  <c r="D2044" i="1"/>
  <c r="F2044" i="1" s="1"/>
  <c r="H2043" i="1"/>
  <c r="H2042" i="1"/>
  <c r="D2042" i="1"/>
  <c r="F2042" i="1" s="1"/>
  <c r="H2041" i="1"/>
  <c r="D2041" i="1"/>
  <c r="F2041" i="1" s="1"/>
  <c r="H2040" i="1"/>
  <c r="H2039" i="1"/>
  <c r="D2039" i="1"/>
  <c r="F2039" i="1" s="1"/>
  <c r="H2038" i="1"/>
  <c r="D2038" i="1"/>
  <c r="F2038" i="1" s="1"/>
  <c r="H2037" i="1"/>
  <c r="H2036" i="1"/>
  <c r="D2036" i="1"/>
  <c r="F2036" i="1" s="1"/>
  <c r="H2035" i="1"/>
  <c r="D2035" i="1"/>
  <c r="F2035" i="1" s="1"/>
  <c r="H2034" i="1"/>
  <c r="H2033" i="1"/>
  <c r="D2033" i="1"/>
  <c r="F2033" i="1" s="1"/>
  <c r="H2032" i="1"/>
  <c r="D2032" i="1"/>
  <c r="F2032" i="1" s="1"/>
  <c r="H2031" i="1"/>
  <c r="H2030" i="1"/>
  <c r="D2030" i="1"/>
  <c r="F2030" i="1" s="1"/>
  <c r="H2029" i="1"/>
  <c r="D2029" i="1"/>
  <c r="F2029" i="1" s="1"/>
  <c r="H2028" i="1"/>
  <c r="H2027" i="1"/>
  <c r="D2027" i="1"/>
  <c r="F2027" i="1" s="1"/>
  <c r="H2026" i="1"/>
  <c r="D2026" i="1"/>
  <c r="F2026" i="1" s="1"/>
  <c r="H2025" i="1"/>
  <c r="H2024" i="1"/>
  <c r="D2024" i="1"/>
  <c r="F2024" i="1" s="1"/>
  <c r="H2023" i="1"/>
  <c r="D2023" i="1"/>
  <c r="F2023" i="1" s="1"/>
  <c r="H2022" i="1"/>
  <c r="H2021" i="1"/>
  <c r="D2021" i="1"/>
  <c r="F2021" i="1" s="1"/>
  <c r="H2020" i="1"/>
  <c r="D2020" i="1"/>
  <c r="F2020" i="1" s="1"/>
  <c r="H2019" i="1"/>
  <c r="H2018" i="1"/>
  <c r="D2018" i="1"/>
  <c r="F2018" i="1" s="1"/>
  <c r="H2017" i="1"/>
  <c r="D2017" i="1"/>
  <c r="F2017" i="1" s="1"/>
  <c r="H2016" i="1"/>
  <c r="H2015" i="1"/>
  <c r="D2015" i="1"/>
  <c r="F2015" i="1" s="1"/>
  <c r="H2014" i="1"/>
  <c r="D2014" i="1"/>
  <c r="F2014" i="1" s="1"/>
  <c r="H2013" i="1"/>
  <c r="H2012" i="1"/>
  <c r="D2012" i="1"/>
  <c r="F2012" i="1" s="1"/>
  <c r="H2011" i="1"/>
  <c r="D2011" i="1"/>
  <c r="F2011" i="1" s="1"/>
  <c r="H2010" i="1"/>
  <c r="D1974" i="1"/>
  <c r="F1974" i="1" s="1"/>
  <c r="D1973" i="1"/>
  <c r="F1973" i="1" s="1"/>
  <c r="D1972" i="1"/>
  <c r="F1972" i="1" s="1"/>
  <c r="D1971" i="1"/>
  <c r="F1971" i="1" s="1"/>
  <c r="D1970" i="1"/>
  <c r="F1970" i="1" s="1"/>
  <c r="D1969" i="1"/>
  <c r="F1969" i="1" s="1"/>
  <c r="D1968" i="1"/>
  <c r="F1968" i="1" s="1"/>
  <c r="D1967" i="1"/>
  <c r="F1967" i="1" s="1"/>
  <c r="D1966" i="1"/>
  <c r="F1966" i="1" s="1"/>
  <c r="D1965" i="1"/>
  <c r="F1965" i="1" s="1"/>
  <c r="D1964" i="1"/>
  <c r="F1964" i="1" s="1"/>
  <c r="D1963" i="1"/>
  <c r="F1963" i="1" s="1"/>
  <c r="D1962" i="1"/>
  <c r="F1962" i="1" s="1"/>
  <c r="D1961" i="1"/>
  <c r="F1961" i="1" s="1"/>
  <c r="D1960" i="1"/>
  <c r="F1960" i="1" s="1"/>
  <c r="D1959" i="1"/>
  <c r="F1959" i="1" s="1"/>
  <c r="D1958" i="1"/>
  <c r="F1958" i="1" s="1"/>
  <c r="D1957" i="1"/>
  <c r="F1957" i="1" s="1"/>
  <c r="D1956" i="1"/>
  <c r="F1956" i="1" s="1"/>
  <c r="D1955" i="1"/>
  <c r="F1955" i="1" s="1"/>
  <c r="D1954" i="1"/>
  <c r="F1954" i="1" s="1"/>
  <c r="D1953" i="1"/>
  <c r="F1953" i="1" s="1"/>
  <c r="D1952" i="1"/>
  <c r="F1952" i="1" s="1"/>
  <c r="D1951" i="1"/>
  <c r="D1950" i="1"/>
  <c r="F1950" i="1" s="1"/>
  <c r="D1949" i="1"/>
  <c r="F1949" i="1" s="1"/>
  <c r="D1948" i="1"/>
  <c r="F1948" i="1" s="1"/>
  <c r="D1947" i="1"/>
  <c r="F1947" i="1" s="1"/>
  <c r="D1946" i="1"/>
  <c r="F1946" i="1" s="1"/>
  <c r="D1945" i="1"/>
  <c r="F1945" i="1" s="1"/>
  <c r="D1944" i="1"/>
  <c r="F1944" i="1" s="1"/>
  <c r="D1943" i="1"/>
  <c r="D1942" i="1"/>
  <c r="F1942" i="1" s="1"/>
  <c r="D1941" i="1"/>
  <c r="F1941" i="1" s="1"/>
  <c r="D1940" i="1"/>
  <c r="F1940" i="1" s="1"/>
  <c r="D1939" i="1"/>
  <c r="F1939" i="1" s="1"/>
  <c r="D1938" i="1"/>
  <c r="F1938" i="1" s="1"/>
  <c r="D1937" i="1"/>
  <c r="D1936" i="1"/>
  <c r="F1936" i="1" s="1"/>
  <c r="D1935" i="1"/>
  <c r="F1935" i="1" s="1"/>
  <c r="D1934" i="1"/>
  <c r="F1934" i="1" s="1"/>
  <c r="D1933" i="1"/>
  <c r="F1933" i="1" s="1"/>
  <c r="D1932" i="1"/>
  <c r="F1932" i="1" s="1"/>
  <c r="D1931" i="1"/>
  <c r="F1931" i="1" s="1"/>
  <c r="D1930" i="1"/>
  <c r="F1930" i="1" s="1"/>
  <c r="D1929" i="1"/>
  <c r="F1929" i="1" s="1"/>
  <c r="D1928" i="1"/>
  <c r="F1928" i="1" s="1"/>
  <c r="D1927" i="1"/>
  <c r="F1927" i="1" s="1"/>
  <c r="D1926" i="1"/>
  <c r="F1926" i="1" s="1"/>
  <c r="D1925" i="1"/>
  <c r="F1925" i="1" s="1"/>
  <c r="D1924" i="1"/>
  <c r="F1924" i="1" s="1"/>
  <c r="D1923" i="1"/>
  <c r="F1923" i="1" s="1"/>
  <c r="D1922" i="1"/>
  <c r="F1922" i="1" s="1"/>
  <c r="D1921" i="1"/>
  <c r="F1921" i="1" s="1"/>
  <c r="D1920" i="1"/>
  <c r="F1920" i="1" s="1"/>
  <c r="D1919" i="1"/>
  <c r="F1919" i="1" s="1"/>
  <c r="D1918" i="1"/>
  <c r="F1918" i="1" s="1"/>
  <c r="D1917" i="1"/>
  <c r="F1917" i="1" s="1"/>
  <c r="D1916" i="1"/>
  <c r="F1916" i="1" s="1"/>
  <c r="D1915" i="1"/>
  <c r="F1915" i="1" s="1"/>
  <c r="D1914" i="1"/>
  <c r="F1914" i="1" s="1"/>
  <c r="D1913" i="1"/>
  <c r="F1913" i="1" s="1"/>
  <c r="D1912" i="1"/>
  <c r="F1912" i="1" s="1"/>
  <c r="D1911" i="1"/>
  <c r="F1911" i="1" s="1"/>
  <c r="D1910" i="1"/>
  <c r="F1910" i="1" s="1"/>
  <c r="D1909" i="1"/>
  <c r="F1909" i="1" s="1"/>
  <c r="D1908" i="1"/>
  <c r="F1908" i="1" s="1"/>
  <c r="D1907" i="1"/>
  <c r="F1907" i="1" s="1"/>
  <c r="D1906" i="1"/>
  <c r="F1906" i="1" s="1"/>
  <c r="D1905" i="1"/>
  <c r="F1905" i="1" s="1"/>
  <c r="D1904" i="1"/>
  <c r="F1904" i="1" s="1"/>
  <c r="D1903" i="1"/>
  <c r="F1903" i="1" s="1"/>
  <c r="D1902" i="1"/>
  <c r="F1902" i="1" s="1"/>
  <c r="D1901" i="1"/>
  <c r="F1901" i="1" s="1"/>
  <c r="D1900" i="1"/>
  <c r="F1900" i="1" s="1"/>
  <c r="D1899" i="1"/>
  <c r="F1899" i="1" s="1"/>
  <c r="D1898" i="1"/>
  <c r="F1898" i="1" s="1"/>
  <c r="D1897" i="1"/>
  <c r="F1897" i="1" s="1"/>
  <c r="D1896" i="1"/>
  <c r="F1896" i="1" s="1"/>
  <c r="D1895" i="1"/>
  <c r="F1895" i="1" s="1"/>
  <c r="D1894" i="1"/>
  <c r="F1894" i="1" s="1"/>
  <c r="D1893" i="1"/>
  <c r="F1893" i="1" s="1"/>
  <c r="D1892" i="1"/>
  <c r="F1892" i="1" s="1"/>
  <c r="D1891" i="1"/>
  <c r="F1891" i="1" s="1"/>
  <c r="D1890" i="1"/>
  <c r="F1890" i="1" s="1"/>
  <c r="D1889" i="1"/>
  <c r="F1889" i="1" s="1"/>
  <c r="D1888" i="1"/>
  <c r="F1888" i="1" s="1"/>
  <c r="D1887" i="1"/>
  <c r="F1887" i="1" s="1"/>
  <c r="D1886" i="1"/>
  <c r="F1886" i="1" s="1"/>
  <c r="D1885" i="1"/>
  <c r="F1885" i="1" s="1"/>
  <c r="D1884" i="1"/>
  <c r="F1884" i="1" s="1"/>
  <c r="D1883" i="1"/>
  <c r="F1883" i="1" s="1"/>
  <c r="D1882" i="1"/>
  <c r="F1882" i="1" s="1"/>
  <c r="D1881" i="1"/>
  <c r="F1881" i="1" s="1"/>
  <c r="D1880" i="1"/>
  <c r="F1880" i="1" s="1"/>
  <c r="D1879" i="1"/>
  <c r="F1879" i="1" s="1"/>
  <c r="D1878" i="1"/>
  <c r="F1878" i="1" s="1"/>
  <c r="D1877" i="1"/>
  <c r="F1877" i="1" s="1"/>
  <c r="D1876" i="1"/>
  <c r="F1876" i="1" s="1"/>
  <c r="D1875" i="1"/>
  <c r="F1875" i="1" s="1"/>
  <c r="D1874" i="1"/>
  <c r="F1874" i="1" s="1"/>
  <c r="D1873" i="1"/>
  <c r="F1873" i="1" s="1"/>
  <c r="D2149" i="1"/>
  <c r="F2149" i="1" s="1"/>
  <c r="D2148" i="1"/>
  <c r="D2147" i="1"/>
  <c r="F2147" i="1" s="1"/>
  <c r="D2009" i="1"/>
  <c r="F2009" i="1" s="1"/>
  <c r="D2008" i="1"/>
  <c r="F2008" i="1" s="1"/>
  <c r="D2007" i="1"/>
  <c r="F2007" i="1" s="1"/>
  <c r="D1869" i="1"/>
  <c r="F1869" i="1" s="1"/>
  <c r="D1868" i="1"/>
  <c r="F1868" i="1" s="1"/>
  <c r="D1867" i="1"/>
  <c r="D1447" i="1"/>
  <c r="D1446" i="1"/>
  <c r="F1446" i="1" s="1"/>
  <c r="D1445" i="1"/>
  <c r="D1444" i="1"/>
  <c r="F1444" i="1" s="1"/>
  <c r="D1330" i="1"/>
  <c r="F1330" i="1" s="1"/>
  <c r="D1329" i="1"/>
  <c r="F1329" i="1" s="1"/>
  <c r="D1235" i="1"/>
  <c r="F1235" i="1" s="1"/>
  <c r="D1142" i="1"/>
  <c r="F1142" i="1" s="1"/>
  <c r="D1141" i="1"/>
  <c r="F1141" i="1" s="1"/>
  <c r="D1872" i="1"/>
  <c r="F1872" i="1" s="1"/>
  <c r="D1871" i="1"/>
  <c r="F1871" i="1" s="1"/>
  <c r="D1870" i="1"/>
  <c r="F1870" i="1" s="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F1937" i="1"/>
  <c r="H1937" i="1"/>
  <c r="H1938" i="1"/>
  <c r="H1939" i="1"/>
  <c r="H1940" i="1"/>
  <c r="H1941" i="1"/>
  <c r="H1942" i="1"/>
  <c r="F1943" i="1"/>
  <c r="H1943" i="1"/>
  <c r="H1944" i="1"/>
  <c r="H1945" i="1"/>
  <c r="H1946" i="1"/>
  <c r="H1947" i="1"/>
  <c r="H1948" i="1"/>
  <c r="H1949" i="1"/>
  <c r="H1950" i="1"/>
  <c r="F1951"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875" i="1"/>
  <c r="H1874" i="1"/>
  <c r="H1873" i="1"/>
  <c r="H1872" i="1"/>
  <c r="H1871" i="1"/>
  <c r="H1870" i="1"/>
  <c r="D1587" i="1"/>
  <c r="F1587" i="1" s="1"/>
  <c r="D1586" i="1"/>
  <c r="F1586" i="1" s="1"/>
  <c r="D1585" i="1"/>
  <c r="F1585" i="1" s="1"/>
  <c r="D1584" i="1"/>
  <c r="F1584" i="1" s="1"/>
  <c r="D1583" i="1"/>
  <c r="F1583" i="1" s="1"/>
  <c r="D1582" i="1"/>
  <c r="F1582" i="1" s="1"/>
  <c r="D1581" i="1"/>
  <c r="F1581" i="1" s="1"/>
  <c r="D1580" i="1"/>
  <c r="F1580" i="1" s="1"/>
  <c r="D1579" i="1"/>
  <c r="F1579" i="1" s="1"/>
  <c r="D1578" i="1"/>
  <c r="F1578" i="1" s="1"/>
  <c r="D1577" i="1"/>
  <c r="F1577" i="1" s="1"/>
  <c r="D1576" i="1"/>
  <c r="F1576" i="1" s="1"/>
  <c r="D1575" i="1"/>
  <c r="F1575" i="1" s="1"/>
  <c r="D1574" i="1"/>
  <c r="F1574" i="1" s="1"/>
  <c r="D1573" i="1"/>
  <c r="F1573" i="1" s="1"/>
  <c r="D1572" i="1"/>
  <c r="F1572" i="1" s="1"/>
  <c r="D1571" i="1"/>
  <c r="F1571" i="1" s="1"/>
  <c r="D1570" i="1"/>
  <c r="F1570" i="1" s="1"/>
  <c r="D1569" i="1"/>
  <c r="F1569" i="1" s="1"/>
  <c r="D1568" i="1"/>
  <c r="F1568" i="1" s="1"/>
  <c r="D1567" i="1"/>
  <c r="F1567" i="1" s="1"/>
  <c r="D1566" i="1"/>
  <c r="F1566" i="1" s="1"/>
  <c r="D1565" i="1"/>
  <c r="F1565" i="1" s="1"/>
  <c r="D1564" i="1"/>
  <c r="F1564" i="1" s="1"/>
  <c r="D1563" i="1"/>
  <c r="F1563" i="1" s="1"/>
  <c r="D1562" i="1"/>
  <c r="F1562" i="1" s="1"/>
  <c r="D1561" i="1"/>
  <c r="F1561" i="1" s="1"/>
  <c r="D1560" i="1"/>
  <c r="F1560" i="1" s="1"/>
  <c r="D1559" i="1"/>
  <c r="F1559" i="1" s="1"/>
  <c r="D1558" i="1"/>
  <c r="F1558" i="1" s="1"/>
  <c r="D1557" i="1"/>
  <c r="F1557" i="1" s="1"/>
  <c r="D1556" i="1"/>
  <c r="F1556" i="1" s="1"/>
  <c r="D1555" i="1"/>
  <c r="F1555" i="1" s="1"/>
  <c r="D1554" i="1"/>
  <c r="F1554" i="1" s="1"/>
  <c r="D1553" i="1"/>
  <c r="F1553" i="1" s="1"/>
  <c r="D1552" i="1"/>
  <c r="F1552" i="1" s="1"/>
  <c r="D1551" i="1"/>
  <c r="D1550" i="1"/>
  <c r="F1550" i="1" s="1"/>
  <c r="D1549" i="1"/>
  <c r="F1549" i="1" s="1"/>
  <c r="D1548" i="1"/>
  <c r="F1548" i="1" s="1"/>
  <c r="D1547" i="1"/>
  <c r="F1547" i="1" s="1"/>
  <c r="D1546" i="1"/>
  <c r="F1546" i="1" s="1"/>
  <c r="D1545" i="1"/>
  <c r="F1545" i="1" s="1"/>
  <c r="D1544" i="1"/>
  <c r="F1544" i="1" s="1"/>
  <c r="D1543" i="1"/>
  <c r="F1543" i="1" s="1"/>
  <c r="D1542" i="1"/>
  <c r="F1542" i="1" s="1"/>
  <c r="D1541" i="1"/>
  <c r="F1541" i="1" s="1"/>
  <c r="D1540" i="1"/>
  <c r="F1540" i="1" s="1"/>
  <c r="D1539" i="1"/>
  <c r="F1539" i="1" s="1"/>
  <c r="D1538" i="1"/>
  <c r="F1538" i="1" s="1"/>
  <c r="D1537" i="1"/>
  <c r="F1537" i="1" s="1"/>
  <c r="D1536" i="1"/>
  <c r="F1536" i="1" s="1"/>
  <c r="D1535" i="1"/>
  <c r="F1535" i="1" s="1"/>
  <c r="D1534" i="1"/>
  <c r="F1534" i="1" s="1"/>
  <c r="D1533" i="1"/>
  <c r="F1533" i="1" s="1"/>
  <c r="D1532" i="1"/>
  <c r="F1532" i="1" s="1"/>
  <c r="D1531" i="1"/>
  <c r="F1531" i="1" s="1"/>
  <c r="D1530" i="1"/>
  <c r="F1530" i="1" s="1"/>
  <c r="D1529" i="1"/>
  <c r="F1529" i="1" s="1"/>
  <c r="D1528" i="1"/>
  <c r="F1528" i="1" s="1"/>
  <c r="D1527" i="1"/>
  <c r="F1527" i="1" s="1"/>
  <c r="D1526" i="1"/>
  <c r="F1526" i="1" s="1"/>
  <c r="D1525" i="1"/>
  <c r="F1525" i="1" s="1"/>
  <c r="D1524" i="1"/>
  <c r="F1524" i="1" s="1"/>
  <c r="D1523" i="1"/>
  <c r="F1523" i="1" s="1"/>
  <c r="D1522" i="1"/>
  <c r="F1522" i="1" s="1"/>
  <c r="D1521" i="1"/>
  <c r="F1521" i="1" s="1"/>
  <c r="D1520" i="1"/>
  <c r="F1520" i="1" s="1"/>
  <c r="D1519" i="1"/>
  <c r="F1519" i="1" s="1"/>
  <c r="D1518" i="1"/>
  <c r="F1518" i="1" s="1"/>
  <c r="D1517" i="1"/>
  <c r="F1517" i="1" s="1"/>
  <c r="D1516" i="1"/>
  <c r="F1516" i="1" s="1"/>
  <c r="D1515" i="1"/>
  <c r="F1515" i="1" s="1"/>
  <c r="D1514" i="1"/>
  <c r="F1514" i="1" s="1"/>
  <c r="D1513" i="1"/>
  <c r="F1513" i="1" s="1"/>
  <c r="D1512" i="1"/>
  <c r="F1512" i="1" s="1"/>
  <c r="D1511" i="1"/>
  <c r="F1511" i="1" s="1"/>
  <c r="D1510" i="1"/>
  <c r="F1510" i="1" s="1"/>
  <c r="D1509" i="1"/>
  <c r="F1509" i="1" s="1"/>
  <c r="D1508" i="1"/>
  <c r="F1508" i="1" s="1"/>
  <c r="D1507" i="1"/>
  <c r="F1507" i="1" s="1"/>
  <c r="D1506" i="1"/>
  <c r="F1506" i="1" s="1"/>
  <c r="D1505" i="1"/>
  <c r="F1505" i="1" s="1"/>
  <c r="D1504" i="1"/>
  <c r="F1504" i="1" s="1"/>
  <c r="D1503" i="1"/>
  <c r="F1503" i="1" s="1"/>
  <c r="D1502" i="1"/>
  <c r="F1502" i="1" s="1"/>
  <c r="D1501" i="1"/>
  <c r="F1501" i="1" s="1"/>
  <c r="D1500" i="1"/>
  <c r="F1500" i="1" s="1"/>
  <c r="D1499" i="1"/>
  <c r="F1499" i="1" s="1"/>
  <c r="D1498" i="1"/>
  <c r="F1498" i="1" s="1"/>
  <c r="D1497" i="1"/>
  <c r="F1497" i="1" s="1"/>
  <c r="D1496" i="1"/>
  <c r="F1496" i="1" s="1"/>
  <c r="D1495" i="1"/>
  <c r="F1495" i="1" s="1"/>
  <c r="D1494" i="1"/>
  <c r="F1494" i="1" s="1"/>
  <c r="D1493" i="1"/>
  <c r="F1493" i="1" s="1"/>
  <c r="D1492" i="1"/>
  <c r="F1492" i="1" s="1"/>
  <c r="D1491" i="1"/>
  <c r="F1491" i="1" s="1"/>
  <c r="D1490" i="1"/>
  <c r="F1490" i="1" s="1"/>
  <c r="D1489" i="1"/>
  <c r="F1489" i="1" s="1"/>
  <c r="D1488" i="1"/>
  <c r="F1488" i="1" s="1"/>
  <c r="D1487" i="1"/>
  <c r="F1487" i="1" s="1"/>
  <c r="D1486" i="1"/>
  <c r="F1486" i="1" s="1"/>
  <c r="D1485" i="1"/>
  <c r="F1485" i="1" s="1"/>
  <c r="D1484" i="1"/>
  <c r="F1484" i="1" s="1"/>
  <c r="D1483" i="1"/>
  <c r="F1483" i="1" s="1"/>
  <c r="D1482" i="1"/>
  <c r="F1482" i="1" s="1"/>
  <c r="D1481" i="1"/>
  <c r="F1481" i="1" s="1"/>
  <c r="D1479" i="1"/>
  <c r="F1479" i="1" s="1"/>
  <c r="D1478" i="1"/>
  <c r="F1478" i="1" s="1"/>
  <c r="D1477" i="1"/>
  <c r="F1477" i="1" s="1"/>
  <c r="D1475" i="1"/>
  <c r="F1475" i="1" s="1"/>
  <c r="D1474" i="1"/>
  <c r="F1474" i="1" s="1"/>
  <c r="D1473" i="1"/>
  <c r="F1473" i="1" s="1"/>
  <c r="D1471" i="1"/>
  <c r="F1471" i="1" s="1"/>
  <c r="D1470" i="1"/>
  <c r="F1470" i="1" s="1"/>
  <c r="D1469" i="1"/>
  <c r="F1469" i="1" s="1"/>
  <c r="D1467" i="1"/>
  <c r="F1467" i="1" s="1"/>
  <c r="D1466" i="1"/>
  <c r="F1466" i="1" s="1"/>
  <c r="D1465" i="1"/>
  <c r="F1465" i="1" s="1"/>
  <c r="D1463" i="1"/>
  <c r="F1463" i="1" s="1"/>
  <c r="D1462" i="1"/>
  <c r="F1462" i="1" s="1"/>
  <c r="D1461" i="1"/>
  <c r="F1461" i="1" s="1"/>
  <c r="D1459" i="1"/>
  <c r="F1459" i="1" s="1"/>
  <c r="D1458" i="1"/>
  <c r="F1458" i="1" s="1"/>
  <c r="D1457" i="1"/>
  <c r="F1457" i="1" s="1"/>
  <c r="D1455" i="1"/>
  <c r="F1455" i="1" s="1"/>
  <c r="D1454" i="1"/>
  <c r="F1454" i="1" s="1"/>
  <c r="D1453" i="1"/>
  <c r="F1453" i="1" s="1"/>
  <c r="D1451" i="1"/>
  <c r="F1451" i="1" s="1"/>
  <c r="D1450" i="1"/>
  <c r="F1450" i="1" s="1"/>
  <c r="D1449" i="1"/>
  <c r="F1449" i="1" s="1"/>
  <c r="D1480" i="1"/>
  <c r="F1480" i="1" s="1"/>
  <c r="D1476" i="1"/>
  <c r="F1476" i="1" s="1"/>
  <c r="D1472" i="1"/>
  <c r="F1472" i="1" s="1"/>
  <c r="D1468" i="1"/>
  <c r="F1468" i="1" s="1"/>
  <c r="D1464" i="1"/>
  <c r="F1464" i="1" s="1"/>
  <c r="D1460" i="1"/>
  <c r="F1460" i="1" s="1"/>
  <c r="D1456" i="1"/>
  <c r="F1456" i="1" s="1"/>
  <c r="D1452" i="1"/>
  <c r="F1452" i="1" s="1"/>
  <c r="D1448" i="1"/>
  <c r="F1448" i="1" s="1"/>
  <c r="F1551" i="1"/>
  <c r="C1587" i="1"/>
  <c r="H1587" i="1" s="1"/>
  <c r="C1586" i="1"/>
  <c r="H1586" i="1" s="1"/>
  <c r="C1585" i="1"/>
  <c r="H1585" i="1" s="1"/>
  <c r="C1584" i="1"/>
  <c r="H1584" i="1" s="1"/>
  <c r="C1583" i="1"/>
  <c r="H1583" i="1" s="1"/>
  <c r="C1582" i="1"/>
  <c r="H1582" i="1" s="1"/>
  <c r="C1581" i="1"/>
  <c r="H1581" i="1" s="1"/>
  <c r="C1580" i="1"/>
  <c r="H1580" i="1" s="1"/>
  <c r="C1579" i="1"/>
  <c r="H1579" i="1" s="1"/>
  <c r="C1578" i="1"/>
  <c r="H1578" i="1" s="1"/>
  <c r="C1577" i="1"/>
  <c r="H1577" i="1" s="1"/>
  <c r="C1576" i="1"/>
  <c r="H1576" i="1" s="1"/>
  <c r="C1575" i="1"/>
  <c r="H1575" i="1" s="1"/>
  <c r="C1574" i="1"/>
  <c r="H1574" i="1" s="1"/>
  <c r="C1573" i="1"/>
  <c r="H1573" i="1" s="1"/>
  <c r="C1572" i="1"/>
  <c r="H1572" i="1" s="1"/>
  <c r="C1571" i="1"/>
  <c r="H1571" i="1" s="1"/>
  <c r="C1570" i="1"/>
  <c r="H1570" i="1" s="1"/>
  <c r="C1569" i="1"/>
  <c r="H1569" i="1" s="1"/>
  <c r="C1568" i="1"/>
  <c r="H1568" i="1" s="1"/>
  <c r="C1567" i="1"/>
  <c r="H1567" i="1" s="1"/>
  <c r="C1566" i="1"/>
  <c r="H1566" i="1" s="1"/>
  <c r="C1565" i="1"/>
  <c r="H1565" i="1" s="1"/>
  <c r="C1564" i="1"/>
  <c r="H1564" i="1" s="1"/>
  <c r="C1563" i="1"/>
  <c r="H1563" i="1" s="1"/>
  <c r="C1562" i="1"/>
  <c r="H1562" i="1" s="1"/>
  <c r="C1561" i="1"/>
  <c r="H1561" i="1" s="1"/>
  <c r="C1560" i="1"/>
  <c r="H1560" i="1" s="1"/>
  <c r="C1559" i="1"/>
  <c r="H1559" i="1" s="1"/>
  <c r="C1558" i="1"/>
  <c r="H1558" i="1" s="1"/>
  <c r="C1557" i="1"/>
  <c r="H1557" i="1" s="1"/>
  <c r="C1556" i="1"/>
  <c r="H1556" i="1" s="1"/>
  <c r="C1555" i="1"/>
  <c r="H1555" i="1" s="1"/>
  <c r="C1554" i="1"/>
  <c r="H1554" i="1" s="1"/>
  <c r="C1553" i="1"/>
  <c r="H1553" i="1" s="1"/>
  <c r="C1552" i="1"/>
  <c r="H1552" i="1" s="1"/>
  <c r="C1551" i="1"/>
  <c r="H1551" i="1" s="1"/>
  <c r="C1550" i="1"/>
  <c r="H1550" i="1" s="1"/>
  <c r="C1549" i="1"/>
  <c r="H1549" i="1" s="1"/>
  <c r="C1548" i="1"/>
  <c r="H1548" i="1" s="1"/>
  <c r="C1547" i="1"/>
  <c r="H1547" i="1" s="1"/>
  <c r="C1546" i="1"/>
  <c r="H1546" i="1" s="1"/>
  <c r="C1545" i="1"/>
  <c r="H1545" i="1" s="1"/>
  <c r="C1544" i="1"/>
  <c r="H1544" i="1" s="1"/>
  <c r="C1543" i="1"/>
  <c r="H1543" i="1" s="1"/>
  <c r="C1542" i="1"/>
  <c r="H1542" i="1" s="1"/>
  <c r="C1541" i="1"/>
  <c r="H1541" i="1" s="1"/>
  <c r="C1540" i="1"/>
  <c r="H1540" i="1" s="1"/>
  <c r="C1539" i="1"/>
  <c r="H1539" i="1" s="1"/>
  <c r="C1538" i="1"/>
  <c r="H1538" i="1" s="1"/>
  <c r="C1537" i="1"/>
  <c r="H1537" i="1" s="1"/>
  <c r="C1536" i="1"/>
  <c r="H1536" i="1" s="1"/>
  <c r="C1535" i="1"/>
  <c r="H1535" i="1" s="1"/>
  <c r="C1534" i="1"/>
  <c r="H1534" i="1" s="1"/>
  <c r="C1533" i="1"/>
  <c r="H1533" i="1" s="1"/>
  <c r="C1532" i="1"/>
  <c r="H1532" i="1" s="1"/>
  <c r="C1531" i="1"/>
  <c r="H1531" i="1" s="1"/>
  <c r="C1530" i="1"/>
  <c r="H1530" i="1" s="1"/>
  <c r="C1529" i="1"/>
  <c r="H1529" i="1" s="1"/>
  <c r="C1528" i="1"/>
  <c r="H1528" i="1" s="1"/>
  <c r="C1527" i="1"/>
  <c r="H1527" i="1" s="1"/>
  <c r="C1526" i="1"/>
  <c r="H1526" i="1" s="1"/>
  <c r="C1525" i="1"/>
  <c r="H1525" i="1" s="1"/>
  <c r="C1524" i="1"/>
  <c r="H1524" i="1" s="1"/>
  <c r="C1523" i="1"/>
  <c r="H1523" i="1" s="1"/>
  <c r="C1522" i="1"/>
  <c r="H1522" i="1" s="1"/>
  <c r="C1521" i="1"/>
  <c r="H1521" i="1" s="1"/>
  <c r="C1520" i="1"/>
  <c r="H1520" i="1" s="1"/>
  <c r="C1519" i="1"/>
  <c r="H1519" i="1" s="1"/>
  <c r="C1518" i="1"/>
  <c r="H1518" i="1" s="1"/>
  <c r="C1517" i="1"/>
  <c r="H1517" i="1" s="1"/>
  <c r="C1516" i="1"/>
  <c r="H1516" i="1" s="1"/>
  <c r="C1515" i="1"/>
  <c r="H1515" i="1" s="1"/>
  <c r="C1514" i="1"/>
  <c r="H1514" i="1" s="1"/>
  <c r="C1513" i="1"/>
  <c r="H1513" i="1" s="1"/>
  <c r="C1512" i="1"/>
  <c r="H1512" i="1" s="1"/>
  <c r="C1511" i="1"/>
  <c r="H1511" i="1" s="1"/>
  <c r="C1510" i="1"/>
  <c r="H1510" i="1" s="1"/>
  <c r="C1509" i="1"/>
  <c r="H1509" i="1" s="1"/>
  <c r="C1508" i="1"/>
  <c r="H1508" i="1" s="1"/>
  <c r="C1507" i="1"/>
  <c r="H1507" i="1" s="1"/>
  <c r="C1506" i="1"/>
  <c r="H1506" i="1" s="1"/>
  <c r="C1505" i="1"/>
  <c r="H1505" i="1" s="1"/>
  <c r="C1504" i="1"/>
  <c r="H1504" i="1" s="1"/>
  <c r="C1503" i="1"/>
  <c r="H1503" i="1" s="1"/>
  <c r="C1502" i="1"/>
  <c r="H1502" i="1" s="1"/>
  <c r="C1501" i="1"/>
  <c r="H1501" i="1" s="1"/>
  <c r="C1500" i="1"/>
  <c r="H1500" i="1" s="1"/>
  <c r="C1499" i="1"/>
  <c r="H1499" i="1" s="1"/>
  <c r="C1498" i="1"/>
  <c r="H1498" i="1" s="1"/>
  <c r="C1497" i="1"/>
  <c r="H1497" i="1" s="1"/>
  <c r="C1496" i="1"/>
  <c r="H1496" i="1" s="1"/>
  <c r="C1495" i="1"/>
  <c r="H1495" i="1" s="1"/>
  <c r="C1494" i="1"/>
  <c r="H1494" i="1" s="1"/>
  <c r="C1493" i="1"/>
  <c r="H1493" i="1" s="1"/>
  <c r="C1492" i="1"/>
  <c r="H1492" i="1" s="1"/>
  <c r="C1491" i="1"/>
  <c r="H1491" i="1" s="1"/>
  <c r="C1490" i="1"/>
  <c r="H1490" i="1" s="1"/>
  <c r="C1489" i="1"/>
  <c r="H1489" i="1" s="1"/>
  <c r="C1488" i="1"/>
  <c r="H1488" i="1" s="1"/>
  <c r="C1487" i="1"/>
  <c r="H1487" i="1" s="1"/>
  <c r="C1486" i="1"/>
  <c r="H1486" i="1" s="1"/>
  <c r="C1485" i="1"/>
  <c r="H1485" i="1" s="1"/>
  <c r="C1484" i="1"/>
  <c r="H1484" i="1" s="1"/>
  <c r="C1483" i="1"/>
  <c r="H1483" i="1" s="1"/>
  <c r="C1482" i="1"/>
  <c r="H1482" i="1" s="1"/>
  <c r="C1481" i="1"/>
  <c r="H1481" i="1" s="1"/>
  <c r="C1480" i="1"/>
  <c r="H1480" i="1" s="1"/>
  <c r="C1479" i="1"/>
  <c r="H1479" i="1" s="1"/>
  <c r="C1478" i="1"/>
  <c r="H1478" i="1" s="1"/>
  <c r="C1477" i="1"/>
  <c r="H1477" i="1" s="1"/>
  <c r="C1476" i="1"/>
  <c r="H1476" i="1" s="1"/>
  <c r="C1475" i="1"/>
  <c r="H1475" i="1" s="1"/>
  <c r="C1474" i="1"/>
  <c r="H1474" i="1" s="1"/>
  <c r="C1473" i="1"/>
  <c r="H1473" i="1" s="1"/>
  <c r="C1472" i="1"/>
  <c r="H1472" i="1" s="1"/>
  <c r="C1471" i="1"/>
  <c r="H1471" i="1" s="1"/>
  <c r="C1470" i="1"/>
  <c r="H1470" i="1" s="1"/>
  <c r="C1469" i="1"/>
  <c r="H1469" i="1" s="1"/>
  <c r="C1468" i="1"/>
  <c r="H1468" i="1" s="1"/>
  <c r="C1467" i="1"/>
  <c r="H1467" i="1" s="1"/>
  <c r="C1466" i="1"/>
  <c r="H1466" i="1" s="1"/>
  <c r="C1465" i="1"/>
  <c r="H1465" i="1" s="1"/>
  <c r="C1464" i="1"/>
  <c r="H1464" i="1" s="1"/>
  <c r="C1463" i="1"/>
  <c r="H1463" i="1" s="1"/>
  <c r="C1462" i="1"/>
  <c r="H1462" i="1" s="1"/>
  <c r="C1461" i="1"/>
  <c r="H1461" i="1" s="1"/>
  <c r="C1460" i="1"/>
  <c r="H1460" i="1" s="1"/>
  <c r="C1459" i="1"/>
  <c r="H1459" i="1" s="1"/>
  <c r="C1458" i="1"/>
  <c r="H1458" i="1" s="1"/>
  <c r="C1457" i="1"/>
  <c r="H1457" i="1" s="1"/>
  <c r="C1456" i="1"/>
  <c r="H1456" i="1" s="1"/>
  <c r="C1455" i="1"/>
  <c r="H1455" i="1" s="1"/>
  <c r="C1454" i="1"/>
  <c r="H1454" i="1" s="1"/>
  <c r="C1453" i="1"/>
  <c r="H1453" i="1" s="1"/>
  <c r="C1452" i="1"/>
  <c r="H1452" i="1" s="1"/>
  <c r="C1451" i="1"/>
  <c r="H1451" i="1" s="1"/>
  <c r="C1450" i="1"/>
  <c r="H1450" i="1" s="1"/>
  <c r="C1449" i="1"/>
  <c r="H1449" i="1" s="1"/>
  <c r="C1448" i="1"/>
  <c r="H1448" i="1" s="1"/>
  <c r="C1408" i="1"/>
  <c r="H1408" i="1" s="1"/>
  <c r="C1409" i="1"/>
  <c r="H1409" i="1" s="1"/>
  <c r="C1410" i="1"/>
  <c r="H1410" i="1" s="1"/>
  <c r="C1411" i="1"/>
  <c r="H1411" i="1" s="1"/>
  <c r="C1412" i="1"/>
  <c r="H1412" i="1" s="1"/>
  <c r="C1413" i="1"/>
  <c r="H1413" i="1" s="1"/>
  <c r="C1414" i="1"/>
  <c r="H1414" i="1" s="1"/>
  <c r="C1415" i="1"/>
  <c r="H1415" i="1" s="1"/>
  <c r="C1416" i="1"/>
  <c r="H1416" i="1" s="1"/>
  <c r="C1417" i="1"/>
  <c r="H1417" i="1" s="1"/>
  <c r="C1418" i="1"/>
  <c r="H1418" i="1" s="1"/>
  <c r="C1419" i="1"/>
  <c r="H1419" i="1" s="1"/>
  <c r="D1400" i="1"/>
  <c r="F1400" i="1" s="1"/>
  <c r="D1398" i="1"/>
  <c r="F1398" i="1" s="1"/>
  <c r="D1396" i="1"/>
  <c r="F1396" i="1" s="1"/>
  <c r="D1394" i="1"/>
  <c r="F1394" i="1" s="1"/>
  <c r="D1392" i="1"/>
  <c r="F1392" i="1" s="1"/>
  <c r="D1390" i="1"/>
  <c r="F1390" i="1" s="1"/>
  <c r="D1399" i="1"/>
  <c r="F1399" i="1" s="1"/>
  <c r="D1397" i="1"/>
  <c r="F1397" i="1" s="1"/>
  <c r="D1395" i="1"/>
  <c r="F1395" i="1" s="1"/>
  <c r="D1393" i="1"/>
  <c r="F1393" i="1" s="1"/>
  <c r="D1391" i="1"/>
  <c r="F1391" i="1" s="1"/>
  <c r="D1389" i="1"/>
  <c r="F1389" i="1" s="1"/>
  <c r="D1388" i="1"/>
  <c r="F1388" i="1" s="1"/>
  <c r="D1386" i="1"/>
  <c r="F1386" i="1" s="1"/>
  <c r="D1384" i="1"/>
  <c r="F1384" i="1" s="1"/>
  <c r="D1382" i="1"/>
  <c r="F1382" i="1" s="1"/>
  <c r="D1380" i="1"/>
  <c r="F1380" i="1" s="1"/>
  <c r="D1378" i="1"/>
  <c r="F1378" i="1" s="1"/>
  <c r="D1376" i="1"/>
  <c r="F1376" i="1" s="1"/>
  <c r="D1374" i="1"/>
  <c r="F1374" i="1" s="1"/>
  <c r="D1372" i="1"/>
  <c r="F1372" i="1" s="1"/>
  <c r="D1370" i="1"/>
  <c r="F1370" i="1" s="1"/>
  <c r="D1387" i="1"/>
  <c r="F1387" i="1" s="1"/>
  <c r="D1385" i="1"/>
  <c r="F1385" i="1" s="1"/>
  <c r="D1383" i="1"/>
  <c r="D1381" i="1"/>
  <c r="F1381" i="1" s="1"/>
  <c r="D1379" i="1"/>
  <c r="F1379" i="1" s="1"/>
  <c r="D1377" i="1"/>
  <c r="F1377" i="1" s="1"/>
  <c r="D1375" i="1"/>
  <c r="F1375" i="1" s="1"/>
  <c r="D1373" i="1"/>
  <c r="F1373" i="1" s="1"/>
  <c r="D1371" i="1"/>
  <c r="F1371" i="1" s="1"/>
  <c r="D1369" i="1"/>
  <c r="F1369" i="1" s="1"/>
  <c r="F1383" i="1"/>
  <c r="D1368" i="1"/>
  <c r="F1368" i="1" s="1"/>
  <c r="D1366" i="1"/>
  <c r="F1366" i="1" s="1"/>
  <c r="D1364" i="1"/>
  <c r="F1364" i="1" s="1"/>
  <c r="D1362" i="1"/>
  <c r="F1362" i="1" s="1"/>
  <c r="D1360" i="1"/>
  <c r="F1360" i="1" s="1"/>
  <c r="D1358" i="1"/>
  <c r="F1358" i="1" s="1"/>
  <c r="D1356" i="1"/>
  <c r="F1356" i="1" s="1"/>
  <c r="D1354" i="1"/>
  <c r="F1354" i="1" s="1"/>
  <c r="D1352" i="1"/>
  <c r="F1352" i="1" s="1"/>
  <c r="D1350" i="1"/>
  <c r="F1350" i="1" s="1"/>
  <c r="D1367" i="1"/>
  <c r="F1367" i="1" s="1"/>
  <c r="D1365" i="1"/>
  <c r="F1365" i="1" s="1"/>
  <c r="D1363" i="1"/>
  <c r="F1363" i="1" s="1"/>
  <c r="D1361" i="1"/>
  <c r="F1361" i="1" s="1"/>
  <c r="D1359" i="1"/>
  <c r="F1359" i="1" s="1"/>
  <c r="D1357" i="1"/>
  <c r="F1357" i="1" s="1"/>
  <c r="D1355" i="1"/>
  <c r="F1355" i="1" s="1"/>
  <c r="D1353" i="1"/>
  <c r="F1353" i="1" s="1"/>
  <c r="D1351" i="1"/>
  <c r="F1351" i="1" s="1"/>
  <c r="D1349" i="1"/>
  <c r="F1349" i="1" s="1"/>
  <c r="D1348" i="1"/>
  <c r="F1348" i="1" s="1"/>
  <c r="D1346" i="1"/>
  <c r="F1346" i="1" s="1"/>
  <c r="D1344" i="1"/>
  <c r="F1344" i="1" s="1"/>
  <c r="D1342" i="1"/>
  <c r="F1342" i="1" s="1"/>
  <c r="D1340" i="1"/>
  <c r="F1340" i="1" s="1"/>
  <c r="D1338" i="1"/>
  <c r="F1338" i="1" s="1"/>
  <c r="D1336" i="1"/>
  <c r="F1336" i="1" s="1"/>
  <c r="D1334" i="1"/>
  <c r="F1334" i="1" s="1"/>
  <c r="D1332" i="1"/>
  <c r="F1332" i="1" s="1"/>
  <c r="D1347" i="1"/>
  <c r="F1347" i="1" s="1"/>
  <c r="D1345" i="1"/>
  <c r="F1345" i="1" s="1"/>
  <c r="D1343" i="1"/>
  <c r="F1343" i="1" s="1"/>
  <c r="D1341" i="1"/>
  <c r="F1341" i="1" s="1"/>
  <c r="D1339" i="1"/>
  <c r="F1339" i="1" s="1"/>
  <c r="D1337" i="1"/>
  <c r="F1337" i="1" s="1"/>
  <c r="D1335" i="1"/>
  <c r="F1335" i="1" s="1"/>
  <c r="D1333" i="1"/>
  <c r="F1333" i="1" s="1"/>
  <c r="D1331" i="1"/>
  <c r="F1331" i="1" s="1"/>
  <c r="D1212" i="1"/>
  <c r="F1212" i="1" s="1"/>
  <c r="D1210" i="1"/>
  <c r="F1210" i="1" s="1"/>
  <c r="D1208" i="1"/>
  <c r="F1208" i="1" s="1"/>
  <c r="D1206" i="1"/>
  <c r="F1206" i="1" s="1"/>
  <c r="D1204" i="1"/>
  <c r="F1204" i="1" s="1"/>
  <c r="D1202" i="1"/>
  <c r="F1202" i="1" s="1"/>
  <c r="D1211" i="1"/>
  <c r="F1211" i="1" s="1"/>
  <c r="D1209" i="1"/>
  <c r="F1209" i="1" s="1"/>
  <c r="D1207" i="1"/>
  <c r="F1207" i="1" s="1"/>
  <c r="D1205" i="1"/>
  <c r="F1205" i="1" s="1"/>
  <c r="D1203" i="1"/>
  <c r="F1203" i="1" s="1"/>
  <c r="D1201" i="1"/>
  <c r="F1201" i="1" s="1"/>
  <c r="D1199" i="1"/>
  <c r="F1199" i="1" s="1"/>
  <c r="D1200" i="1"/>
  <c r="F1200" i="1" s="1"/>
  <c r="D1198" i="1"/>
  <c r="F1198" i="1" s="1"/>
  <c r="D1197" i="1"/>
  <c r="F1197" i="1" s="1"/>
  <c r="D1196" i="1"/>
  <c r="F1196" i="1" s="1"/>
  <c r="D1194" i="1"/>
  <c r="F1194" i="1" s="1"/>
  <c r="D1192" i="1"/>
  <c r="F1192" i="1" s="1"/>
  <c r="D1190" i="1"/>
  <c r="F1190" i="1" s="1"/>
  <c r="D1189" i="1"/>
  <c r="F1189" i="1" s="1"/>
  <c r="D1188" i="1"/>
  <c r="F1188" i="1" s="1"/>
  <c r="D1186" i="1"/>
  <c r="F1186" i="1" s="1"/>
  <c r="D1184" i="1"/>
  <c r="F1184" i="1" s="1"/>
  <c r="D1182" i="1"/>
  <c r="F1182" i="1" s="1"/>
  <c r="D1195" i="1"/>
  <c r="F1195" i="1" s="1"/>
  <c r="D1193" i="1"/>
  <c r="F1193" i="1" s="1"/>
  <c r="D1191" i="1"/>
  <c r="F1191" i="1" s="1"/>
  <c r="D1187" i="1"/>
  <c r="F1187" i="1" s="1"/>
  <c r="D1185" i="1"/>
  <c r="F1185" i="1" s="1"/>
  <c r="D1183" i="1"/>
  <c r="F1183" i="1" s="1"/>
  <c r="D1181" i="1"/>
  <c r="F1181" i="1" s="1"/>
  <c r="D1180" i="1"/>
  <c r="F1180" i="1" s="1"/>
  <c r="D1178" i="1"/>
  <c r="F1178" i="1" s="1"/>
  <c r="D1176" i="1"/>
  <c r="F1176" i="1" s="1"/>
  <c r="D1174" i="1"/>
  <c r="F1174" i="1" s="1"/>
  <c r="D1172" i="1"/>
  <c r="F1172" i="1" s="1"/>
  <c r="D1170" i="1"/>
  <c r="F1170" i="1" s="1"/>
  <c r="D1168" i="1"/>
  <c r="F1168" i="1" s="1"/>
  <c r="D1179" i="1"/>
  <c r="F1179" i="1" s="1"/>
  <c r="D1177" i="1"/>
  <c r="F1177" i="1" s="1"/>
  <c r="D1175" i="1"/>
  <c r="F1175" i="1" s="1"/>
  <c r="D1173" i="1"/>
  <c r="F1173" i="1" s="1"/>
  <c r="D1171" i="1"/>
  <c r="F1171" i="1" s="1"/>
  <c r="D1169" i="1"/>
  <c r="F1169" i="1" s="1"/>
  <c r="D1167" i="1"/>
  <c r="F1167" i="1" s="1"/>
  <c r="D1165" i="1"/>
  <c r="F1165" i="1" s="1"/>
  <c r="D1163" i="1"/>
  <c r="F1163" i="1" s="1"/>
  <c r="D1161" i="1"/>
  <c r="F1161" i="1" s="1"/>
  <c r="D1159" i="1"/>
  <c r="F1159" i="1" s="1"/>
  <c r="D1157" i="1"/>
  <c r="F1157" i="1" s="1"/>
  <c r="D1155" i="1"/>
  <c r="F1155" i="1" s="1"/>
  <c r="D1153" i="1"/>
  <c r="F1153" i="1" s="1"/>
  <c r="D1166" i="1"/>
  <c r="F1166" i="1" s="1"/>
  <c r="D1164" i="1"/>
  <c r="F1164" i="1" s="1"/>
  <c r="D1162" i="1"/>
  <c r="F1162" i="1" s="1"/>
  <c r="D1160" i="1"/>
  <c r="F1160" i="1" s="1"/>
  <c r="D1158" i="1"/>
  <c r="F1158" i="1" s="1"/>
  <c r="D1156" i="1"/>
  <c r="F1156" i="1" s="1"/>
  <c r="D1154" i="1"/>
  <c r="F1154" i="1" s="1"/>
  <c r="D1152" i="1"/>
  <c r="F1152" i="1" s="1"/>
  <c r="D1151" i="1"/>
  <c r="F1151" i="1" s="1"/>
  <c r="D1150" i="1"/>
  <c r="F1150" i="1" s="1"/>
  <c r="D1149" i="1"/>
  <c r="F1149" i="1" s="1"/>
  <c r="D1148" i="1"/>
  <c r="F1148" i="1" s="1"/>
  <c r="D1147" i="1"/>
  <c r="F1147" i="1" s="1"/>
  <c r="D1145" i="1"/>
  <c r="F1145" i="1" s="1"/>
  <c r="D1146" i="1"/>
  <c r="F1146" i="1" s="1"/>
  <c r="H2259" i="1"/>
  <c r="H2258" i="1"/>
  <c r="L2257" i="1"/>
  <c r="H2257" i="1"/>
  <c r="L2256" i="1"/>
  <c r="H2256" i="1"/>
  <c r="L2255" i="1"/>
  <c r="H2255" i="1"/>
  <c r="H2149" i="1"/>
  <c r="H2148" i="1"/>
  <c r="F2148" i="1"/>
  <c r="H2147" i="1"/>
  <c r="H2146" i="1"/>
  <c r="D2146" i="1"/>
  <c r="F2146" i="1" s="1"/>
  <c r="H2145" i="1"/>
  <c r="D2145" i="1"/>
  <c r="F2145" i="1" s="1"/>
  <c r="H2144" i="1"/>
  <c r="D2144" i="1"/>
  <c r="F2144" i="1" s="1"/>
  <c r="H2143" i="1"/>
  <c r="D2143" i="1"/>
  <c r="F2143" i="1" s="1"/>
  <c r="H2142" i="1"/>
  <c r="D2142" i="1"/>
  <c r="F2142" i="1" s="1"/>
  <c r="H2141" i="1"/>
  <c r="D2141" i="1"/>
  <c r="F2141" i="1" s="1"/>
  <c r="H2140" i="1"/>
  <c r="D2140" i="1"/>
  <c r="F2140" i="1" s="1"/>
  <c r="H2139" i="1"/>
  <c r="D2139" i="1"/>
  <c r="F2139" i="1" s="1"/>
  <c r="H2138" i="1"/>
  <c r="D2138" i="1"/>
  <c r="F2138" i="1" s="1"/>
  <c r="H2137" i="1"/>
  <c r="D2137" i="1"/>
  <c r="F2137" i="1" s="1"/>
  <c r="H2136" i="1"/>
  <c r="D2136" i="1"/>
  <c r="F2136" i="1" s="1"/>
  <c r="H2135" i="1"/>
  <c r="D2135" i="1"/>
  <c r="F2135" i="1" s="1"/>
  <c r="H2134" i="1"/>
  <c r="D2134" i="1"/>
  <c r="F2134" i="1" s="1"/>
  <c r="H2133" i="1"/>
  <c r="D2133" i="1"/>
  <c r="F2133" i="1" s="1"/>
  <c r="H2132" i="1"/>
  <c r="D2132" i="1"/>
  <c r="F2132" i="1" s="1"/>
  <c r="H2131" i="1"/>
  <c r="D2131" i="1"/>
  <c r="F2131" i="1" s="1"/>
  <c r="H2130" i="1"/>
  <c r="D2130" i="1"/>
  <c r="F2130" i="1" s="1"/>
  <c r="H2129" i="1"/>
  <c r="D2129" i="1"/>
  <c r="F2129" i="1" s="1"/>
  <c r="H2128" i="1"/>
  <c r="D2128" i="1"/>
  <c r="F2128" i="1" s="1"/>
  <c r="H2127" i="1"/>
  <c r="D2127" i="1"/>
  <c r="F2127" i="1" s="1"/>
  <c r="H2126" i="1"/>
  <c r="D2126" i="1"/>
  <c r="F2126" i="1" s="1"/>
  <c r="H2125" i="1"/>
  <c r="D2125" i="1"/>
  <c r="F2125" i="1" s="1"/>
  <c r="H2124" i="1"/>
  <c r="D2124" i="1"/>
  <c r="F2124" i="1" s="1"/>
  <c r="H2123" i="1"/>
  <c r="D2123" i="1"/>
  <c r="F2123" i="1" s="1"/>
  <c r="H2122" i="1"/>
  <c r="D2122" i="1"/>
  <c r="F2122" i="1" s="1"/>
  <c r="H2121" i="1"/>
  <c r="D2121" i="1"/>
  <c r="F2121" i="1" s="1"/>
  <c r="H2120" i="1"/>
  <c r="D2120" i="1"/>
  <c r="F2120" i="1" s="1"/>
  <c r="H2119" i="1"/>
  <c r="H2118" i="1"/>
  <c r="H2117" i="1"/>
  <c r="H2116" i="1"/>
  <c r="H2115" i="1"/>
  <c r="H2009" i="1"/>
  <c r="H2008" i="1"/>
  <c r="H2007" i="1"/>
  <c r="H2006" i="1"/>
  <c r="D2006" i="1"/>
  <c r="F2006" i="1" s="1"/>
  <c r="H2005" i="1"/>
  <c r="D2005" i="1"/>
  <c r="F2005" i="1" s="1"/>
  <c r="H2004" i="1"/>
  <c r="D2004" i="1"/>
  <c r="F2004" i="1" s="1"/>
  <c r="H2003" i="1"/>
  <c r="D2003" i="1"/>
  <c r="F2003" i="1" s="1"/>
  <c r="H2002" i="1"/>
  <c r="D2002" i="1"/>
  <c r="F2002" i="1" s="1"/>
  <c r="H2001" i="1"/>
  <c r="D2001" i="1"/>
  <c r="F2001" i="1" s="1"/>
  <c r="H2000" i="1"/>
  <c r="D2000" i="1"/>
  <c r="F2000" i="1" s="1"/>
  <c r="H1999" i="1"/>
  <c r="D1999" i="1"/>
  <c r="F1999" i="1" s="1"/>
  <c r="H1998" i="1"/>
  <c r="D1998" i="1"/>
  <c r="F1998" i="1" s="1"/>
  <c r="H1997" i="1"/>
  <c r="D1997" i="1"/>
  <c r="F1997" i="1" s="1"/>
  <c r="H1996" i="1"/>
  <c r="D1996" i="1"/>
  <c r="F1996" i="1" s="1"/>
  <c r="H1995" i="1"/>
  <c r="D1995" i="1"/>
  <c r="F1995" i="1" s="1"/>
  <c r="H1994" i="1"/>
  <c r="D1994" i="1"/>
  <c r="F1994" i="1" s="1"/>
  <c r="H1993" i="1"/>
  <c r="D1993" i="1"/>
  <c r="F1993" i="1" s="1"/>
  <c r="H1992" i="1"/>
  <c r="D1992" i="1"/>
  <c r="F1992" i="1" s="1"/>
  <c r="H1991" i="1"/>
  <c r="D1991" i="1"/>
  <c r="F1991" i="1" s="1"/>
  <c r="H1990" i="1"/>
  <c r="D1990" i="1"/>
  <c r="F1990" i="1" s="1"/>
  <c r="H1989" i="1"/>
  <c r="D1989" i="1"/>
  <c r="F1989" i="1" s="1"/>
  <c r="H1988" i="1"/>
  <c r="D1988" i="1"/>
  <c r="F1988" i="1" s="1"/>
  <c r="H1987" i="1"/>
  <c r="D1987" i="1"/>
  <c r="F1987" i="1" s="1"/>
  <c r="H1986" i="1"/>
  <c r="D1986" i="1"/>
  <c r="F1986" i="1" s="1"/>
  <c r="H1985" i="1"/>
  <c r="D1985" i="1"/>
  <c r="F1985" i="1" s="1"/>
  <c r="H1984" i="1"/>
  <c r="D1984" i="1"/>
  <c r="F1984" i="1" s="1"/>
  <c r="H1983" i="1"/>
  <c r="D1983" i="1"/>
  <c r="F1983" i="1" s="1"/>
  <c r="H1982" i="1"/>
  <c r="D1982" i="1"/>
  <c r="F1982" i="1" s="1"/>
  <c r="H1981" i="1"/>
  <c r="D1981" i="1"/>
  <c r="F1981" i="1" s="1"/>
  <c r="H1980" i="1"/>
  <c r="D1980" i="1"/>
  <c r="F1980" i="1" s="1"/>
  <c r="H1979" i="1"/>
  <c r="H1978" i="1"/>
  <c r="H1977" i="1"/>
  <c r="H1976" i="1"/>
  <c r="H1975" i="1"/>
  <c r="H1869" i="1"/>
  <c r="H1868" i="1"/>
  <c r="H1867" i="1"/>
  <c r="F1867" i="1"/>
  <c r="H1866" i="1"/>
  <c r="D1866" i="1"/>
  <c r="F1866" i="1" s="1"/>
  <c r="H1865" i="1"/>
  <c r="D1865" i="1"/>
  <c r="F1865" i="1" s="1"/>
  <c r="H1864" i="1"/>
  <c r="D1864" i="1"/>
  <c r="F1864" i="1" s="1"/>
  <c r="H1863" i="1"/>
  <c r="D1863" i="1"/>
  <c r="F1863" i="1" s="1"/>
  <c r="H1862" i="1"/>
  <c r="D1862" i="1"/>
  <c r="F1862" i="1" s="1"/>
  <c r="H1861" i="1"/>
  <c r="D1861" i="1"/>
  <c r="F1861" i="1" s="1"/>
  <c r="H1860" i="1"/>
  <c r="D1860" i="1"/>
  <c r="F1860" i="1" s="1"/>
  <c r="H1859" i="1"/>
  <c r="D1859" i="1"/>
  <c r="F1859" i="1" s="1"/>
  <c r="H1858" i="1"/>
  <c r="D1858" i="1"/>
  <c r="F1858" i="1" s="1"/>
  <c r="H1857" i="1"/>
  <c r="D1857" i="1"/>
  <c r="F1857" i="1" s="1"/>
  <c r="H1856" i="1"/>
  <c r="D1856" i="1"/>
  <c r="F1856" i="1" s="1"/>
  <c r="H1855" i="1"/>
  <c r="D1855" i="1"/>
  <c r="F1855" i="1" s="1"/>
  <c r="H1854" i="1"/>
  <c r="D1854" i="1"/>
  <c r="F1854" i="1" s="1"/>
  <c r="H1853" i="1"/>
  <c r="D1853" i="1"/>
  <c r="F1853" i="1" s="1"/>
  <c r="H1852" i="1"/>
  <c r="D1852" i="1"/>
  <c r="F1852" i="1" s="1"/>
  <c r="H1851" i="1"/>
  <c r="D1851" i="1"/>
  <c r="F1851" i="1" s="1"/>
  <c r="H1850" i="1"/>
  <c r="D1850" i="1"/>
  <c r="F1850" i="1" s="1"/>
  <c r="H1849" i="1"/>
  <c r="D1849" i="1"/>
  <c r="F1849" i="1" s="1"/>
  <c r="H1848" i="1"/>
  <c r="D1848" i="1"/>
  <c r="F1848" i="1" s="1"/>
  <c r="H1847" i="1"/>
  <c r="D1847" i="1"/>
  <c r="F1847" i="1" s="1"/>
  <c r="H1846" i="1"/>
  <c r="D1846" i="1"/>
  <c r="F1846" i="1" s="1"/>
  <c r="H1845" i="1"/>
  <c r="D1845" i="1"/>
  <c r="F1845" i="1" s="1"/>
  <c r="H1844" i="1"/>
  <c r="D1844" i="1"/>
  <c r="F1844" i="1" s="1"/>
  <c r="H1843" i="1"/>
  <c r="D1843" i="1"/>
  <c r="F1843" i="1" s="1"/>
  <c r="H1842" i="1"/>
  <c r="D1842" i="1"/>
  <c r="F1842" i="1" s="1"/>
  <c r="H1841" i="1"/>
  <c r="D1841" i="1"/>
  <c r="F1841" i="1" s="1"/>
  <c r="H1840" i="1"/>
  <c r="D1840" i="1"/>
  <c r="F1840" i="1" s="1"/>
  <c r="H1839" i="1"/>
  <c r="H1838" i="1"/>
  <c r="H1837" i="1"/>
  <c r="H1836" i="1"/>
  <c r="H1835" i="1"/>
  <c r="H1834" i="1"/>
  <c r="H1833" i="1"/>
  <c r="H1832" i="1"/>
  <c r="H1831" i="1"/>
  <c r="H1830" i="1"/>
  <c r="H1829" i="1"/>
  <c r="H1828" i="1"/>
  <c r="H1827" i="1"/>
  <c r="H1826" i="1"/>
  <c r="H1825" i="1"/>
  <c r="H1824" i="1"/>
  <c r="H1823" i="1"/>
  <c r="H1822" i="1"/>
  <c r="H1821" i="1"/>
  <c r="H1820" i="1"/>
  <c r="H1819" i="1"/>
  <c r="H1818" i="1"/>
  <c r="F1447" i="1"/>
  <c r="C1447" i="1"/>
  <c r="H1447" i="1" s="1"/>
  <c r="C1446" i="1"/>
  <c r="H1446" i="1" s="1"/>
  <c r="F1445" i="1"/>
  <c r="C1445" i="1"/>
  <c r="H1445" i="1" s="1"/>
  <c r="C1444" i="1"/>
  <c r="H1444" i="1" s="1"/>
  <c r="D1443" i="1"/>
  <c r="F1443" i="1" s="1"/>
  <c r="C1443" i="1"/>
  <c r="H1443" i="1" s="1"/>
  <c r="D1442" i="1"/>
  <c r="F1442" i="1" s="1"/>
  <c r="C1442" i="1"/>
  <c r="H1442" i="1" s="1"/>
  <c r="D1441" i="1"/>
  <c r="F1441" i="1" s="1"/>
  <c r="C1441" i="1"/>
  <c r="H1441" i="1" s="1"/>
  <c r="D1440" i="1"/>
  <c r="F1440" i="1" s="1"/>
  <c r="C1440" i="1"/>
  <c r="H1440" i="1" s="1"/>
  <c r="D1439" i="1"/>
  <c r="F1439" i="1" s="1"/>
  <c r="C1439" i="1"/>
  <c r="H1439" i="1" s="1"/>
  <c r="D1438" i="1"/>
  <c r="F1438" i="1" s="1"/>
  <c r="C1438" i="1"/>
  <c r="H1438" i="1" s="1"/>
  <c r="D1437" i="1"/>
  <c r="F1437" i="1" s="1"/>
  <c r="C1437" i="1"/>
  <c r="H1437" i="1" s="1"/>
  <c r="D1436" i="1"/>
  <c r="F1436" i="1" s="1"/>
  <c r="C1436" i="1"/>
  <c r="H1436" i="1" s="1"/>
  <c r="D1435" i="1"/>
  <c r="F1435" i="1" s="1"/>
  <c r="C1435" i="1"/>
  <c r="H1435" i="1" s="1"/>
  <c r="D1434" i="1"/>
  <c r="F1434" i="1" s="1"/>
  <c r="C1434" i="1"/>
  <c r="H1434" i="1" s="1"/>
  <c r="D1433" i="1"/>
  <c r="F1433" i="1" s="1"/>
  <c r="C1433" i="1"/>
  <c r="H1433" i="1" s="1"/>
  <c r="D1432" i="1"/>
  <c r="F1432" i="1" s="1"/>
  <c r="C1432" i="1"/>
  <c r="H1432" i="1" s="1"/>
  <c r="D1431" i="1"/>
  <c r="F1431" i="1" s="1"/>
  <c r="C1431" i="1"/>
  <c r="H1431" i="1" s="1"/>
  <c r="D1430" i="1"/>
  <c r="F1430" i="1" s="1"/>
  <c r="C1430" i="1"/>
  <c r="H1430" i="1" s="1"/>
  <c r="D1429" i="1"/>
  <c r="F1429" i="1" s="1"/>
  <c r="C1429" i="1"/>
  <c r="H1429" i="1" s="1"/>
  <c r="D1428" i="1"/>
  <c r="F1428" i="1" s="1"/>
  <c r="C1428" i="1"/>
  <c r="H1428" i="1" s="1"/>
  <c r="D1427" i="1"/>
  <c r="F1427" i="1" s="1"/>
  <c r="C1427" i="1"/>
  <c r="H1427" i="1" s="1"/>
  <c r="D1426" i="1"/>
  <c r="F1426" i="1" s="1"/>
  <c r="C1426" i="1"/>
  <c r="H1426" i="1" s="1"/>
  <c r="D1425" i="1"/>
  <c r="F1425" i="1" s="1"/>
  <c r="C1425" i="1"/>
  <c r="H1425" i="1" s="1"/>
  <c r="D1424" i="1"/>
  <c r="F1424" i="1" s="1"/>
  <c r="C1424" i="1"/>
  <c r="H1424" i="1" s="1"/>
  <c r="D1423" i="1"/>
  <c r="F1423" i="1" s="1"/>
  <c r="C1423" i="1"/>
  <c r="H1423" i="1" s="1"/>
  <c r="D1422" i="1"/>
  <c r="F1422" i="1" s="1"/>
  <c r="C1422" i="1"/>
  <c r="H1422" i="1" s="1"/>
  <c r="D1421" i="1"/>
  <c r="F1421" i="1" s="1"/>
  <c r="C1421" i="1"/>
  <c r="H1421" i="1" s="1"/>
  <c r="D1420" i="1"/>
  <c r="F1420" i="1" s="1"/>
  <c r="C1420" i="1"/>
  <c r="H1420" i="1" s="1"/>
  <c r="D1419" i="1"/>
  <c r="F1419" i="1" s="1"/>
  <c r="D1418" i="1"/>
  <c r="F1418" i="1" s="1"/>
  <c r="D1417" i="1"/>
  <c r="F1417" i="1" s="1"/>
  <c r="D1416" i="1"/>
  <c r="F1416" i="1" s="1"/>
  <c r="D1415" i="1"/>
  <c r="F1415" i="1" s="1"/>
  <c r="D1414" i="1"/>
  <c r="F1414" i="1" s="1"/>
  <c r="D1413" i="1"/>
  <c r="F1413" i="1" s="1"/>
  <c r="D1412" i="1"/>
  <c r="F1412" i="1" s="1"/>
  <c r="D1411" i="1"/>
  <c r="F1411" i="1" s="1"/>
  <c r="D1410" i="1"/>
  <c r="F1410" i="1" s="1"/>
  <c r="D1409" i="1"/>
  <c r="F1409" i="1" s="1"/>
  <c r="D1408" i="1"/>
  <c r="F1408" i="1" s="1"/>
  <c r="H1407" i="1"/>
  <c r="H1406" i="1"/>
  <c r="H1405" i="1"/>
  <c r="H1404" i="1"/>
  <c r="H1403" i="1"/>
  <c r="H1402" i="1"/>
  <c r="H1401" i="1"/>
  <c r="D1328" i="1"/>
  <c r="F1328" i="1" s="1"/>
  <c r="D1327" i="1"/>
  <c r="F1327" i="1" s="1"/>
  <c r="D1326" i="1"/>
  <c r="F1326" i="1" s="1"/>
  <c r="D1325" i="1"/>
  <c r="F1325" i="1" s="1"/>
  <c r="D1324" i="1"/>
  <c r="F1324" i="1" s="1"/>
  <c r="D1323" i="1"/>
  <c r="F1323" i="1" s="1"/>
  <c r="D1322" i="1"/>
  <c r="F1322" i="1" s="1"/>
  <c r="D1321" i="1"/>
  <c r="F1321" i="1" s="1"/>
  <c r="D1320" i="1"/>
  <c r="F1320" i="1" s="1"/>
  <c r="D1319" i="1"/>
  <c r="F1319" i="1" s="1"/>
  <c r="D1318" i="1"/>
  <c r="F1318" i="1" s="1"/>
  <c r="D1317" i="1"/>
  <c r="F1317" i="1" s="1"/>
  <c r="D1316" i="1"/>
  <c r="F1316" i="1" s="1"/>
  <c r="D1315" i="1"/>
  <c r="F1315" i="1" s="1"/>
  <c r="D1314" i="1"/>
  <c r="F1314" i="1" s="1"/>
  <c r="D1313" i="1"/>
  <c r="F1313" i="1" s="1"/>
  <c r="D1312" i="1"/>
  <c r="F1312" i="1" s="1"/>
  <c r="D1311" i="1"/>
  <c r="F1311" i="1" s="1"/>
  <c r="H1310" i="1"/>
  <c r="H1309" i="1"/>
  <c r="H1307" i="1"/>
  <c r="F1236" i="1"/>
  <c r="D1234" i="1"/>
  <c r="F1234" i="1" s="1"/>
  <c r="D1233" i="1"/>
  <c r="F1233" i="1" s="1"/>
  <c r="D1232" i="1"/>
  <c r="F1232" i="1" s="1"/>
  <c r="D1231" i="1"/>
  <c r="F1231" i="1" s="1"/>
  <c r="D1230" i="1"/>
  <c r="F1230" i="1" s="1"/>
  <c r="D1229" i="1"/>
  <c r="F1229" i="1" s="1"/>
  <c r="D1228" i="1"/>
  <c r="F1228" i="1" s="1"/>
  <c r="D1227" i="1"/>
  <c r="F1227" i="1" s="1"/>
  <c r="D1226" i="1"/>
  <c r="F1226" i="1" s="1"/>
  <c r="D1225" i="1"/>
  <c r="F1225" i="1" s="1"/>
  <c r="D1224" i="1"/>
  <c r="F1224" i="1" s="1"/>
  <c r="D1223" i="1"/>
  <c r="F1223" i="1" s="1"/>
  <c r="D1222" i="1"/>
  <c r="F1222" i="1" s="1"/>
  <c r="D1221" i="1"/>
  <c r="F1221" i="1" s="1"/>
  <c r="D1220" i="1"/>
  <c r="F1220" i="1" s="1"/>
  <c r="D1219" i="1"/>
  <c r="F1219" i="1" s="1"/>
  <c r="D1218" i="1"/>
  <c r="F1218" i="1" s="1"/>
  <c r="D1217" i="1"/>
  <c r="F1217" i="1" s="1"/>
  <c r="H1213" i="1"/>
  <c r="D1144" i="1"/>
  <c r="F1144" i="1" s="1"/>
  <c r="D1143" i="1"/>
  <c r="F1143" i="1" s="1"/>
  <c r="D1140" i="1"/>
  <c r="F1140" i="1" s="1"/>
  <c r="D1139" i="1"/>
  <c r="F1139" i="1" s="1"/>
  <c r="D1138" i="1"/>
  <c r="F1138" i="1" s="1"/>
  <c r="D1137" i="1"/>
  <c r="F1137" i="1" s="1"/>
  <c r="D1136" i="1"/>
  <c r="F1136" i="1" s="1"/>
  <c r="D1135" i="1"/>
  <c r="F1135" i="1" s="1"/>
  <c r="D1134" i="1"/>
  <c r="F1134" i="1" s="1"/>
  <c r="D1133" i="1"/>
  <c r="F1133" i="1" s="1"/>
  <c r="D1132" i="1"/>
  <c r="F1132" i="1" s="1"/>
  <c r="D1131" i="1"/>
  <c r="F1131" i="1" s="1"/>
  <c r="D1130" i="1"/>
  <c r="F1130" i="1" s="1"/>
  <c r="D1129" i="1"/>
  <c r="F1129" i="1" s="1"/>
  <c r="D1128" i="1"/>
  <c r="F1128" i="1" s="1"/>
  <c r="D1127" i="1"/>
  <c r="F1127" i="1" s="1"/>
  <c r="D1126" i="1"/>
  <c r="F1126" i="1" s="1"/>
  <c r="D1125" i="1"/>
  <c r="F1125" i="1" s="1"/>
  <c r="D1124" i="1"/>
  <c r="F1124" i="1" s="1"/>
  <c r="D1123" i="1"/>
  <c r="F1123" i="1" s="1"/>
  <c r="H1122" i="1"/>
  <c r="H1121" i="1"/>
  <c r="H1120" i="1"/>
  <c r="H1119" i="1"/>
  <c r="H1118" i="1"/>
  <c r="H1117" i="1"/>
  <c r="H1116" i="1"/>
  <c r="H1115" i="1"/>
  <c r="H1114" i="1"/>
  <c r="H1113" i="1"/>
  <c r="H1112" i="1"/>
  <c r="H1110" i="1"/>
  <c r="H1109" i="1"/>
  <c r="L1108" i="1" a="1"/>
  <c r="L1108" i="1" s="1"/>
  <c r="H1108" i="1"/>
  <c r="H1107" i="1"/>
  <c r="H1106" i="1"/>
  <c r="L1105" i="1"/>
  <c r="H1105" i="1"/>
  <c r="H1104" i="1"/>
  <c r="L1103" i="1"/>
  <c r="H1103" i="1"/>
  <c r="H1102" i="1"/>
  <c r="H1096" i="1"/>
  <c r="H1095" i="1"/>
  <c r="L1093" i="1"/>
  <c r="H1093" i="1"/>
  <c r="L1092" i="1"/>
  <c r="H1092" i="1"/>
  <c r="H1091" i="1"/>
  <c r="H1090" i="1"/>
  <c r="H1089" i="1"/>
  <c r="F472" i="1"/>
  <c r="F471" i="1"/>
  <c r="F470" i="1"/>
  <c r="F469" i="1"/>
  <c r="F468" i="1"/>
  <c r="F467" i="1"/>
  <c r="F466" i="1"/>
  <c r="F465" i="1"/>
  <c r="F464" i="1"/>
  <c r="F463" i="1"/>
  <c r="F462" i="1"/>
  <c r="F461" i="1"/>
  <c r="F460" i="1"/>
  <c r="F459" i="1"/>
  <c r="F458" i="1"/>
  <c r="F457" i="1"/>
  <c r="F456" i="1"/>
  <c r="F455" i="1"/>
  <c r="F454" i="1"/>
  <c r="L458" i="1"/>
  <c r="F453" i="1"/>
  <c r="F452" i="1"/>
  <c r="F451" i="1"/>
  <c r="F450" i="1"/>
  <c r="F449" i="1"/>
  <c r="F448" i="1"/>
  <c r="F447" i="1"/>
  <c r="F446" i="1"/>
  <c r="F445" i="1"/>
  <c r="F444" i="1"/>
  <c r="L445"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L419" i="1"/>
  <c r="F413" i="1"/>
  <c r="F412" i="1"/>
  <c r="F411" i="1"/>
  <c r="F410" i="1"/>
  <c r="F409" i="1"/>
  <c r="F408" i="1"/>
  <c r="F407" i="1"/>
  <c r="F406" i="1"/>
  <c r="F405" i="1"/>
  <c r="F404" i="1"/>
  <c r="F403" i="1"/>
  <c r="F402" i="1"/>
  <c r="F401" i="1"/>
  <c r="F400" i="1"/>
  <c r="F399" i="1"/>
  <c r="F398" i="1"/>
  <c r="F397" i="1"/>
  <c r="F396" i="1"/>
  <c r="F395" i="1"/>
  <c r="F394" i="1"/>
  <c r="L396" i="1"/>
  <c r="F393" i="1"/>
  <c r="F392" i="1"/>
  <c r="F391" i="1"/>
  <c r="F390" i="1"/>
  <c r="F389" i="1"/>
  <c r="F388" i="1"/>
  <c r="F387" i="1"/>
  <c r="F386" i="1"/>
  <c r="F385" i="1"/>
  <c r="F384" i="1"/>
  <c r="F383" i="1"/>
  <c r="F382" i="1"/>
  <c r="F381" i="1"/>
  <c r="F380" i="1"/>
  <c r="F379" i="1"/>
  <c r="F378" i="1"/>
  <c r="F377" i="1"/>
  <c r="F376" i="1"/>
  <c r="F375" i="1"/>
  <c r="F374" i="1"/>
  <c r="L376" i="1"/>
  <c r="F373" i="1"/>
  <c r="F372" i="1"/>
  <c r="F371" i="1"/>
  <c r="F370" i="1"/>
  <c r="F369" i="1"/>
  <c r="F368" i="1"/>
  <c r="F367" i="1"/>
  <c r="F366" i="1"/>
  <c r="F365" i="1"/>
  <c r="F364" i="1"/>
  <c r="L365" i="1"/>
  <c r="F363" i="1"/>
  <c r="F362" i="1"/>
  <c r="F361" i="1"/>
  <c r="F360" i="1"/>
  <c r="F359" i="1"/>
  <c r="F358" i="1"/>
  <c r="F357" i="1"/>
  <c r="F356" i="1"/>
  <c r="F355" i="1"/>
  <c r="F354" i="1"/>
  <c r="L358" i="1"/>
  <c r="F353" i="1"/>
  <c r="F352" i="1"/>
  <c r="F351" i="1"/>
  <c r="F350" i="1"/>
  <c r="F349" i="1"/>
  <c r="F348" i="1"/>
  <c r="F347" i="1"/>
  <c r="F346" i="1"/>
  <c r="F345" i="1"/>
  <c r="F344" i="1"/>
  <c r="L347" i="1"/>
  <c r="F343" i="1"/>
  <c r="F342" i="1"/>
  <c r="F341" i="1"/>
  <c r="F340" i="1"/>
  <c r="F339" i="1"/>
  <c r="F338" i="1"/>
  <c r="F337" i="1"/>
  <c r="F336" i="1"/>
  <c r="F335" i="1"/>
  <c r="F334" i="1"/>
  <c r="F333" i="1"/>
  <c r="F332" i="1"/>
  <c r="F331" i="1"/>
  <c r="F330" i="1"/>
  <c r="F329" i="1"/>
  <c r="F328" i="1"/>
  <c r="F327" i="1"/>
  <c r="F326" i="1"/>
  <c r="F325" i="1"/>
  <c r="F324" i="1"/>
  <c r="L329" i="1"/>
  <c r="F323" i="1"/>
  <c r="F322" i="1"/>
  <c r="F321" i="1"/>
  <c r="F320" i="1"/>
  <c r="F319" i="1"/>
  <c r="F318" i="1"/>
  <c r="F317" i="1"/>
  <c r="F316" i="1"/>
  <c r="F315" i="1"/>
  <c r="F314" i="1"/>
  <c r="F313" i="1"/>
  <c r="F312" i="1"/>
  <c r="F311" i="1"/>
  <c r="F310" i="1"/>
  <c r="F309" i="1"/>
  <c r="F308" i="1"/>
  <c r="F307" i="1"/>
  <c r="F306" i="1"/>
  <c r="F305" i="1"/>
  <c r="F304" i="1"/>
  <c r="L309" i="1"/>
  <c r="F303" i="1"/>
  <c r="F302" i="1"/>
  <c r="F301" i="1"/>
  <c r="F300" i="1"/>
  <c r="F299" i="1"/>
  <c r="F298" i="1"/>
  <c r="F297" i="1"/>
  <c r="F296" i="1"/>
  <c r="F295" i="1"/>
  <c r="F294" i="1"/>
  <c r="L296"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L267" i="1"/>
  <c r="F263" i="1"/>
  <c r="F262" i="1"/>
  <c r="F261" i="1"/>
  <c r="F260" i="1"/>
  <c r="F259" i="1"/>
  <c r="F258" i="1"/>
  <c r="F257" i="1"/>
  <c r="F256" i="1"/>
  <c r="F255" i="1"/>
  <c r="F254" i="1"/>
  <c r="F253" i="1"/>
  <c r="F252" i="1"/>
  <c r="F251" i="1"/>
  <c r="F250" i="1"/>
  <c r="F249" i="1"/>
  <c r="F248" i="1"/>
  <c r="F247" i="1"/>
  <c r="F246" i="1"/>
  <c r="F245" i="1"/>
  <c r="F244" i="1"/>
  <c r="L248" i="1"/>
  <c r="F243" i="1"/>
  <c r="F242" i="1"/>
  <c r="F241" i="1"/>
  <c r="F240" i="1"/>
  <c r="F239" i="1"/>
  <c r="F238" i="1"/>
  <c r="F237" i="1"/>
  <c r="F236" i="1"/>
  <c r="F235" i="1"/>
  <c r="F234" i="1"/>
  <c r="L237" i="1"/>
  <c r="F233" i="1"/>
  <c r="F232" i="1"/>
  <c r="F231" i="1"/>
  <c r="F230" i="1"/>
  <c r="F229" i="1"/>
  <c r="F228" i="1"/>
  <c r="F227" i="1"/>
  <c r="F226" i="1"/>
  <c r="F225" i="1"/>
  <c r="F224" i="1"/>
  <c r="L227" i="1"/>
  <c r="F223" i="1"/>
  <c r="F222" i="1"/>
  <c r="F221" i="1"/>
  <c r="F220" i="1"/>
  <c r="F219" i="1"/>
  <c r="F218" i="1"/>
  <c r="F217" i="1"/>
  <c r="F216" i="1"/>
  <c r="F215" i="1"/>
  <c r="F214" i="1"/>
  <c r="F213" i="1"/>
  <c r="F212" i="1"/>
  <c r="F211" i="1"/>
  <c r="F210" i="1"/>
  <c r="F209" i="1"/>
  <c r="F208" i="1"/>
  <c r="F207" i="1"/>
  <c r="F206" i="1"/>
  <c r="F205" i="1"/>
  <c r="F204" i="1"/>
  <c r="L209" i="1"/>
  <c r="F203" i="1"/>
  <c r="F202" i="1"/>
  <c r="F201" i="1"/>
  <c r="F200" i="1"/>
  <c r="F199" i="1"/>
  <c r="F198" i="1"/>
  <c r="F197" i="1"/>
  <c r="F196" i="1"/>
  <c r="F195" i="1"/>
  <c r="F194" i="1"/>
  <c r="L193"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L168" i="1"/>
  <c r="F163" i="1"/>
  <c r="F162" i="1"/>
  <c r="F161" i="1"/>
  <c r="F160" i="1"/>
  <c r="F159" i="1"/>
  <c r="F158" i="1"/>
  <c r="F157" i="1"/>
  <c r="F156" i="1"/>
  <c r="F155" i="1"/>
  <c r="F154" i="1"/>
  <c r="L157" i="1"/>
  <c r="F153" i="1"/>
  <c r="F152" i="1"/>
  <c r="F151" i="1"/>
  <c r="F150" i="1"/>
  <c r="F149" i="1"/>
  <c r="F148" i="1"/>
  <c r="F147" i="1"/>
  <c r="F146" i="1"/>
  <c r="F145" i="1"/>
  <c r="F144" i="1"/>
  <c r="F143" i="1"/>
  <c r="F142" i="1"/>
  <c r="F141" i="1"/>
  <c r="F140" i="1"/>
  <c r="F139" i="1"/>
  <c r="F138" i="1"/>
  <c r="F137" i="1"/>
  <c r="F136" i="1"/>
  <c r="F135" i="1"/>
  <c r="F134" i="1"/>
  <c r="L133" i="1"/>
  <c r="F133" i="1"/>
  <c r="F132" i="1"/>
  <c r="F131" i="1"/>
  <c r="F130" i="1"/>
  <c r="F129" i="1"/>
  <c r="F128" i="1"/>
  <c r="F127" i="1"/>
  <c r="F126" i="1"/>
  <c r="F125" i="1"/>
  <c r="F124" i="1"/>
  <c r="L125" i="1"/>
  <c r="F123" i="1"/>
  <c r="F122" i="1"/>
  <c r="F121" i="1"/>
  <c r="F120" i="1"/>
  <c r="F119" i="1"/>
  <c r="F118" i="1"/>
  <c r="F117" i="1"/>
  <c r="F116" i="1"/>
  <c r="F115" i="1"/>
  <c r="F114" i="1"/>
  <c r="F113" i="1"/>
  <c r="F112" i="1"/>
  <c r="F111" i="1"/>
  <c r="F110" i="1"/>
  <c r="F109" i="1"/>
  <c r="F108" i="1"/>
  <c r="F107" i="1"/>
  <c r="F106" i="1"/>
  <c r="F105" i="1"/>
  <c r="F104" i="1"/>
  <c r="L106" i="1"/>
  <c r="F103" i="1"/>
  <c r="F102" i="1"/>
  <c r="F101" i="1"/>
  <c r="F100" i="1"/>
  <c r="F99" i="1"/>
  <c r="F98" i="1"/>
  <c r="F97" i="1"/>
  <c r="F96" i="1"/>
  <c r="F95" i="1"/>
  <c r="F94" i="1"/>
  <c r="F93" i="1"/>
  <c r="F92" i="1"/>
  <c r="F91" i="1"/>
  <c r="F90" i="1"/>
  <c r="F89" i="1"/>
  <c r="F88" i="1"/>
  <c r="F87" i="1"/>
  <c r="F86" i="1"/>
  <c r="F85" i="1"/>
  <c r="F84" i="1"/>
  <c r="L88" i="1"/>
  <c r="F83" i="1"/>
  <c r="F82" i="1"/>
  <c r="F81" i="1"/>
  <c r="F80" i="1"/>
  <c r="F79" i="1"/>
  <c r="F78" i="1"/>
  <c r="F77" i="1"/>
  <c r="F76" i="1"/>
  <c r="F75" i="1"/>
  <c r="F74" i="1"/>
  <c r="L77" i="1"/>
  <c r="F73" i="1"/>
  <c r="F72" i="1"/>
  <c r="F71" i="1"/>
  <c r="F70" i="1"/>
  <c r="F69" i="1"/>
  <c r="F68" i="1"/>
  <c r="F67" i="1"/>
  <c r="F66" i="1"/>
  <c r="F65" i="1"/>
  <c r="F64" i="1"/>
  <c r="F63" i="1"/>
  <c r="F62" i="1"/>
  <c r="F61" i="1"/>
  <c r="F60" i="1"/>
  <c r="F59" i="1"/>
  <c r="F58" i="1"/>
  <c r="F57" i="1"/>
  <c r="F56" i="1"/>
  <c r="F55" i="1"/>
  <c r="F54" i="1"/>
  <c r="L57" i="1"/>
  <c r="F53" i="1"/>
  <c r="F52" i="1"/>
  <c r="F51" i="1"/>
  <c r="F50" i="1"/>
  <c r="F49" i="1"/>
  <c r="F48" i="1"/>
  <c r="F47" i="1"/>
  <c r="F46" i="1"/>
  <c r="F45" i="1"/>
  <c r="F44" i="1"/>
  <c r="F43" i="1"/>
  <c r="F42" i="1"/>
  <c r="F41" i="1"/>
  <c r="F40" i="1"/>
  <c r="F39" i="1"/>
  <c r="F38" i="1"/>
  <c r="F37" i="1"/>
  <c r="F36" i="1"/>
  <c r="F35" i="1"/>
  <c r="F34" i="1"/>
  <c r="L37" i="1"/>
  <c r="F33" i="1"/>
  <c r="F32" i="1"/>
  <c r="F31" i="1"/>
  <c r="F30" i="1"/>
  <c r="F29" i="1"/>
  <c r="F28" i="1"/>
  <c r="F27" i="1"/>
  <c r="F26" i="1"/>
  <c r="F25" i="1"/>
  <c r="F24" i="1"/>
  <c r="F23" i="1"/>
  <c r="H22" i="1"/>
  <c r="H20" i="1"/>
  <c r="H14" i="1"/>
  <c r="H13" i="1"/>
  <c r="H12" i="1"/>
  <c r="H11" i="1"/>
  <c r="H9" i="1"/>
  <c r="L278" i="1" l="1"/>
  <c r="L428" i="1"/>
  <c r="L385" i="1"/>
  <c r="L195" i="1"/>
  <c r="L155" i="1"/>
  <c r="L469" i="1"/>
  <c r="L73" i="1"/>
  <c r="L75" i="1"/>
  <c r="L74" i="1" s="1"/>
  <c r="L136" i="1"/>
  <c r="L233" i="1"/>
  <c r="L36" i="1"/>
  <c r="L388" i="1"/>
  <c r="L78" i="1"/>
  <c r="L79" i="1"/>
  <c r="L239" i="1"/>
  <c r="L76" i="1"/>
  <c r="L35" i="1"/>
  <c r="L34" i="1" s="1"/>
  <c r="L235" i="1"/>
  <c r="L299" i="1"/>
  <c r="L158" i="1"/>
  <c r="L199" i="1"/>
  <c r="L225" i="1"/>
  <c r="L236" i="1"/>
  <c r="L295" i="1"/>
  <c r="L306" i="1"/>
  <c r="L326" i="1"/>
  <c r="L26" i="1"/>
  <c r="L39" i="1"/>
  <c r="L255" i="1"/>
  <c r="L207" i="1"/>
  <c r="L297" i="1"/>
  <c r="L48" i="1"/>
  <c r="L345" i="1"/>
  <c r="L446" i="1"/>
  <c r="L463" i="1"/>
  <c r="L468" i="1"/>
  <c r="L97" i="1"/>
  <c r="L38" i="1"/>
  <c r="L118" i="1"/>
  <c r="L119" i="1"/>
  <c r="L437" i="1"/>
  <c r="L186" i="1"/>
  <c r="L198" i="1"/>
  <c r="L443" i="1"/>
  <c r="L448" i="1"/>
  <c r="L465" i="1"/>
  <c r="L115" i="1"/>
  <c r="L355" i="1"/>
  <c r="L449" i="1"/>
  <c r="L466" i="1"/>
  <c r="L179" i="1"/>
  <c r="L177" i="1"/>
  <c r="L176" i="1"/>
  <c r="L178" i="1"/>
  <c r="L66" i="1"/>
  <c r="L65" i="1"/>
  <c r="L64" i="1" s="1"/>
  <c r="L173" i="1"/>
  <c r="L216" i="1"/>
  <c r="L213" i="1"/>
  <c r="L333" i="1"/>
  <c r="L335" i="1"/>
  <c r="L285" i="1"/>
  <c r="L283" i="1"/>
  <c r="L56" i="1"/>
  <c r="L53" i="1"/>
  <c r="L455" i="1"/>
  <c r="L453" i="1"/>
  <c r="L109" i="1"/>
  <c r="L105" i="1"/>
  <c r="L104" i="1" s="1"/>
  <c r="L103" i="1"/>
  <c r="L107" i="1"/>
  <c r="L289" i="1"/>
  <c r="L27" i="1"/>
  <c r="L116" i="1"/>
  <c r="L303" i="1"/>
  <c r="L307" i="1"/>
  <c r="L369" i="1"/>
  <c r="L378" i="1"/>
  <c r="L429" i="1"/>
  <c r="L438" i="1"/>
  <c r="L93" i="1"/>
  <c r="L268" i="1"/>
  <c r="L23" i="1"/>
  <c r="L89" i="1"/>
  <c r="L159" i="1"/>
  <c r="L183" i="1"/>
  <c r="L187" i="1"/>
  <c r="L196" i="1"/>
  <c r="L323" i="1"/>
  <c r="L327" i="1"/>
  <c r="L363" i="1"/>
  <c r="L386" i="1"/>
  <c r="L389" i="1"/>
  <c r="L447" i="1"/>
  <c r="L377" i="1"/>
  <c r="L117" i="1"/>
  <c r="L275" i="1"/>
  <c r="L375" i="1"/>
  <c r="L435" i="1"/>
  <c r="L439" i="1"/>
  <c r="L156" i="1"/>
  <c r="L197" i="1"/>
  <c r="L229" i="1"/>
  <c r="L265" i="1"/>
  <c r="L305" i="1"/>
  <c r="L328" i="1"/>
  <c r="L379" i="1"/>
  <c r="L373" i="1"/>
  <c r="L423" i="1"/>
  <c r="L308" i="1"/>
  <c r="L113" i="1"/>
  <c r="L348" i="1"/>
  <c r="L426" i="1"/>
  <c r="L25" i="1"/>
  <c r="L24" i="1" s="1"/>
  <c r="L29" i="1"/>
  <c r="L33" i="1"/>
  <c r="L45" i="1"/>
  <c r="L44" i="1" s="1"/>
  <c r="L153" i="1"/>
  <c r="L185" i="1"/>
  <c r="L189" i="1"/>
  <c r="L238" i="1"/>
  <c r="L293" i="1"/>
  <c r="L298" i="1"/>
  <c r="L325" i="1"/>
  <c r="L343" i="1"/>
  <c r="L383" i="1"/>
  <c r="L387" i="1"/>
  <c r="L467" i="1"/>
  <c r="L47" i="1"/>
  <c r="L67" i="1"/>
  <c r="L68" i="1"/>
  <c r="L96" i="1"/>
  <c r="L145" i="1"/>
  <c r="L218" i="1"/>
  <c r="L215" i="1"/>
  <c r="L217" i="1"/>
  <c r="L219" i="1"/>
  <c r="L409" i="1"/>
  <c r="L406" i="1"/>
  <c r="L403" i="1"/>
  <c r="L405" i="1"/>
  <c r="L408" i="1"/>
  <c r="L49" i="1"/>
  <c r="L46" i="1"/>
  <c r="L43" i="1"/>
  <c r="L63" i="1"/>
  <c r="L99" i="1"/>
  <c r="L95" i="1"/>
  <c r="L94" i="1" s="1"/>
  <c r="L129" i="1"/>
  <c r="L126" i="1"/>
  <c r="L123" i="1"/>
  <c r="L128" i="1"/>
  <c r="L127" i="1"/>
  <c r="L397" i="1"/>
  <c r="L395" i="1"/>
  <c r="L398" i="1"/>
  <c r="L393" i="1"/>
  <c r="L399" i="1"/>
  <c r="L58" i="1"/>
  <c r="L55" i="1"/>
  <c r="L54" i="1" s="1"/>
  <c r="L59" i="1"/>
  <c r="L138" i="1"/>
  <c r="L135" i="1"/>
  <c r="L137" i="1"/>
  <c r="L139" i="1"/>
  <c r="L318" i="1"/>
  <c r="L315" i="1"/>
  <c r="L317" i="1"/>
  <c r="L319" i="1"/>
  <c r="L316" i="1"/>
  <c r="L313" i="1"/>
  <c r="L85" i="1"/>
  <c r="L84" i="1" s="1"/>
  <c r="L86" i="1"/>
  <c r="L83" i="1"/>
  <c r="L165" i="1"/>
  <c r="L167" i="1"/>
  <c r="L169" i="1"/>
  <c r="L166" i="1"/>
  <c r="L163" i="1"/>
  <c r="L69" i="1"/>
  <c r="L87" i="1"/>
  <c r="L98" i="1"/>
  <c r="L147" i="1"/>
  <c r="L149" i="1"/>
  <c r="L146" i="1"/>
  <c r="L143" i="1"/>
  <c r="L148" i="1"/>
  <c r="L249" i="1"/>
  <c r="L245" i="1"/>
  <c r="L247" i="1"/>
  <c r="L246" i="1"/>
  <c r="L243" i="1"/>
  <c r="L407" i="1"/>
  <c r="L175" i="1"/>
  <c r="L228" i="1"/>
  <c r="L288" i="1"/>
  <c r="L368" i="1"/>
  <c r="L425" i="1"/>
  <c r="L427" i="1"/>
  <c r="L205" i="1"/>
  <c r="L258" i="1"/>
  <c r="L256" i="1"/>
  <c r="L259" i="1"/>
  <c r="L266" i="1"/>
  <c r="L269" i="1"/>
  <c r="L338" i="1"/>
  <c r="L336" i="1"/>
  <c r="L339" i="1"/>
  <c r="L346" i="1"/>
  <c r="L349" i="1"/>
  <c r="L208" i="1"/>
  <c r="L223" i="1"/>
  <c r="L226" i="1"/>
  <c r="L253" i="1"/>
  <c r="L263" i="1"/>
  <c r="L276" i="1"/>
  <c r="L273" i="1"/>
  <c r="L279" i="1"/>
  <c r="L286" i="1"/>
  <c r="L356" i="1"/>
  <c r="L353" i="1"/>
  <c r="L359" i="1"/>
  <c r="L366" i="1"/>
  <c r="L459" i="1"/>
  <c r="L456" i="1"/>
  <c r="L28" i="1"/>
  <c r="L108" i="1"/>
  <c r="L188" i="1"/>
  <c r="L203" i="1"/>
  <c r="L206" i="1"/>
  <c r="L257" i="1"/>
  <c r="L277" i="1"/>
  <c r="L337" i="1"/>
  <c r="L357" i="1"/>
  <c r="L416" i="1"/>
  <c r="L413" i="1"/>
  <c r="L418" i="1"/>
  <c r="L415" i="1"/>
  <c r="L417" i="1"/>
  <c r="L457" i="1"/>
  <c r="L287" i="1"/>
  <c r="L367" i="1"/>
  <c r="L433" i="1"/>
  <c r="L436" i="1"/>
  <c r="L234" i="1" l="1"/>
  <c r="L184" i="1"/>
  <c r="L194" i="1"/>
  <c r="L304" i="1"/>
  <c r="L324" i="1"/>
  <c r="L254" i="1"/>
  <c r="L134" i="1"/>
  <c r="L424" i="1"/>
  <c r="L294" i="1"/>
  <c r="L344" i="1"/>
  <c r="L384" i="1"/>
  <c r="L334" i="1"/>
  <c r="L124" i="1"/>
  <c r="L464" i="1"/>
  <c r="L434" i="1"/>
  <c r="L154" i="1"/>
  <c r="L444" i="1"/>
  <c r="L374" i="1"/>
  <c r="L274" i="1"/>
  <c r="L354" i="1"/>
  <c r="L114" i="1"/>
  <c r="L454" i="1"/>
  <c r="L264" i="1"/>
  <c r="L174" i="1"/>
  <c r="L394" i="1"/>
  <c r="L284" i="1"/>
  <c r="L364" i="1"/>
  <c r="L214" i="1"/>
  <c r="L224" i="1"/>
  <c r="L244" i="1"/>
  <c r="L314" i="1"/>
  <c r="L404" i="1"/>
  <c r="L414" i="1"/>
  <c r="L204" i="1"/>
  <c r="L144" i="1"/>
  <c r="L164" i="1"/>
  <c r="K1023" i="5" l="1"/>
  <c r="L1023" i="1"/>
  <c r="K935" i="5"/>
  <c r="L935" i="1"/>
  <c r="K847" i="5"/>
  <c r="L847" i="1"/>
  <c r="K759" i="5"/>
  <c r="L759" i="1"/>
  <c r="K671" i="5"/>
  <c r="L671" i="1"/>
  <c r="K583" i="5"/>
  <c r="L583" i="1"/>
  <c r="K495" i="5"/>
  <c r="L495" i="1"/>
  <c r="K1012" i="5"/>
  <c r="L1012" i="1"/>
  <c r="K924" i="5"/>
  <c r="L924" i="1"/>
  <c r="K836" i="5"/>
  <c r="L836" i="1"/>
  <c r="K748" i="5"/>
  <c r="L748" i="1"/>
  <c r="K660" i="5"/>
  <c r="L660" i="1"/>
  <c r="K572" i="5"/>
  <c r="L572" i="1"/>
  <c r="K484" i="5"/>
  <c r="L484" i="1"/>
  <c r="K473" i="5"/>
  <c r="L473" i="1"/>
  <c r="K1001" i="5"/>
  <c r="L1001" i="1"/>
  <c r="K913" i="5"/>
  <c r="L913" i="1"/>
  <c r="K825" i="5"/>
  <c r="L825" i="1"/>
  <c r="K737" i="5"/>
  <c r="L737" i="1"/>
  <c r="K649" i="5"/>
  <c r="L649" i="1"/>
  <c r="K561" i="5"/>
  <c r="L561" i="1"/>
  <c r="K1078" i="5"/>
  <c r="L1078" i="1"/>
  <c r="K990" i="5"/>
  <c r="L990" i="1"/>
  <c r="K902" i="5"/>
  <c r="L902" i="1"/>
  <c r="K814" i="5"/>
  <c r="L814" i="1"/>
  <c r="K726" i="5"/>
  <c r="L726" i="1"/>
  <c r="K638" i="5"/>
  <c r="L638" i="1"/>
  <c r="K550" i="5"/>
  <c r="L550" i="1"/>
  <c r="K1067" i="5"/>
  <c r="L1067" i="1"/>
  <c r="K979" i="5"/>
  <c r="L979" i="1"/>
  <c r="K891" i="5"/>
  <c r="L891" i="1"/>
  <c r="K803" i="5"/>
  <c r="L803" i="1"/>
  <c r="K715" i="5"/>
  <c r="L715" i="1"/>
  <c r="K627" i="5"/>
  <c r="L627" i="1"/>
  <c r="K539" i="5"/>
  <c r="L539" i="1"/>
  <c r="K1056" i="5"/>
  <c r="L1056" i="1"/>
  <c r="K968" i="5"/>
  <c r="L968" i="1"/>
  <c r="K880" i="5"/>
  <c r="L880" i="1"/>
  <c r="K792" i="5"/>
  <c r="L792" i="1"/>
  <c r="K704" i="5"/>
  <c r="L704" i="1"/>
  <c r="K616" i="5"/>
  <c r="L616" i="1"/>
  <c r="K528" i="5"/>
  <c r="L528" i="1"/>
  <c r="K1045" i="5"/>
  <c r="L1045" i="1"/>
  <c r="K957" i="5"/>
  <c r="L957" i="1"/>
  <c r="K869" i="5"/>
  <c r="L869" i="1"/>
  <c r="K781" i="5"/>
  <c r="L781" i="1"/>
  <c r="K693" i="5"/>
  <c r="L693" i="1"/>
  <c r="K605" i="5"/>
  <c r="L605" i="1"/>
  <c r="K517" i="5"/>
  <c r="L517" i="1"/>
  <c r="K1034" i="5"/>
  <c r="L1034" i="1"/>
  <c r="K946" i="5"/>
  <c r="L946" i="1"/>
  <c r="K858" i="5"/>
  <c r="L858" i="1"/>
  <c r="K770" i="5"/>
  <c r="L770" i="1"/>
  <c r="K682" i="5"/>
  <c r="L682" i="1"/>
  <c r="K594" i="5"/>
  <c r="L594" i="1"/>
  <c r="K506" i="5"/>
  <c r="L50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tc={4C41790A-4189-4B07-AE3C-BD3EF8B3979D}</author>
    <author>tc={04A1DFDF-CCAF-4214-8732-9B91B8C220AF}</author>
    <author>tc={D146FB46-1BA6-4EB3-9996-7E8552DCBA2A}</author>
    <author>tc={78CDCB13-0002-40AB-A027-EEC5842A4C6D}</author>
  </authors>
  <commentList>
    <comment ref="L1090" authorId="0" shapeId="0" xr:uid="{4C41790A-4189-4B07-AE3C-BD3EF8B3979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Ratio sur la pop territoriale * 75% locos élec * 20.9Mds t.km ferroviaire annuel / km parcourus</t>
      </text>
    </comment>
    <comment ref="L1091" authorId="1" shapeId="0" xr:uid="{04A1DFDF-CCAF-4214-8732-9B91B8C220AF}">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Ratio sur la pop territoriale * 25% locos diesel * 20.9Mds t.km ferroviaire annuel / km parcourus</t>
      </text>
    </comment>
    <comment ref="L1092" authorId="2" shapeId="0" xr:uid="{D146FB46-1BA6-4EB3-9996-7E8552DCBA2A}">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Largeur territoire parcourue une fois par jour</t>
      </text>
    </comment>
    <comment ref="L1093" authorId="3" shapeId="0" xr:uid="{78CDCB13-0002-40AB-A027-EEC5842A4C6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Largeur territoire parcourue une fois par jour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tc={A147D3DA-AEB5-4F5F-9C6B-42FB29B9D486}</author>
  </authors>
  <commentList>
    <comment ref="P1" authorId="0" shapeId="0" xr:uid="{A147D3DA-AEB5-4F5F-9C6B-42FB29B9D486}">
      <text>
        <t xml:space="preserve">[Commentaire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Calculs intermédiaires Euro et Crit’Air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<sst xmlns="http://schemas.openxmlformats.org/spreadsheetml/2006/main" count="37668" uniqueCount="1868">
  <si>
    <t>Catégorie</t>
  </si>
  <si>
    <t>Sous-catégorie</t>
  </si>
  <si>
    <t>Titre</t>
  </si>
  <si>
    <t>Description</t>
  </si>
  <si>
    <t>Nom de la variable</t>
  </si>
  <si>
    <t>Type</t>
  </si>
  <si>
    <t>Affichage</t>
  </si>
  <si>
    <t>Valeur</t>
  </si>
  <si>
    <t>Valeurs possibles</t>
  </si>
  <si>
    <t>Unité</t>
  </si>
  <si>
    <t>Valeur par défaut</t>
  </si>
  <si>
    <t>Commentaire</t>
  </si>
  <si>
    <t>Action(s) liée(s)</t>
  </si>
  <si>
    <t>Affichage à la création</t>
  </si>
  <si>
    <t>Données de base</t>
  </si>
  <si>
    <t>Année de remplissage des données</t>
  </si>
  <si>
    <t>AnneeRempl</t>
  </si>
  <si>
    <t>number</t>
  </si>
  <si>
    <t>Nom du territoire</t>
  </si>
  <si>
    <t>NomTerr</t>
  </si>
  <si>
    <t>text</t>
  </si>
  <si>
    <t>Nantes Métropole;Communauté de communes du Gâtinais en Bourgogne;Communauté de communes du Vexin-Val de Seine</t>
  </si>
  <si>
    <r>
      <t xml:space="preserve">Ajouter la possibilité d'avoir une liste déroulante complétant au fur et à mesure, selon les noms d'EPCI de la colone libgeo de l'onglet </t>
    </r>
    <r>
      <rPr>
        <i/>
        <sz val="11"/>
        <color theme="1"/>
        <rFont val="Aptos Narrow"/>
        <family val="2"/>
        <scheme val="minor"/>
      </rPr>
      <t>Données génériques EPCI_2023</t>
    </r>
    <r>
      <rPr>
        <sz val="11"/>
        <color theme="1"/>
        <rFont val="Aptos Narrow"/>
        <family val="2"/>
        <scheme val="minor"/>
      </rPr>
      <t>, séparer par un ";"</t>
    </r>
  </si>
  <si>
    <t>SIREN territoire</t>
  </si>
  <si>
    <t>SIRENTerr</t>
  </si>
  <si>
    <t>Nombre d'habitants</t>
  </si>
  <si>
    <t>NbHabTerr</t>
  </si>
  <si>
    <t>hab</t>
  </si>
  <si>
    <t>Nombre de ménages</t>
  </si>
  <si>
    <t>NbMenTerr</t>
  </si>
  <si>
    <t>ménages</t>
  </si>
  <si>
    <t>Superficie</t>
  </si>
  <si>
    <t>SupTerr</t>
  </si>
  <si>
    <t>km²</t>
  </si>
  <si>
    <t>Typologie de territoire</t>
  </si>
  <si>
    <t>TypoTerr</t>
  </si>
  <si>
    <t>radio</t>
  </si>
  <si>
    <t>Territoire polarisé autour d'une commune centre</t>
  </si>
  <si>
    <t>Territoire polarisé autour d'une commune centre,Territoire polarisé autour de plusieurs communes</t>
  </si>
  <si>
    <t>Nombre de communes "pôles"</t>
  </si>
  <si>
    <t>NbPolesTerr</t>
  </si>
  <si>
    <t>pôles</t>
  </si>
  <si>
    <t>Nombre d'habitants dans la commune pôle n°1</t>
  </si>
  <si>
    <t>NbHabPole1</t>
  </si>
  <si>
    <t>Nombre d'habitants dans la commune pôle n°2</t>
  </si>
  <si>
    <t>NbHabPole2</t>
  </si>
  <si>
    <t>Nombre d'habitants dans la commune pôle n°3</t>
  </si>
  <si>
    <t>NbHabPole3</t>
  </si>
  <si>
    <t>Nombre d'habitants dans la commune pôle n°4</t>
  </si>
  <si>
    <t>NbHabPole4</t>
  </si>
  <si>
    <t>Nombre d'habitants dans la commune pôle n°5</t>
  </si>
  <si>
    <t>NbHabPole5</t>
  </si>
  <si>
    <t>Possibilité et intention de développement du fret fluvial ?</t>
  </si>
  <si>
    <t>FretFluv</t>
  </si>
  <si>
    <t>Oui</t>
  </si>
  <si>
    <t>Oui,Non</t>
  </si>
  <si>
    <t>Possibilité et intention de développement du fret ferroviaire ?</t>
  </si>
  <si>
    <t>FretFerr</t>
  </si>
  <si>
    <t>Sélectionnez les actions du catalogue d'actions InTerLUD+ se rapprochant d'actions dont la mise en œuvre avait commencé en amont de l'engagement de votre territoire dans la démarche InTerLUD+</t>
  </si>
  <si>
    <t>ActionsAutres</t>
  </si>
  <si>
    <t>checkbox</t>
  </si>
  <si>
    <t>A1,A2,A3,B1,B3,B4,B5,C1,C2,C3,C4,C5,C6,C7,C8,C9</t>
  </si>
  <si>
    <t>A1,A2,A3,B1,B2,B3,B4,B5,C1,C2,C3,C4,C5,C6,C7,C8,C9</t>
  </si>
  <si>
    <t>Sélectionnez les actions du catalogue d'actions InTerLUD+ se rapprochant d'actions inscrites dans votre charte</t>
  </si>
  <si>
    <t>ActionsCharte</t>
  </si>
  <si>
    <t>Données de production/consommation d'énergie</t>
  </si>
  <si>
    <t>Y-a-t-il une ou plusieurs stations d'avitaillement GNV sur votre territoire ?</t>
  </si>
  <si>
    <t>GNV</t>
  </si>
  <si>
    <t>Quelle est la part de bioGNV dans le GNV distribué dans cette ou ces stations d'avitaillement ?</t>
  </si>
  <si>
    <t>bioGNV</t>
  </si>
  <si>
    <t>%</t>
  </si>
  <si>
    <t>Y-a-t-il une ou plusieurs stations d'avitaillement hydrogène sur votre territoire ?</t>
  </si>
  <si>
    <t>H2</t>
  </si>
  <si>
    <t>Origine de l'hydrogène utilisé</t>
  </si>
  <si>
    <t>H2Vert</t>
  </si>
  <si>
    <t>Hydrogène produit à partir d'électricité renouvelable,Hydrogène produit à partir de biométhane,Hydrogène produit à partir de ressources fossiles</t>
  </si>
  <si>
    <t>Fret routier</t>
  </si>
  <si>
    <t>Catégorie 1</t>
  </si>
  <si>
    <t>Nom de la catégorie de véhicules</t>
  </si>
  <si>
    <t>Type de véhicule</t>
  </si>
  <si>
    <t>PTAC</t>
  </si>
  <si>
    <t>Motorisation</t>
  </si>
  <si>
    <t>Carburant utilisé</t>
  </si>
  <si>
    <t>Norme Euro</t>
  </si>
  <si>
    <t>Vignette Crit'Air</t>
  </si>
  <si>
    <t>Nombre de véhicules correspondants</t>
  </si>
  <si>
    <t>véhicules</t>
  </si>
  <si>
    <t>Ordre de grandeur de la distance parcourue annuellement (ensemble des véhicules renseignés pour la catégorie)</t>
  </si>
  <si>
    <t>km</t>
  </si>
  <si>
    <t>Estimation du taux de remplissage moyen de ces véhicules</t>
  </si>
  <si>
    <t>Catégorie 2</t>
  </si>
  <si>
    <t>Catégorie 3</t>
  </si>
  <si>
    <t>Catégorie 4</t>
  </si>
  <si>
    <t>Catégorie 5</t>
  </si>
  <si>
    <t>Catégorie 6</t>
  </si>
  <si>
    <t>Catégorie 7</t>
  </si>
  <si>
    <t>Catégorie 8</t>
  </si>
  <si>
    <t>Catégorie 9</t>
  </si>
  <si>
    <t>Catégorie 10</t>
  </si>
  <si>
    <t>Catégorie 11</t>
  </si>
  <si>
    <t>Catégorie 12</t>
  </si>
  <si>
    <t>Catégorie 13</t>
  </si>
  <si>
    <t>Catégorie 14</t>
  </si>
  <si>
    <t>Catégorie 15</t>
  </si>
  <si>
    <t>Catégorie 16</t>
  </si>
  <si>
    <t>Catégorie 17</t>
  </si>
  <si>
    <t>Catégorie 18</t>
  </si>
  <si>
    <t>Catégorie 19</t>
  </si>
  <si>
    <t>Catégorie 20</t>
  </si>
  <si>
    <t>Catégorie 21</t>
  </si>
  <si>
    <t>Catégorie 22</t>
  </si>
  <si>
    <t>Catégorie 23</t>
  </si>
  <si>
    <t>Catégorie 24</t>
  </si>
  <si>
    <t>Catégorie 25</t>
  </si>
  <si>
    <t>Catégorie 26</t>
  </si>
  <si>
    <t>Catégorie 27</t>
  </si>
  <si>
    <t>Catégorie 28</t>
  </si>
  <si>
    <t>Catégorie 29</t>
  </si>
  <si>
    <t>Catégorie 30</t>
  </si>
  <si>
    <t>Catégorie 31</t>
  </si>
  <si>
    <t>Catégorie 32</t>
  </si>
  <si>
    <t>Catégorie 33</t>
  </si>
  <si>
    <t>Catégorie 34</t>
  </si>
  <si>
    <t>Catégorie 35</t>
  </si>
  <si>
    <t>Catégorie 36</t>
  </si>
  <si>
    <t>Catégorie 37</t>
  </si>
  <si>
    <t>Catégorie 38</t>
  </si>
  <si>
    <t>Catégorie 39</t>
  </si>
  <si>
    <t>Catégorie 40</t>
  </si>
  <si>
    <t>Catégorie 41</t>
  </si>
  <si>
    <t>Catégorie 42</t>
  </si>
  <si>
    <t>Catégorie 43</t>
  </si>
  <si>
    <t>Catégorie 44</t>
  </si>
  <si>
    <t>Catégorie 45</t>
  </si>
  <si>
    <t>Fret fluvial</t>
  </si>
  <si>
    <t>Nom de la catégorie de barge</t>
  </si>
  <si>
    <t>Type de barge</t>
  </si>
  <si>
    <t>Capacité d'emport / Puissance</t>
  </si>
  <si>
    <t>Diesel</t>
  </si>
  <si>
    <t>Mettre définition de GNR/GtL</t>
  </si>
  <si>
    <t>Pour le volume d'activité associé à cette catégorie de barges, préférez-vous renseigner :</t>
  </si>
  <si>
    <t>Une estimation du nombre annuel de trajets pour ce type de barge/La distance moyenne d'un trajet/La masse moyenne transportée pour un trajet</t>
  </si>
  <si>
    <t>Une estimation du nombre annuel de trajets pour ce type de barge/La distance moyenne d'un trajet/La masse moyenne transportée pour un trajet,La distance parcourue annuellement pour ce type de barge/Le taux de chargement moyen,Je n'ai accès ou ne suis en mesure d'estimer aucunes de ces données</t>
  </si>
  <si>
    <t>Je n'ai accès ou ne suis en mesure d'estimer aucunes de ces données</t>
  </si>
  <si>
    <t>Nombre annuel de trajets pour ce type de barge</t>
  </si>
  <si>
    <t>trajets</t>
  </si>
  <si>
    <t>Distance moyenne d'un trajet</t>
  </si>
  <si>
    <t>Masse moyenne transportée par trajet</t>
  </si>
  <si>
    <t>t</t>
  </si>
  <si>
    <t>Distance parcourue annuellement pour ce type de barge</t>
  </si>
  <si>
    <t>Taux de chargement moyen</t>
  </si>
  <si>
    <t>barges</t>
  </si>
  <si>
    <t>Fret ferroviaire</t>
  </si>
  <si>
    <t>FretFerrMot</t>
  </si>
  <si>
    <t>Diesel,Electrique</t>
  </si>
  <si>
    <t>Volume de marchandises transporté annuellement en train sur le territoire (électrique)</t>
  </si>
  <si>
    <t>FretFerrVolumeElec</t>
  </si>
  <si>
    <t>Volume de marchandises transporté annuellement en train sur le territoire (diesel)</t>
  </si>
  <si>
    <t>FretFerrVolumeDies</t>
  </si>
  <si>
    <t>Distance parcourue annuellement sur le territoire (électrique)</t>
  </si>
  <si>
    <t>FretFerrDistElec</t>
  </si>
  <si>
    <t>Distance parcourue annuellement sur le territoire (diesel)</t>
  </si>
  <si>
    <t>FretFerrDistDies</t>
  </si>
  <si>
    <t>Cyclologistique</t>
  </si>
  <si>
    <t>Y-a-t-il une activité de cyclologistique sur votre territoire ?</t>
  </si>
  <si>
    <t>Cyclolog</t>
  </si>
  <si>
    <t>Volume de marchandises transporté à l'année sur le territoire</t>
  </si>
  <si>
    <t>CyclologVolume</t>
  </si>
  <si>
    <t>Nombre d'emplois liés à la cyclologistique</t>
  </si>
  <si>
    <t>CyclologETP</t>
  </si>
  <si>
    <t>ETP</t>
  </si>
  <si>
    <t>Déplacements de particuliers</t>
  </si>
  <si>
    <t>Parts modales par mode de déplacement pour les déplacements locaux</t>
  </si>
  <si>
    <t>Marche</t>
  </si>
  <si>
    <t>PMMarche</t>
  </si>
  <si>
    <t>Vélo/VAE</t>
  </si>
  <si>
    <t>PMVelo</t>
  </si>
  <si>
    <t>Deux-roues motorisé</t>
  </si>
  <si>
    <t>PM2RM</t>
  </si>
  <si>
    <t>Voiture</t>
  </si>
  <si>
    <t>PMVoiture</t>
  </si>
  <si>
    <t>Transport en commun</t>
  </si>
  <si>
    <t>PMTC</t>
  </si>
  <si>
    <t>Aires de livraisons</t>
  </si>
  <si>
    <t>Nombre d'aires de livraison dans le périmère d'étude</t>
  </si>
  <si>
    <t>ALNombreTot</t>
  </si>
  <si>
    <t>aires de livraison</t>
  </si>
  <si>
    <t>Obligatoire</t>
  </si>
  <si>
    <t>B2</t>
  </si>
  <si>
    <t>Nombre d'aires de livraison dans l'échantillon représentatif</t>
  </si>
  <si>
    <t>ALNombreRepr</t>
  </si>
  <si>
    <t>Nombre d'heures de pointe par jour</t>
  </si>
  <si>
    <t>ALHDP</t>
  </si>
  <si>
    <t>h</t>
  </si>
  <si>
    <t>Nombre de véhicules en double-file relevés sur une heure de pointe</t>
  </si>
  <si>
    <t>ALDoubleFile</t>
  </si>
  <si>
    <t>véhicules en double file</t>
  </si>
  <si>
    <t>Disposez-vous de compteurs routiers sur des axes comportants des aires de livraisons (ou axes similaires) ?</t>
  </si>
  <si>
    <t>ALCompteurs</t>
  </si>
  <si>
    <t>Non</t>
  </si>
  <si>
    <t>Comment évaluez-vous le niveau de trafic sur ces axes ?</t>
  </si>
  <si>
    <t>ALEvalTrafic</t>
  </si>
  <si>
    <t>Élevé</t>
  </si>
  <si>
    <t>Faible,Moyen,Élevé</t>
  </si>
  <si>
    <t>Obligatoire si pas de compteur</t>
  </si>
  <si>
    <t>Moyenne de circulation (tous véhicules) en heure de pointe sur les voiries équipées d'aires de livraison</t>
  </si>
  <si>
    <t>ALCircu</t>
  </si>
  <si>
    <t>véh/h</t>
  </si>
  <si>
    <t>ZFEm</t>
  </si>
  <si>
    <t>Surface de la ZFE</t>
  </si>
  <si>
    <t>SurfZFE</t>
  </si>
  <si>
    <t>km2</t>
  </si>
  <si>
    <t>B3</t>
  </si>
  <si>
    <t>% des km effectués sur le territoire ayant lieu dans la ZFE</t>
  </si>
  <si>
    <t>DistZFE</t>
  </si>
  <si>
    <t>Logistique de chantiers</t>
  </si>
  <si>
    <t>Généralités sur le(s) chantier(s)</t>
  </si>
  <si>
    <t>Nombre annuel de chantiers considérés</t>
  </si>
  <si>
    <t>LogChantNb</t>
  </si>
  <si>
    <t>chantiers</t>
  </si>
  <si>
    <t>B4</t>
  </si>
  <si>
    <t>Durée moyenne d'un chantier</t>
  </si>
  <si>
    <t>LogChantDuree</t>
  </si>
  <si>
    <t>jours</t>
  </si>
  <si>
    <t>Surface moyenne d'espace public mobilisé</t>
  </si>
  <si>
    <t>LogChantSurf</t>
  </si>
  <si>
    <t>m²</t>
  </si>
  <si>
    <t>Tonnage moyen de matériaux par chantier (approvisionnement)</t>
  </si>
  <si>
    <t>LogChantAppro</t>
  </si>
  <si>
    <t>NA</t>
  </si>
  <si>
    <t>Tonnage moyen de matériaux par chantier (retour/évacuation des déchets)</t>
  </si>
  <si>
    <t>LogChantRetour</t>
  </si>
  <si>
    <t>Part de matériaux réemployés sur le chantier</t>
  </si>
  <si>
    <t>LogChantReemploi</t>
  </si>
  <si>
    <t>Une plateforme logistique intermédiaire a-t-elle été utilisée sur ce(s) chantier(s) ?</t>
  </si>
  <si>
    <t>LogChantPlatLog</t>
  </si>
  <si>
    <t>Accès direct au(x) chantier(s)</t>
  </si>
  <si>
    <t>Dans le parc global de véhicules en circulation sur le territoire, sélectionnez les catégories de véhicules concernées par ce(s) chantier(s) (accès direct)</t>
  </si>
  <si>
    <t>LogChantAccDirParc</t>
  </si>
  <si>
    <t>VUL Electrique (Crit'Air E);VUL Diesel (Crit'Air 2);VUL Diesel (Crit'Air 3);VUL Diesel (Crit'Air 4);VUL Diesel (Crit'Air 5);VUL Essence (Crit'Air 1);VUL Essence &lt;=3,5t (Crit'Air 2);VUL Essence &lt;=3,5t (Crit'Air 3);VUL Gaz (GNC) (Crit'Air 1);PL Electrique &lt;=7.5t (Crit'Air E);PL Electrique &gt;7.5-12t (Crit'Air E);PL Electrique &gt;14-20t (Crit'Air E);PL Electrique &gt;20-26t (Crit'Air E);PL Electrique &gt;28-34t (Crit'Air E);PL Electrique &gt;34-40t (Crit'Air E);PL Diesel &lt;=7.5t (Crit'Air 2);PL Diesel &lt;=7.5t (Crit'Air 3);PL Diesel &lt;=7.5t (Crit'Air 4);PL Diesel &lt;=7.5t (Crit'Air 5);PL Diesel &gt;7.5-12t (Crit'Air 2);PL Diesel &gt;7.5-12t (Crit'Air 3);PL Diesel &gt;7.5-12t (Crit'Air 4);PL Diesel &gt;7.5-12t (Crit'Air 5);PL Diesel &gt;14-20t (Crit'Air 2);PL Diesel &gt;14-20t (Crit'Air 3);PL Diesel &gt;14-20t (Crit'Air 4);PL Diesel &gt;14-20t (Crit'Air 5);PL Diesel &gt;20-26t (Crit'Air 2);PL Diesel &gt;20-26t (Crit'Air 3);PL Diesel &gt;20-26t (Crit'Air 4);PL Diesel &gt;20-26t (Crit'Air 5);PL Diesel &gt;28-34t (Crit'Air 2);PL Diesel &gt;28-34t (Crit'Air 3);PL Diesel &gt;28-34t (Crit'Air 4);PL Diesel &gt;28-34t (Crit'Air 5);PL Diesel &gt;34-40t (Crit'Air 2);PL Diesel &gt;34-40t (Crit'Air 3);PL Diesel &gt;34-40t (Crit'Air 4);PL Diesel &gt;34-40t (Crit'Air 5);PL Gaz (GNC) &gt;14-20t (Crit'Air 1);PL Gaz (GNC) &gt;14-20t (Crit'Air 2);PL Gaz (GNC) &gt;20-26t (Crit'Air 1);PL Gaz (GNC) &gt;20-26t (Crit'Air 2);PL Gaz (GNC) &gt;28-34t (Crit'Air 1);PL Gaz (GNC) &gt;28-34t (Crit'Air 2);</t>
  </si>
  <si>
    <t>Souhaitez-vous renseigner…</t>
  </si>
  <si>
    <t>LogChantChoix</t>
  </si>
  <si>
    <t>Proposer un ordre de grandeur commun à toutes les catégories de véhicules</t>
  </si>
  <si>
    <t>Par catégorie de véhicule sélectionnée (meilleure précision),Proposer un ordre de grandeur commun à toutes les catégories de véhicules</t>
  </si>
  <si>
    <t>Distance moyenne parcourue pour l'accès direct au(x) chantier(s) (aller)</t>
  </si>
  <si>
    <t>LogChantAccDirDist</t>
  </si>
  <si>
    <t>Taux de chargement moyen des véhicules pour l'accès direct au(x) chantier(s) (tous types de véhicules confondus - moins bonne précision)</t>
  </si>
  <si>
    <t>LogChantAccDirTC</t>
  </si>
  <si>
    <t>Nombre de trajets associés (tous types de véhicules confondus - moins bonne précision)</t>
  </si>
  <si>
    <t>LogChantAccDirNbTraj</t>
  </si>
  <si>
    <t>Accès à la plateforme logistique</t>
  </si>
  <si>
    <t>Dans le parc global de véhicules en circulation sur le territoire, sélectionnez les catégories de véhicules concernées par ce(s) chantier(s) (accès à la plateforme logistique)</t>
  </si>
  <si>
    <t>LogChantPlatLogParc</t>
  </si>
  <si>
    <t>Distance moyenne parcourue pour l'accès à la plateforme logistique (aller)</t>
  </si>
  <si>
    <t>LogChantPlatLogDist</t>
  </si>
  <si>
    <t>Taux de chargement moyen des véhicules pour l'accès à la plateforme logistique (tous types de véhicules confondus - moins bonne précision)</t>
  </si>
  <si>
    <t>LogChantPlatLogTC</t>
  </si>
  <si>
    <t>LogChantPlatLogNbTraj</t>
  </si>
  <si>
    <t>Accès au(x) chantier(s) depuis la plateforme</t>
  </si>
  <si>
    <t>Dans le parc global de véhicules en circulation sur le territoire, sélectionnez les catégories de véhicules concernées par ce(s) chantier(s) (accès au(x) chantier(s) depuis la plateforme)</t>
  </si>
  <si>
    <t>LogChantDepuisPLParc</t>
  </si>
  <si>
    <t>Distance entre la ou les plateformes et le ou les chantier (aller)</t>
  </si>
  <si>
    <t>LogChantDepuisPLDist</t>
  </si>
  <si>
    <t>Taux de chargement moyen des véhicules pour l'accès au(x) chantier(s) depuis la plateforme (tous types de véhicules confondus - moins bonne précision)</t>
  </si>
  <si>
    <t>LogChantDepuisPLTC</t>
  </si>
  <si>
    <t>LogChantDepuisPLNbTraj</t>
  </si>
  <si>
    <t>Espaces de Logistique Urbains</t>
  </si>
  <si>
    <t>Dans le parc global de véhicules en circulation sur le territoire, sélectionnez les véhicules intervenant dans les chaînes logistiques ciblées par le ou les ELU :</t>
  </si>
  <si>
    <t>ELUParc</t>
  </si>
  <si>
    <t>C3</t>
  </si>
  <si>
    <t>Souhaitez-vous renseigner les informations d'activité…</t>
  </si>
  <si>
    <t>ELUChoix1</t>
  </si>
  <si>
    <t>ELUChoix2</t>
  </si>
  <si>
    <t>Le taux de chargement moyen pour une tournée</t>
  </si>
  <si>
    <t>La masse moyenne transportée pour une tournée,Le taux de chargement moyen pour une tournée</t>
  </si>
  <si>
    <t>Distance moyenne d'une tournée</t>
  </si>
  <si>
    <t>ELUTourneeDist</t>
  </si>
  <si>
    <t>Taux de chargement moyen pour une tournée</t>
  </si>
  <si>
    <t>ELUTourneeTC</t>
  </si>
  <si>
    <t>Masse moyenne transportée sur une tournée</t>
  </si>
  <si>
    <t>ELUTourneeMasse</t>
  </si>
  <si>
    <t>Ordre de grandeur du nombre annuel de tournées</t>
  </si>
  <si>
    <t>ELUTourneeNb</t>
  </si>
  <si>
    <t>tournées</t>
  </si>
  <si>
    <t>Livraisons silencieuses en horaires décalé</t>
  </si>
  <si>
    <t>Dans le parc global de véhicules en circulation sur le territoire, sélectionnez les véhicules intervenant dans les chaînes logistiques ciblées par les livraisons en horaire décalé :</t>
  </si>
  <si>
    <t>LivrNuitParc</t>
  </si>
  <si>
    <t>Intermédiaires</t>
  </si>
  <si>
    <t>C4</t>
  </si>
  <si>
    <t>Souhaitez-vous renseigner les informations d'activité correspondantes…</t>
  </si>
  <si>
    <t>LivrNuitChoix1</t>
  </si>
  <si>
    <t>Par catégorie de véhicule sélectionnée (meilleure précision)</t>
  </si>
  <si>
    <t>LivrNuitChoix2</t>
  </si>
  <si>
    <t>LivrNuitTourneeDist</t>
  </si>
  <si>
    <t>Taux de chargement moyen sur une tournée</t>
  </si>
  <si>
    <t>LivrNuitTourneeTC</t>
  </si>
  <si>
    <t>LivrNuitTourneeMasse</t>
  </si>
  <si>
    <t>LivrNuitTourneeNb</t>
  </si>
  <si>
    <t>% de livraisons déjà en horaire décalé</t>
  </si>
  <si>
    <t>LivrNuitInitDecal</t>
  </si>
  <si>
    <t>Projets urbains immobiliers</t>
  </si>
  <si>
    <t>Surface de construction du ou des projets</t>
  </si>
  <si>
    <t>ProjImmoSurf</t>
  </si>
  <si>
    <t>C7</t>
  </si>
  <si>
    <t>Nombre de projets annuel</t>
  </si>
  <si>
    <t>ProjImmoNb</t>
  </si>
  <si>
    <t>projets</t>
  </si>
  <si>
    <t>Durée moyenne estimée</t>
  </si>
  <si>
    <t>ProjImmoDuree</t>
  </si>
  <si>
    <t>mois</t>
  </si>
  <si>
    <t>Surface du ou des centres de consolidation des chantiers</t>
  </si>
  <si>
    <t>ProjImmoConsolSurf</t>
  </si>
  <si>
    <t>Durée de vie du ou des centres de consolidation des chantiers</t>
  </si>
  <si>
    <t>ProjImmoConsolDuree</t>
  </si>
  <si>
    <t>ProjImmoChoix1</t>
  </si>
  <si>
    <t>Les catégories de véhicules mobilisées avec les données d'activité (ordre de grandeur de la distance parcourue/taux de chargement moyen/etc.)</t>
  </si>
  <si>
    <t>Les consommations d'énergie des véhicules entrants et sortants du site (factures énergétiques des prestataires de transport),Les catégories de véhicules mobilisées avec les données d'activité (ordre de grandeur de la distance parcourue/taux de chargement moyen/etc.),Je n'accès ou ne suis en mesure d'estimer aucune de ces données</t>
  </si>
  <si>
    <t>Consommation de gazole</t>
  </si>
  <si>
    <t>ProjImmoGazole</t>
  </si>
  <si>
    <t>L</t>
  </si>
  <si>
    <t>Consommation de B100</t>
  </si>
  <si>
    <t>ProjImmoB100</t>
  </si>
  <si>
    <t>Consommation d'HVO/XTL</t>
  </si>
  <si>
    <t>ProjImmoHVO</t>
  </si>
  <si>
    <t>Consommation d'essence</t>
  </si>
  <si>
    <t>ProjImmoEssence</t>
  </si>
  <si>
    <t>Consommation d'E85/E95/E100</t>
  </si>
  <si>
    <t>ProjImmoBioeth</t>
  </si>
  <si>
    <t>Consommation de GNV</t>
  </si>
  <si>
    <t>ProjImmoGNV</t>
  </si>
  <si>
    <t>kWh</t>
  </si>
  <si>
    <t>Consommation de GPL</t>
  </si>
  <si>
    <t>ProjImmoGPL</t>
  </si>
  <si>
    <t>Consommation d'Electricité</t>
  </si>
  <si>
    <t>ProjImmoElec</t>
  </si>
  <si>
    <t>Consommation d'Hydrogène</t>
  </si>
  <si>
    <t>ProjImmoH2</t>
  </si>
  <si>
    <t>Généralités sur le(s) projet(s)</t>
  </si>
  <si>
    <t>Une plateforme logistique intermédiaire a-t-elle été utilisée sur ce(s) projet(s) ?</t>
  </si>
  <si>
    <t>ProjImmoPlatLog</t>
  </si>
  <si>
    <t>ProjImmoCHoix2</t>
  </si>
  <si>
    <t>Accès direct au(x) projet(s)</t>
  </si>
  <si>
    <t>Dans le parc global de véhicules en circulation sur le territoire, sélectionnez les catégories de véhicules concernées par ce(s) projet(s) (accès direct)</t>
  </si>
  <si>
    <t>ProjImmoAccDirParc</t>
  </si>
  <si>
    <t>Distance moyenne parcourue pour l'accès direct au(x) projet(s)</t>
  </si>
  <si>
    <t>ProjImmoAccDirDistMoy</t>
  </si>
  <si>
    <t>Taux de chargement moyen des véhicules pour l'accès direct au(x) projet(s) (tous types de véhicules confondus - moins bonne précision)</t>
  </si>
  <si>
    <t>ProjImmoAccDirTC</t>
  </si>
  <si>
    <t>Distance parcourue associée (tous types de véhicules confondus - moins bonne précision)</t>
  </si>
  <si>
    <t>ProjImmoAccDirDist</t>
  </si>
  <si>
    <t>ProjImmoAccDirNbTraj</t>
  </si>
  <si>
    <t>Dans le parc global de véhicules en circulation sur le territoire, sélectionnez les catégories de véhicules concernées par ce(s) projet(s) (accès à la plateforme logistique)</t>
  </si>
  <si>
    <t>ProjImmoPlatLogParc</t>
  </si>
  <si>
    <t>Distance moyenne parcourue pour l'accès à la plateforme logistique</t>
  </si>
  <si>
    <t>ProjImmoPlatLogDistMoy</t>
  </si>
  <si>
    <t>ProjImmoPlatLogTC</t>
  </si>
  <si>
    <t>ProjImmoPlatLogDist</t>
  </si>
  <si>
    <t>ProjImmoPlatLogNbTraj</t>
  </si>
  <si>
    <t>Accès au(x) projet(s) depuis la plateforme</t>
  </si>
  <si>
    <t>Dans le parc global de véhicules en circulation sur le territoire, sélectionnez les catégories de véhicules concernées par ce(s) projet(s) (accès au(x) projet(s) depuis la plateforme)</t>
  </si>
  <si>
    <t>ProjImmoDepuisPLParc</t>
  </si>
  <si>
    <t>Distance moyenne parcourue pour l'accès au(x) projet(s) depuis la plateforme</t>
  </si>
  <si>
    <t>ProjImmoDepuisPLDistMoy</t>
  </si>
  <si>
    <t>Taux de chargement moyen des véhicules pour l'accès au(x) projet(s) depuis la plateforme (tous types de véhicules confondus - moins bonne précision)</t>
  </si>
  <si>
    <t>ProjImmoDepuisPLTC</t>
  </si>
  <si>
    <t>ProjImmoDepuisPLDist</t>
  </si>
  <si>
    <t>ProjImmoDepuisPLNbTraj</t>
  </si>
  <si>
    <t>E-commerce</t>
  </si>
  <si>
    <t>Nombre de points relais sur le territoire (commerces)</t>
  </si>
  <si>
    <t>ECommPtRel</t>
  </si>
  <si>
    <t>points relais</t>
  </si>
  <si>
    <t>C9</t>
  </si>
  <si>
    <t>Nombre de points relais sur le territoire (lockers)</t>
  </si>
  <si>
    <t>ECommLock</t>
  </si>
  <si>
    <t>lockers</t>
  </si>
  <si>
    <t>Nombre d'achats de produits en ligne par ménage et par an</t>
  </si>
  <si>
    <t>ECommNbAchMen</t>
  </si>
  <si>
    <t>achats en ligne/an</t>
  </si>
  <si>
    <t>Part de livraison à domicile</t>
  </si>
  <si>
    <t>ECommPartDom</t>
  </si>
  <si>
    <t>Part de retrait en relais-colis</t>
  </si>
  <si>
    <t>ECommPartRel</t>
  </si>
  <si>
    <t>VUL Electrique (Crit'Air E)</t>
  </si>
  <si>
    <t>VUL Electrique (Crit'Air E) ; VUL Diesel (Crit'Air 2);VUL Diesel (Crit'Air 3);VUL Diesel (Crit'Air 4);VUL Diesel (Crit'Air 5);VUL Essence (Crit'Air 1);VUL Essence &lt;=3,5t (Crit'Air 2);VUL Essence &lt;=3,5t (Crit'Air 3);VUL Gaz (GNC) (Crit'Air 1);PL Electrique &lt;=7.5t (Crit'Air E);PL Electrique &gt;7.5-12t (Crit'Air E);PL Electrique &gt;14-20t (Crit'Air E);PL Electrique &gt;20-26t (Crit'Air E);PL Electrique &gt;28-34t (Crit'Air E);PL Electrique &gt;34-40t (Crit'Air E);PL Diesel &lt;=7.5t (Crit'Air 2);PL Diesel &lt;=7.5t (Crit'Air 3);PL Diesel &lt;=7.5t (Crit'Air 4);PL Diesel &lt;=7.5t (Crit'Air 5);PL Diesel &gt;7.5-12t (Crit'Air 2);PL Diesel &gt;7.5-12t (Crit'Air 3);PL Diesel &gt;7.5-12t (Crit'Air 4);PL Diesel &gt;7.5-12t (Crit'Air 5);PL Diesel &gt;14-20t (Crit'Air 2);PL Diesel &gt;14-20t (Crit'Air 3);PL Diesel &gt;14-20t (Crit'Air 4);PL Diesel &gt;14-20t (Crit'Air 5);PL Diesel &gt;20-26t (Crit'Air 2);PL Diesel &gt;20-26t (Crit'Air 3);PL Diesel &gt;20-26t (Crit'Air 4);PL Diesel &gt;20-26t (Crit'Air 5);PL Diesel &gt;28-34t (Crit'Air 2);PL Diesel &gt;28-34t (Crit'Air 3);PL Diesel &gt;28-34t (Crit'Air 4);PL Diesel &gt;28-34t (Crit'Air 5);PL Diesel &gt;34-40t (Crit'Air 2);PL Diesel &gt;34-40t (Crit'Air 3);PL Diesel &gt;34-40t (Crit'Air 4);PL Diesel &gt;34-40t (Crit'Air 5);PL Gaz (GNC) &gt;14-20t (Crit'Air 1);PL Gaz (GNC) &gt;14-20t (Crit'Air 2);PL Gaz (GNC) &gt;20-26t (Crit'Air 1);PL Gaz (GNC) &gt;20-26t (Crit'Air 2);PL Gaz (GNC) &gt;28-34t (Crit'Air 1);PL Gaz (GNC) &gt;28-34t (Crit'Air 2);</t>
  </si>
  <si>
    <t>chat</t>
  </si>
  <si>
    <t>chat noir</t>
  </si>
  <si>
    <t>VUL Diesel (Crit'Air 2)</t>
  </si>
  <si>
    <t>PL Gaz (GNC) &gt;28-34t (Crit'Air 2)</t>
  </si>
  <si>
    <t>VUL Diesel (Crit'Air 3)</t>
  </si>
  <si>
    <t>VUL Diesel (Crit'Air 4)</t>
  </si>
  <si>
    <t>VUL Diesel (Crit'Air 5)</t>
  </si>
  <si>
    <t>VUL Essence (Crit'Air 1)</t>
  </si>
  <si>
    <t>VUL Essence &lt;=3,5t (Crit'Air 2)</t>
  </si>
  <si>
    <t>VUL Essence &lt;=3,5t (Crit'Air 3)</t>
  </si>
  <si>
    <t>VUL Gaz (GNC) (Crit'Air 1)</t>
  </si>
  <si>
    <t>PL Electrique &lt;=7.5t (Crit'Air E)</t>
  </si>
  <si>
    <t>PL Electrique &gt;7.5-12t (Crit'Air E)</t>
  </si>
  <si>
    <t>PL Electrique &gt;14-20t (Crit'Air E)</t>
  </si>
  <si>
    <t>PL Electrique &gt;20-26t (Crit'Air E)</t>
  </si>
  <si>
    <t>PL Electrique &gt;28-34t (Crit'Air E)</t>
  </si>
  <si>
    <t>PL Electrique &gt;34-40t (Crit'Air E)</t>
  </si>
  <si>
    <t>PL Diesel &lt;=7.5t (Crit'Air 2)</t>
  </si>
  <si>
    <t>PL Diesel &lt;=7.5t (Crit'Air 3)</t>
  </si>
  <si>
    <t>PL Diesel &lt;=7.5t (Crit'Air 4)</t>
  </si>
  <si>
    <t>PL Diesel &lt;=7.5t (Crit'Air 5)</t>
  </si>
  <si>
    <t>PL Diesel &gt;7.5-12t (Crit'Air 2)</t>
  </si>
  <si>
    <t>PL Diesel &gt;7.5-12t (Crit'Air 3)</t>
  </si>
  <si>
    <t>PL Diesel &gt;7.5-12t (Crit'Air 4)</t>
  </si>
  <si>
    <t>PL Diesel &gt;7.5-12t (Crit'Air 5)</t>
  </si>
  <si>
    <t>PL Diesel &gt;14-20t (Crit'Air 2)</t>
  </si>
  <si>
    <t>PL Diesel &gt;14-20t (Crit'Air 3)</t>
  </si>
  <si>
    <t>PL Diesel &gt;14-20t (Crit'Air 4)</t>
  </si>
  <si>
    <t>PL Diesel &gt;14-20t (Crit'Air 5)</t>
  </si>
  <si>
    <t>PL Diesel &gt;20-26t (Crit'Air 2)</t>
  </si>
  <si>
    <t>PL Diesel &gt;20-26t (Crit'Air 3)</t>
  </si>
  <si>
    <t>PL Diesel &gt;20-26t (Crit'Air 4)</t>
  </si>
  <si>
    <t>PL Diesel &gt;20-26t (Crit'Air 5)</t>
  </si>
  <si>
    <t>PL Diesel &gt;28-34t (Crit'Air 2)</t>
  </si>
  <si>
    <t>PL Diesel &gt;28-34t (Crit'Air 3)</t>
  </si>
  <si>
    <t>PL Diesel &gt;28-34t (Crit'Air 4)</t>
  </si>
  <si>
    <t>PL Diesel &gt;28-34t (Crit'Air 5)</t>
  </si>
  <si>
    <t>PL Diesel &gt;34-40t (Crit'Air 2)</t>
  </si>
  <si>
    <t>PL Diesel &gt;34-40t (Crit'Air 3)</t>
  </si>
  <si>
    <t>PL Diesel &gt;34-40t (Crit'Air 4)</t>
  </si>
  <si>
    <t>PL Diesel &gt;34-40t (Crit'Air 5)</t>
  </si>
  <si>
    <t>PL Gaz (GNC) &gt;14-20t (Crit'Air 1)</t>
  </si>
  <si>
    <t>PL Gaz (GNC) &gt;14-20t (Crit'Air 2)</t>
  </si>
  <si>
    <t>PL Gaz (GNC) &gt;20-26t (Crit'Air 1)</t>
  </si>
  <si>
    <t>PL Gaz (GNC) &gt;20-26t (Crit'Air 2)</t>
  </si>
  <si>
    <t>PL Gaz (GNC) &gt;28-34t (Crit'Air 1)</t>
  </si>
  <si>
    <t>VUL Electrique (Crit'Air E) ; VUL Diesel (Crit'Air 3) ; PL Gaz (GNC) &gt;28-34t (Crit'Air 1)</t>
  </si>
  <si>
    <t>C6</t>
  </si>
  <si>
    <t>Usage des transports en commun pour le fret</t>
  </si>
  <si>
    <t>Articulés lourds</t>
  </si>
  <si>
    <t>Généralités</t>
  </si>
  <si>
    <t>Construction neuve</t>
  </si>
  <si>
    <t>Construction neuve,Ecoconstruction,Rénovation conventionnelle,Ecorénovation,Usage direct de bâti préexistant,Urbanisme tactique</t>
  </si>
  <si>
    <t>Ecorénovation</t>
  </si>
  <si>
    <t>ELUTypeBati</t>
  </si>
  <si>
    <t>Type de bâti</t>
  </si>
  <si>
    <t>Espaces de logistique urbains</t>
  </si>
  <si>
    <t>ELUSurf</t>
  </si>
  <si>
    <t>ELUSurfChoix</t>
  </si>
  <si>
    <t>Construction d'une plateforme dédiée ?</t>
  </si>
  <si>
    <t>ELUPMCyclo</t>
  </si>
  <si>
    <t>ELUPMFerr</t>
  </si>
  <si>
    <t>Ferroviaire</t>
  </si>
  <si>
    <t>ELUPMFluv</t>
  </si>
  <si>
    <t>Fluvial</t>
  </si>
  <si>
    <t>ELUPMRout</t>
  </si>
  <si>
    <t>Routier</t>
  </si>
  <si>
    <t>E,1,2,3</t>
  </si>
  <si>
    <t>E,1,2,3,4,5</t>
  </si>
  <si>
    <t>E,1,2,3,4</t>
  </si>
  <si>
    <t>ZFEmAttendu</t>
  </si>
  <si>
    <t>Classification réglementairement attendue de la ZFEm (niveaux Crit'Air autorisés)</t>
  </si>
  <si>
    <t>Electrique</t>
  </si>
  <si>
    <t>Hydrogène produit à partir d'électricité renouvelable</t>
  </si>
  <si>
    <t>ProjMen</t>
  </si>
  <si>
    <t>Projection de nombre de ménages</t>
  </si>
  <si>
    <t>ProjPop</t>
  </si>
  <si>
    <t>Projection de population</t>
  </si>
  <si>
    <t>catégories de barges</t>
  </si>
  <si>
    <t>FretFluvNbCat</t>
  </si>
  <si>
    <t>Combien de catégories de barges souhaitez-vouz renseigner ?</t>
  </si>
  <si>
    <t>X</t>
  </si>
  <si>
    <t>Part de bioGNV distribuée sur le territoire</t>
  </si>
  <si>
    <t>AnRef</t>
  </si>
  <si>
    <t>Année de la situation de référence</t>
  </si>
  <si>
    <t>Nombre d'achats en ligne par ménage et par an</t>
  </si>
  <si>
    <t>recours</t>
  </si>
  <si>
    <t>Uniquement via des rames dédiées</t>
  </si>
  <si>
    <t>Nombre annuel de recours au service</t>
  </si>
  <si>
    <t>Métrofret</t>
  </si>
  <si>
    <t>Masse d'emport moyenne</t>
  </si>
  <si>
    <t>Masse totale transportée</t>
  </si>
  <si>
    <t>km de lignes concernées</t>
  </si>
  <si>
    <t>Distance parcourue annuellement</t>
  </si>
  <si>
    <t>Tramfret</t>
  </si>
  <si>
    <t>Busfret ou carfret</t>
  </si>
  <si>
    <t>Masse totale transportée sur l'année,Masse moyenne d'emport/Nombre annuel de recours au service</t>
  </si>
  <si>
    <t>Masse totale transportée sur l'année</t>
  </si>
  <si>
    <t>FretTCChoix2</t>
  </si>
  <si>
    <t>Souhaitez-vous renseigner le volume de marchandise transporté en…</t>
  </si>
  <si>
    <t>Distance parcourue annuellement,km de lignes concernées/Nombre annuel de recours au service (un peu moins précis)</t>
  </si>
  <si>
    <t>FretTCChoix1</t>
  </si>
  <si>
    <t>Souhaitez-vous renseigner les distances parcourues  correspondantes en…</t>
  </si>
  <si>
    <t>Busfret ou carfret,Tramfret,Métrofret</t>
  </si>
  <si>
    <t>FretTCModes</t>
  </si>
  <si>
    <t>Quels modes de transports en commun utilisez vous pour le fret ?</t>
  </si>
  <si>
    <t>LivrNuitTourneePassNuit</t>
  </si>
  <si>
    <t>Passages effectifs en horaire décalé</t>
  </si>
  <si>
    <t>Souhaitez-vous renseigner la distance moyenne d'une tournée, la masse moyenne transportée et un ordre de grandeur du nombre annuel de tournées…</t>
  </si>
  <si>
    <t>ELUTourneeNbCyclolog</t>
  </si>
  <si>
    <t>Nombre annuel de tournées (cycologistique)</t>
  </si>
  <si>
    <t>Tournées depuis l'ELU</t>
  </si>
  <si>
    <t>ELUTourneeDistCyclolog</t>
  </si>
  <si>
    <t>Distance moyenne d'une tournée (cyclologistique)</t>
  </si>
  <si>
    <t>ELUTourneeTCCyclolog</t>
  </si>
  <si>
    <t>Taux de chargement moyen des véhicules pour les tournées depuis le ou les ELU (cyclologistique)</t>
  </si>
  <si>
    <t>Nombre annuel de tournées (tous types de véhicules confondus - moins bonne précision)</t>
  </si>
  <si>
    <t>Distance moyenne d'une tournée (tous types de véhicules confondus - moins bonne précision)</t>
  </si>
  <si>
    <t>Taux de chargement moyen des véhicules pour les tournées depuis l'ELU (tous types de véhicules confondus - moins bonne précision)</t>
  </si>
  <si>
    <t>ELUTourneeDistMoy</t>
  </si>
  <si>
    <t>Distance moyenne des tournées depuis le ou les ELU</t>
  </si>
  <si>
    <t>ELUTourneeParc</t>
  </si>
  <si>
    <t>Dans le parc global de véhicules en circulation sur le territoire, sélectionnez les catégories de véhicules concernées par ce(s) ELU (tournée depuis l'ELU)</t>
  </si>
  <si>
    <t>Approvisionnement de l'ELU</t>
  </si>
  <si>
    <t>ELUApproNbTraj</t>
  </si>
  <si>
    <t>ELUApproDist</t>
  </si>
  <si>
    <t>ELUApproTC</t>
  </si>
  <si>
    <t>Taux de chargement moyen des véhicules pour l'accès à l'ELU (tous types de véhicules confondus - moins bonne précision)</t>
  </si>
  <si>
    <t>ELUApproDistMoy</t>
  </si>
  <si>
    <t>Distance moyenne parcourue pour l'accès à l'ELU</t>
  </si>
  <si>
    <t>ELUApproParc</t>
  </si>
  <si>
    <t>Dans le parc global de véhicules en circulation sur le territoire, sélectionnez les catégories de véhicules concernées par ce(s) ELU (approvisionnement de l'ELU)</t>
  </si>
  <si>
    <t>ELUChoix</t>
  </si>
  <si>
    <t>Dans le parc global de véhicules en circulation sur le territoire, sélectionnez les véhicules intervenant dans les chaînes logistiques à l'ELU ou aux ELU :</t>
  </si>
  <si>
    <t>Part modale (en t.km) pour chaque type de véhicule concerné par l'ELU</t>
  </si>
  <si>
    <t>Caractéristiques générales du ou des ELU</t>
  </si>
  <si>
    <t>Surface de la ou des plateformes</t>
  </si>
  <si>
    <t>Distance moyenne entre la ou les plateformes et le ou les chantier (aller)</t>
  </si>
  <si>
    <t>ZFEmReel</t>
  </si>
  <si>
    <t>Classification réelle de la ZFEm (niveaux Crit'Air autorisés)</t>
  </si>
  <si>
    <t>tonnes / kW</t>
  </si>
  <si>
    <t>Technologie moteur</t>
  </si>
  <si>
    <t>Nombre de barges correspondants</t>
  </si>
  <si>
    <t>x</t>
  </si>
  <si>
    <t>Limite : 56</t>
  </si>
  <si>
    <t>FretFluvCat1Nom</t>
  </si>
  <si>
    <t>Automoteurs &lt; 400 tonnes CCNR 2 ou inférieur, diesel</t>
  </si>
  <si>
    <t>FretFluvCat1Type</t>
  </si>
  <si>
    <t>Automoteurs</t>
  </si>
  <si>
    <t>FretFluvCat1Cap</t>
  </si>
  <si>
    <t>&lt; 400 tonnes</t>
  </si>
  <si>
    <t>FretFluvCat1Tech</t>
  </si>
  <si>
    <t>CCNR 2 ou inférieur, diesel</t>
  </si>
  <si>
    <t>FretFluvCat1Request</t>
  </si>
  <si>
    <t>FretFluvCat1NbTraj</t>
  </si>
  <si>
    <t>FretFluvCat1DistMoy</t>
  </si>
  <si>
    <t>FretFluvCat1EmportMoy</t>
  </si>
  <si>
    <t>FretFluvCat1DistAn</t>
  </si>
  <si>
    <t>FretFluvCat1TauxChargeMoy</t>
  </si>
  <si>
    <t>FretFluvCat1NbBarges</t>
  </si>
  <si>
    <t>FretFluvCat2Nom</t>
  </si>
  <si>
    <t>Automoteurs &lt; 400 tonnes CCNR 2 + SCR, diesel</t>
  </si>
  <si>
    <t>FretFluvCat2Type</t>
  </si>
  <si>
    <t>FretFluvCat2Cap</t>
  </si>
  <si>
    <t>FretFluvCat2Tech</t>
  </si>
  <si>
    <t>CCNR 2 + SCR, diesel</t>
  </si>
  <si>
    <t>FretFluvCat2Request</t>
  </si>
  <si>
    <t>FretFluvCat2NbTraj</t>
  </si>
  <si>
    <t>FretFluvCat2DistMoy</t>
  </si>
  <si>
    <t>FretFluvCat2EmportMoy</t>
  </si>
  <si>
    <t>FretFluvCat2DistAn</t>
  </si>
  <si>
    <t>FretFluvCat2TauxChargeMoy</t>
  </si>
  <si>
    <t>FretFluvCat2NbBarges</t>
  </si>
  <si>
    <t>FretFluvCat3Nom</t>
  </si>
  <si>
    <t>Automoteurs &lt; 400 tonnes Phase V, diesel</t>
  </si>
  <si>
    <t>FretFluvCat3Type</t>
  </si>
  <si>
    <t>FretFluvCat3Cap</t>
  </si>
  <si>
    <t>FretFluvCat3Tech</t>
  </si>
  <si>
    <t>Phase V, diesel</t>
  </si>
  <si>
    <t>FretFluvCat3Request</t>
  </si>
  <si>
    <t>FretFluvCat3NbTraj</t>
  </si>
  <si>
    <t>FretFluvCat3DistMoy</t>
  </si>
  <si>
    <t>FretFluvCat3EmportMoy</t>
  </si>
  <si>
    <t>FretFluvCat3DistAn</t>
  </si>
  <si>
    <t>FretFluvCat3TauxChargeMoy</t>
  </si>
  <si>
    <t>FretFluvCat3NbBarges</t>
  </si>
  <si>
    <t>FretFluvCat4Nom</t>
  </si>
  <si>
    <t>Automoteurs &lt; 400 tonnes Phase V, HVO</t>
  </si>
  <si>
    <t>FretFluvCat4Type</t>
  </si>
  <si>
    <t>FretFluvCat4Cap</t>
  </si>
  <si>
    <t>FretFluvCat4Tech</t>
  </si>
  <si>
    <t>Phase V, HVO</t>
  </si>
  <si>
    <t>FretFluvCat4Request</t>
  </si>
  <si>
    <t>FretFluvCat4NbTraj</t>
  </si>
  <si>
    <t>FretFluvCat4DistMoy</t>
  </si>
  <si>
    <t>FretFluvCat4EmportMoy</t>
  </si>
  <si>
    <t>FretFluvCat4DistAn</t>
  </si>
  <si>
    <t>FretFluvCat4TauxChargeMoy</t>
  </si>
  <si>
    <t>FretFluvCat4NbBarges</t>
  </si>
  <si>
    <t>FretFluvCat5Nom</t>
  </si>
  <si>
    <t>Automoteurs &lt; 400 tonnes Batterie</t>
  </si>
  <si>
    <t>FretFluvCat5Type</t>
  </si>
  <si>
    <t>FretFluvCat5Cap</t>
  </si>
  <si>
    <t>FretFluvCat5Tech</t>
  </si>
  <si>
    <t>Batterie</t>
  </si>
  <si>
    <t>FretFluvCat5Request</t>
  </si>
  <si>
    <t>FretFluvCat5NbTraj</t>
  </si>
  <si>
    <t>FretFluvCat5DistMoy</t>
  </si>
  <si>
    <t>FretFluvCat5EmportMoy</t>
  </si>
  <si>
    <t>FretFluvCat5DistAn</t>
  </si>
  <si>
    <t>FretFluvCat5TauxChargeMoy</t>
  </si>
  <si>
    <t>FretFluvCat5NbBarges</t>
  </si>
  <si>
    <t>FretFluvCat6Nom</t>
  </si>
  <si>
    <t>Automoteurs &lt; 400 tonnes H2 , PAC</t>
  </si>
  <si>
    <t>FretFluvCat6Type</t>
  </si>
  <si>
    <t>FretFluvCat6Cap</t>
  </si>
  <si>
    <t>FretFluvCat6Tech</t>
  </si>
  <si>
    <t>H2 , PAC</t>
  </si>
  <si>
    <t>FretFluvCat6Request</t>
  </si>
  <si>
    <t>FretFluvCat6NbTraj</t>
  </si>
  <si>
    <t>FretFluvCat6DistMoy</t>
  </si>
  <si>
    <t>FretFluvCat6EmportMoy</t>
  </si>
  <si>
    <t>FretFluvCat6DistAn</t>
  </si>
  <si>
    <t>FretFluvCat6TauxChargeMoy</t>
  </si>
  <si>
    <t>FretFluvCat6NbBarges</t>
  </si>
  <si>
    <t>FretFluvCat7Nom</t>
  </si>
  <si>
    <t>Automoteurs &lt; 400 tonnes H2 , ICE</t>
  </si>
  <si>
    <t>FretFluvCat7Type</t>
  </si>
  <si>
    <t>FretFluvCat7Cap</t>
  </si>
  <si>
    <t>FretFluvCat7Tech</t>
  </si>
  <si>
    <t>H2 , ICE</t>
  </si>
  <si>
    <t>FretFluvCat7Request</t>
  </si>
  <si>
    <t>FretFluvCat7NbTraj</t>
  </si>
  <si>
    <t>FretFluvCat7DistMoy</t>
  </si>
  <si>
    <t>FretFluvCat7EmportMoy</t>
  </si>
  <si>
    <t>FretFluvCat7DistAn</t>
  </si>
  <si>
    <t>FretFluvCat7TauxChargeMoy</t>
  </si>
  <si>
    <t>FretFluvCat7NbBarges</t>
  </si>
  <si>
    <t>FretFluvCat8Nom</t>
  </si>
  <si>
    <t>Automoteurs 400-649 tonnes CCNR 2 ou inférieur, diesel</t>
  </si>
  <si>
    <t>FretFluvCat8Type</t>
  </si>
  <si>
    <t>FretFluvCat8Cap</t>
  </si>
  <si>
    <t>400-649 tonnes</t>
  </si>
  <si>
    <t>FretFluvCat8Tech</t>
  </si>
  <si>
    <t>FretFluvCat8Request</t>
  </si>
  <si>
    <t>FretFluvCat8NbTraj</t>
  </si>
  <si>
    <t>FretFluvCat8DistMoy</t>
  </si>
  <si>
    <t>FretFluvCat8EmportMoy</t>
  </si>
  <si>
    <t>FretFluvCat8DistAn</t>
  </si>
  <si>
    <t>FretFluvCat8TauxChargeMoy</t>
  </si>
  <si>
    <t>FretFluvCat8NbBarges</t>
  </si>
  <si>
    <t>FretFluvCat 9Nom</t>
  </si>
  <si>
    <t>Automoteurs 400-649 tonnes CCNR 2 + SCR, diesel</t>
  </si>
  <si>
    <t>FretFluvCat 9Type</t>
  </si>
  <si>
    <t>FretFluvCat 9Cap</t>
  </si>
  <si>
    <t>FretFluvCat 9Tech</t>
  </si>
  <si>
    <t>FretFluvCat 9Request</t>
  </si>
  <si>
    <t>FretFluvCat 9NbTraj</t>
  </si>
  <si>
    <t>FretFluvCat 9DistMoy</t>
  </si>
  <si>
    <t>FretFluvCat 9EmportMoy</t>
  </si>
  <si>
    <t>FretFluvCat 9DistAn</t>
  </si>
  <si>
    <t>FretFluvCat 9TauxChargeMoy</t>
  </si>
  <si>
    <t>FretFluvCat 9NbBarges</t>
  </si>
  <si>
    <t>FretFluvCat10Nom</t>
  </si>
  <si>
    <t>Automoteurs 400-649 tonnes Phase V, diesel</t>
  </si>
  <si>
    <t>FretFluvCat10Type</t>
  </si>
  <si>
    <t>FretFluvCat10Cap</t>
  </si>
  <si>
    <t>FretFluvCat10Tech</t>
  </si>
  <si>
    <t>FretFluvCat10Request</t>
  </si>
  <si>
    <t>FretFluvCat10NbTraj</t>
  </si>
  <si>
    <t>FretFluvCat10DistMoy</t>
  </si>
  <si>
    <t>FretFluvCat10EmportMoy</t>
  </si>
  <si>
    <t>FretFluvCat10DistAn</t>
  </si>
  <si>
    <t>FretFluvCat10TauxChargeMoy</t>
  </si>
  <si>
    <t>FretFluvCat10NbBarges</t>
  </si>
  <si>
    <t>FretFluvCat11Nom</t>
  </si>
  <si>
    <t>Automoteurs 400-649 tonnes Phase V, HVO</t>
  </si>
  <si>
    <t>FretFluvCat11Type</t>
  </si>
  <si>
    <t>FretFluvCat11Cap</t>
  </si>
  <si>
    <t>FretFluvCat11Tech</t>
  </si>
  <si>
    <t>FretFluvCat11Request</t>
  </si>
  <si>
    <t>FretFluvCat11NbTraj</t>
  </si>
  <si>
    <t>FretFluvCat11DistMoy</t>
  </si>
  <si>
    <t>FretFluvCat11EmportMoy</t>
  </si>
  <si>
    <t>FretFluvCat11DistAn</t>
  </si>
  <si>
    <t>FretFluvCat11TauxChargeMoy</t>
  </si>
  <si>
    <t>FretFluvCat11NbBarges</t>
  </si>
  <si>
    <t>FretFluvCat12Nom</t>
  </si>
  <si>
    <t>Automoteurs 400-649 tonnes Batterie</t>
  </si>
  <si>
    <t>FretFluvCat12Type</t>
  </si>
  <si>
    <t>FretFluvCat12Cap</t>
  </si>
  <si>
    <t>FretFluvCat12Tech</t>
  </si>
  <si>
    <t>FretFluvCat12Request</t>
  </si>
  <si>
    <t>FretFluvCat12NbTraj</t>
  </si>
  <si>
    <t>FretFluvCat12DistMoy</t>
  </si>
  <si>
    <t>FretFluvCat12EmportMoy</t>
  </si>
  <si>
    <t>FretFluvCat12DistAn</t>
  </si>
  <si>
    <t>FretFluvCat12TauxChargeMoy</t>
  </si>
  <si>
    <t>FretFluvCat12NbBarges</t>
  </si>
  <si>
    <t>FretFluvCat13Nom</t>
  </si>
  <si>
    <t>Automoteurs 400-649 tonnes H2 , PAC</t>
  </si>
  <si>
    <t>FretFluvCat13Type</t>
  </si>
  <si>
    <t>FretFluvCat13Cap</t>
  </si>
  <si>
    <t>FretFluvCat13Tech</t>
  </si>
  <si>
    <t>FretFluvCat13Request</t>
  </si>
  <si>
    <t>FretFluvCat13NbTraj</t>
  </si>
  <si>
    <t>FretFluvCat13DistMoy</t>
  </si>
  <si>
    <t>FretFluvCat13EmportMoy</t>
  </si>
  <si>
    <t>FretFluvCat13DistAn</t>
  </si>
  <si>
    <t>FretFluvCat13TauxChargeMoy</t>
  </si>
  <si>
    <t>FretFluvCat13NbBarges</t>
  </si>
  <si>
    <t>FretFluvCat14Nom</t>
  </si>
  <si>
    <t>Automoteurs 400-649 tonnes H2 , ICE</t>
  </si>
  <si>
    <t>FretFluvCat14Type</t>
  </si>
  <si>
    <t>FretFluvCat14Cap</t>
  </si>
  <si>
    <t>FretFluvCat14Tech</t>
  </si>
  <si>
    <t>FretFluvCat14Request</t>
  </si>
  <si>
    <t>FretFluvCat14NbTraj</t>
  </si>
  <si>
    <t>FretFluvCat14DistMoy</t>
  </si>
  <si>
    <t>FretFluvCat14EmportMoy</t>
  </si>
  <si>
    <t>FretFluvCat14DistAn</t>
  </si>
  <si>
    <t>FretFluvCat14TauxChargeMoy</t>
  </si>
  <si>
    <t>FretFluvCat14NbBarges</t>
  </si>
  <si>
    <t>FretFluvCat15Nom</t>
  </si>
  <si>
    <t>Automoteurs 650-999 tonnes CCNR 2 ou inférieur, diesel</t>
  </si>
  <si>
    <t>FretFluvCat15Type</t>
  </si>
  <si>
    <t>FretFluvCat15Cap</t>
  </si>
  <si>
    <t>650-999 tonnes</t>
  </si>
  <si>
    <t>FretFluvCat15Tech</t>
  </si>
  <si>
    <t>FretFluvCat15Request</t>
  </si>
  <si>
    <t>FretFluvCat15NbTraj</t>
  </si>
  <si>
    <t>FretFluvCat15DistMoy</t>
  </si>
  <si>
    <t>FretFluvCat15EmportMoy</t>
  </si>
  <si>
    <t>FretFluvCat15DistAn</t>
  </si>
  <si>
    <t>FretFluvCat15TauxChargeMoy</t>
  </si>
  <si>
    <t>FretFluvCat15NbBarges</t>
  </si>
  <si>
    <t>FretFluvCat16Nom</t>
  </si>
  <si>
    <t>Automoteurs 650-999 tonnes CCNR 2 + SCR, diesel</t>
  </si>
  <si>
    <t>FretFluvCat16Type</t>
  </si>
  <si>
    <t>FretFluvCat16Cap</t>
  </si>
  <si>
    <t>FretFluvCat16Tech</t>
  </si>
  <si>
    <t>FretFluvCat16Request</t>
  </si>
  <si>
    <t>FretFluvCat16NbTraj</t>
  </si>
  <si>
    <t>FretFluvCat16DistMoy</t>
  </si>
  <si>
    <t>FretFluvCat16EmportMoy</t>
  </si>
  <si>
    <t>FretFluvCat16DistAn</t>
  </si>
  <si>
    <t>FretFluvCat16TauxChargeMoy</t>
  </si>
  <si>
    <t>FretFluvCat16NbBarges</t>
  </si>
  <si>
    <t>FretFluvCat17Nom</t>
  </si>
  <si>
    <t>Automoteurs 650-999 tonnes Phase V, diesel</t>
  </si>
  <si>
    <t>FretFluvCat17Type</t>
  </si>
  <si>
    <t>FretFluvCat17Cap</t>
  </si>
  <si>
    <t>FretFluvCat17Tech</t>
  </si>
  <si>
    <t>FretFluvCat17Request</t>
  </si>
  <si>
    <t>FretFluvCat17NbTraj</t>
  </si>
  <si>
    <t>FretFluvCat17DistMoy</t>
  </si>
  <si>
    <t>FretFluvCat17EmportMoy</t>
  </si>
  <si>
    <t>FretFluvCat17DistAn</t>
  </si>
  <si>
    <t>FretFluvCat17TauxChargeMoy</t>
  </si>
  <si>
    <t>FretFluvCat17NbBarges</t>
  </si>
  <si>
    <t>FretFluvCat18Nom</t>
  </si>
  <si>
    <t>Automoteurs 650-999 tonnes Phase V, HVO</t>
  </si>
  <si>
    <t>FretFluvCat18Type</t>
  </si>
  <si>
    <t>FretFluvCat18Cap</t>
  </si>
  <si>
    <t>FretFluvCat18Tech</t>
  </si>
  <si>
    <t>FretFluvCat18Request</t>
  </si>
  <si>
    <t>FretFluvCat18NbTraj</t>
  </si>
  <si>
    <t>FretFluvCat18DistMoy</t>
  </si>
  <si>
    <t>FretFluvCat18EmportMoy</t>
  </si>
  <si>
    <t>FretFluvCat18DistAn</t>
  </si>
  <si>
    <t>FretFluvCat18TauxChargeMoy</t>
  </si>
  <si>
    <t>FretFluvCat18NbBarges</t>
  </si>
  <si>
    <t>FretFluvCat19Nom</t>
  </si>
  <si>
    <t>Automoteurs 650-999 tonnes Batterie</t>
  </si>
  <si>
    <t>FretFluvCat19Type</t>
  </si>
  <si>
    <t>FretFluvCat19Cap</t>
  </si>
  <si>
    <t>FretFluvCat19Tech</t>
  </si>
  <si>
    <t>FretFluvCat19Request</t>
  </si>
  <si>
    <t>FretFluvCat19NbTraj</t>
  </si>
  <si>
    <t>FretFluvCat19DistMoy</t>
  </si>
  <si>
    <t>FretFluvCat19EmportMoy</t>
  </si>
  <si>
    <t>FretFluvCat19DistAn</t>
  </si>
  <si>
    <t>FretFluvCat19TauxChargeMoy</t>
  </si>
  <si>
    <t>FretFluvCat19NbBarges</t>
  </si>
  <si>
    <t>FretFluvCat20Nom</t>
  </si>
  <si>
    <t>Automoteurs 650-999 tonnes H2 , PAC</t>
  </si>
  <si>
    <t>FretFluvCat20Type</t>
  </si>
  <si>
    <t>FretFluvCat20Cap</t>
  </si>
  <si>
    <t>FretFluvCat20Tech</t>
  </si>
  <si>
    <t>FretFluvCat20Request</t>
  </si>
  <si>
    <t>FretFluvCat20NbTraj</t>
  </si>
  <si>
    <t>FretFluvCat20DistMoy</t>
  </si>
  <si>
    <t>FretFluvCat20EmportMoy</t>
  </si>
  <si>
    <t>FretFluvCat20DistAn</t>
  </si>
  <si>
    <t>FretFluvCat20TauxChargeMoy</t>
  </si>
  <si>
    <t>FretFluvCat20NbBarges</t>
  </si>
  <si>
    <t>FretFluvCat21Nom</t>
  </si>
  <si>
    <t>Automoteurs 650-999 tonnes H2 , ICE</t>
  </si>
  <si>
    <t>FretFluvCat21Type</t>
  </si>
  <si>
    <t>FretFluvCat21Cap</t>
  </si>
  <si>
    <t>FretFluvCat21Tech</t>
  </si>
  <si>
    <t>FretFluvCat21Request</t>
  </si>
  <si>
    <t>FretFluvCat21NbTraj</t>
  </si>
  <si>
    <t>FretFluvCat21DistMoy</t>
  </si>
  <si>
    <t>FretFluvCat21EmportMoy</t>
  </si>
  <si>
    <t>FretFluvCat21DistAn</t>
  </si>
  <si>
    <t>FretFluvCat21TauxChargeMoy</t>
  </si>
  <si>
    <t>FretFluvCat21NbBarges</t>
  </si>
  <si>
    <t>FretFluvCat22Nom</t>
  </si>
  <si>
    <t>Automoteurs 1000-1499 tonnes CCNR 2 ou inférieur, diesel</t>
  </si>
  <si>
    <t>FretFluvCat22Type</t>
  </si>
  <si>
    <t>FretFluvCat22Cap</t>
  </si>
  <si>
    <t>1000-1499 tonnes</t>
  </si>
  <si>
    <t>FretFluvCat22Tech</t>
  </si>
  <si>
    <t>FretFluvCat22Request</t>
  </si>
  <si>
    <t>FretFluvCat22NbTraj</t>
  </si>
  <si>
    <t>FretFluvCat22DistMoy</t>
  </si>
  <si>
    <t>FretFluvCat22EmportMoy</t>
  </si>
  <si>
    <t>FretFluvCat22DistAn</t>
  </si>
  <si>
    <t>FretFluvCat22TauxChargeMoy</t>
  </si>
  <si>
    <t>FretFluvCat22NbBarges</t>
  </si>
  <si>
    <t>FretFluvCat23Nom</t>
  </si>
  <si>
    <t>Automoteurs 1000-1499 tonnes CCNR 2 + SCR, diesel</t>
  </si>
  <si>
    <t>FretFluvCat23Type</t>
  </si>
  <si>
    <t>FretFluvCat23Cap</t>
  </si>
  <si>
    <t>FretFluvCat23Tech</t>
  </si>
  <si>
    <t>FretFluvCat23Request</t>
  </si>
  <si>
    <t>FretFluvCat23NbTraj</t>
  </si>
  <si>
    <t>FretFluvCat23DistMoy</t>
  </si>
  <si>
    <t>FretFluvCat23EmportMoy</t>
  </si>
  <si>
    <t>FretFluvCat23DistAn</t>
  </si>
  <si>
    <t>FretFluvCat23TauxChargeMoy</t>
  </si>
  <si>
    <t>FretFluvCat23NbBarges</t>
  </si>
  <si>
    <t>FretFluvCat24Nom</t>
  </si>
  <si>
    <t>Automoteurs 1000-1499 tonnes Phase V, diesel</t>
  </si>
  <si>
    <t>FretFluvCat24Type</t>
  </si>
  <si>
    <t>FretFluvCat24Cap</t>
  </si>
  <si>
    <t>FretFluvCat24Tech</t>
  </si>
  <si>
    <t>FretFluvCat24Request</t>
  </si>
  <si>
    <t>FretFluvCat24NbTraj</t>
  </si>
  <si>
    <t>FretFluvCat24DistMoy</t>
  </si>
  <si>
    <t>FretFluvCat24EmportMoy</t>
  </si>
  <si>
    <t>FretFluvCat24DistAn</t>
  </si>
  <si>
    <t>FretFluvCat24TauxChargeMoy</t>
  </si>
  <si>
    <t>FretFluvCat24NbBarges</t>
  </si>
  <si>
    <t>FretFluvCat25Nom</t>
  </si>
  <si>
    <t>Automoteurs 1000-1499 tonnes Phase V, HVO</t>
  </si>
  <si>
    <t>FretFluvCat25Type</t>
  </si>
  <si>
    <t>FretFluvCat25Cap</t>
  </si>
  <si>
    <t>FretFluvCat25Tech</t>
  </si>
  <si>
    <t>FretFluvCat25Request</t>
  </si>
  <si>
    <t>FretFluvCat25NbTraj</t>
  </si>
  <si>
    <t>FretFluvCat25DistMoy</t>
  </si>
  <si>
    <t>FretFluvCat25EmportMoy</t>
  </si>
  <si>
    <t>FretFluvCat25DistAn</t>
  </si>
  <si>
    <t>FretFluvCat25TauxChargeMoy</t>
  </si>
  <si>
    <t>FretFluvCat25NbBarges</t>
  </si>
  <si>
    <t>FretFluvCat26Nom</t>
  </si>
  <si>
    <t>Automoteurs 1000-1499 tonnes Batterie</t>
  </si>
  <si>
    <t>FretFluvCat26Type</t>
  </si>
  <si>
    <t>FretFluvCat26Cap</t>
  </si>
  <si>
    <t>FretFluvCat26Tech</t>
  </si>
  <si>
    <t>FretFluvCat26Request</t>
  </si>
  <si>
    <t>FretFluvCat26NbTraj</t>
  </si>
  <si>
    <t>FretFluvCat26DistMoy</t>
  </si>
  <si>
    <t>FretFluvCat26EmportMoy</t>
  </si>
  <si>
    <t>FretFluvCat26DistAn</t>
  </si>
  <si>
    <t>FretFluvCat26TauxChargeMoy</t>
  </si>
  <si>
    <t>FretFluvCat26NbBarges</t>
  </si>
  <si>
    <t>FretFluvCat27Nom</t>
  </si>
  <si>
    <t>Automoteurs 1000-1499 tonnes H2 , PAC</t>
  </si>
  <si>
    <t>FretFluvCat27Type</t>
  </si>
  <si>
    <t>FretFluvCat27Cap</t>
  </si>
  <si>
    <t>FretFluvCat27Tech</t>
  </si>
  <si>
    <t>FretFluvCat27Request</t>
  </si>
  <si>
    <t>FretFluvCat27NbTraj</t>
  </si>
  <si>
    <t>FretFluvCat27DistMoy</t>
  </si>
  <si>
    <t>FretFluvCat27EmportMoy</t>
  </si>
  <si>
    <t>FretFluvCat27DistAn</t>
  </si>
  <si>
    <t>FretFluvCat27TauxChargeMoy</t>
  </si>
  <si>
    <t>FretFluvCat27NbBarges</t>
  </si>
  <si>
    <t>FretFluvCat28Nom</t>
  </si>
  <si>
    <t>Automoteurs 1000-1499 tonnes H2 , ICE</t>
  </si>
  <si>
    <t>FretFluvCat28Type</t>
  </si>
  <si>
    <t>FretFluvCat28Cap</t>
  </si>
  <si>
    <t>FretFluvCat28Tech</t>
  </si>
  <si>
    <t>FretFluvCat28Request</t>
  </si>
  <si>
    <t>FretFluvCat28NbTraj</t>
  </si>
  <si>
    <t>FretFluvCat28DistMoy</t>
  </si>
  <si>
    <t>FretFluvCat28EmportMoy</t>
  </si>
  <si>
    <t>FretFluvCat28DistAn</t>
  </si>
  <si>
    <t>FretFluvCat28TauxChargeMoy</t>
  </si>
  <si>
    <t>FretFluvCat28NbBarges</t>
  </si>
  <si>
    <t>FretFluvCat29Nom</t>
  </si>
  <si>
    <t>Automoteurs 1500-3000 tonnes CCNR 2 ou inférieur, diesel</t>
  </si>
  <si>
    <t>FretFluvCat29Type</t>
  </si>
  <si>
    <t>FretFluvCat29Cap</t>
  </si>
  <si>
    <t>1500-3000 tonnes</t>
  </si>
  <si>
    <t>FretFluvCat29Tech</t>
  </si>
  <si>
    <t>FretFluvCat29Request</t>
  </si>
  <si>
    <t>FretFluvCat29NbTraj</t>
  </si>
  <si>
    <t>FretFluvCat29DistMoy</t>
  </si>
  <si>
    <t>FretFluvCat29EmportMoy</t>
  </si>
  <si>
    <t>FretFluvCat29DistAn</t>
  </si>
  <si>
    <t>FretFluvCat29TauxChargeMoy</t>
  </si>
  <si>
    <t>FretFluvCat29NbBarges</t>
  </si>
  <si>
    <t>FretFluvCat30Nom</t>
  </si>
  <si>
    <t>Automoteurs 1500-3000 tonnes CCNR 2 + SCR, diesel</t>
  </si>
  <si>
    <t>FretFluvCat30Type</t>
  </si>
  <si>
    <t>FretFluvCat30Cap</t>
  </si>
  <si>
    <t>FretFluvCat30Tech</t>
  </si>
  <si>
    <t>FretFluvCat30Request</t>
  </si>
  <si>
    <t>FretFluvCat30NbTraj</t>
  </si>
  <si>
    <t>FretFluvCat30DistMoy</t>
  </si>
  <si>
    <t>FretFluvCat30EmportMoy</t>
  </si>
  <si>
    <t>FretFluvCat30DistAn</t>
  </si>
  <si>
    <t>FretFluvCat30TauxChargeMoy</t>
  </si>
  <si>
    <t>FretFluvCat30NbBarges</t>
  </si>
  <si>
    <t>FretFluvCat31Nom</t>
  </si>
  <si>
    <t>Automoteurs 1500-3000 tonnes Phase V, diesel</t>
  </si>
  <si>
    <t>FretFluvCat31Type</t>
  </si>
  <si>
    <t>FretFluvCat31Cap</t>
  </si>
  <si>
    <t>FretFluvCat31Tech</t>
  </si>
  <si>
    <t>FretFluvCat31Request</t>
  </si>
  <si>
    <t>FretFluvCat31NbTraj</t>
  </si>
  <si>
    <t>FretFluvCat31DistMoy</t>
  </si>
  <si>
    <t>FretFluvCat31EmportMoy</t>
  </si>
  <si>
    <t>FretFluvCat31DistAn</t>
  </si>
  <si>
    <t>FretFluvCat31TauxChargeMoy</t>
  </si>
  <si>
    <t>FretFluvCat31NbBarges</t>
  </si>
  <si>
    <t>FretFluvCat32Nom</t>
  </si>
  <si>
    <t>Automoteurs 1500-3000 tonnes Phase V, HVO</t>
  </si>
  <si>
    <t>FretFluvCat32Type</t>
  </si>
  <si>
    <t>FretFluvCat32Cap</t>
  </si>
  <si>
    <t>FretFluvCat32Tech</t>
  </si>
  <si>
    <t>FretFluvCat32Request</t>
  </si>
  <si>
    <t>FretFluvCat32NbTraj</t>
  </si>
  <si>
    <t>FretFluvCat32DistMoy</t>
  </si>
  <si>
    <t>FretFluvCat32EmportMoy</t>
  </si>
  <si>
    <t>FretFluvCat32DistAn</t>
  </si>
  <si>
    <t>FretFluvCat32TauxChargeMoy</t>
  </si>
  <si>
    <t>FretFluvCat32NbBarges</t>
  </si>
  <si>
    <t>FretFluvCat33Nom</t>
  </si>
  <si>
    <t>Automoteurs 1500-3000 tonnes Batterie</t>
  </si>
  <si>
    <t>FretFluvCat33Type</t>
  </si>
  <si>
    <t>FretFluvCat33Cap</t>
  </si>
  <si>
    <t>FretFluvCat33Tech</t>
  </si>
  <si>
    <t>FretFluvCat33Request</t>
  </si>
  <si>
    <t>FretFluvCat33NbTraj</t>
  </si>
  <si>
    <t>FretFluvCat33DistMoy</t>
  </si>
  <si>
    <t>FretFluvCat33EmportMoy</t>
  </si>
  <si>
    <t>FretFluvCat33DistAn</t>
  </si>
  <si>
    <t>FretFluvCat33TauxChargeMoy</t>
  </si>
  <si>
    <t>FretFluvCat33NbBarges</t>
  </si>
  <si>
    <t>FretFluvCat34Nom</t>
  </si>
  <si>
    <t>Automoteurs 1500-3000 tonnes H2 , PAC</t>
  </si>
  <si>
    <t>FretFluvCat34Type</t>
  </si>
  <si>
    <t>FretFluvCat34Cap</t>
  </si>
  <si>
    <t>FretFluvCat34Tech</t>
  </si>
  <si>
    <t>FretFluvCat34Request</t>
  </si>
  <si>
    <t>FretFluvCat34NbTraj</t>
  </si>
  <si>
    <t>FretFluvCat34DistMoy</t>
  </si>
  <si>
    <t>FretFluvCat34EmportMoy</t>
  </si>
  <si>
    <t>FretFluvCat34DistAn</t>
  </si>
  <si>
    <t>FretFluvCat34TauxChargeMoy</t>
  </si>
  <si>
    <t>FretFluvCat34NbBarges</t>
  </si>
  <si>
    <t>FretFluvCat35Nom</t>
  </si>
  <si>
    <t>Automoteurs 1500-3000 tonnes H2 , ICE</t>
  </si>
  <si>
    <t>FretFluvCat35Type</t>
  </si>
  <si>
    <t>FretFluvCat35Cap</t>
  </si>
  <si>
    <t>FretFluvCat35Tech</t>
  </si>
  <si>
    <t>FretFluvCat35Request</t>
  </si>
  <si>
    <t>FretFluvCat35NbTraj</t>
  </si>
  <si>
    <t>FretFluvCat35DistMoy</t>
  </si>
  <si>
    <t>FretFluvCat35EmportMoy</t>
  </si>
  <si>
    <t>FretFluvCat35DistAn</t>
  </si>
  <si>
    <t>FretFluvCat35TauxChargeMoy</t>
  </si>
  <si>
    <t>FretFluvCat35NbBarges</t>
  </si>
  <si>
    <t>FretFluvCat36Nom</t>
  </si>
  <si>
    <t>Automoteurs &gt;3000 tonnes CCNR 2 ou inférieur, diesel</t>
  </si>
  <si>
    <t>FretFluvCat36Type</t>
  </si>
  <si>
    <t>FretFluvCat36Cap</t>
  </si>
  <si>
    <t>&gt;3000 tonnes</t>
  </si>
  <si>
    <t>FretFluvCat36Tech</t>
  </si>
  <si>
    <t>FretFluvCat36Request</t>
  </si>
  <si>
    <t>FretFluvCat36NbTraj</t>
  </si>
  <si>
    <t>FretFluvCat36DistMoy</t>
  </si>
  <si>
    <t>FretFluvCat36EmportMoy</t>
  </si>
  <si>
    <t>FretFluvCat36DistAn</t>
  </si>
  <si>
    <t>FretFluvCat36TauxChargeMoy</t>
  </si>
  <si>
    <t>FretFluvCat36NbBarges</t>
  </si>
  <si>
    <t>FretFluvCat37Nom</t>
  </si>
  <si>
    <t>Automoteurs &gt;3000 tonnes CCNR 2 + SCR, diesel</t>
  </si>
  <si>
    <t>FretFluvCat37Type</t>
  </si>
  <si>
    <t>FretFluvCat37Cap</t>
  </si>
  <si>
    <t>FretFluvCat37Tech</t>
  </si>
  <si>
    <t>FretFluvCat37Request</t>
  </si>
  <si>
    <t>FretFluvCat37NbTraj</t>
  </si>
  <si>
    <t>FretFluvCat37DistMoy</t>
  </si>
  <si>
    <t>FretFluvCat37EmportMoy</t>
  </si>
  <si>
    <t>FretFluvCat37DistAn</t>
  </si>
  <si>
    <t>FretFluvCat37TauxChargeMoy</t>
  </si>
  <si>
    <t>FretFluvCat37NbBarges</t>
  </si>
  <si>
    <t>FretFluvCat38Nom</t>
  </si>
  <si>
    <t>Automoteurs &gt;3000 tonnes Phase V, diesel</t>
  </si>
  <si>
    <t>FretFluvCat38Type</t>
  </si>
  <si>
    <t>FretFluvCat38Cap</t>
  </si>
  <si>
    <t>FretFluvCat38Tech</t>
  </si>
  <si>
    <t>FretFluvCat38Request</t>
  </si>
  <si>
    <t>FretFluvCat38NbTraj</t>
  </si>
  <si>
    <t>FretFluvCat38DistMoy</t>
  </si>
  <si>
    <t>FretFluvCat38EmportMoy</t>
  </si>
  <si>
    <t>FretFluvCat38DistAn</t>
  </si>
  <si>
    <t>FretFluvCat38TauxChargeMoy</t>
  </si>
  <si>
    <t>FretFluvCat38NbBarges</t>
  </si>
  <si>
    <t>FretFluvCat39Nom</t>
  </si>
  <si>
    <t>Automoteurs &gt;3000 tonnes Phase V, HVO</t>
  </si>
  <si>
    <t>FretFluvCat39Type</t>
  </si>
  <si>
    <t>FretFluvCat39Cap</t>
  </si>
  <si>
    <t>FretFluvCat39Tech</t>
  </si>
  <si>
    <t>FretFluvCat39Request</t>
  </si>
  <si>
    <t>FretFluvCat39NbTraj</t>
  </si>
  <si>
    <t>FretFluvCat39DistMoy</t>
  </si>
  <si>
    <t>FretFluvCat39EmportMoy</t>
  </si>
  <si>
    <t>FretFluvCat39DistAn</t>
  </si>
  <si>
    <t>FretFluvCat39TauxChargeMoy</t>
  </si>
  <si>
    <t>FretFluvCat39NbBarges</t>
  </si>
  <si>
    <t>FretFluvCat40Nom</t>
  </si>
  <si>
    <t>Automoteurs &gt;3000 tonnes Batterie</t>
  </si>
  <si>
    <t>FretFluvCat40Type</t>
  </si>
  <si>
    <t>FretFluvCat40Cap</t>
  </si>
  <si>
    <t>FretFluvCat40Tech</t>
  </si>
  <si>
    <t>FretFluvCat40Request</t>
  </si>
  <si>
    <t>FretFluvCat40NbTraj</t>
  </si>
  <si>
    <t>FretFluvCat40DistMoy</t>
  </si>
  <si>
    <t>FretFluvCat40EmportMoy</t>
  </si>
  <si>
    <t>FretFluvCat40DistAn</t>
  </si>
  <si>
    <t>FretFluvCat40TauxChargeMoy</t>
  </si>
  <si>
    <t>FretFluvCat40NbBarges</t>
  </si>
  <si>
    <t>FretFluvCat41Nom</t>
  </si>
  <si>
    <t>Automoteurs &gt;3000 tonnes H2 , PAC</t>
  </si>
  <si>
    <t>FretFluvCat41Type</t>
  </si>
  <si>
    <t>FretFluvCat41Cap</t>
  </si>
  <si>
    <t>FretFluvCat41Tech</t>
  </si>
  <si>
    <t>FretFluvCat41Request</t>
  </si>
  <si>
    <t>FretFluvCat41NbTraj</t>
  </si>
  <si>
    <t>FretFluvCat41DistMoy</t>
  </si>
  <si>
    <t>FretFluvCat41EmportMoy</t>
  </si>
  <si>
    <t>FretFluvCat41DistAn</t>
  </si>
  <si>
    <t>FretFluvCat41TauxChargeMoy</t>
  </si>
  <si>
    <t>FretFluvCat41NbBarges</t>
  </si>
  <si>
    <t>FretFluvCat42Nom</t>
  </si>
  <si>
    <t>Automoteurs &gt;3000 tonnes H2 , ICE</t>
  </si>
  <si>
    <t>FretFluvCat42Type</t>
  </si>
  <si>
    <t>FretFluvCat42Cap</t>
  </si>
  <si>
    <t>FretFluvCat42Tech</t>
  </si>
  <si>
    <t>FretFluvCat42Request</t>
  </si>
  <si>
    <t>FretFluvCat42NbTraj</t>
  </si>
  <si>
    <t>FretFluvCat42DistMoy</t>
  </si>
  <si>
    <t>FretFluvCat42EmportMoy</t>
  </si>
  <si>
    <t>FretFluvCat42DistAn</t>
  </si>
  <si>
    <t>FretFluvCat42TauxChargeMoy</t>
  </si>
  <si>
    <t>FretFluvCat42NbBarges</t>
  </si>
  <si>
    <t>FretFluvCat43Nom</t>
  </si>
  <si>
    <t>Pousseurs &lt;880 kW CCNR 2 ou inférieur, diesel</t>
  </si>
  <si>
    <t>FretFluvCat43Type</t>
  </si>
  <si>
    <t>Pousseurs</t>
  </si>
  <si>
    <t>FretFluvCat43Cap</t>
  </si>
  <si>
    <t>&lt;880 kW</t>
  </si>
  <si>
    <t>FretFluvCat43Tech</t>
  </si>
  <si>
    <t>FretFluvCat43Request</t>
  </si>
  <si>
    <t>FretFluvCat43NbTraj</t>
  </si>
  <si>
    <t>FretFluvCat43DistMoy</t>
  </si>
  <si>
    <t>FretFluvCat43EmportMoy</t>
  </si>
  <si>
    <t>FretFluvCat43DistAn</t>
  </si>
  <si>
    <t>FretFluvCat43TauxChargeMoy</t>
  </si>
  <si>
    <t>FretFluvCat43NbBarges</t>
  </si>
  <si>
    <t>FretFluvCat44Nom</t>
  </si>
  <si>
    <t>Pousseurs &lt;880 kW CCNR 2 + SCR, diesel</t>
  </si>
  <si>
    <t>FretFluvCat44Type</t>
  </si>
  <si>
    <t>FretFluvCat44Cap</t>
  </si>
  <si>
    <t>FretFluvCat44Tech</t>
  </si>
  <si>
    <t>FretFluvCat44Request</t>
  </si>
  <si>
    <t>FretFluvCat44NbTraj</t>
  </si>
  <si>
    <t>FretFluvCat44DistMoy</t>
  </si>
  <si>
    <t>FretFluvCat44EmportMoy</t>
  </si>
  <si>
    <t>FretFluvCat44DistAn</t>
  </si>
  <si>
    <t>FretFluvCat44TauxChargeMoy</t>
  </si>
  <si>
    <t>FretFluvCat44NbBarges</t>
  </si>
  <si>
    <t>FretFluvCat45Nom</t>
  </si>
  <si>
    <t>Pousseurs &lt;880 kW Phase V, diesel</t>
  </si>
  <si>
    <t>FretFluvCat45Type</t>
  </si>
  <si>
    <t>FretFluvCat45Cap</t>
  </si>
  <si>
    <t>FretFluvCat45Tech</t>
  </si>
  <si>
    <t>FretFluvCat45Request</t>
  </si>
  <si>
    <t>FretFluvCat45NbTraj</t>
  </si>
  <si>
    <t>FretFluvCat45DistMoy</t>
  </si>
  <si>
    <t>FretFluvCat45EmportMoy</t>
  </si>
  <si>
    <t>FretFluvCat45DistAn</t>
  </si>
  <si>
    <t>FretFluvCat45TauxChargeMoy</t>
  </si>
  <si>
    <t>FretFluvCat45NbBarges</t>
  </si>
  <si>
    <t>Catégorie 46</t>
  </si>
  <si>
    <t>FretFluvCat46Nom</t>
  </si>
  <si>
    <t>Pousseurs &lt;880 kW Phase V, HVO</t>
  </si>
  <si>
    <t>FretFluvCat46Type</t>
  </si>
  <si>
    <t>FretFluvCat46Cap</t>
  </si>
  <si>
    <t>FretFluvCat46Tech</t>
  </si>
  <si>
    <t>FretFluvCat46Request</t>
  </si>
  <si>
    <t>FretFluvCat46NbTraj</t>
  </si>
  <si>
    <t>FretFluvCat46DistMoy</t>
  </si>
  <si>
    <t>FretFluvCat46EmportMoy</t>
  </si>
  <si>
    <t>FretFluvCat46DistAn</t>
  </si>
  <si>
    <t>FretFluvCat46TauxChargeMoy</t>
  </si>
  <si>
    <t>FretFluvCat46NbBarges</t>
  </si>
  <si>
    <t>Catégorie 47</t>
  </si>
  <si>
    <t>FretFluvCat47Nom</t>
  </si>
  <si>
    <t>Pousseurs &lt;880 kW Batterie</t>
  </si>
  <si>
    <t>FretFluvCat47Type</t>
  </si>
  <si>
    <t>FretFluvCat47Cap</t>
  </si>
  <si>
    <t>FretFluvCat47Tech</t>
  </si>
  <si>
    <t>FretFluvCat47Request</t>
  </si>
  <si>
    <t>FretFluvCat47NbTraj</t>
  </si>
  <si>
    <t>FretFluvCat47DistMoy</t>
  </si>
  <si>
    <t>FretFluvCat47EmportMoy</t>
  </si>
  <si>
    <t>FretFluvCat47DistAn</t>
  </si>
  <si>
    <t>FretFluvCat47TauxChargeMoy</t>
  </si>
  <si>
    <t>FretFluvCat47NbBarges</t>
  </si>
  <si>
    <t>Catégorie 48</t>
  </si>
  <si>
    <t>FretFluvCat48Nom</t>
  </si>
  <si>
    <t>Pousseurs &lt;880 kW H2 , PAC</t>
  </si>
  <si>
    <t>FretFluvCat48Type</t>
  </si>
  <si>
    <t>FretFluvCat48Cap</t>
  </si>
  <si>
    <t>FretFluvCat48Tech</t>
  </si>
  <si>
    <t>FretFluvCat48Request</t>
  </si>
  <si>
    <t>FretFluvCat48NbTraj</t>
  </si>
  <si>
    <t>FretFluvCat48DistMoy</t>
  </si>
  <si>
    <t>FretFluvCat48EmportMoy</t>
  </si>
  <si>
    <t>FretFluvCat48DistAn</t>
  </si>
  <si>
    <t>FretFluvCat48TauxChargeMoy</t>
  </si>
  <si>
    <t>FretFluvCat48NbBarges</t>
  </si>
  <si>
    <t>Catégorie 49</t>
  </si>
  <si>
    <t>FretFluvCat49Nom</t>
  </si>
  <si>
    <t>Pousseurs &lt;880 kW H2 , ICE</t>
  </si>
  <si>
    <t>FretFluvCat49Type</t>
  </si>
  <si>
    <t>FretFluvCat49Cap</t>
  </si>
  <si>
    <t>FretFluvCat49Tech</t>
  </si>
  <si>
    <t>FretFluvCat49Request</t>
  </si>
  <si>
    <t>FretFluvCat49NbTraj</t>
  </si>
  <si>
    <t>FretFluvCat49DistMoy</t>
  </si>
  <si>
    <t>FretFluvCat49EmportMoy</t>
  </si>
  <si>
    <t>FretFluvCat49DistAn</t>
  </si>
  <si>
    <t>FretFluvCat49TauxChargeMoy</t>
  </si>
  <si>
    <t>FretFluvCat49NbBarges</t>
  </si>
  <si>
    <t>Catégorie 50</t>
  </si>
  <si>
    <t>FretFluvCat50Nom</t>
  </si>
  <si>
    <t>Pousseurs &gt;880 kW CCNR 2 ou inférieur, diesel</t>
  </si>
  <si>
    <t>FretFluvCat50Type</t>
  </si>
  <si>
    <t>FretFluvCat50Cap</t>
  </si>
  <si>
    <t>&gt;880 kW</t>
  </si>
  <si>
    <t>FretFluvCat50Tech</t>
  </si>
  <si>
    <t>FretFluvCat50Request</t>
  </si>
  <si>
    <t>FretFluvCat50NbTraj</t>
  </si>
  <si>
    <t>FretFluvCat50DistMoy</t>
  </si>
  <si>
    <t>FretFluvCat50EmportMoy</t>
  </si>
  <si>
    <t>FretFluvCat50DistAn</t>
  </si>
  <si>
    <t>FretFluvCat50TauxChargeMoy</t>
  </si>
  <si>
    <t>FretFluvCat50NbBarges</t>
  </si>
  <si>
    <t>Catégorie 51</t>
  </si>
  <si>
    <t>FretFluvCat51Nom</t>
  </si>
  <si>
    <t>Pousseurs &gt;880 kW CCNR 2 + SCR, diesel</t>
  </si>
  <si>
    <t>FretFluvCat51Type</t>
  </si>
  <si>
    <t>FretFluvCat51Cap</t>
  </si>
  <si>
    <t>FretFluvCat51Tech</t>
  </si>
  <si>
    <t>FretFluvCat51Request</t>
  </si>
  <si>
    <t>FretFluvCat51NbTraj</t>
  </si>
  <si>
    <t>FretFluvCat51DistMoy</t>
  </si>
  <si>
    <t>FretFluvCat51EmportMoy</t>
  </si>
  <si>
    <t>FretFluvCat51DistAn</t>
  </si>
  <si>
    <t>FretFluvCat51TauxChargeMoy</t>
  </si>
  <si>
    <t>FretFluvCat51NbBarges</t>
  </si>
  <si>
    <t>Catégorie 52</t>
  </si>
  <si>
    <t>FretFluvCat52Nom</t>
  </si>
  <si>
    <t>Pousseurs &gt;880 kW Phase V, diesel</t>
  </si>
  <si>
    <t>FretFluvCat52Type</t>
  </si>
  <si>
    <t>FretFluvCat52Cap</t>
  </si>
  <si>
    <t>FretFluvCat52Tech</t>
  </si>
  <si>
    <t>FretFluvCat52Request</t>
  </si>
  <si>
    <t>FretFluvCat52NbTraj</t>
  </si>
  <si>
    <t>FretFluvCat52DistMoy</t>
  </si>
  <si>
    <t>FretFluvCat52EmportMoy</t>
  </si>
  <si>
    <t>FretFluvCat52DistAn</t>
  </si>
  <si>
    <t>FretFluvCat52TauxChargeMoy</t>
  </si>
  <si>
    <t>FretFluvCat52NbBarges</t>
  </si>
  <si>
    <t>Catégorie 53</t>
  </si>
  <si>
    <t>FretFluvCat53Nom</t>
  </si>
  <si>
    <t>Pousseurs &gt;880 kW Phase V, HVO</t>
  </si>
  <si>
    <t>FretFluvCat53Type</t>
  </si>
  <si>
    <t>FretFluvCat53Cap</t>
  </si>
  <si>
    <t>FretFluvCat53Tech</t>
  </si>
  <si>
    <t>FretFluvCat53Request</t>
  </si>
  <si>
    <t>FretFluvCat53NbTraj</t>
  </si>
  <si>
    <t>FretFluvCat53DistMoy</t>
  </si>
  <si>
    <t>FretFluvCat53EmportMoy</t>
  </si>
  <si>
    <t>FretFluvCat53DistAn</t>
  </si>
  <si>
    <t>FretFluvCat53TauxChargeMoy</t>
  </si>
  <si>
    <t>FretFluvCat53NbBarges</t>
  </si>
  <si>
    <t>Catégorie 54</t>
  </si>
  <si>
    <t>FretFluvCat54Nom</t>
  </si>
  <si>
    <t>Pousseurs &gt;880 kW Batterie</t>
  </si>
  <si>
    <t>FretFluvCat54Type</t>
  </si>
  <si>
    <t>FretFluvCat54Cap</t>
  </si>
  <si>
    <t>FretFluvCat54Tech</t>
  </si>
  <si>
    <t>FretFluvCat54Request</t>
  </si>
  <si>
    <t>FretFluvCat54NbTraj</t>
  </si>
  <si>
    <t>FretFluvCat54DistMoy</t>
  </si>
  <si>
    <t>FretFluvCat54EmportMoy</t>
  </si>
  <si>
    <t>FretFluvCat54DistAn</t>
  </si>
  <si>
    <t>FretFluvCat54TauxChargeMoy</t>
  </si>
  <si>
    <t>FretFluvCat54NbBarges</t>
  </si>
  <si>
    <t>Catégorie 55</t>
  </si>
  <si>
    <t>FretFluvCat55Nom</t>
  </si>
  <si>
    <t>Pousseurs &gt;880 kW H2 , PAC</t>
  </si>
  <si>
    <t>FretFluvCat55Type</t>
  </si>
  <si>
    <t>FretFluvCat55Cap</t>
  </si>
  <si>
    <t>FretFluvCat55Tech</t>
  </si>
  <si>
    <t>FretFluvCat55Request</t>
  </si>
  <si>
    <t>FretFluvCat55NbTraj</t>
  </si>
  <si>
    <t>FretFluvCat55DistMoy</t>
  </si>
  <si>
    <t>FretFluvCat55EmportMoy</t>
  </si>
  <si>
    <t>FretFluvCat55DistAn</t>
  </si>
  <si>
    <t>FretFluvCat55TauxChargeMoy</t>
  </si>
  <si>
    <t>FretFluvCat55NbBarges</t>
  </si>
  <si>
    <t>Catégorie 56</t>
  </si>
  <si>
    <t>FretFluvCat56Nom</t>
  </si>
  <si>
    <t>Pousseurs &gt;880 kW H2 , ICE</t>
  </si>
  <si>
    <t>FretFluvCat56Type</t>
  </si>
  <si>
    <t>FretFluvCat56Cap</t>
  </si>
  <si>
    <t>FretFluvCat56Tech</t>
  </si>
  <si>
    <t>FretFluvCat56Request</t>
  </si>
  <si>
    <t>FretFluvCat56NbTraj</t>
  </si>
  <si>
    <t>FretFluvCat56DistMoy</t>
  </si>
  <si>
    <t>FretFluvCat56EmportMoy</t>
  </si>
  <si>
    <t>FretFluvCat56DistAn</t>
  </si>
  <si>
    <t>FretFluvCat56TauxChargeMoy</t>
  </si>
  <si>
    <t>FretFluvCat56NbBarges</t>
  </si>
  <si>
    <t>Ligne</t>
  </si>
  <si>
    <t>Année correspondant aux objectifs</t>
  </si>
  <si>
    <t>Prévision d'évolution de la demande de logistique urbaine</t>
  </si>
  <si>
    <t>DemandeLU</t>
  </si>
  <si>
    <t>Objectif de part modale pour les déplacements locaux</t>
  </si>
  <si>
    <t>ObjPMMarche</t>
  </si>
  <si>
    <t>Vélo</t>
  </si>
  <si>
    <t>ObjPMVélo</t>
  </si>
  <si>
    <t>ObjPM2RM</t>
  </si>
  <si>
    <t>ObjPMVoiture</t>
  </si>
  <si>
    <t>ObjPMTC</t>
  </si>
  <si>
    <t>Objectif de part modale pour le transport de marchandises</t>
  </si>
  <si>
    <t>ObjPMRoutier</t>
  </si>
  <si>
    <t>ObjPMFerroviaire</t>
  </si>
  <si>
    <t>ObjPMFluvial</t>
  </si>
  <si>
    <t>ObjPMCyclolog</t>
  </si>
  <si>
    <t>Objectif de part de bioGNV dans le GNV distribué dans la ou les stations d'avitaillement GNV du territoire</t>
  </si>
  <si>
    <t>ObjbioGNV</t>
  </si>
  <si>
    <t>Objectif de typologie d'hydrogène utilisé dans la ou les stations d'avitaillement hydrogène du territoire</t>
  </si>
  <si>
    <t>ObjH2Vert</t>
  </si>
  <si>
    <t>Evolution du parc routier initial</t>
  </si>
  <si>
    <t>Evolution 1</t>
  </si>
  <si>
    <t>La valeur à indiquer ici, est le pourcentage d'augmentation de la catégorie de véhicule (nombre de véhicule et nombre de kilomètre)</t>
  </si>
  <si>
    <t>Evolution du TR 1</t>
  </si>
  <si>
    <t>La valeur à indiquer ici, est le pourcentage d'augmentation du taux de remplissage de la catégorie de véhicule</t>
  </si>
  <si>
    <t>Evolution 2</t>
  </si>
  <si>
    <t>Evolution du TR 2</t>
  </si>
  <si>
    <t>Evolution 3</t>
  </si>
  <si>
    <t>Evolution du TR 3</t>
  </si>
  <si>
    <t>Evolution 4</t>
  </si>
  <si>
    <t>Evolution du TR 4</t>
  </si>
  <si>
    <t>Evolution 5</t>
  </si>
  <si>
    <t>Evolution du TR 5</t>
  </si>
  <si>
    <t>Evolution 6</t>
  </si>
  <si>
    <t>Evolution du TR 6</t>
  </si>
  <si>
    <t>Evolution 7</t>
  </si>
  <si>
    <t>Evolution du TR 7</t>
  </si>
  <si>
    <t>Evolution 8</t>
  </si>
  <si>
    <t>Evolution du TR 8</t>
  </si>
  <si>
    <t>Evolution 9</t>
  </si>
  <si>
    <t>Evolution du TR 9</t>
  </si>
  <si>
    <t>Evolution 10</t>
  </si>
  <si>
    <t>Evolution du TR 10</t>
  </si>
  <si>
    <t>Evolution 11</t>
  </si>
  <si>
    <t>Evolution du TR 11</t>
  </si>
  <si>
    <t>Evolution 12</t>
  </si>
  <si>
    <t>Evolution du TR 12</t>
  </si>
  <si>
    <t>Evolution 13</t>
  </si>
  <si>
    <t>Evolution du TR 13</t>
  </si>
  <si>
    <t>Evolution 14</t>
  </si>
  <si>
    <t>Evolution du TR 14</t>
  </si>
  <si>
    <t>Evolution 15</t>
  </si>
  <si>
    <t>Evolution du TR 15</t>
  </si>
  <si>
    <t>Evolution 16</t>
  </si>
  <si>
    <t>Evolution du TR 16</t>
  </si>
  <si>
    <t>Evolution 17</t>
  </si>
  <si>
    <t>Evolution du TR 17</t>
  </si>
  <si>
    <t>Evolution 18</t>
  </si>
  <si>
    <t>Evolution du TR 18</t>
  </si>
  <si>
    <t>Evolution 19</t>
  </si>
  <si>
    <t>Evolution du TR 19</t>
  </si>
  <si>
    <t>Evolution 20</t>
  </si>
  <si>
    <t>Evolution du TR 20</t>
  </si>
  <si>
    <t>Evolution 21</t>
  </si>
  <si>
    <t>Evolution du TR 21</t>
  </si>
  <si>
    <t>Evolution 22</t>
  </si>
  <si>
    <t>Evolution du TR 22</t>
  </si>
  <si>
    <t>Evolution 23</t>
  </si>
  <si>
    <t>Evolution du TR 23</t>
  </si>
  <si>
    <t>Evolution 24</t>
  </si>
  <si>
    <t>Evolution du TR 24</t>
  </si>
  <si>
    <t>Evolution 25</t>
  </si>
  <si>
    <t>Evolution du TR 25</t>
  </si>
  <si>
    <t>Evolution 26</t>
  </si>
  <si>
    <t>Evolution du TR 26</t>
  </si>
  <si>
    <t>Evolution 27</t>
  </si>
  <si>
    <t>Evolution du TR 27</t>
  </si>
  <si>
    <t>Evolution 28</t>
  </si>
  <si>
    <t>Evolution du TR 28</t>
  </si>
  <si>
    <t>Evolution 29</t>
  </si>
  <si>
    <t>Evolution du TR 29</t>
  </si>
  <si>
    <t>Evolution 30</t>
  </si>
  <si>
    <t>Evolution du TR 30</t>
  </si>
  <si>
    <t>Evolution 31</t>
  </si>
  <si>
    <t>Evolution du TR 31</t>
  </si>
  <si>
    <t>Evolution 32</t>
  </si>
  <si>
    <t>Evolution du TR 32</t>
  </si>
  <si>
    <t>Evolution 33</t>
  </si>
  <si>
    <t>Evolution du TR 33</t>
  </si>
  <si>
    <t>Evolution 34</t>
  </si>
  <si>
    <t>Evolution du TR 34</t>
  </si>
  <si>
    <t>Evolution 35</t>
  </si>
  <si>
    <t>Evolution du TR 35</t>
  </si>
  <si>
    <t>Evolution 36</t>
  </si>
  <si>
    <t>Evolution du TR 36</t>
  </si>
  <si>
    <t>Evolution 37</t>
  </si>
  <si>
    <t>Evolution du TR 37</t>
  </si>
  <si>
    <t>Evolution 38</t>
  </si>
  <si>
    <t>Evolution du TR 38</t>
  </si>
  <si>
    <t>Evolution 39</t>
  </si>
  <si>
    <t>Evolution du TR 39</t>
  </si>
  <si>
    <t>Evolution 40</t>
  </si>
  <si>
    <t>Evolution du TR 40</t>
  </si>
  <si>
    <t>Evolution 41</t>
  </si>
  <si>
    <t>Evolution du TR 41</t>
  </si>
  <si>
    <t>Evolution 42</t>
  </si>
  <si>
    <t>Evolution du TR 42</t>
  </si>
  <si>
    <t>Evolution 43</t>
  </si>
  <si>
    <t>Evolution du TR 43</t>
  </si>
  <si>
    <t>Evolution 44</t>
  </si>
  <si>
    <t>Evolution du TR 44</t>
  </si>
  <si>
    <t>Evolution 45</t>
  </si>
  <si>
    <t>Evolution du TR 45</t>
  </si>
  <si>
    <t>Développement de nouveaux véhicules routiers</t>
  </si>
  <si>
    <t>Evolution du réseau ferré pour le fret ferroviaire</t>
  </si>
  <si>
    <t>Objectif de conversion à l'électrique des lignes diesel utilisées pour le fret</t>
  </si>
  <si>
    <t>ConvFerr</t>
  </si>
  <si>
    <t>Evolution de la cyclologistique</t>
  </si>
  <si>
    <t>Objectif d'évolution du nombre d'emplois liés à la cyclologistique</t>
  </si>
  <si>
    <t>CyclologObj</t>
  </si>
  <si>
    <t>Objectif d'évolution du volume transporté annuellement pour la cyclologistique</t>
  </si>
  <si>
    <t>CyclologObjTonnage</t>
  </si>
  <si>
    <t>Comment évalueriez-vous votre niveau d'ambition en matière d'aires de livraisons ?</t>
  </si>
  <si>
    <t>ALNvAmb</t>
  </si>
  <si>
    <t>1,2,3,4,5</t>
  </si>
  <si>
    <t>Obligatoire si pas d'autre donnée</t>
  </si>
  <si>
    <t>Objectif de réduction du nombre de véhicules de livraison en double-file en heure de pointe</t>
  </si>
  <si>
    <t>ALObjDoubleFile</t>
  </si>
  <si>
    <t>Objectif d'implantation d'aires de livraison</t>
  </si>
  <si>
    <t>ALObj</t>
  </si>
  <si>
    <t>nouvelles aires de livraisons</t>
  </si>
  <si>
    <t>Projection globale d'évolution du trafic sur les axes concernés</t>
  </si>
  <si>
    <t>ALProjTrafic</t>
  </si>
  <si>
    <t>+50%,+30%,0%,-30%,-50%</t>
  </si>
  <si>
    <t>Comment évalueriez-vous votre niveau d'ambition en matière de ZFEm ?</t>
  </si>
  <si>
    <t>ZFEmNvAmb</t>
  </si>
  <si>
    <t>Surface attendue de la ZFE</t>
  </si>
  <si>
    <t>Classification attendue de la ZFEm en projet : niveaux Crit'Air autorisés</t>
  </si>
  <si>
    <t>ZFEmPrev</t>
  </si>
  <si>
    <t>E,1,2,3,4,5,NC</t>
  </si>
  <si>
    <t>Comment évalueriez-vous votre niveau d'ambition en matière de logistique de chantiers ?</t>
  </si>
  <si>
    <t>LogChantNvAmb</t>
  </si>
  <si>
    <t>Objectif de réduction des t.km par la mise en place de plateformes logistiques</t>
  </si>
  <si>
    <t>LogChantReduc</t>
  </si>
  <si>
    <t>Comment évalueriez-vous votre niveau d'ambition en matière d'espaces de logistique urbains ?</t>
  </si>
  <si>
    <t>ELUNvAmb</t>
  </si>
  <si>
    <t>Objectif de diminution des t.km parcourus avec la mise en place d'un ELU (pour les tournées et pour les déplacements des transporteurs)</t>
  </si>
  <si>
    <t>ELUObj</t>
  </si>
  <si>
    <t>Objectif de future part modale (en t.km) pour chaque type de véhicule concerné par l'ELU</t>
  </si>
  <si>
    <t>Surface de la plateforme</t>
  </si>
  <si>
    <t>Comment évalueriez-vous votre niveau d'ambition en matière de livraisons silencieuses en horaires décalé ?</t>
  </si>
  <si>
    <t>LivrNuitNvAmb</t>
  </si>
  <si>
    <t>Souhaitez-vous renseigner un objectif de passage en horaire décalé global ou par catégorie de véhicule ?</t>
  </si>
  <si>
    <t>Les calculs seront effectués en se basant sur les données renseignées pour la situation initiale</t>
  </si>
  <si>
    <t>Tous véhicules</t>
  </si>
  <si>
    <t>Objectif de passage en horaire décalé</t>
  </si>
  <si>
    <t>Objectif de passage en horaire décalé 1</t>
  </si>
  <si>
    <t>Nouvelle catégorie de véhicule si changement 1</t>
  </si>
  <si>
    <t>Porteurs légers électriques</t>
  </si>
  <si>
    <t>Objectif de passage en horaire décalé 2</t>
  </si>
  <si>
    <t>Nouvelle catégorie de véhicule si changement 2</t>
  </si>
  <si>
    <t>Objectif de passage en horaire décalé 3</t>
  </si>
  <si>
    <t>Nouvelle catégorie de véhicule si changement 3</t>
  </si>
  <si>
    <t>Objectif de passage en horaire décalé 4</t>
  </si>
  <si>
    <t>Nouvelle catégorie de véhicule si changement 4</t>
  </si>
  <si>
    <t>Objectif de passage en horaire décalé 5</t>
  </si>
  <si>
    <t>Nouvelle catégorie de véhicule si changement 5</t>
  </si>
  <si>
    <t>Objectif de passage en horaire décalé 6</t>
  </si>
  <si>
    <t>Nouvelle catégorie de véhicule si changement 6</t>
  </si>
  <si>
    <t>Objectif de passage en horaire décalé 7</t>
  </si>
  <si>
    <t>Nouvelle catégorie de véhicule si changement 7</t>
  </si>
  <si>
    <t>Objectif de passage en horaire décalé 8</t>
  </si>
  <si>
    <t>Nouvelle catégorie de véhicule si changement 8</t>
  </si>
  <si>
    <t>Objectif de passage en horaire décalé 9</t>
  </si>
  <si>
    <t>Nouvelle catégorie de véhicule si changement 9</t>
  </si>
  <si>
    <t>Objectif de passage en horaire décalé 10</t>
  </si>
  <si>
    <t>Nouvelle catégorie de véhicule si changement 10</t>
  </si>
  <si>
    <t>Comment évalueriez-vous votre niveau d'ambition en matière d'usage des transports en commun pour le fret ?</t>
  </si>
  <si>
    <t>FretTCNvAmb</t>
  </si>
  <si>
    <t>Objectif de report modal du transport routier vers le busfret ou carfret</t>
  </si>
  <si>
    <t>FretTCBust</t>
  </si>
  <si>
    <t>Objectif de report modal du transport routier vers le tramfret</t>
  </si>
  <si>
    <t>FretTCTramt</t>
  </si>
  <si>
    <t>Objectif de report modal du transport routier vers le metrofret</t>
  </si>
  <si>
    <t>FretTCMetrot</t>
  </si>
  <si>
    <t>Comment évalueriez-vous votre niveau d'ambition en matière de projets urbains immobiliers ?</t>
  </si>
  <si>
    <t>Caractéristiques des futurs projets</t>
  </si>
  <si>
    <t>Caractéristiques équivalentes à celles de la situation initiale en ordre de grandeur ?</t>
  </si>
  <si>
    <t>Surface moyenne associée</t>
  </si>
  <si>
    <t>Objectifs associés</t>
  </si>
  <si>
    <t>Objectif de réduction des t.km par la mise en place d'un centre de consolidation des chantiers (structure logistique capable de gérer les flux physiques de marchandises entrants ou sortants des chantiers)</t>
  </si>
  <si>
    <t>ProjImmoObj</t>
  </si>
  <si>
    <t>Comment évalueriez-vous votre niveau d'ambition en matière de e-commerce ?</t>
  </si>
  <si>
    <t>ECommTCNvAmb</t>
  </si>
  <si>
    <t>Perspective d'évolution du volume de e-commerce sur le territoire</t>
  </si>
  <si>
    <t>ECommEvolGlob</t>
  </si>
  <si>
    <t>Combien de relais-colis supplémentaires attendez-vous sur le territoire à cet horizon ?</t>
  </si>
  <si>
    <t>ECommEvolNbRelais</t>
  </si>
  <si>
    <t>relais colis</t>
  </si>
  <si>
    <t>Objectif d'évolution de la part de retrait en relais-colis</t>
  </si>
  <si>
    <t>ECommEvolRelais</t>
  </si>
  <si>
    <t>Objectif de passage en horaire décalé 11</t>
  </si>
  <si>
    <t>Nouvelle catégorie de véhicule si changement 11</t>
  </si>
  <si>
    <t>Données par défaut - situation initiale</t>
  </si>
  <si>
    <t>Données par défaut - situation de référence (AME)</t>
  </si>
  <si>
    <t>Données par défaut - situation de référence (AMS)</t>
  </si>
  <si>
    <t>Année</t>
  </si>
  <si>
    <t>ID</t>
  </si>
  <si>
    <t>Nom</t>
  </si>
  <si>
    <t>Carburant</t>
  </si>
  <si>
    <t>Distance annuelle parcourue</t>
  </si>
  <si>
    <t>Estimation du taux de remplissage moyen</t>
  </si>
  <si>
    <t>Nombre de véhicules correspondant</t>
  </si>
  <si>
    <t>Part / véhicules de marchandise du territoire (%)</t>
  </si>
  <si>
    <t xml:space="preserve">Unité </t>
  </si>
  <si>
    <t>-</t>
  </si>
  <si>
    <t>nb.véh</t>
  </si>
  <si>
    <t>Moyenne</t>
  </si>
  <si>
    <t>Défaut</t>
  </si>
  <si>
    <t>&lt;=7,5t</t>
  </si>
  <si>
    <t>Gazole à la pompe</t>
  </si>
  <si>
    <t xml:space="preserve"> &lt;=3,5t;Electrique;0; </t>
  </si>
  <si>
    <t>&lt;=3,5t</t>
  </si>
  <si>
    <t xml:space="preserve"> -   </t>
  </si>
  <si>
    <t>E</t>
  </si>
  <si>
    <t>Essence</t>
  </si>
  <si>
    <t>Essence à la pompe</t>
  </si>
  <si>
    <t>Gaz (GNC)</t>
  </si>
  <si>
    <t>&lt;=7.5t</t>
  </si>
  <si>
    <t>&gt;7.5-12t</t>
  </si>
  <si>
    <t>&gt;14-20t</t>
  </si>
  <si>
    <t>&gt;20-26t</t>
  </si>
  <si>
    <t>&gt;28-34t</t>
  </si>
  <si>
    <t>&gt;34-40t</t>
  </si>
  <si>
    <t>Nom de la catégorie</t>
  </si>
  <si>
    <t>Typologie</t>
  </si>
  <si>
    <t>Evolution du parc fluvial initial</t>
  </si>
  <si>
    <t>Une évolution du nombre annuel de trajets pour ce type de barge/Une évolution de la distance moyenne d'un trajet/Une évolution de la masse moyenne transportée pour un trajet,Une évolution de la distance parcourue annuellement pour ce type de barge/Une évolution du taux de chargement moyen</t>
  </si>
  <si>
    <t>Evolution du NB 1</t>
  </si>
  <si>
    <t>Evolution du DM 1</t>
  </si>
  <si>
    <t>Evolution du MM 1</t>
  </si>
  <si>
    <t>Evolution du DP 1</t>
  </si>
  <si>
    <t>Evolution du TC 1</t>
  </si>
  <si>
    <t>Evolution visée pour le nombre annuel de trajets pour ce type de barge</t>
  </si>
  <si>
    <t>Evolution visée de la distance moyenne d'un trajet</t>
  </si>
  <si>
    <t>Evolution visée de la masse moyenne transportée par trajet</t>
  </si>
  <si>
    <t>Evolution visée de la distance parcourue annuellement pour ce type de barge</t>
  </si>
  <si>
    <t>Evolution visée du taux de chargement moyen</t>
  </si>
  <si>
    <t>Evolution visée du nombre de barges correspondants</t>
  </si>
  <si>
    <t>La valeur à indiquer ici, est le pourcentage d'augmentation du nombre de trajet</t>
  </si>
  <si>
    <t xml:space="preserve">La valeur à indiquer ici, est le pourcentage d'augmentation de la distance moyenne </t>
  </si>
  <si>
    <t>La valeur à indiquer ici, est le pourcentage d'augmentation de la masse transportée</t>
  </si>
  <si>
    <t>La valeur à indiquer ici, est le pourcentage d'augmentation du taux de chargement</t>
  </si>
  <si>
    <t>La valeur à indiquer ici, est le pourcentage d'augmentation du nombre de barges</t>
  </si>
  <si>
    <t>Evolution du NB 2</t>
  </si>
  <si>
    <t>Evolution du DM 2</t>
  </si>
  <si>
    <t>Evolution du MM 2</t>
  </si>
  <si>
    <t>Evolution du DP 2</t>
  </si>
  <si>
    <t>Evolution du TC 2</t>
  </si>
  <si>
    <t>Evolution du NB 3</t>
  </si>
  <si>
    <t>Evolution du DM 3</t>
  </si>
  <si>
    <t>Evolution du MM 3</t>
  </si>
  <si>
    <t>Evolution du DP 3</t>
  </si>
  <si>
    <t>Evolution du TC 3</t>
  </si>
  <si>
    <t>Evolution du NB 4</t>
  </si>
  <si>
    <t>Evolution du DM 4</t>
  </si>
  <si>
    <t>Evolution du MM 4</t>
  </si>
  <si>
    <t>Evolution du DP 4</t>
  </si>
  <si>
    <t>Evolution du TC 4</t>
  </si>
  <si>
    <t>Evolution du NB 5</t>
  </si>
  <si>
    <t>Evolution du DM 5</t>
  </si>
  <si>
    <t>Evolution du MM 5</t>
  </si>
  <si>
    <t>Evolution du DP 5</t>
  </si>
  <si>
    <t>Evolution du TC 5</t>
  </si>
  <si>
    <t>Evolution du NB 6</t>
  </si>
  <si>
    <t>Evolution du DM 6</t>
  </si>
  <si>
    <t>Evolution du MM 6</t>
  </si>
  <si>
    <t>Evolution du DP 6</t>
  </si>
  <si>
    <t>Evolution du TC 6</t>
  </si>
  <si>
    <t>Evolution du NB 7</t>
  </si>
  <si>
    <t>Evolution du DM 7</t>
  </si>
  <si>
    <t>Evolution du MM 7</t>
  </si>
  <si>
    <t>Evolution du DP 7</t>
  </si>
  <si>
    <t>Evolution du TC 7</t>
  </si>
  <si>
    <t>Evolution du NB 8</t>
  </si>
  <si>
    <t>Evolution du DM 8</t>
  </si>
  <si>
    <t>Evolution du MM 8</t>
  </si>
  <si>
    <t>Evolution du DP 8</t>
  </si>
  <si>
    <t>Evolution du TC 8</t>
  </si>
  <si>
    <t>Evolution du NB 9</t>
  </si>
  <si>
    <t>Evolution du DM 9</t>
  </si>
  <si>
    <t>Evolution du MM 9</t>
  </si>
  <si>
    <t>Evolution du DP 9</t>
  </si>
  <si>
    <t>Evolution du TC 9</t>
  </si>
  <si>
    <t>Evolution du NB 10</t>
  </si>
  <si>
    <t>Evolution du DM 10</t>
  </si>
  <si>
    <t>Evolution du MM 10</t>
  </si>
  <si>
    <t>Evolution du DP 10</t>
  </si>
  <si>
    <t>Evolution du TC 10</t>
  </si>
  <si>
    <t>Evolution du NB 11</t>
  </si>
  <si>
    <t>Evolution du DM 11</t>
  </si>
  <si>
    <t>Evolution du MM 11</t>
  </si>
  <si>
    <t>Evolution du DP 11</t>
  </si>
  <si>
    <t>Evolution du TC 11</t>
  </si>
  <si>
    <t>Evolution du NB 12</t>
  </si>
  <si>
    <t>Evolution du DM 12</t>
  </si>
  <si>
    <t>Evolution du MM 12</t>
  </si>
  <si>
    <t>Evolution du DP 12</t>
  </si>
  <si>
    <t>Evolution du TC 12</t>
  </si>
  <si>
    <t>Evolution du NB 13</t>
  </si>
  <si>
    <t>Evolution du DM 13</t>
  </si>
  <si>
    <t>Evolution du MM 13</t>
  </si>
  <si>
    <t>Evolution du DP 13</t>
  </si>
  <si>
    <t>Evolution du TC 13</t>
  </si>
  <si>
    <t>Evolution du NB 14</t>
  </si>
  <si>
    <t>Evolution du DM 14</t>
  </si>
  <si>
    <t>Evolution du MM 14</t>
  </si>
  <si>
    <t>Evolution du DP 14</t>
  </si>
  <si>
    <t>Evolution du TC 14</t>
  </si>
  <si>
    <t>Evolution du NB 15</t>
  </si>
  <si>
    <t>Evolution du DM 15</t>
  </si>
  <si>
    <t>Evolution du MM 15</t>
  </si>
  <si>
    <t>Evolution du DP 15</t>
  </si>
  <si>
    <t>Evolution du TC 15</t>
  </si>
  <si>
    <t>Evolution du NB 16</t>
  </si>
  <si>
    <t>Evolution du DM 16</t>
  </si>
  <si>
    <t>Evolution du MM 16</t>
  </si>
  <si>
    <t>Evolution du DP 16</t>
  </si>
  <si>
    <t>Evolution du TC 16</t>
  </si>
  <si>
    <t>Evolution du NB 17</t>
  </si>
  <si>
    <t>Evolution du DM 17</t>
  </si>
  <si>
    <t>Evolution du MM 17</t>
  </si>
  <si>
    <t>Evolution du DP 17</t>
  </si>
  <si>
    <t>Evolution du TC 17</t>
  </si>
  <si>
    <t>Evolution du NB 18</t>
  </si>
  <si>
    <t>Evolution du DM 18</t>
  </si>
  <si>
    <t>Evolution du MM 18</t>
  </si>
  <si>
    <t>Evolution du DP 18</t>
  </si>
  <si>
    <t>Evolution du TC 18</t>
  </si>
  <si>
    <t>Evolution du NB 19</t>
  </si>
  <si>
    <t>Evolution du DM 19</t>
  </si>
  <si>
    <t>Evolution du MM 19</t>
  </si>
  <si>
    <t>Evolution du DP 19</t>
  </si>
  <si>
    <t>Evolution du TC 19</t>
  </si>
  <si>
    <t>Evolution du NB 20</t>
  </si>
  <si>
    <t>Evolution du DM 20</t>
  </si>
  <si>
    <t>Evolution du MM 20</t>
  </si>
  <si>
    <t>Evolution du DP 20</t>
  </si>
  <si>
    <t>Evolution du TC 20</t>
  </si>
  <si>
    <t>Evolution du NB 21</t>
  </si>
  <si>
    <t>Evolution du DM 21</t>
  </si>
  <si>
    <t>Evolution du MM 21</t>
  </si>
  <si>
    <t>Evolution du DP 21</t>
  </si>
  <si>
    <t>Evolution du TC 21</t>
  </si>
  <si>
    <t>Evolution du NB 22</t>
  </si>
  <si>
    <t>Evolution du DM 22</t>
  </si>
  <si>
    <t>Evolution du MM 22</t>
  </si>
  <si>
    <t>Evolution du DP 22</t>
  </si>
  <si>
    <t>Evolution du TC 22</t>
  </si>
  <si>
    <t>Evolution du NB 23</t>
  </si>
  <si>
    <t>Evolution du DM 23</t>
  </si>
  <si>
    <t>Evolution du MM 23</t>
  </si>
  <si>
    <t>Evolution du DP 23</t>
  </si>
  <si>
    <t>Evolution du TC 23</t>
  </si>
  <si>
    <t>Evolution du NB 24</t>
  </si>
  <si>
    <t>Evolution du DM 24</t>
  </si>
  <si>
    <t>Evolution du MM 24</t>
  </si>
  <si>
    <t>Evolution du DP 24</t>
  </si>
  <si>
    <t>Evolution du TC 24</t>
  </si>
  <si>
    <t>Evolution du NB 25</t>
  </si>
  <si>
    <t>Evolution du DM 25</t>
  </si>
  <si>
    <t>Evolution du MM 25</t>
  </si>
  <si>
    <t>Evolution du DP 25</t>
  </si>
  <si>
    <t>Evolution du TC 25</t>
  </si>
  <si>
    <t>Evolution du NB 26</t>
  </si>
  <si>
    <t>Evolution du DM 26</t>
  </si>
  <si>
    <t>Evolution du MM 26</t>
  </si>
  <si>
    <t>Evolution du DP 26</t>
  </si>
  <si>
    <t>Evolution du TC 26</t>
  </si>
  <si>
    <t>Evolution du NB 27</t>
  </si>
  <si>
    <t>Evolution du DM 27</t>
  </si>
  <si>
    <t>Evolution du MM 27</t>
  </si>
  <si>
    <t>Evolution du DP 27</t>
  </si>
  <si>
    <t>Evolution du TC 27</t>
  </si>
  <si>
    <t>Evolution du NB 28</t>
  </si>
  <si>
    <t>Evolution du DM 28</t>
  </si>
  <si>
    <t>Evolution du MM 28</t>
  </si>
  <si>
    <t>Evolution du DP 28</t>
  </si>
  <si>
    <t>Evolution du TC 28</t>
  </si>
  <si>
    <t>Evolution du NB 29</t>
  </si>
  <si>
    <t>Evolution du DM 29</t>
  </si>
  <si>
    <t>Evolution du MM 29</t>
  </si>
  <si>
    <t>Evolution du DP 29</t>
  </si>
  <si>
    <t>Evolution du TC 29</t>
  </si>
  <si>
    <t>Evolution du NB 30</t>
  </si>
  <si>
    <t>Evolution du DM 30</t>
  </si>
  <si>
    <t>Evolution du MM 30</t>
  </si>
  <si>
    <t>Evolution du DP 30</t>
  </si>
  <si>
    <t>Evolution du TC 30</t>
  </si>
  <si>
    <t>Evolution du NB 31</t>
  </si>
  <si>
    <t>Evolution du DM 31</t>
  </si>
  <si>
    <t>Evolution du MM 31</t>
  </si>
  <si>
    <t>Evolution du DP 31</t>
  </si>
  <si>
    <t>Evolution du TC 31</t>
  </si>
  <si>
    <t>Evolution du NB 32</t>
  </si>
  <si>
    <t>Evolution du DM 32</t>
  </si>
  <si>
    <t>Evolution du MM 32</t>
  </si>
  <si>
    <t>Evolution du DP 32</t>
  </si>
  <si>
    <t>Evolution du TC 32</t>
  </si>
  <si>
    <t>Evolution du NB 33</t>
  </si>
  <si>
    <t>Evolution du DM 33</t>
  </si>
  <si>
    <t>Evolution du MM 33</t>
  </si>
  <si>
    <t>Evolution du DP 33</t>
  </si>
  <si>
    <t>Evolution du TC 33</t>
  </si>
  <si>
    <t>Evolution du NB 34</t>
  </si>
  <si>
    <t>Evolution du DM 34</t>
  </si>
  <si>
    <t>Evolution du MM 34</t>
  </si>
  <si>
    <t>Evolution du DP 34</t>
  </si>
  <si>
    <t>Evolution du TC 34</t>
  </si>
  <si>
    <t>Evolution du NB 35</t>
  </si>
  <si>
    <t>Evolution du DM 35</t>
  </si>
  <si>
    <t>Evolution du MM 35</t>
  </si>
  <si>
    <t>Evolution du DP 35</t>
  </si>
  <si>
    <t>Evolution du TC 35</t>
  </si>
  <si>
    <t>Evolution du NB 36</t>
  </si>
  <si>
    <t>Evolution du DM 36</t>
  </si>
  <si>
    <t>Evolution du MM 36</t>
  </si>
  <si>
    <t>Evolution du DP 36</t>
  </si>
  <si>
    <t>Evolution du TC 36</t>
  </si>
  <si>
    <t>Evolution du NB 37</t>
  </si>
  <si>
    <t>Evolution du DM 37</t>
  </si>
  <si>
    <t>Evolution du MM 37</t>
  </si>
  <si>
    <t>Evolution du DP 37</t>
  </si>
  <si>
    <t>Evolution du TC 37</t>
  </si>
  <si>
    <t>Evolution du NB 38</t>
  </si>
  <si>
    <t>Evolution du DM 38</t>
  </si>
  <si>
    <t>Evolution du MM 38</t>
  </si>
  <si>
    <t>Evolution du DP 38</t>
  </si>
  <si>
    <t>Evolution du TC 38</t>
  </si>
  <si>
    <t>Evolution du NB 39</t>
  </si>
  <si>
    <t>Evolution du DM 39</t>
  </si>
  <si>
    <t>Evolution du MM 39</t>
  </si>
  <si>
    <t>Evolution du DP 39</t>
  </si>
  <si>
    <t>Evolution du TC 39</t>
  </si>
  <si>
    <t>Evolution du NB 40</t>
  </si>
  <si>
    <t>Evolution du DM 40</t>
  </si>
  <si>
    <t>Evolution du MM 40</t>
  </si>
  <si>
    <t>Evolution du DP 40</t>
  </si>
  <si>
    <t>Evolution du TC 40</t>
  </si>
  <si>
    <t>Evolution du NB 41</t>
  </si>
  <si>
    <t>Evolution du DM 41</t>
  </si>
  <si>
    <t>Evolution du MM 41</t>
  </si>
  <si>
    <t>Evolution du DP 41</t>
  </si>
  <si>
    <t>Evolution du TC 41</t>
  </si>
  <si>
    <t>Evolution du NB 42</t>
  </si>
  <si>
    <t>Evolution du DM 42</t>
  </si>
  <si>
    <t>Evolution du MM 42</t>
  </si>
  <si>
    <t>Evolution du DP 42</t>
  </si>
  <si>
    <t>Evolution du TC 42</t>
  </si>
  <si>
    <t>Evolution du NB 43</t>
  </si>
  <si>
    <t>Evolution du DM 43</t>
  </si>
  <si>
    <t>Evolution du MM 43</t>
  </si>
  <si>
    <t>Evolution du DP 43</t>
  </si>
  <si>
    <t>Evolution du TC 43</t>
  </si>
  <si>
    <t>Evolution du NB 44</t>
  </si>
  <si>
    <t>Evolution du DM 44</t>
  </si>
  <si>
    <t>Evolution du MM 44</t>
  </si>
  <si>
    <t>Evolution du DP 44</t>
  </si>
  <si>
    <t>Evolution du TC 44</t>
  </si>
  <si>
    <t>Evolution du NB 45</t>
  </si>
  <si>
    <t>Evolution du DM 45</t>
  </si>
  <si>
    <t>Evolution du MM 45</t>
  </si>
  <si>
    <t>Evolution du DP 45</t>
  </si>
  <si>
    <t>Evolution du TC 45</t>
  </si>
  <si>
    <t>Evolution 46</t>
  </si>
  <si>
    <t>Evolution du NB 46</t>
  </si>
  <si>
    <t>Evolution du DM 46</t>
  </si>
  <si>
    <t>Evolution du MM 46</t>
  </si>
  <si>
    <t>Evolution du DP 46</t>
  </si>
  <si>
    <t>Evolution du TC 46</t>
  </si>
  <si>
    <t>Evolution 47</t>
  </si>
  <si>
    <t>Evolution du NB 47</t>
  </si>
  <si>
    <t>Evolution du DM 47</t>
  </si>
  <si>
    <t>Evolution du MM 47</t>
  </si>
  <si>
    <t>Evolution du DP 47</t>
  </si>
  <si>
    <t>Evolution du TC 47</t>
  </si>
  <si>
    <t>Evolution 48</t>
  </si>
  <si>
    <t>Evolution du NB 48</t>
  </si>
  <si>
    <t>Evolution du DM 48</t>
  </si>
  <si>
    <t>Evolution du MM 48</t>
  </si>
  <si>
    <t>Evolution du DP 48</t>
  </si>
  <si>
    <t>Evolution du TC 48</t>
  </si>
  <si>
    <t>Evolution 49</t>
  </si>
  <si>
    <t>Evolution du NB 49</t>
  </si>
  <si>
    <t>Evolution du DM 49</t>
  </si>
  <si>
    <t>Evolution du MM 49</t>
  </si>
  <si>
    <t>Evolution du DP 49</t>
  </si>
  <si>
    <t>Evolution du TC 49</t>
  </si>
  <si>
    <t>Evolution 50</t>
  </si>
  <si>
    <t>Evolution du NB 50</t>
  </si>
  <si>
    <t>Evolution du DM 50</t>
  </si>
  <si>
    <t>Evolution du MM 50</t>
  </si>
  <si>
    <t>Evolution du DP 50</t>
  </si>
  <si>
    <t>Evolution du TC 50</t>
  </si>
  <si>
    <t>Evolution 51</t>
  </si>
  <si>
    <t>Evolution du NB 51</t>
  </si>
  <si>
    <t>Evolution du DM 51</t>
  </si>
  <si>
    <t>Evolution du MM 51</t>
  </si>
  <si>
    <t>Evolution du DP 51</t>
  </si>
  <si>
    <t>Evolution du TC 51</t>
  </si>
  <si>
    <t>Evolution 52</t>
  </si>
  <si>
    <t>Evolution du NB 52</t>
  </si>
  <si>
    <t>Evolution du DM 52</t>
  </si>
  <si>
    <t>Evolution du MM 52</t>
  </si>
  <si>
    <t>Evolution du DP 52</t>
  </si>
  <si>
    <t>Evolution du TC 52</t>
  </si>
  <si>
    <t>Evolution 53</t>
  </si>
  <si>
    <t>Evolution du NB 53</t>
  </si>
  <si>
    <t>Evolution du DM 53</t>
  </si>
  <si>
    <t>Evolution du MM 53</t>
  </si>
  <si>
    <t>Evolution du DP 53</t>
  </si>
  <si>
    <t>Evolution du TC 53</t>
  </si>
  <si>
    <t>Evolution 54</t>
  </si>
  <si>
    <t>Evolution du NB 54</t>
  </si>
  <si>
    <t>Evolution du DM 54</t>
  </si>
  <si>
    <t>Evolution du MM 54</t>
  </si>
  <si>
    <t>Evolution du DP 54</t>
  </si>
  <si>
    <t>Evolution du TC 54</t>
  </si>
  <si>
    <t>Evolution 55</t>
  </si>
  <si>
    <t>Evolution du NB 55</t>
  </si>
  <si>
    <t>Evolution du DM 55</t>
  </si>
  <si>
    <t>Evolution du MM 55</t>
  </si>
  <si>
    <t>Evolution du DP 55</t>
  </si>
  <si>
    <t>Evolution du TC 55</t>
  </si>
  <si>
    <t>Evolution 56</t>
  </si>
  <si>
    <t>Evolution du NB 56</t>
  </si>
  <si>
    <t>Evolution du DM 56</t>
  </si>
  <si>
    <t>Evolution du MM 56</t>
  </si>
  <si>
    <t>Evolution du DP 56</t>
  </si>
  <si>
    <t>Evolution du TC 56</t>
  </si>
  <si>
    <t>Développement de nouvelles barges</t>
  </si>
  <si>
    <t>VUL</t>
  </si>
  <si>
    <t>PL</t>
  </si>
  <si>
    <t>Distance moyenne d'une tournée (Catégorie 1)</t>
  </si>
  <si>
    <t>Taux de chargement moyen pour une tournée (Catégorie 1)</t>
  </si>
  <si>
    <t>Masse moyenne transportée sur une tournée (Catégorie 1)</t>
  </si>
  <si>
    <t>Ordre de grandeur du nombre annuel de tournées (Catégorie 1)</t>
  </si>
  <si>
    <t>Passages effectifs en horaire décalé (Catégorie 1)</t>
  </si>
  <si>
    <t>Distance moyenne d'une tournée (Catégorie 2)</t>
  </si>
  <si>
    <t>Taux de chargement moyen pour une tournée (Catégorie 2)</t>
  </si>
  <si>
    <t>Masse moyenne transportée sur une tournée (Catégorie 2)</t>
  </si>
  <si>
    <t>Ordre de grandeur du nombre annuel de tournées (Catégorie 2)</t>
  </si>
  <si>
    <t>Passages effectifs en horaire décalé (Catégorie 2)</t>
  </si>
  <si>
    <t>Distance moyenne d'une tournée (Catégorie 3)</t>
  </si>
  <si>
    <t>Taux de chargement moyen pour une tournée (Catégorie 3)</t>
  </si>
  <si>
    <t>Masse moyenne transportée sur une tournée (Catégorie 3)</t>
  </si>
  <si>
    <t>Ordre de grandeur du nombre annuel de tournées (Catégorie 3)</t>
  </si>
  <si>
    <t>Passages effectifs en horaire décalé (Catégorie 3)</t>
  </si>
  <si>
    <t>Distance moyenne d'une tournée (Catégorie 4)</t>
  </si>
  <si>
    <t>Taux de chargement moyen pour une tournée (Catégorie 4)</t>
  </si>
  <si>
    <t>Masse moyenne transportée sur une tournée (Catégorie 4)</t>
  </si>
  <si>
    <t>Ordre de grandeur du nombre annuel de tournées (Catégorie 4)</t>
  </si>
  <si>
    <t>Passages effectifs en horaire décalé (Catégorie 4)</t>
  </si>
  <si>
    <t>Distance moyenne d'une tournée (Catégorie 5)</t>
  </si>
  <si>
    <t>Taux de chargement moyen pour une tournée (Catégorie 5)</t>
  </si>
  <si>
    <t>Masse moyenne transportée sur une tournée (Catégorie 5)</t>
  </si>
  <si>
    <t>Ordre de grandeur du nombre annuel de tournées (Catégorie 5)</t>
  </si>
  <si>
    <t>Passages effectifs en horaire décalé (Catégorie 5)</t>
  </si>
  <si>
    <t>Distance moyenne d'une tournée (Catégorie 6)</t>
  </si>
  <si>
    <t>Taux de chargement moyen pour une tournée (Catégorie 6)</t>
  </si>
  <si>
    <t>Masse moyenne transportée sur une tournée (Catégorie 6)</t>
  </si>
  <si>
    <t>Ordre de grandeur du nombre annuel de tournées (Catégorie 6)</t>
  </si>
  <si>
    <t>Passages effectifs en horaire décalé (Catégorie 6)</t>
  </si>
  <si>
    <t>Distance moyenne d'une tournée (Catégorie 7)</t>
  </si>
  <si>
    <t>Taux de chargement moyen pour une tournée (Catégorie 7)</t>
  </si>
  <si>
    <t>Masse moyenne transportée sur une tournée (Catégorie 7)</t>
  </si>
  <si>
    <t>Ordre de grandeur du nombre annuel de tournées (Catégorie 7)</t>
  </si>
  <si>
    <t>Passages effectifs en horaire décalé (Catégorie 7)</t>
  </si>
  <si>
    <t>Distance moyenne d'une tournée (Catégorie 8)</t>
  </si>
  <si>
    <t>Taux de chargement moyen pour une tournée (Catégorie 8)</t>
  </si>
  <si>
    <t>Masse moyenne transportée sur une tournée (Catégorie 8)</t>
  </si>
  <si>
    <t>Ordre de grandeur du nombre annuel de tournées (Catégorie 8)</t>
  </si>
  <si>
    <t>Passages effectifs en horaire décalé (Catégorie 8)</t>
  </si>
  <si>
    <t>Distance moyenne d'une tournée (Catégorie 9)</t>
  </si>
  <si>
    <t>Taux de chargement moyen pour une tournée (Catégorie 9)</t>
  </si>
  <si>
    <t>Masse moyenne transportée sur une tournée (Catégorie 9)</t>
  </si>
  <si>
    <t>Ordre de grandeur du nombre annuel de tournées (Catégorie 9)</t>
  </si>
  <si>
    <t>Passages effectifs en horaire décalé (Catégorie 9)</t>
  </si>
  <si>
    <t>Distance moyenne d'une tournée (Catégorie 10)</t>
  </si>
  <si>
    <t>Taux de chargement moyen pour une tournée (Catégorie 10)</t>
  </si>
  <si>
    <t>Masse moyenne transportée sur une tournée (Catégorie 10)</t>
  </si>
  <si>
    <t>Ordre de grandeur du nombre annuel de tournées (Catégorie 10)</t>
  </si>
  <si>
    <t>Passages effectifs en horaire décalé (Catégorie 10)</t>
  </si>
  <si>
    <t>,,,,,,,,,</t>
  </si>
  <si>
    <t>Année de la situation initiale</t>
  </si>
  <si>
    <t>Année de la situation prévisionnelle</t>
  </si>
  <si>
    <t>Année de la situation expost</t>
  </si>
  <si>
    <t>Evolution relative</t>
  </si>
  <si>
    <t>Evolution cumulée</t>
  </si>
  <si>
    <t>GES (tCO2e)</t>
  </si>
  <si>
    <t>PM (kgPart)</t>
  </si>
  <si>
    <t>HC (kgHC)</t>
  </si>
  <si>
    <t>NOx (kgNOx)</t>
  </si>
  <si>
    <t>CO (kgCO)</t>
  </si>
  <si>
    <t>Énergie (kWh)</t>
  </si>
  <si>
    <t>Ecart absolu</t>
  </si>
  <si>
    <t>Ecart relatif</t>
  </si>
  <si>
    <t>C1</t>
  </si>
  <si>
    <t>C2</t>
  </si>
  <si>
    <t>Prév. absolu</t>
  </si>
  <si>
    <t>Prév. relatif</t>
  </si>
  <si>
    <t>Expost absolu</t>
  </si>
  <si>
    <t>Expost relatif</t>
  </si>
  <si>
    <t>Par rapport à la situation prévisionnelle</t>
  </si>
  <si>
    <t xml:space="preserve">Émissions GES </t>
  </si>
  <si>
    <t>tCO2e/an</t>
  </si>
  <si>
    <t>Émissions particules</t>
  </si>
  <si>
    <t>kgPart/an</t>
  </si>
  <si>
    <t>Émissions HC</t>
  </si>
  <si>
    <t>kgHC/an</t>
  </si>
  <si>
    <t>Émissions CO</t>
  </si>
  <si>
    <t>kgCO/an</t>
  </si>
  <si>
    <t>Émissions NOx</t>
  </si>
  <si>
    <t>kgNOx/an</t>
  </si>
  <si>
    <t>Consommation d'énergie</t>
  </si>
  <si>
    <t/>
  </si>
  <si>
    <t>kWh/an</t>
  </si>
  <si>
    <t>Gain globaux pour la situation prévisionnelle et la situation de référence</t>
  </si>
  <si>
    <t>Par comparaison à la situation de référence</t>
  </si>
  <si>
    <t>Situation prévisionnelle</t>
  </si>
  <si>
    <t>Situation ex-post</t>
  </si>
  <si>
    <t>Évolution absolue</t>
  </si>
  <si>
    <t>Évolution relative</t>
  </si>
  <si>
    <t>GES</t>
  </si>
  <si>
    <t>PM</t>
  </si>
  <si>
    <t>HC</t>
  </si>
  <si>
    <t>NOx</t>
  </si>
  <si>
    <t>CO</t>
  </si>
  <si>
    <t>Énergie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</si>
</sst>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_-* #,##0.0_-;\-* #,##0.0_-;_-* &quot;-&quot;??_-;_-@_-"/>
    <numFmt numFmtId="166" formatCode="\+0%;\-0%;&quot;-&quot;"/>
  </numFmts>
  <fonts count="20" x14ac:knownFonts="1">
    <font>
      <sz val="11"/>
      <color theme="1"/>
      <name val="Aptos Narrow"/>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sz val="11"/>
      <color rgb="FF000000"/>
      <name val="Aptos Narrow"/>
      <family val="2"/>
      <scheme val="minor"/>
    </font>
    <font>
      <sz val="8"/>
      <name val="Aptos Narrow"/>
      <family val="2"/>
      <scheme val="minor"/>
    </font>
    <font>
      <sz val="11"/>
      <name val="Aptos Narrow"/>
      <family val="2"/>
      <scheme val="minor"/>
    </font>
    <font>
      <b/>
      <sz val="11"/>
      <color theme="0"/>
      <name val="Aptos Narrow"/>
      <family val="2"/>
      <scheme val="minor"/>
    </font>
    <font>
      <b/>
      <sz val="16"/>
      <color theme="1"/>
      <name val="Aptos Narrow"/>
      <family val="2"/>
      <scheme val="minor"/>
    </font>
    <font>
      <sz val="11"/>
      <color theme="2" tint="-9.9978637043366805E-2"/>
      <name val="Aptos Narrow"/>
      <family val="2"/>
      <scheme val="minor"/>
    </font>
    <font>
      <b/>
      <sz val="11"/>
      <name val="Aptos Narrow"/>
      <family val="2"/>
      <scheme val="minor"/>
    </font>
    <font>
      <sz val="8"/>
      <color theme="0" tint="-0.34998626667073579"/>
      <name val="Aptos Narrow"/>
      <family val="2"/>
      <scheme val="minor"/>
    </font>
    <font>
      <i/>
      <sz val="11"/>
      <color theme="0" tint="-0.499984740745262"/>
      <name val="Aptos Narrow"/>
      <family val="2"/>
      <scheme val="minor"/>
    </font>
    <font>
      <u/>
      <sz val="11"/>
      <color theme="10"/>
      <name val="Aptos Narrow"/>
      <family val="2"/>
      <scheme val="minor"/>
    </font>
    <font>
      <i/>
      <sz val="10"/>
      <color theme="0" tint="-0.499984740745262"/>
      <name val="Aptos Narrow"/>
      <family val="2"/>
      <scheme val="minor"/>
    </font>
    <font>
      <b/>
      <i/>
      <sz val="11"/>
      <color theme="0"/>
      <name val="Aptos Narrow"/>
      <family val="2"/>
      <scheme val="minor"/>
    </font>
  </fonts>
  <fills count="20">
    <fill>
      <patternFill patternType="none"/>
    </fill>
    <fill>
      <patternFill patternType="gray125"/>
    </fill>
    <fill>
      <patternFill patternType="solid">
        <fgColor theme="5" tint="0.39997558519241921"/>
        <bgColor indexed="65"/>
      </patternFill>
    </fill>
    <fill>
      <patternFill patternType="solid">
        <fgColor theme="9"/>
      </patternFill>
    </fill>
    <fill>
      <patternFill patternType="solid">
        <fgColor rgb="FFFFFF00"/>
        <bgColor indexed="64"/>
      </patternFill>
    </fill>
    <fill>
      <patternFill patternType="solid">
        <fgColor rgb="FFC00000"/>
        <bgColor indexed="64"/>
      </patternFill>
    </fill>
    <fill>
      <patternFill patternType="solid">
        <fgColor rgb="FF00B050"/>
        <bgColor indexed="64"/>
      </patternFill>
    </fill>
    <fill>
      <patternFill patternType="solid">
        <fgColor rgb="FF00B0F0"/>
      </patternFill>
    </fill>
    <fill>
      <patternFill patternType="solid">
        <fgColor theme="5" tint="0.79998168889431442"/>
        <bgColor indexed="64"/>
      </patternFill>
    </fill>
    <fill>
      <patternFill patternType="solid">
        <fgColor theme="4"/>
      </patternFill>
    </fill>
    <fill>
      <patternFill patternType="solid">
        <fgColor theme="4" tint="0.79998168889431442"/>
        <bgColor indexed="65"/>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bgColor indexed="64"/>
      </patternFill>
    </fill>
    <fill>
      <patternFill patternType="solid">
        <fgColor theme="4" tint="-0.249977111117893"/>
        <bgColor indexed="64"/>
      </patternFill>
    </fill>
    <fill>
      <patternFill patternType="solid">
        <fgColor theme="4" tint="-0.249977111117893"/>
        <bgColor indexed="65"/>
      </patternFill>
    </fill>
    <fill>
      <patternFill patternType="solid">
        <fgColor theme="4" tint="-0.499984740745262"/>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6" tint="0.79998168889431442"/>
        <bgColor indexed="64"/>
      </patternFill>
    </fill>
  </fills>
  <borders count="42">
    <border>
      <left/>
      <right/>
      <top/>
      <bottom/>
      <diagonal/>
    </border>
    <border>
      <left style="dashed">
        <color theme="0" tint="-0.34998626667073579"/>
      </left>
      <right style="dashed">
        <color theme="0" tint="-0.34998626667073579"/>
      </right>
      <top/>
      <bottom style="dashed">
        <color theme="0" tint="-0.34998626667073579"/>
      </bottom>
      <diagonal/>
    </border>
    <border>
      <left style="thin">
        <color auto="1"/>
      </left>
      <right style="dashed">
        <color theme="0" tint="-0.34998626667073579"/>
      </right>
      <top style="thin">
        <color auto="1"/>
      </top>
      <bottom style="thin">
        <color auto="1"/>
      </bottom>
      <diagonal/>
    </border>
    <border>
      <left/>
      <right style="dashed">
        <color theme="0" tint="-0.34998626667073579"/>
      </right>
      <top style="thin">
        <color auto="1"/>
      </top>
      <bottom style="thin">
        <color auto="1"/>
      </bottom>
      <diagonal/>
    </border>
    <border>
      <left style="dashed">
        <color theme="0" tint="-0.34998626667073579"/>
      </left>
      <right style="dashed">
        <color theme="0" tint="-0.34998626667073579"/>
      </right>
      <top style="thin">
        <color auto="1"/>
      </top>
      <bottom style="thin">
        <color auto="1"/>
      </bottom>
      <diagonal/>
    </border>
    <border>
      <left style="thin">
        <color auto="1"/>
      </left>
      <right style="dashed">
        <color theme="0" tint="-0.34998626667073579"/>
      </right>
      <top style="thin">
        <color auto="1"/>
      </top>
      <bottom style="dashed">
        <color theme="0" tint="-0.34998626667073579"/>
      </bottom>
      <diagonal/>
    </border>
    <border>
      <left/>
      <right style="dashed">
        <color theme="0" tint="-0.34998626667073579"/>
      </right>
      <top style="thin">
        <color auto="1"/>
      </top>
      <bottom style="dashed">
        <color theme="0" tint="-0.34998626667073579"/>
      </bottom>
      <diagonal/>
    </border>
    <border>
      <left style="dashed">
        <color theme="0" tint="-0.34998626667073579"/>
      </left>
      <right style="dashed">
        <color theme="0" tint="-0.34998626667073579"/>
      </right>
      <top style="thin">
        <color auto="1"/>
      </top>
      <bottom style="dashed">
        <color theme="0" tint="-0.34998626667073579"/>
      </bottom>
      <diagonal/>
    </border>
    <border>
      <left style="thin">
        <color auto="1"/>
      </left>
      <right style="dashed">
        <color theme="0" tint="-0.34998626667073579"/>
      </right>
      <top style="dashed">
        <color theme="0" tint="-0.34998626667073579"/>
      </top>
      <bottom style="dashed">
        <color theme="0" tint="-0.34998626667073579"/>
      </bottom>
      <diagonal/>
    </border>
    <border>
      <left style="dashed">
        <color theme="0" tint="-0.34998626667073579"/>
      </left>
      <right style="dashed">
        <color theme="0" tint="-0.34998626667073579"/>
      </right>
      <top style="dashed">
        <color theme="0" tint="-0.34998626667073579"/>
      </top>
      <bottom style="dashed">
        <color theme="0" tint="-0.34998626667073579"/>
      </bottom>
      <diagonal/>
    </border>
    <border>
      <left style="thin">
        <color auto="1"/>
      </left>
      <right style="dashed">
        <color theme="0" tint="-0.34998626667073579"/>
      </right>
      <top style="dashed">
        <color theme="0" tint="-0.34998626667073579"/>
      </top>
      <bottom style="thin">
        <color auto="1"/>
      </bottom>
      <diagonal/>
    </border>
    <border>
      <left style="dashed">
        <color theme="0" tint="-0.34998626667073579"/>
      </left>
      <right style="dashed">
        <color theme="0" tint="-0.34998626667073579"/>
      </right>
      <top style="dashed">
        <color theme="0" tint="-0.34998626667073579"/>
      </top>
      <bottom style="thin">
        <color auto="1"/>
      </bottom>
      <diagonal/>
    </border>
    <border>
      <left style="dashed">
        <color theme="0" tint="-0.34998626667073579"/>
      </left>
      <right style="dashed">
        <color theme="0" tint="-0.34998626667073579"/>
      </right>
      <top/>
      <bottom/>
      <diagonal/>
    </border>
    <border>
      <left style="thin">
        <color auto="1"/>
      </left>
      <right style="dashed">
        <color theme="0" tint="-0.34998626667073579"/>
      </right>
      <top style="thin">
        <color auto="1"/>
      </top>
      <bottom/>
      <diagonal/>
    </border>
    <border>
      <left style="dashed">
        <color theme="0" tint="-0.34998626667073579"/>
      </left>
      <right style="dashed">
        <color theme="0" tint="-0.34998626667073579"/>
      </right>
      <top style="thin">
        <color indexed="64"/>
      </top>
      <bottom/>
      <diagonal/>
    </border>
    <border>
      <left/>
      <right/>
      <top style="thin">
        <color auto="1"/>
      </top>
      <bottom/>
      <diagonal/>
    </border>
    <border>
      <left style="dashed">
        <color theme="0" tint="-0.34998626667073579"/>
      </left>
      <right style="thin">
        <color indexed="64"/>
      </right>
      <top style="thin">
        <color indexed="64"/>
      </top>
      <bottom/>
      <diagonal/>
    </border>
    <border>
      <left style="thin">
        <color indexed="64"/>
      </left>
      <right style="hair">
        <color auto="1"/>
      </right>
      <top/>
      <bottom style="double">
        <color indexed="64"/>
      </bottom>
      <diagonal/>
    </border>
    <border>
      <left style="hair">
        <color auto="1"/>
      </left>
      <right style="hair">
        <color auto="1"/>
      </right>
      <top/>
      <bottom style="double">
        <color indexed="64"/>
      </bottom>
      <diagonal/>
    </border>
    <border>
      <left style="hair">
        <color auto="1"/>
      </left>
      <right style="thin">
        <color indexed="64"/>
      </right>
      <top/>
      <bottom style="double">
        <color indexed="64"/>
      </bottom>
      <diagonal/>
    </border>
    <border>
      <left style="thin">
        <color indexed="64"/>
      </left>
      <right style="hair">
        <color auto="1"/>
      </right>
      <top style="double">
        <color indexed="64"/>
      </top>
      <bottom style="hair">
        <color auto="1"/>
      </bottom>
      <diagonal/>
    </border>
    <border>
      <left style="hair">
        <color auto="1"/>
      </left>
      <right style="hair">
        <color auto="1"/>
      </right>
      <top style="double">
        <color indexed="64"/>
      </top>
      <bottom style="hair">
        <color auto="1"/>
      </bottom>
      <diagonal/>
    </border>
    <border>
      <left style="hair">
        <color auto="1"/>
      </left>
      <right style="thin">
        <color indexed="64"/>
      </right>
      <top style="double">
        <color indexed="64"/>
      </top>
      <bottom style="hair">
        <color auto="1"/>
      </bottom>
      <diagonal/>
    </border>
    <border>
      <left style="thin">
        <color indexed="64"/>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thin">
        <color indexed="64"/>
      </right>
      <top style="hair">
        <color auto="1"/>
      </top>
      <bottom style="hair">
        <color auto="1"/>
      </bottom>
      <diagonal/>
    </border>
    <border>
      <left style="thin">
        <color indexed="64"/>
      </left>
      <right style="hair">
        <color auto="1"/>
      </right>
      <top style="hair">
        <color auto="1"/>
      </top>
      <bottom style="double">
        <color indexed="64"/>
      </bottom>
      <diagonal/>
    </border>
    <border>
      <left style="hair">
        <color auto="1"/>
      </left>
      <right style="hair">
        <color auto="1"/>
      </right>
      <top style="hair">
        <color auto="1"/>
      </top>
      <bottom style="double">
        <color indexed="64"/>
      </bottom>
      <diagonal/>
    </border>
    <border>
      <left style="hair">
        <color auto="1"/>
      </left>
      <right style="thin">
        <color indexed="64"/>
      </right>
      <top style="hair">
        <color auto="1"/>
      </top>
      <bottom style="double">
        <color indexed="64"/>
      </bottom>
      <diagonal/>
    </border>
    <border>
      <left/>
      <right style="thin">
        <color indexed="64"/>
      </right>
      <top style="thin">
        <color indexed="64"/>
      </top>
      <bottom/>
      <diagonal/>
    </border>
    <border>
      <left/>
      <right style="thin">
        <color indexed="64"/>
      </right>
      <top/>
      <bottom/>
      <diagonal/>
    </border>
    <border>
      <left/>
      <right style="dashed">
        <color theme="0" tint="-0.24994659260841701"/>
      </right>
      <top/>
      <bottom style="dashed">
        <color theme="0" tint="-0.24994659260841701"/>
      </bottom>
      <diagonal/>
    </border>
    <border>
      <left style="dashed">
        <color theme="0" tint="-0.24994659260841701"/>
      </left>
      <right style="thin">
        <color indexed="64"/>
      </right>
      <top/>
      <bottom style="dashed">
        <color theme="0" tint="-0.24994659260841701"/>
      </bottom>
      <diagonal/>
    </border>
    <border>
      <left/>
      <right style="dashed">
        <color theme="0" tint="-0.24994659260841701"/>
      </right>
      <top style="dashed">
        <color theme="0" tint="-0.24994659260841701"/>
      </top>
      <bottom style="dashed">
        <color theme="0" tint="-0.24994659260841701"/>
      </bottom>
      <diagonal/>
    </border>
    <border>
      <left style="dashed">
        <color theme="0" tint="-0.24994659260841701"/>
      </left>
      <right style="thin">
        <color indexed="64"/>
      </right>
      <top style="dashed">
        <color theme="0" tint="-0.24994659260841701"/>
      </top>
      <bottom style="dashed">
        <color theme="0" tint="-0.24994659260841701"/>
      </bottom>
      <diagonal/>
    </border>
    <border>
      <left/>
      <right style="dashed">
        <color theme="0" tint="-0.24994659260841701"/>
      </right>
      <top style="dashed">
        <color theme="0" tint="-0.24994659260841701"/>
      </top>
      <bottom style="thin">
        <color indexed="64"/>
      </bottom>
      <diagonal/>
    </border>
    <border>
      <left style="dashed">
        <color theme="0" tint="-0.24994659260841701"/>
      </left>
      <right style="thin">
        <color indexed="64"/>
      </right>
      <top style="dashed">
        <color theme="0" tint="-0.24994659260841701"/>
      </top>
      <bottom style="thin">
        <color indexed="64"/>
      </bottom>
      <diagonal/>
    </border>
    <border>
      <left style="thin">
        <color auto="1"/>
      </left>
      <right/>
      <top style="thin">
        <color auto="1"/>
      </top>
      <bottom/>
      <diagonal/>
    </border>
    <border>
      <left style="thin">
        <color auto="1"/>
      </left>
      <right/>
      <top/>
      <bottom/>
      <diagonal/>
    </border>
    <border>
      <left style="thin">
        <color indexed="64"/>
      </left>
      <right style="dashed">
        <color theme="0" tint="-0.24994659260841701"/>
      </right>
      <top/>
      <bottom style="dashed">
        <color theme="0" tint="-0.24994659260841701"/>
      </bottom>
      <diagonal/>
    </border>
    <border>
      <left style="thin">
        <color indexed="64"/>
      </left>
      <right style="dashed">
        <color theme="0" tint="-0.24994659260841701"/>
      </right>
      <top style="dashed">
        <color theme="0" tint="-0.24994659260841701"/>
      </top>
      <bottom style="dashed">
        <color theme="0" tint="-0.24994659260841701"/>
      </bottom>
      <diagonal/>
    </border>
    <border>
      <left style="thin">
        <color indexed="64"/>
      </left>
      <right style="dashed">
        <color theme="0" tint="-0.24994659260841701"/>
      </right>
      <top style="dashed">
        <color theme="0" tint="-0.24994659260841701"/>
      </top>
      <bottom style="thin">
        <color indexed="64"/>
      </bottom>
      <diagonal/>
    </border>
  </borders>
  <cellStyleXfs count="10">
    <xf numFmtId="0" fontId="0" fillId="0" borderId="0"/>
    <xf numFmtId="43" fontId="4" fillId="0" borderId="0" applyFont="0" applyFill="0" applyBorder="0" applyProtection="0"/>
    <xf numFmtId="9" fontId="4" fillId="0" borderId="0" applyFont="0" applyFill="0" applyBorder="0" applyProtection="0"/>
    <xf numFmtId="43" fontId="3" fillId="0" borderId="0" applyFont="0" applyFill="0" applyBorder="0" applyProtection="0"/>
    <xf numFmtId="9" fontId="3" fillId="0" borderId="0" applyFont="0" applyFill="0" applyBorder="0" applyProtection="0"/>
    <xf numFmtId="0" fontId="3" fillId="0" borderId="0"/>
    <xf numFmtId="0" fontId="17" fillId="0" borderId="0" applyNumberFormat="0" applyFill="0" applyBorder="0" applyProtection="0"/>
    <xf numFmtId="0" fontId="1" fillId="0" borderId="0"/>
    <xf numFmtId="9" fontId="1" fillId="0" borderId="0" applyFont="0" applyFill="0" applyBorder="0" applyProtection="0"/>
    <xf numFmtId="43" fontId="1" fillId="0" borderId="0" applyFont="0" applyFill="0" applyBorder="0" applyProtection="0"/>
  </cellStyleXfs>
  <cellXfs count="156">
    <xf numFmtId="0" fontId="0" fillId="0" borderId="0" xfId="0"/>
    <xf numFmtId="0" fontId="5" fillId="0" borderId="0" xfId="0" applyFont="1"/>
    <xf numFmtId="0" fontId="4" fillId="0" borderId="0" xfId="0" applyFont="1"/>
    <xf numFmtId="9" fontId="0" fillId="0" borderId="0" xfId="2" applyFont="1" applyFill="1"/>
    <xf numFmtId="0" fontId="8" fillId="0" borderId="0" xfId="0" applyFont="1"/>
    <xf numFmtId="0" fontId="0" fillId="4" borderId="0" xfId="0" applyFill="1"/>
    <xf numFmtId="164" fontId="0" fillId="0" borderId="0" xfId="1" applyNumberFormat="1" applyFont="1"/>
    <xf numFmtId="9" fontId="0" fillId="0" borderId="0" xfId="0" applyNumberFormat="1"/>
    <xf numFmtId="164" fontId="0" fillId="0" borderId="0" xfId="1" applyNumberFormat="1" applyFont="1" applyFill="1"/>
    <xf numFmtId="164" fontId="0" fillId="3" borderId="0" xfId="1" applyNumberFormat="1" applyFont="1" applyFill="1"/>
    <xf numFmtId="0" fontId="0" fillId="3" borderId="0" xfId="0" applyFill="1"/>
    <xf numFmtId="165" fontId="0" fillId="0" borderId="0" xfId="1" applyNumberFormat="1" applyFont="1"/>
    <xf numFmtId="0" fontId="0" fillId="0" borderId="0" xfId="2" applyNumberFormat="1" applyFont="1" applyFill="1"/>
    <xf numFmtId="0" fontId="6" fillId="5" borderId="0" xfId="0" applyFont="1" applyFill="1"/>
    <xf numFmtId="0" fontId="0" fillId="0" borderId="0" xfId="1" applyNumberFormat="1" applyFont="1" applyFill="1"/>
    <xf numFmtId="0" fontId="6" fillId="5" borderId="0" xfId="0" applyFont="1" applyFill="1" applyAlignment="1">
      <alignment wrapText="1"/>
    </xf>
    <xf numFmtId="9" fontId="4" fillId="0" borderId="0" xfId="0" applyNumberFormat="1" applyFont="1"/>
    <xf numFmtId="0" fontId="0" fillId="6" borderId="0" xfId="0" applyFill="1"/>
    <xf numFmtId="9" fontId="0" fillId="0" borderId="0" xfId="2" applyFont="1"/>
    <xf numFmtId="0" fontId="0" fillId="2" borderId="0" xfId="0" applyFill="1"/>
    <xf numFmtId="0" fontId="0" fillId="7" borderId="0" xfId="0" applyFill="1"/>
    <xf numFmtId="0" fontId="6" fillId="0" borderId="0" xfId="0" applyFont="1"/>
    <xf numFmtId="0" fontId="10" fillId="0" borderId="0" xfId="0" applyFont="1"/>
    <xf numFmtId="0" fontId="0" fillId="0" borderId="0" xfId="2" applyNumberFormat="1" applyFont="1"/>
    <xf numFmtId="0" fontId="0" fillId="8" borderId="0" xfId="0" applyFill="1"/>
    <xf numFmtId="0" fontId="0" fillId="11" borderId="0" xfId="0" applyFill="1"/>
    <xf numFmtId="0" fontId="3" fillId="11" borderId="0" xfId="0" applyFont="1" applyFill="1"/>
    <xf numFmtId="0" fontId="0" fillId="11" borderId="0" xfId="0" applyFill="1" applyAlignment="1">
      <alignment vertical="center"/>
    </xf>
    <xf numFmtId="164" fontId="0" fillId="11" borderId="0" xfId="1" applyNumberFormat="1" applyFont="1" applyFill="1"/>
    <xf numFmtId="9" fontId="0" fillId="11" borderId="0" xfId="2" applyFont="1" applyFill="1"/>
    <xf numFmtId="9" fontId="0" fillId="11" borderId="0" xfId="0" applyNumberFormat="1" applyFill="1"/>
    <xf numFmtId="0" fontId="3" fillId="4" borderId="0" xfId="0" applyFont="1" applyFill="1"/>
    <xf numFmtId="0" fontId="3" fillId="0" borderId="0" xfId="0" applyFont="1"/>
    <xf numFmtId="0" fontId="0" fillId="0" borderId="0" xfId="0" applyAlignment="1">
      <alignment vertical="center"/>
    </xf>
    <xf numFmtId="0" fontId="3" fillId="8" borderId="0" xfId="0" applyFont="1" applyFill="1"/>
    <xf numFmtId="164" fontId="0" fillId="0" borderId="0" xfId="3" applyNumberFormat="1" applyFont="1" applyFill="1"/>
    <xf numFmtId="9" fontId="0" fillId="0" borderId="0" xfId="4" applyFont="1" applyFill="1"/>
    <xf numFmtId="9" fontId="0" fillId="0" borderId="0" xfId="4" applyFont="1"/>
    <xf numFmtId="164" fontId="0" fillId="0" borderId="0" xfId="3" applyNumberFormat="1" applyFont="1"/>
    <xf numFmtId="9" fontId="0" fillId="0" borderId="0" xfId="4" quotePrefix="1" applyFont="1"/>
    <xf numFmtId="9" fontId="3" fillId="0" borderId="0" xfId="0" applyNumberFormat="1" applyFont="1"/>
    <xf numFmtId="0" fontId="0" fillId="12" borderId="0" xfId="0" applyFill="1"/>
    <xf numFmtId="0" fontId="12" fillId="12" borderId="0" xfId="0" applyFont="1" applyFill="1" applyAlignment="1">
      <alignment horizontal="left" vertical="center" indent="1"/>
    </xf>
    <xf numFmtId="0" fontId="11" fillId="14" borderId="0" xfId="0" applyFont="1" applyFill="1"/>
    <xf numFmtId="0" fontId="13" fillId="0" borderId="0" xfId="0" applyFont="1"/>
    <xf numFmtId="0" fontId="3" fillId="0" borderId="0" xfId="0" applyFont="1" applyAlignment="1">
      <alignment horizontal="center" vertical="center"/>
    </xf>
    <xf numFmtId="0" fontId="11" fillId="15" borderId="0" xfId="5" applyFont="1" applyFill="1" applyAlignment="1">
      <alignment horizontal="center" vertical="center" wrapText="1"/>
    </xf>
    <xf numFmtId="0" fontId="11" fillId="15" borderId="0" xfId="5" quotePrefix="1" applyFont="1" applyFill="1" applyAlignment="1">
      <alignment horizontal="center" vertical="center" wrapText="1"/>
    </xf>
    <xf numFmtId="0" fontId="11" fillId="14" borderId="0" xfId="5" quotePrefix="1" applyFont="1" applyFill="1" applyAlignment="1">
      <alignment horizontal="center" vertical="center" wrapText="1"/>
    </xf>
    <xf numFmtId="0" fontId="14" fillId="4" borderId="0" xfId="5" quotePrefix="1" applyFont="1" applyFill="1" applyAlignment="1">
      <alignment horizontal="center" vertical="center" wrapText="1"/>
    </xf>
    <xf numFmtId="0" fontId="0" fillId="0" borderId="1" xfId="0" applyBorder="1" applyAlignment="1">
      <alignment horizontal="center" vertical="center"/>
    </xf>
    <xf numFmtId="0" fontId="11" fillId="9" borderId="1" xfId="5" quotePrefix="1" applyFont="1" applyFill="1" applyBorder="1" applyAlignment="1">
      <alignment horizontal="center" vertical="center" wrapText="1"/>
    </xf>
    <xf numFmtId="0" fontId="11" fillId="9" borderId="1" xfId="5" applyFont="1" applyFill="1" applyBorder="1" applyAlignment="1">
      <alignment horizontal="center" vertical="center" wrapText="1"/>
    </xf>
    <xf numFmtId="0" fontId="5" fillId="0" borderId="2" xfId="0" applyFont="1" applyBorder="1" applyAlignment="1">
      <alignment horizontal="center" vertical="center"/>
    </xf>
    <xf numFmtId="164" fontId="15" fillId="10" borderId="3" xfId="3" applyNumberFormat="1" applyFont="1" applyFill="1" applyBorder="1" applyAlignment="1">
      <alignment horizontal="left" vertical="center"/>
    </xf>
    <xf numFmtId="164" fontId="0" fillId="12" borderId="4" xfId="3" applyNumberFormat="1" applyFont="1" applyFill="1" applyBorder="1" applyAlignment="1">
      <alignment horizontal="center" vertical="center" wrapText="1"/>
    </xf>
    <xf numFmtId="164" fontId="0" fillId="12" borderId="4" xfId="3" applyNumberFormat="1" applyFont="1" applyFill="1" applyBorder="1" applyAlignment="1">
      <alignment horizontal="center" vertical="center"/>
    </xf>
    <xf numFmtId="9" fontId="0" fillId="12" borderId="4" xfId="4" applyFont="1" applyFill="1" applyBorder="1" applyAlignment="1">
      <alignment horizontal="center" vertical="center"/>
    </xf>
    <xf numFmtId="0" fontId="5" fillId="0" borderId="5" xfId="0" applyFont="1" applyBorder="1" applyAlignment="1">
      <alignment horizontal="center" vertical="center"/>
    </xf>
    <xf numFmtId="164" fontId="15" fillId="10" borderId="6" xfId="3" applyNumberFormat="1" applyFont="1" applyFill="1" applyBorder="1" applyAlignment="1">
      <alignment horizontal="left" vertical="center"/>
    </xf>
    <xf numFmtId="164" fontId="0" fillId="12" borderId="7" xfId="3" applyNumberFormat="1" applyFont="1" applyFill="1" applyBorder="1" applyAlignment="1">
      <alignment horizontal="center" vertical="center" wrapText="1"/>
    </xf>
    <xf numFmtId="164" fontId="0" fillId="12" borderId="7" xfId="3" applyNumberFormat="1" applyFont="1" applyFill="1" applyBorder="1" applyAlignment="1">
      <alignment horizontal="center" vertical="center"/>
    </xf>
    <xf numFmtId="9" fontId="0" fillId="12" borderId="7" xfId="4" applyFont="1" applyFill="1" applyBorder="1" applyAlignment="1">
      <alignment horizontal="center" vertical="center"/>
    </xf>
    <xf numFmtId="0" fontId="5" fillId="0" borderId="8" xfId="0" applyFont="1" applyBorder="1" applyAlignment="1">
      <alignment horizontal="center" vertical="center"/>
    </xf>
    <xf numFmtId="164" fontId="0" fillId="12" borderId="9" xfId="3" applyNumberFormat="1" applyFont="1" applyFill="1" applyBorder="1" applyAlignment="1">
      <alignment horizontal="center" vertical="center" wrapText="1"/>
    </xf>
    <xf numFmtId="164" fontId="0" fillId="12" borderId="9" xfId="3" applyNumberFormat="1" applyFont="1" applyFill="1" applyBorder="1" applyAlignment="1">
      <alignment horizontal="center" vertical="center"/>
    </xf>
    <xf numFmtId="9" fontId="0" fillId="12" borderId="9" xfId="4" applyFont="1" applyFill="1" applyBorder="1" applyAlignment="1">
      <alignment horizontal="center" vertical="center"/>
    </xf>
    <xf numFmtId="0" fontId="5" fillId="0" borderId="10" xfId="0" applyFont="1" applyBorder="1" applyAlignment="1">
      <alignment horizontal="center" vertical="center"/>
    </xf>
    <xf numFmtId="164" fontId="0" fillId="12" borderId="11" xfId="3" applyNumberFormat="1" applyFont="1" applyFill="1" applyBorder="1" applyAlignment="1">
      <alignment horizontal="center" vertical="center" wrapText="1"/>
    </xf>
    <xf numFmtId="164" fontId="0" fillId="12" borderId="11" xfId="3" applyNumberFormat="1" applyFont="1" applyFill="1" applyBorder="1" applyAlignment="1">
      <alignment horizontal="center" vertical="center"/>
    </xf>
    <xf numFmtId="9" fontId="0" fillId="12" borderId="11" xfId="4" applyFont="1" applyFill="1" applyBorder="1" applyAlignment="1">
      <alignment horizontal="center" vertical="center"/>
    </xf>
    <xf numFmtId="164" fontId="0" fillId="12" borderId="12" xfId="3" applyNumberFormat="1" applyFont="1" applyFill="1" applyBorder="1" applyAlignment="1">
      <alignment horizontal="center" vertical="center" wrapText="1"/>
    </xf>
    <xf numFmtId="164" fontId="0" fillId="12" borderId="12" xfId="3" applyNumberFormat="1" applyFont="1" applyFill="1" applyBorder="1" applyAlignment="1">
      <alignment horizontal="center" vertical="center"/>
    </xf>
    <xf numFmtId="9" fontId="0" fillId="12" borderId="12" xfId="4" applyFont="1" applyFill="1" applyBorder="1" applyAlignment="1">
      <alignment horizontal="center" vertical="center"/>
    </xf>
    <xf numFmtId="164" fontId="3" fillId="12" borderId="12" xfId="3" applyNumberFormat="1" applyFont="1" applyFill="1" applyBorder="1" applyAlignment="1">
      <alignment horizontal="center" vertical="center" wrapText="1"/>
    </xf>
    <xf numFmtId="164" fontId="3" fillId="12" borderId="12" xfId="3" applyNumberFormat="1" applyFont="1" applyFill="1" applyBorder="1" applyAlignment="1">
      <alignment horizontal="center" vertical="center"/>
    </xf>
    <xf numFmtId="0" fontId="16" fillId="0" borderId="0" xfId="0" applyFont="1"/>
    <xf numFmtId="0" fontId="0" fillId="0" borderId="13" xfId="0" applyBorder="1" applyAlignment="1">
      <alignment horizontal="center" vertical="center"/>
    </xf>
    <xf numFmtId="0" fontId="11" fillId="9" borderId="14" xfId="5" quotePrefix="1" applyFont="1" applyFill="1" applyBorder="1" applyAlignment="1">
      <alignment horizontal="center" vertical="center" wrapText="1"/>
    </xf>
    <xf numFmtId="0" fontId="11" fillId="9" borderId="14" xfId="5" applyFont="1" applyFill="1" applyBorder="1" applyAlignment="1">
      <alignment horizontal="center" vertical="center" wrapText="1"/>
    </xf>
    <xf numFmtId="0" fontId="0" fillId="0" borderId="15" xfId="0" applyBorder="1"/>
    <xf numFmtId="0" fontId="11" fillId="9" borderId="16" xfId="5" quotePrefix="1" applyFont="1" applyFill="1" applyBorder="1" applyAlignment="1">
      <alignment horizontal="center" vertical="center" wrapText="1"/>
    </xf>
    <xf numFmtId="0" fontId="5" fillId="0" borderId="17" xfId="0" applyFont="1" applyBorder="1" applyAlignment="1">
      <alignment horizontal="center" vertical="center"/>
    </xf>
    <xf numFmtId="164" fontId="15" fillId="10" borderId="18" xfId="3" applyNumberFormat="1" applyFont="1" applyFill="1" applyBorder="1" applyAlignment="1">
      <alignment horizontal="left" vertical="center"/>
    </xf>
    <xf numFmtId="164" fontId="0" fillId="12" borderId="18" xfId="3" applyNumberFormat="1" applyFont="1" applyFill="1" applyBorder="1" applyAlignment="1">
      <alignment horizontal="center" vertical="center" wrapText="1"/>
    </xf>
    <xf numFmtId="164" fontId="0" fillId="12" borderId="18" xfId="3" applyNumberFormat="1" applyFont="1" applyFill="1" applyBorder="1" applyAlignment="1">
      <alignment horizontal="center" vertical="center"/>
    </xf>
    <xf numFmtId="9" fontId="0" fillId="12" borderId="18" xfId="4" applyFont="1" applyFill="1" applyBorder="1" applyAlignment="1">
      <alignment horizontal="center" vertical="center"/>
    </xf>
    <xf numFmtId="0" fontId="0" fillId="0" borderId="18" xfId="0" applyBorder="1"/>
    <xf numFmtId="9" fontId="0" fillId="12" borderId="19" xfId="4" applyFont="1" applyFill="1" applyBorder="1" applyAlignment="1">
      <alignment horizontal="center" vertical="center"/>
    </xf>
    <xf numFmtId="0" fontId="5" fillId="0" borderId="20" xfId="0" applyFont="1" applyBorder="1" applyAlignment="1">
      <alignment horizontal="center" vertical="center"/>
    </xf>
    <xf numFmtId="164" fontId="15" fillId="10" borderId="21" xfId="3" applyNumberFormat="1" applyFont="1" applyFill="1" applyBorder="1" applyAlignment="1">
      <alignment horizontal="left" vertical="center"/>
    </xf>
    <xf numFmtId="164" fontId="0" fillId="12" borderId="21" xfId="3" applyNumberFormat="1" applyFont="1" applyFill="1" applyBorder="1" applyAlignment="1">
      <alignment horizontal="center" vertical="center" wrapText="1"/>
    </xf>
    <xf numFmtId="164" fontId="3" fillId="12" borderId="21" xfId="3" applyNumberFormat="1" applyFont="1" applyFill="1" applyBorder="1" applyAlignment="1">
      <alignment horizontal="center" vertical="center"/>
    </xf>
    <xf numFmtId="164" fontId="0" fillId="12" borderId="21" xfId="3" applyNumberFormat="1" applyFont="1" applyFill="1" applyBorder="1" applyAlignment="1">
      <alignment horizontal="center" vertical="center"/>
    </xf>
    <xf numFmtId="9" fontId="0" fillId="12" borderId="21" xfId="4" applyFont="1" applyFill="1" applyBorder="1" applyAlignment="1">
      <alignment horizontal="center" vertical="center"/>
    </xf>
    <xf numFmtId="0" fontId="0" fillId="0" borderId="21" xfId="0" applyBorder="1"/>
    <xf numFmtId="9" fontId="0" fillId="12" borderId="22" xfId="4" applyFont="1" applyFill="1" applyBorder="1" applyAlignment="1">
      <alignment horizontal="center" vertical="center"/>
    </xf>
    <xf numFmtId="0" fontId="5" fillId="0" borderId="23" xfId="0" applyFont="1" applyBorder="1" applyAlignment="1">
      <alignment horizontal="center" vertical="center"/>
    </xf>
    <xf numFmtId="164" fontId="15" fillId="10" borderId="24" xfId="3" applyNumberFormat="1" applyFont="1" applyFill="1" applyBorder="1" applyAlignment="1">
      <alignment horizontal="left" vertical="center"/>
    </xf>
    <xf numFmtId="164" fontId="0" fillId="12" borderId="24" xfId="3" applyNumberFormat="1" applyFont="1" applyFill="1" applyBorder="1" applyAlignment="1">
      <alignment horizontal="center" vertical="center" wrapText="1"/>
    </xf>
    <xf numFmtId="164" fontId="3" fillId="12" borderId="24" xfId="3" applyNumberFormat="1" applyFont="1" applyFill="1" applyBorder="1" applyAlignment="1">
      <alignment horizontal="center" vertical="center"/>
    </xf>
    <xf numFmtId="164" fontId="0" fillId="12" borderId="24" xfId="3" applyNumberFormat="1" applyFont="1" applyFill="1" applyBorder="1" applyAlignment="1">
      <alignment horizontal="center" vertical="center"/>
    </xf>
    <xf numFmtId="9" fontId="0" fillId="12" borderId="24" xfId="4" applyFont="1" applyFill="1" applyBorder="1" applyAlignment="1">
      <alignment horizontal="center" vertical="center"/>
    </xf>
    <xf numFmtId="0" fontId="0" fillId="0" borderId="24" xfId="0" applyBorder="1"/>
    <xf numFmtId="9" fontId="0" fillId="12" borderId="25" xfId="4" applyFont="1" applyFill="1" applyBorder="1" applyAlignment="1">
      <alignment horizontal="center" vertical="center"/>
    </xf>
    <xf numFmtId="0" fontId="5" fillId="0" borderId="26" xfId="0" applyFont="1" applyBorder="1" applyAlignment="1">
      <alignment horizontal="center" vertical="center"/>
    </xf>
    <xf numFmtId="164" fontId="15" fillId="10" borderId="27" xfId="3" applyNumberFormat="1" applyFont="1" applyFill="1" applyBorder="1" applyAlignment="1">
      <alignment horizontal="left" vertical="center"/>
    </xf>
    <xf numFmtId="164" fontId="0" fillId="12" borderId="27" xfId="3" applyNumberFormat="1" applyFont="1" applyFill="1" applyBorder="1" applyAlignment="1">
      <alignment horizontal="center" vertical="center" wrapText="1"/>
    </xf>
    <xf numFmtId="164" fontId="0" fillId="12" borderId="27" xfId="3" applyNumberFormat="1" applyFont="1" applyFill="1" applyBorder="1" applyAlignment="1">
      <alignment horizontal="center" vertical="center"/>
    </xf>
    <xf numFmtId="9" fontId="0" fillId="12" borderId="27" xfId="4" applyFont="1" applyFill="1" applyBorder="1" applyAlignment="1">
      <alignment horizontal="center" vertical="center"/>
    </xf>
    <xf numFmtId="0" fontId="0" fillId="0" borderId="27" xfId="0" applyBorder="1"/>
    <xf numFmtId="9" fontId="0" fillId="12" borderId="28" xfId="4" applyFont="1" applyFill="1" applyBorder="1" applyAlignment="1">
      <alignment horizontal="center" vertical="center"/>
    </xf>
    <xf numFmtId="164" fontId="3" fillId="12" borderId="21" xfId="3" applyNumberFormat="1" applyFont="1" applyFill="1" applyBorder="1" applyAlignment="1">
      <alignment horizontal="center" vertical="center" wrapText="1"/>
    </xf>
    <xf numFmtId="0" fontId="5" fillId="11" borderId="0" xfId="0" applyFont="1" applyFill="1" applyAlignment="1">
      <alignment vertical="center"/>
    </xf>
    <xf numFmtId="0" fontId="2" fillId="0" borderId="0" xfId="0" applyFont="1"/>
    <xf numFmtId="0" fontId="5" fillId="13" borderId="0" xfId="0" applyFont="1" applyFill="1" applyAlignment="1">
      <alignment horizontal="center"/>
    </xf>
    <xf numFmtId="0" fontId="11" fillId="16" borderId="0" xfId="7" applyFont="1" applyFill="1" applyAlignment="1">
      <alignment vertical="center"/>
    </xf>
    <xf numFmtId="0" fontId="1" fillId="16" borderId="0" xfId="7" applyFill="1" applyAlignment="1">
      <alignment horizontal="center" vertical="center"/>
    </xf>
    <xf numFmtId="0" fontId="1" fillId="16" borderId="0" xfId="7" applyFill="1" applyAlignment="1">
      <alignment horizontal="left" vertical="center"/>
    </xf>
    <xf numFmtId="0" fontId="1" fillId="16" borderId="0" xfId="7" applyFill="1" applyAlignment="1">
      <alignment vertical="center"/>
    </xf>
    <xf numFmtId="0" fontId="1" fillId="0" borderId="0" xfId="7" applyAlignment="1">
      <alignment vertical="center"/>
    </xf>
    <xf numFmtId="0" fontId="11" fillId="13" borderId="0" xfId="7" applyFont="1" applyFill="1" applyAlignment="1">
      <alignment horizontal="right" vertical="center"/>
    </xf>
    <xf numFmtId="0" fontId="1" fillId="17" borderId="0" xfId="7" applyFill="1" applyAlignment="1">
      <alignment vertical="center"/>
    </xf>
    <xf numFmtId="0" fontId="18" fillId="0" borderId="0" xfId="7" applyFont="1" applyAlignment="1">
      <alignment horizontal="left" vertical="center"/>
    </xf>
    <xf numFmtId="0" fontId="5" fillId="0" borderId="0" xfId="7" applyFont="1" applyAlignment="1">
      <alignment horizontal="right" vertical="center"/>
    </xf>
    <xf numFmtId="0" fontId="11" fillId="18" borderId="0" xfId="7" applyFont="1" applyFill="1" applyAlignment="1">
      <alignment horizontal="center" vertical="center" wrapText="1"/>
    </xf>
    <xf numFmtId="0" fontId="5" fillId="0" borderId="0" xfId="7" applyFont="1" applyAlignment="1">
      <alignment horizontal="center" vertical="center"/>
    </xf>
    <xf numFmtId="0" fontId="5" fillId="0" borderId="0" xfId="7" applyFont="1" applyAlignment="1">
      <alignment vertical="center"/>
    </xf>
    <xf numFmtId="0" fontId="11" fillId="18" borderId="0" xfId="7" applyFont="1" applyFill="1" applyAlignment="1">
      <alignment horizontal="right" vertical="center"/>
    </xf>
    <xf numFmtId="164" fontId="1" fillId="19" borderId="0" xfId="7" applyNumberFormat="1" applyFill="1" applyAlignment="1">
      <alignment horizontal="right" vertical="center"/>
    </xf>
    <xf numFmtId="164" fontId="1" fillId="0" borderId="0" xfId="7" applyNumberFormat="1" applyAlignment="1">
      <alignment vertical="center"/>
    </xf>
    <xf numFmtId="0" fontId="1" fillId="0" borderId="0" xfId="7" applyAlignment="1">
      <alignment horizontal="center" vertical="center"/>
    </xf>
    <xf numFmtId="0" fontId="5" fillId="0" borderId="0" xfId="7" applyFont="1" applyAlignment="1">
      <alignment horizontal="left" vertical="center"/>
    </xf>
    <xf numFmtId="164" fontId="1" fillId="19" borderId="0" xfId="7" applyNumberFormat="1" applyFill="1" applyAlignment="1">
      <alignment vertical="center"/>
    </xf>
    <xf numFmtId="9" fontId="0" fillId="19" borderId="0" xfId="8" applyFont="1" applyFill="1"/>
    <xf numFmtId="0" fontId="12" fillId="0" borderId="0" xfId="7" applyFont="1" applyAlignment="1">
      <alignment horizontal="right" vertical="center"/>
    </xf>
    <xf numFmtId="0" fontId="7" fillId="0" borderId="0" xfId="7" applyFont="1" applyAlignment="1">
      <alignment vertical="center"/>
    </xf>
    <xf numFmtId="0" fontId="19" fillId="14" borderId="15" xfId="7" applyFont="1" applyFill="1" applyBorder="1" applyAlignment="1">
      <alignment vertical="center"/>
    </xf>
    <xf numFmtId="0" fontId="19" fillId="14" borderId="29" xfId="7" applyFont="1" applyFill="1" applyBorder="1" applyAlignment="1">
      <alignment vertical="center"/>
    </xf>
    <xf numFmtId="0" fontId="11" fillId="14" borderId="0" xfId="7" applyFont="1" applyFill="1" applyAlignment="1">
      <alignment horizontal="center" vertical="center" wrapText="1"/>
    </xf>
    <xf numFmtId="0" fontId="11" fillId="14" borderId="30" xfId="7" applyFont="1" applyFill="1" applyBorder="1" applyAlignment="1">
      <alignment horizontal="center" vertical="center" wrapText="1"/>
    </xf>
    <xf numFmtId="0" fontId="11" fillId="14" borderId="0" xfId="7" applyFont="1" applyFill="1" applyAlignment="1">
      <alignment horizontal="right" vertical="center" wrapText="1"/>
    </xf>
    <xf numFmtId="164" fontId="10" fillId="12" borderId="31" xfId="9" applyNumberFormat="1" applyFont="1" applyFill="1" applyBorder="1" applyAlignment="1">
      <alignment horizontal="center" vertical="center"/>
    </xf>
    <xf numFmtId="166" fontId="10" fillId="12" borderId="32" xfId="9" applyNumberFormat="1" applyFont="1" applyFill="1" applyBorder="1" applyAlignment="1">
      <alignment horizontal="center" vertical="center"/>
    </xf>
    <xf numFmtId="164" fontId="10" fillId="12" borderId="33" xfId="9" applyNumberFormat="1" applyFont="1" applyFill="1" applyBorder="1" applyAlignment="1">
      <alignment horizontal="center" vertical="center"/>
    </xf>
    <xf numFmtId="166" fontId="10" fillId="12" borderId="34" xfId="9" applyNumberFormat="1" applyFont="1" applyFill="1" applyBorder="1" applyAlignment="1">
      <alignment horizontal="center" vertical="center"/>
    </xf>
    <xf numFmtId="164" fontId="10" fillId="12" borderId="35" xfId="9" applyNumberFormat="1" applyFont="1" applyFill="1" applyBorder="1" applyAlignment="1">
      <alignment horizontal="center" vertical="center"/>
    </xf>
    <xf numFmtId="166" fontId="10" fillId="12" borderId="36" xfId="9" applyNumberFormat="1" applyFont="1" applyFill="1" applyBorder="1" applyAlignment="1">
      <alignment horizontal="center" vertical="center"/>
    </xf>
    <xf numFmtId="0" fontId="19" fillId="14" borderId="37" xfId="7" applyFont="1" applyFill="1" applyBorder="1" applyAlignment="1">
      <alignment vertical="center"/>
    </xf>
    <xf numFmtId="0" fontId="11" fillId="14" borderId="38" xfId="7" applyFont="1" applyFill="1" applyBorder="1" applyAlignment="1">
      <alignment horizontal="center" vertical="center" wrapText="1"/>
    </xf>
    <xf numFmtId="164" fontId="10" fillId="12" borderId="39" xfId="9" applyNumberFormat="1" applyFont="1" applyFill="1" applyBorder="1" applyAlignment="1">
      <alignment horizontal="center" vertical="center"/>
    </xf>
    <xf numFmtId="166" fontId="10" fillId="12" borderId="32" xfId="8" applyNumberFormat="1" applyFont="1" applyFill="1" applyBorder="1" applyAlignment="1">
      <alignment horizontal="center" vertical="center"/>
    </xf>
    <xf numFmtId="164" fontId="10" fillId="12" borderId="40" xfId="9" applyNumberFormat="1" applyFont="1" applyFill="1" applyBorder="1" applyAlignment="1">
      <alignment horizontal="center" vertical="center"/>
    </xf>
    <xf numFmtId="166" fontId="10" fillId="12" borderId="34" xfId="8" applyNumberFormat="1" applyFont="1" applyFill="1" applyBorder="1" applyAlignment="1">
      <alignment horizontal="center" vertical="center"/>
    </xf>
    <xf numFmtId="164" fontId="10" fillId="12" borderId="41" xfId="9" applyNumberFormat="1" applyFont="1" applyFill="1" applyBorder="1" applyAlignment="1">
      <alignment horizontal="center" vertical="center"/>
    </xf>
    <xf numFmtId="166" fontId="10" fillId="12" borderId="36" xfId="8" applyNumberFormat="1" applyFont="1" applyFill="1" applyBorder="1" applyAlignment="1">
      <alignment horizontal="center" vertical="center"/>
    </xf>
  </cellXfs>
  <cellStyles count="10">
    <cellStyle name="Lien hypertexte 2" xfId="6" xr:uid="{8E00D802-7AAE-42F8-BD0D-1BEE490AD159}"/>
    <cellStyle name="Milliers" xfId="1" builtinId="3"/>
    <cellStyle name="Milliers 2" xfId="3" xr:uid="{95D5FA87-AB85-4F31-83C4-F78A1D027272}"/>
    <cellStyle name="Milliers 3" xfId="9" xr:uid="{74E3279A-ECFE-4C4E-B33D-C93E4F2A242C}"/>
    <cellStyle name="Normal" xfId="0" builtinId="0"/>
    <cellStyle name="Normal 2" xfId="5" xr:uid="{023DBF24-0FA8-4F7C-891C-C51C06C64D2F}"/>
    <cellStyle name="Normal 3" xfId="7" xr:uid="{DE936BA5-54C7-4DCA-B059-4573ED74CC0D}"/>
    <cellStyle name="Pourcentage" xfId="2" builtinId="5"/>
    <cellStyle name="Pourcentage 2" xfId="4" xr:uid="{599DE7AB-6741-444E-BF8C-E32AC4CE94F3}"/>
    <cellStyle name="Pourcentage 3" xfId="8" xr:uid="{8A952A9C-65FF-4A10-A4E4-C598810B95F0}"/>
  </cellStyles>
  <dxfs count="73">
    <dxf>
      <fill>
        <patternFill>
          <bgColor theme="5" tint="0.79998168889431442"/>
        </patternFill>
      </fill>
    </dxf>
    <dxf>
      <font>
        <b/>
        <i val="0"/>
        <color theme="0"/>
      </font>
      <fill>
        <patternFill>
          <bgColor theme="5"/>
        </patternFill>
      </fill>
    </dxf>
    <dxf>
      <fill>
        <patternFill>
          <bgColor theme="5" tint="0.79998168889431442"/>
        </patternFill>
      </fill>
    </dxf>
    <dxf>
      <font>
        <b/>
        <i val="0"/>
        <color theme="0"/>
      </font>
      <fill>
        <patternFill>
          <bgColor theme="5"/>
        </patternFill>
      </fill>
    </dxf>
    <dxf>
      <fill>
        <patternFill>
          <bgColor theme="5" tint="0.79998168889431442"/>
        </patternFill>
      </fill>
    </dxf>
    <dxf>
      <font>
        <b/>
        <i val="0"/>
        <color theme="0"/>
      </font>
      <fill>
        <patternFill>
          <bgColor theme="5"/>
        </patternFill>
      </fill>
    </dxf>
    <dxf>
      <fill>
        <patternFill>
          <bgColor theme="5" tint="0.79998168889431442"/>
        </patternFill>
      </fill>
    </dxf>
    <dxf>
      <font>
        <b/>
        <i val="0"/>
        <color theme="0"/>
      </font>
      <fill>
        <patternFill>
          <bgColor theme="5"/>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Corentin Consigny" id="{652B6008-50B6-41A6-8077-0DD8E9C37D81}" userId="S::corentin.consigny@blevolution.onmicrosoft.com::b01b15d0-c85c-4dcc-9a86-5100ff0db16b" providerId="AD"/>
  <person displayName="Guillaume Fromentin" id="{B8AB445A-B0C9-43D0-AF79-B011ABCE7CA3}" userId="S::guillaume.fromentin@blevolution.onmicrosoft.com::14ebd6d4-c654-4731-872d-5f810783ec2e"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L1090" dT="2024-12-03T11:27:49.20" personId="{B8AB445A-B0C9-43D0-AF79-B011ABCE7CA3}" id="{4C41790A-4189-4B07-AE3C-BD3EF8B3979D}">
    <text>Ratio sur la pop territoriale * 75% locos élec * 20.9Mds t.km ferroviaire annuel / km parcourus</text>
  </threadedComment>
  <threadedComment ref="L1091" dT="2024-12-03T11:27:49.20" personId="{B8AB445A-B0C9-43D0-AF79-B011ABCE7CA3}" id="{04A1DFDF-CCAF-4214-8732-9B91B8C220AF}">
    <text>Ratio sur la pop territoriale * 25% locos diesel * 20.9Mds t.km ferroviaire annuel / km parcourus</text>
  </threadedComment>
  <threadedComment ref="L1092" dT="2024-12-03T11:30:06.86" personId="{B8AB445A-B0C9-43D0-AF79-B011ABCE7CA3}" id="{D146FB46-1BA6-4EB3-9996-7E8552DCBA2A}">
    <text>Largeur territoire parcourue une fois par jour</text>
  </threadedComment>
  <threadedComment ref="L1093" dT="2024-12-03T11:30:06.86" personId="{B8AB445A-B0C9-43D0-AF79-B011ABCE7CA3}" id="{78CDCB13-0002-40AB-A027-EEC5842A4C6D}">
    <text>Largeur territoire parcourue une fois par jour</text>
  </threadedComment>
</ThreadedComments>
</file>

<file path=xl/threadedComments/threadedComment2.xml><?xml version="1.0" encoding="utf-8"?>
<ThreadedComments xmlns="http://schemas.microsoft.com/office/spreadsheetml/2018/threadedcomments" xmlns:x="http://schemas.openxmlformats.org/spreadsheetml/2006/main">
  <threadedComment ref="P1" dT="2024-11-26T15:47:32.19" personId="{652B6008-50B6-41A6-8077-0DD8E9C37D81}" id="{A147D3DA-AEB5-4F5F-9C6B-42FB29B9D486}">
    <text xml:space="preserve">Calculs intermédiaires Euro et Crit’Air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B5506-739B-467A-9C59-3088AC822B1A}">
  <sheetPr>
    <tabColor theme="4"/>
  </sheetPr>
  <dimension ref="A1:Q2259"/>
  <sheetViews>
    <sheetView tabSelected="1" zoomScale="60" zoomScaleNormal="60" workbookViewId="0">
      <pane ySplit="1" topLeftCell="A2" activePane="bottomLeft" state="frozen"/>
      <selection pane="bottomLeft"/>
    </sheetView>
  </sheetViews>
  <sheetFormatPr baseColWidth="10" defaultRowHeight="15" outlineLevelRow="1" x14ac:dyDescent="0.25"/>
  <cols>
    <col min="1" max="2" width="19" customWidth="1"/>
    <col min="3" max="3" width="23.140625" customWidth="1"/>
    <col min="4" max="4" width="76.28515625" customWidth="1"/>
    <col min="5" max="5" width="12.140625" customWidth="1"/>
    <col min="6" max="6" width="18.7109375" customWidth="1"/>
    <col min="7" max="7" width="9.42578125" bestFit="1" customWidth="1"/>
    <col min="8" max="8" width="5" customWidth="1"/>
    <col min="9" max="9" width="22.42578125" customWidth="1"/>
    <col min="10" max="10" width="31.42578125" customWidth="1"/>
    <col min="11" max="11" width="22.5703125" bestFit="1" customWidth="1"/>
    <col min="12" max="12" width="18.7109375" bestFit="1" customWidth="1"/>
    <col min="13" max="13" width="8.85546875" customWidth="1"/>
    <col min="14" max="14" width="12.85546875" customWidth="1"/>
    <col min="15" max="15" width="23" bestFit="1" customWidth="1"/>
  </cols>
  <sheetData>
    <row r="1" spans="1:15" x14ac:dyDescent="0.25">
      <c r="A1" s="1" t="s">
        <v>0</v>
      </c>
      <c r="B1" s="1"/>
      <c r="C1" s="1" t="s">
        <v>1</v>
      </c>
      <c r="D1" s="1" t="s">
        <v>2</v>
      </c>
      <c r="E1" s="1" t="s">
        <v>3</v>
      </c>
      <c r="F1" s="1" t="s">
        <v>4</v>
      </c>
      <c r="G1" s="1" t="s">
        <v>5</v>
      </c>
      <c r="H1" s="1" t="s">
        <v>6</v>
      </c>
      <c r="I1" s="1" t="s">
        <v>7</v>
      </c>
      <c r="J1" s="1" t="s">
        <v>8</v>
      </c>
      <c r="K1" s="1" t="s">
        <v>9</v>
      </c>
      <c r="L1" s="1" t="s">
        <v>10</v>
      </c>
      <c r="M1" s="1" t="s">
        <v>11</v>
      </c>
      <c r="N1" s="1" t="s">
        <v>12</v>
      </c>
      <c r="O1" s="1" t="s">
        <v>13</v>
      </c>
    </row>
    <row r="2" spans="1:15" x14ac:dyDescent="0.25">
      <c r="A2" t="s">
        <v>14</v>
      </c>
      <c r="C2" s="1"/>
      <c r="D2" t="s">
        <v>15</v>
      </c>
      <c r="E2" s="1"/>
      <c r="F2" t="s">
        <v>16</v>
      </c>
      <c r="G2" t="s">
        <v>17</v>
      </c>
      <c r="H2">
        <v>1</v>
      </c>
      <c r="I2">
        <v>2024</v>
      </c>
      <c r="O2">
        <v>1</v>
      </c>
    </row>
    <row r="3" spans="1:15" x14ac:dyDescent="0.25">
      <c r="A3" t="s">
        <v>14</v>
      </c>
      <c r="D3" t="s">
        <v>18</v>
      </c>
      <c r="F3" t="s">
        <v>19</v>
      </c>
      <c r="G3" t="s">
        <v>20</v>
      </c>
      <c r="H3">
        <v>1</v>
      </c>
      <c r="I3" s="2" t="s">
        <v>21</v>
      </c>
      <c r="M3" s="2" t="s">
        <v>22</v>
      </c>
      <c r="O3">
        <v>1</v>
      </c>
    </row>
    <row r="4" spans="1:15" x14ac:dyDescent="0.25">
      <c r="A4" t="s">
        <v>14</v>
      </c>
      <c r="D4" t="s">
        <v>23</v>
      </c>
      <c r="F4" t="s">
        <v>24</v>
      </c>
      <c r="G4" t="s">
        <v>17</v>
      </c>
      <c r="H4">
        <v>0</v>
      </c>
      <c r="I4">
        <v>999999999</v>
      </c>
    </row>
    <row r="5" spans="1:15" x14ac:dyDescent="0.25">
      <c r="A5" t="s">
        <v>14</v>
      </c>
      <c r="D5" t="s">
        <v>25</v>
      </c>
      <c r="F5" t="s">
        <v>26</v>
      </c>
      <c r="G5" t="s">
        <v>17</v>
      </c>
      <c r="H5">
        <v>1</v>
      </c>
      <c r="I5">
        <v>695932.38570465276</v>
      </c>
      <c r="K5" t="s">
        <v>27</v>
      </c>
      <c r="L5" t="e">
        <v>#REF!</v>
      </c>
    </row>
    <row r="6" spans="1:15" x14ac:dyDescent="0.25">
      <c r="A6" t="s">
        <v>14</v>
      </c>
      <c r="D6" t="s">
        <v>28</v>
      </c>
      <c r="F6" t="s">
        <v>29</v>
      </c>
      <c r="G6" t="s">
        <v>17</v>
      </c>
      <c r="H6">
        <v>1</v>
      </c>
      <c r="I6">
        <v>330067.80647336482</v>
      </c>
      <c r="K6" t="s">
        <v>30</v>
      </c>
      <c r="L6" t="e">
        <v>#REF!</v>
      </c>
    </row>
    <row r="7" spans="1:15" x14ac:dyDescent="0.25">
      <c r="A7" t="s">
        <v>14</v>
      </c>
      <c r="D7" t="s">
        <v>31</v>
      </c>
      <c r="F7" t="s">
        <v>32</v>
      </c>
      <c r="G7" t="s">
        <v>17</v>
      </c>
      <c r="H7">
        <v>1</v>
      </c>
      <c r="I7">
        <v>523.20000000000005</v>
      </c>
      <c r="K7" t="s">
        <v>33</v>
      </c>
      <c r="L7" t="e">
        <v>#REF!</v>
      </c>
    </row>
    <row r="8" spans="1:15" x14ac:dyDescent="0.25">
      <c r="A8" t="s">
        <v>14</v>
      </c>
      <c r="D8" t="s">
        <v>34</v>
      </c>
      <c r="F8" t="s">
        <v>35</v>
      </c>
      <c r="G8" t="s">
        <v>36</v>
      </c>
      <c r="H8">
        <v>1</v>
      </c>
      <c r="I8" t="s">
        <v>37</v>
      </c>
      <c r="J8" t="s">
        <v>38</v>
      </c>
    </row>
    <row r="9" spans="1:15" x14ac:dyDescent="0.25">
      <c r="A9" t="s">
        <v>14</v>
      </c>
      <c r="D9" t="s">
        <v>39</v>
      </c>
      <c r="F9" t="s">
        <v>40</v>
      </c>
      <c r="G9" t="s">
        <v>17</v>
      </c>
      <c r="H9">
        <f>IF(I8="Territoire polarisé autour de plusieurs communes",1,0)</f>
        <v>0</v>
      </c>
      <c r="K9" t="s">
        <v>41</v>
      </c>
    </row>
    <row r="10" spans="1:15" x14ac:dyDescent="0.25">
      <c r="A10" t="s">
        <v>14</v>
      </c>
      <c r="D10" t="s">
        <v>42</v>
      </c>
      <c r="F10" t="s">
        <v>43</v>
      </c>
      <c r="G10" t="s">
        <v>17</v>
      </c>
      <c r="H10">
        <v>1</v>
      </c>
      <c r="I10">
        <v>50000</v>
      </c>
      <c r="K10" t="s">
        <v>27</v>
      </c>
    </row>
    <row r="11" spans="1:15" x14ac:dyDescent="0.25">
      <c r="A11" t="s">
        <v>14</v>
      </c>
      <c r="D11" t="s">
        <v>44</v>
      </c>
      <c r="F11" t="s">
        <v>45</v>
      </c>
      <c r="G11" t="s">
        <v>17</v>
      </c>
      <c r="H11">
        <f>IF($I$9&gt;1,1,0)</f>
        <v>0</v>
      </c>
      <c r="K11" t="s">
        <v>27</v>
      </c>
    </row>
    <row r="12" spans="1:15" x14ac:dyDescent="0.25">
      <c r="A12" t="s">
        <v>14</v>
      </c>
      <c r="D12" t="s">
        <v>46</v>
      </c>
      <c r="F12" t="s">
        <v>47</v>
      </c>
      <c r="G12" t="s">
        <v>17</v>
      </c>
      <c r="H12">
        <f>IF($I$9&gt;2,1,0)</f>
        <v>0</v>
      </c>
      <c r="K12" t="s">
        <v>27</v>
      </c>
    </row>
    <row r="13" spans="1:15" x14ac:dyDescent="0.25">
      <c r="A13" t="s">
        <v>14</v>
      </c>
      <c r="D13" t="s">
        <v>48</v>
      </c>
      <c r="F13" t="s">
        <v>49</v>
      </c>
      <c r="G13" t="s">
        <v>17</v>
      </c>
      <c r="H13">
        <f>IF($I$9&gt;3,1,0)</f>
        <v>0</v>
      </c>
      <c r="K13" t="s">
        <v>27</v>
      </c>
    </row>
    <row r="14" spans="1:15" x14ac:dyDescent="0.25">
      <c r="A14" t="s">
        <v>14</v>
      </c>
      <c r="D14" t="s">
        <v>50</v>
      </c>
      <c r="F14" t="s">
        <v>51</v>
      </c>
      <c r="G14" t="s">
        <v>17</v>
      </c>
      <c r="H14">
        <f>IF($I$9&gt;4,1,0)</f>
        <v>0</v>
      </c>
      <c r="K14" t="s">
        <v>27</v>
      </c>
    </row>
    <row r="15" spans="1:15" x14ac:dyDescent="0.25">
      <c r="A15" t="s">
        <v>14</v>
      </c>
      <c r="D15" t="s">
        <v>52</v>
      </c>
      <c r="F15" t="s">
        <v>53</v>
      </c>
      <c r="G15" t="s">
        <v>36</v>
      </c>
      <c r="H15">
        <v>1</v>
      </c>
      <c r="I15" t="s">
        <v>54</v>
      </c>
      <c r="J15" t="s">
        <v>55</v>
      </c>
    </row>
    <row r="16" spans="1:15" x14ac:dyDescent="0.25">
      <c r="A16" t="s">
        <v>14</v>
      </c>
      <c r="D16" t="s">
        <v>56</v>
      </c>
      <c r="F16" t="s">
        <v>57</v>
      </c>
      <c r="G16" t="s">
        <v>36</v>
      </c>
      <c r="H16">
        <v>1</v>
      </c>
      <c r="I16" t="s">
        <v>54</v>
      </c>
      <c r="J16" t="s">
        <v>55</v>
      </c>
    </row>
    <row r="17" spans="1:15" x14ac:dyDescent="0.25">
      <c r="A17" t="s">
        <v>14</v>
      </c>
      <c r="D17" t="s">
        <v>58</v>
      </c>
      <c r="F17" t="s">
        <v>59</v>
      </c>
      <c r="G17" t="s">
        <v>60</v>
      </c>
      <c r="H17">
        <v>1</v>
      </c>
      <c r="I17" s="2" t="s">
        <v>61</v>
      </c>
      <c r="J17" t="s">
        <v>62</v>
      </c>
      <c r="O17">
        <v>1</v>
      </c>
    </row>
    <row r="18" spans="1:15" x14ac:dyDescent="0.25">
      <c r="A18" t="s">
        <v>14</v>
      </c>
      <c r="D18" t="s">
        <v>63</v>
      </c>
      <c r="F18" t="s">
        <v>64</v>
      </c>
      <c r="G18" t="s">
        <v>60</v>
      </c>
      <c r="H18">
        <v>1</v>
      </c>
      <c r="I18" s="2" t="s">
        <v>61</v>
      </c>
      <c r="J18" t="s">
        <v>62</v>
      </c>
      <c r="O18">
        <v>1</v>
      </c>
    </row>
    <row r="19" spans="1:15" x14ac:dyDescent="0.25">
      <c r="A19" t="s">
        <v>65</v>
      </c>
      <c r="D19" t="s">
        <v>66</v>
      </c>
      <c r="F19" t="s">
        <v>67</v>
      </c>
      <c r="G19" t="s">
        <v>36</v>
      </c>
      <c r="H19">
        <v>1</v>
      </c>
      <c r="I19" t="s">
        <v>54</v>
      </c>
      <c r="J19" t="s">
        <v>55</v>
      </c>
    </row>
    <row r="20" spans="1:15" x14ac:dyDescent="0.25">
      <c r="A20" t="s">
        <v>65</v>
      </c>
      <c r="D20" t="s">
        <v>68</v>
      </c>
      <c r="F20" t="s">
        <v>69</v>
      </c>
      <c r="G20" t="s">
        <v>17</v>
      </c>
      <c r="H20">
        <f>IF(I19="Oui",1,0)</f>
        <v>1</v>
      </c>
      <c r="I20" s="3">
        <v>0.3</v>
      </c>
      <c r="K20" t="s">
        <v>70</v>
      </c>
      <c r="L20" t="e">
        <v>#REF!</v>
      </c>
    </row>
    <row r="21" spans="1:15" x14ac:dyDescent="0.25">
      <c r="A21" t="s">
        <v>65</v>
      </c>
      <c r="D21" t="s">
        <v>71</v>
      </c>
      <c r="F21" t="s">
        <v>72</v>
      </c>
      <c r="G21" t="s">
        <v>36</v>
      </c>
      <c r="H21">
        <v>1</v>
      </c>
      <c r="I21">
        <v>80</v>
      </c>
      <c r="J21" t="s">
        <v>55</v>
      </c>
    </row>
    <row r="22" spans="1:15" x14ac:dyDescent="0.25">
      <c r="A22" t="s">
        <v>65</v>
      </c>
      <c r="D22" t="s">
        <v>73</v>
      </c>
      <c r="F22" t="s">
        <v>74</v>
      </c>
      <c r="G22" t="s">
        <v>17</v>
      </c>
      <c r="H22">
        <f>IF(I21="Oui",1,0)</f>
        <v>0</v>
      </c>
      <c r="J22" t="s">
        <v>75</v>
      </c>
    </row>
    <row r="23" spans="1:15" x14ac:dyDescent="0.25">
      <c r="A23" t="s">
        <v>76</v>
      </c>
      <c r="C23" t="s">
        <v>77</v>
      </c>
      <c r="D23" t="s">
        <v>78</v>
      </c>
      <c r="F23" t="str">
        <f>_xlfn.CONCAT("FretRout",LEFT(C23,3),RIGHT(C23,1),"Nom")</f>
        <v>FretRoutCat1Nom</v>
      </c>
      <c r="G23" t="s">
        <v>20</v>
      </c>
      <c r="H23">
        <v>1</v>
      </c>
      <c r="I23" s="4"/>
      <c r="J23" s="4" t="s">
        <v>382</v>
      </c>
      <c r="L23" s="4" t="str">
        <f>J23</f>
        <v>VUL Electrique (Crit'Air E)</v>
      </c>
      <c r="M23" s="2"/>
    </row>
    <row r="24" spans="1:15" x14ac:dyDescent="0.25">
      <c r="A24" t="s">
        <v>76</v>
      </c>
      <c r="C24" t="s">
        <v>77</v>
      </c>
      <c r="D24" t="s">
        <v>79</v>
      </c>
      <c r="F24" t="str">
        <f>_xlfn.CONCAT("FretRout",LEFT(C24,3),RIGHT(C24,1),"Type")</f>
        <v>FretRoutCat1Type</v>
      </c>
      <c r="G24" t="s">
        <v>20</v>
      </c>
      <c r="H24">
        <v>1</v>
      </c>
      <c r="J24" t="s">
        <v>1770</v>
      </c>
      <c r="L24" s="4" t="str">
        <f>J24</f>
        <v>VUL</v>
      </c>
      <c r="M24" s="2"/>
    </row>
    <row r="25" spans="1:15" x14ac:dyDescent="0.25">
      <c r="A25" t="s">
        <v>76</v>
      </c>
      <c r="C25" t="s">
        <v>77</v>
      </c>
      <c r="D25" t="s">
        <v>80</v>
      </c>
      <c r="F25" t="str">
        <f>_xlfn.CONCAT("FretRout",LEFT(C25,3),RIGHT(C25,1),"PTAC")</f>
        <v>FretRoutCat1PTAC</v>
      </c>
      <c r="G25" t="s">
        <v>36</v>
      </c>
      <c r="H25">
        <v>1</v>
      </c>
      <c r="J25" t="s">
        <v>1451</v>
      </c>
      <c r="L25" s="4" t="str">
        <f>J25</f>
        <v>&lt;=3,5t</v>
      </c>
      <c r="M25" s="2"/>
    </row>
    <row r="26" spans="1:15" x14ac:dyDescent="0.25">
      <c r="A26" t="s">
        <v>76</v>
      </c>
      <c r="C26" t="s">
        <v>77</v>
      </c>
      <c r="D26" t="s">
        <v>81</v>
      </c>
      <c r="F26" t="str">
        <f>_xlfn.CONCAT("FretRout",LEFT(C26,3),RIGHT(C26,1),"Mot")</f>
        <v>FretRoutCat1Mot</v>
      </c>
      <c r="G26" t="s">
        <v>36</v>
      </c>
      <c r="H26">
        <v>1</v>
      </c>
      <c r="I26" s="2"/>
      <c r="J26" t="s">
        <v>456</v>
      </c>
      <c r="L26" s="4" t="str">
        <f t="shared" ref="L26:L29" si="0">J26</f>
        <v>Electrique</v>
      </c>
      <c r="M26" s="2"/>
    </row>
    <row r="27" spans="1:15" x14ac:dyDescent="0.25">
      <c r="A27" t="s">
        <v>76</v>
      </c>
      <c r="C27" t="s">
        <v>77</v>
      </c>
      <c r="D27" t="s">
        <v>82</v>
      </c>
      <c r="F27" t="str">
        <f>_xlfn.CONCAT("FretRout",LEFT(C27,3),RIGHT(C27,1),"Carb")</f>
        <v>FretRoutCat1Carb</v>
      </c>
      <c r="G27" t="s">
        <v>36</v>
      </c>
      <c r="H27">
        <v>1</v>
      </c>
      <c r="J27" t="s">
        <v>1452</v>
      </c>
      <c r="L27" s="4" t="str">
        <f t="shared" si="0"/>
        <v xml:space="preserve"> -   </v>
      </c>
      <c r="M27" s="2"/>
    </row>
    <row r="28" spans="1:15" x14ac:dyDescent="0.25">
      <c r="A28" t="s">
        <v>76</v>
      </c>
      <c r="C28" t="s">
        <v>77</v>
      </c>
      <c r="D28" t="s">
        <v>83</v>
      </c>
      <c r="F28" t="str">
        <f>_xlfn.CONCAT("FretRout",LEFT(C28,3),RIGHT(C28,1),"Euro")</f>
        <v>FretRoutCat1Euro</v>
      </c>
      <c r="G28" t="s">
        <v>36</v>
      </c>
      <c r="H28">
        <v>1</v>
      </c>
      <c r="J28">
        <v>0</v>
      </c>
      <c r="L28" s="4">
        <f t="shared" si="0"/>
        <v>0</v>
      </c>
      <c r="M28" s="2"/>
    </row>
    <row r="29" spans="1:15" x14ac:dyDescent="0.25">
      <c r="A29" t="s">
        <v>76</v>
      </c>
      <c r="C29" t="s">
        <v>77</v>
      </c>
      <c r="D29" t="s">
        <v>84</v>
      </c>
      <c r="F29" t="str">
        <f>_xlfn.CONCAT("FretRout",LEFT(C29,3),RIGHT(C29,1),"CritAir")</f>
        <v>FretRoutCat1CritAir</v>
      </c>
      <c r="G29" t="s">
        <v>36</v>
      </c>
      <c r="H29">
        <v>1</v>
      </c>
      <c r="I29" s="2"/>
      <c r="J29" t="s">
        <v>1453</v>
      </c>
      <c r="L29" s="4" t="str">
        <f t="shared" si="0"/>
        <v>E</v>
      </c>
      <c r="M29" s="2"/>
    </row>
    <row r="30" spans="1:15" x14ac:dyDescent="0.25">
      <c r="A30" t="s">
        <v>76</v>
      </c>
      <c r="C30" t="s">
        <v>77</v>
      </c>
      <c r="D30" t="s">
        <v>85</v>
      </c>
      <c r="F30" t="str">
        <f>_xlfn.CONCAT("FretRout",LEFT(C30,3),RIGHT(C30,1),"Nb")</f>
        <v>FretRoutCat1Nb</v>
      </c>
      <c r="G30" t="s">
        <v>17</v>
      </c>
      <c r="H30">
        <v>1</v>
      </c>
      <c r="K30" t="s">
        <v>86</v>
      </c>
      <c r="L30">
        <v>0</v>
      </c>
      <c r="M30" s="2"/>
    </row>
    <row r="31" spans="1:15" x14ac:dyDescent="0.25">
      <c r="A31" t="s">
        <v>76</v>
      </c>
      <c r="C31" t="s">
        <v>77</v>
      </c>
      <c r="D31" t="s">
        <v>87</v>
      </c>
      <c r="F31" t="str">
        <f>_xlfn.CONCAT("FretRout",LEFT(C31,3),RIGHT(C31,1),"Dist")</f>
        <v>FretRoutCat1Dist</v>
      </c>
      <c r="G31" t="s">
        <v>17</v>
      </c>
      <c r="H31">
        <v>1</v>
      </c>
      <c r="I31" s="2"/>
      <c r="K31" t="s">
        <v>88</v>
      </c>
      <c r="L31">
        <v>7694</v>
      </c>
      <c r="M31" s="2"/>
    </row>
    <row r="32" spans="1:15" x14ac:dyDescent="0.25">
      <c r="A32" t="s">
        <v>76</v>
      </c>
      <c r="C32" t="s">
        <v>77</v>
      </c>
      <c r="D32" s="2" t="s">
        <v>89</v>
      </c>
      <c r="F32" t="str">
        <f>_xlfn.CONCAT("FretRout",LEFT(C32,3),RIGHT(C32,1),"Rempl")</f>
        <v>FretRoutCat1Rempl</v>
      </c>
      <c r="G32" t="s">
        <v>17</v>
      </c>
      <c r="H32">
        <v>1</v>
      </c>
      <c r="I32" s="3"/>
      <c r="K32" t="s">
        <v>70</v>
      </c>
      <c r="L32">
        <v>0</v>
      </c>
      <c r="M32" s="2"/>
    </row>
    <row r="33" spans="1:13" outlineLevel="1" x14ac:dyDescent="0.25">
      <c r="A33" t="s">
        <v>76</v>
      </c>
      <c r="C33" s="2" t="s">
        <v>90</v>
      </c>
      <c r="D33" t="s">
        <v>78</v>
      </c>
      <c r="F33" t="str">
        <f>_xlfn.CONCAT("FretRout",LEFT(C33,3),RIGHT(C33,1),"Nom")</f>
        <v>FretRoutCat2Nom</v>
      </c>
      <c r="G33" t="s">
        <v>20</v>
      </c>
      <c r="H33">
        <v>1</v>
      </c>
      <c r="I33" s="4"/>
      <c r="J33" s="4" t="s">
        <v>386</v>
      </c>
      <c r="L33" s="4" t="str">
        <f>J33</f>
        <v>VUL Diesel (Crit'Air 2)</v>
      </c>
      <c r="M33" s="2"/>
    </row>
    <row r="34" spans="1:13" outlineLevel="1" x14ac:dyDescent="0.25">
      <c r="A34" t="s">
        <v>76</v>
      </c>
      <c r="C34" s="2" t="s">
        <v>90</v>
      </c>
      <c r="D34" t="s">
        <v>79</v>
      </c>
      <c r="F34" t="str">
        <f>_xlfn.CONCAT("FretRout",LEFT(C34,3),RIGHT(C34,1),"Type")</f>
        <v>FretRoutCat2Type</v>
      </c>
      <c r="G34" t="s">
        <v>20</v>
      </c>
      <c r="H34">
        <v>1</v>
      </c>
      <c r="J34" t="s">
        <v>1770</v>
      </c>
      <c r="L34" s="4" t="str">
        <f t="shared" ref="L34:L39" si="1">J34</f>
        <v>VUL</v>
      </c>
      <c r="M34" s="2"/>
    </row>
    <row r="35" spans="1:13" outlineLevel="1" x14ac:dyDescent="0.25">
      <c r="A35" t="s">
        <v>76</v>
      </c>
      <c r="C35" s="2" t="s">
        <v>90</v>
      </c>
      <c r="D35" t="s">
        <v>80</v>
      </c>
      <c r="F35" t="str">
        <f>_xlfn.CONCAT("FretRout",LEFT(C35,3),RIGHT(C35,1),"PTAC")</f>
        <v>FretRoutCat2PTAC</v>
      </c>
      <c r="G35" t="s">
        <v>36</v>
      </c>
      <c r="H35">
        <v>1</v>
      </c>
      <c r="J35" t="s">
        <v>1451</v>
      </c>
      <c r="L35" s="4" t="str">
        <f t="shared" si="1"/>
        <v>&lt;=3,5t</v>
      </c>
      <c r="M35" s="2"/>
    </row>
    <row r="36" spans="1:13" outlineLevel="1" x14ac:dyDescent="0.25">
      <c r="A36" t="s">
        <v>76</v>
      </c>
      <c r="C36" s="2" t="s">
        <v>90</v>
      </c>
      <c r="D36" t="s">
        <v>81</v>
      </c>
      <c r="F36" t="str">
        <f>_xlfn.CONCAT("FretRout",LEFT(C36,3),RIGHT(C36,1),"Mot")</f>
        <v>FretRoutCat2Mot</v>
      </c>
      <c r="G36" t="s">
        <v>36</v>
      </c>
      <c r="H36">
        <v>1</v>
      </c>
      <c r="I36" s="2"/>
      <c r="J36" t="s">
        <v>138</v>
      </c>
      <c r="L36" s="4" t="str">
        <f t="shared" si="1"/>
        <v>Diesel</v>
      </c>
      <c r="M36" s="2"/>
    </row>
    <row r="37" spans="1:13" outlineLevel="1" x14ac:dyDescent="0.25">
      <c r="A37" t="s">
        <v>76</v>
      </c>
      <c r="C37" s="2" t="s">
        <v>90</v>
      </c>
      <c r="D37" t="s">
        <v>82</v>
      </c>
      <c r="F37" t="str">
        <f>_xlfn.CONCAT("FretRout",LEFT(C37,3),RIGHT(C37,1),"Carb")</f>
        <v>FretRoutCat2Carb</v>
      </c>
      <c r="G37" t="s">
        <v>36</v>
      </c>
      <c r="H37">
        <v>1</v>
      </c>
      <c r="J37" t="s">
        <v>1449</v>
      </c>
      <c r="L37" s="4" t="str">
        <f t="shared" si="1"/>
        <v>Gazole à la pompe</v>
      </c>
      <c r="M37" s="2"/>
    </row>
    <row r="38" spans="1:13" outlineLevel="1" x14ac:dyDescent="0.25">
      <c r="A38" t="s">
        <v>76</v>
      </c>
      <c r="C38" s="2" t="s">
        <v>90</v>
      </c>
      <c r="D38" t="s">
        <v>83</v>
      </c>
      <c r="F38" t="str">
        <f>_xlfn.CONCAT("FretRout",LEFT(C38,3),RIGHT(C38,1),"Euro")</f>
        <v>FretRoutCat2Euro</v>
      </c>
      <c r="G38" t="s">
        <v>36</v>
      </c>
      <c r="H38">
        <v>1</v>
      </c>
      <c r="J38">
        <v>0</v>
      </c>
      <c r="L38" s="4">
        <f t="shared" si="1"/>
        <v>0</v>
      </c>
      <c r="M38" s="2"/>
    </row>
    <row r="39" spans="1:13" outlineLevel="1" x14ac:dyDescent="0.25">
      <c r="A39" t="s">
        <v>76</v>
      </c>
      <c r="C39" s="2" t="s">
        <v>90</v>
      </c>
      <c r="D39" t="s">
        <v>84</v>
      </c>
      <c r="F39" t="str">
        <f>_xlfn.CONCAT("FretRout",LEFT(C39,3),RIGHT(C39,1),"CritAir")</f>
        <v>FretRoutCat2CritAir</v>
      </c>
      <c r="G39" t="s">
        <v>36</v>
      </c>
      <c r="H39">
        <v>1</v>
      </c>
      <c r="I39" s="2"/>
      <c r="J39">
        <v>2</v>
      </c>
      <c r="L39" s="4">
        <f t="shared" si="1"/>
        <v>2</v>
      </c>
      <c r="M39" s="2"/>
    </row>
    <row r="40" spans="1:13" outlineLevel="1" x14ac:dyDescent="0.25">
      <c r="A40" t="s">
        <v>76</v>
      </c>
      <c r="C40" s="2" t="s">
        <v>90</v>
      </c>
      <c r="D40" t="s">
        <v>85</v>
      </c>
      <c r="F40" t="str">
        <f>_xlfn.CONCAT("FretRout",LEFT(C40,3),RIGHT(C40,1),"Nb")</f>
        <v>FretRoutCat2Nb</v>
      </c>
      <c r="G40" t="s">
        <v>17</v>
      </c>
      <c r="H40">
        <v>1</v>
      </c>
      <c r="K40" t="s">
        <v>86</v>
      </c>
      <c r="L40">
        <v>0</v>
      </c>
      <c r="M40" s="2"/>
    </row>
    <row r="41" spans="1:13" outlineLevel="1" x14ac:dyDescent="0.25">
      <c r="A41" t="s">
        <v>76</v>
      </c>
      <c r="C41" s="2" t="s">
        <v>90</v>
      </c>
      <c r="D41" t="s">
        <v>87</v>
      </c>
      <c r="F41" t="str">
        <f>_xlfn.CONCAT("FretRout",LEFT(C41,3),RIGHT(C41,1),"Dist")</f>
        <v>FretRoutCat2Dist</v>
      </c>
      <c r="G41" t="s">
        <v>17</v>
      </c>
      <c r="H41">
        <v>1</v>
      </c>
      <c r="I41" s="2"/>
      <c r="K41" t="s">
        <v>88</v>
      </c>
      <c r="L41">
        <v>17855</v>
      </c>
      <c r="M41" s="2"/>
    </row>
    <row r="42" spans="1:13" outlineLevel="1" x14ac:dyDescent="0.25">
      <c r="A42" t="s">
        <v>76</v>
      </c>
      <c r="C42" s="2" t="s">
        <v>90</v>
      </c>
      <c r="D42" s="2" t="s">
        <v>89</v>
      </c>
      <c r="F42" t="str">
        <f>_xlfn.CONCAT("FretRout",LEFT(C42,3),RIGHT(C42,1),"Rempl")</f>
        <v>FretRoutCat2Rempl</v>
      </c>
      <c r="G42" t="s">
        <v>17</v>
      </c>
      <c r="H42">
        <v>1</v>
      </c>
      <c r="I42" s="3"/>
      <c r="K42" t="s">
        <v>70</v>
      </c>
      <c r="L42">
        <v>0</v>
      </c>
      <c r="M42" s="2"/>
    </row>
    <row r="43" spans="1:13" outlineLevel="1" x14ac:dyDescent="0.25">
      <c r="A43" t="s">
        <v>76</v>
      </c>
      <c r="C43" s="2" t="s">
        <v>91</v>
      </c>
      <c r="D43" t="s">
        <v>78</v>
      </c>
      <c r="F43" t="str">
        <f>_xlfn.CONCAT("FretRout",LEFT(C43,3),RIGHT(C43,1),"Nom")</f>
        <v>FretRoutCat3Nom</v>
      </c>
      <c r="G43" t="s">
        <v>20</v>
      </c>
      <c r="H43">
        <v>1</v>
      </c>
      <c r="I43" s="4"/>
      <c r="J43" s="4" t="s">
        <v>388</v>
      </c>
      <c r="L43" s="4" t="str">
        <f>J43</f>
        <v>VUL Diesel (Crit'Air 3)</v>
      </c>
      <c r="M43" s="2"/>
    </row>
    <row r="44" spans="1:13" outlineLevel="1" x14ac:dyDescent="0.25">
      <c r="A44" t="s">
        <v>76</v>
      </c>
      <c r="C44" s="2" t="s">
        <v>91</v>
      </c>
      <c r="D44" t="s">
        <v>79</v>
      </c>
      <c r="F44" t="str">
        <f>_xlfn.CONCAT("FretRout",LEFT(C44,3),RIGHT(C44,1),"Type")</f>
        <v>FretRoutCat3Type</v>
      </c>
      <c r="G44" t="s">
        <v>20</v>
      </c>
      <c r="H44">
        <v>1</v>
      </c>
      <c r="J44" t="s">
        <v>1770</v>
      </c>
      <c r="L44" s="4" t="str">
        <f t="shared" ref="L44:L49" si="2">J44</f>
        <v>VUL</v>
      </c>
      <c r="M44" s="2"/>
    </row>
    <row r="45" spans="1:13" outlineLevel="1" x14ac:dyDescent="0.25">
      <c r="A45" t="s">
        <v>76</v>
      </c>
      <c r="C45" s="2" t="s">
        <v>91</v>
      </c>
      <c r="D45" t="s">
        <v>80</v>
      </c>
      <c r="F45" t="str">
        <f>_xlfn.CONCAT("FretRout",LEFT(C45,3),RIGHT(C45,1),"PTAC")</f>
        <v>FretRoutCat3PTAC</v>
      </c>
      <c r="G45" t="s">
        <v>36</v>
      </c>
      <c r="H45">
        <v>1</v>
      </c>
      <c r="J45" t="s">
        <v>1451</v>
      </c>
      <c r="L45" s="4" t="str">
        <f t="shared" si="2"/>
        <v>&lt;=3,5t</v>
      </c>
      <c r="M45" s="2"/>
    </row>
    <row r="46" spans="1:13" outlineLevel="1" x14ac:dyDescent="0.25">
      <c r="A46" t="s">
        <v>76</v>
      </c>
      <c r="C46" s="2" t="s">
        <v>91</v>
      </c>
      <c r="D46" t="s">
        <v>81</v>
      </c>
      <c r="F46" t="str">
        <f>_xlfn.CONCAT("FretRout",LEFT(C46,3),RIGHT(C46,1),"Mot")</f>
        <v>FretRoutCat3Mot</v>
      </c>
      <c r="G46" t="s">
        <v>36</v>
      </c>
      <c r="H46">
        <v>1</v>
      </c>
      <c r="I46" s="2"/>
      <c r="J46" t="s">
        <v>138</v>
      </c>
      <c r="L46" s="4" t="str">
        <f t="shared" si="2"/>
        <v>Diesel</v>
      </c>
      <c r="M46" s="2"/>
    </row>
    <row r="47" spans="1:13" outlineLevel="1" x14ac:dyDescent="0.25">
      <c r="A47" t="s">
        <v>76</v>
      </c>
      <c r="C47" s="2" t="s">
        <v>91</v>
      </c>
      <c r="D47" t="s">
        <v>82</v>
      </c>
      <c r="F47" t="str">
        <f>_xlfn.CONCAT("FretRout",LEFT(C47,3),RIGHT(C47,1),"Carb")</f>
        <v>FretRoutCat3Carb</v>
      </c>
      <c r="G47" t="s">
        <v>36</v>
      </c>
      <c r="H47">
        <v>1</v>
      </c>
      <c r="J47" t="s">
        <v>1449</v>
      </c>
      <c r="L47" s="4" t="str">
        <f t="shared" si="2"/>
        <v>Gazole à la pompe</v>
      </c>
      <c r="M47" s="2"/>
    </row>
    <row r="48" spans="1:13" outlineLevel="1" x14ac:dyDescent="0.25">
      <c r="A48" t="s">
        <v>76</v>
      </c>
      <c r="C48" s="2" t="s">
        <v>91</v>
      </c>
      <c r="D48" t="s">
        <v>83</v>
      </c>
      <c r="F48" t="str">
        <f>_xlfn.CONCAT("FretRout",LEFT(C48,3),RIGHT(C48,1),"Euro")</f>
        <v>FretRoutCat3Euro</v>
      </c>
      <c r="G48" t="s">
        <v>36</v>
      </c>
      <c r="H48">
        <v>1</v>
      </c>
      <c r="J48">
        <v>0</v>
      </c>
      <c r="L48" s="4">
        <f t="shared" si="2"/>
        <v>0</v>
      </c>
      <c r="M48" s="2"/>
    </row>
    <row r="49" spans="1:13" outlineLevel="1" x14ac:dyDescent="0.25">
      <c r="A49" t="s">
        <v>76</v>
      </c>
      <c r="C49" s="2" t="s">
        <v>91</v>
      </c>
      <c r="D49" t="s">
        <v>84</v>
      </c>
      <c r="F49" t="str">
        <f>_xlfn.CONCAT("FretRout",LEFT(C49,3),RIGHT(C49,1),"CritAir")</f>
        <v>FretRoutCat3CritAir</v>
      </c>
      <c r="G49" t="s">
        <v>36</v>
      </c>
      <c r="H49">
        <v>1</v>
      </c>
      <c r="I49" s="2"/>
      <c r="J49">
        <v>3</v>
      </c>
      <c r="L49" s="4">
        <f t="shared" si="2"/>
        <v>3</v>
      </c>
      <c r="M49" s="2"/>
    </row>
    <row r="50" spans="1:13" outlineLevel="1" x14ac:dyDescent="0.25">
      <c r="A50" t="s">
        <v>76</v>
      </c>
      <c r="C50" s="2" t="s">
        <v>91</v>
      </c>
      <c r="D50" t="s">
        <v>85</v>
      </c>
      <c r="F50" t="str">
        <f>_xlfn.CONCAT("FretRout",LEFT(C50,3),RIGHT(C50,1),"Nb")</f>
        <v>FretRoutCat3Nb</v>
      </c>
      <c r="G50" t="s">
        <v>17</v>
      </c>
      <c r="H50">
        <v>1</v>
      </c>
      <c r="K50" t="s">
        <v>86</v>
      </c>
      <c r="L50">
        <v>0</v>
      </c>
      <c r="M50" s="2"/>
    </row>
    <row r="51" spans="1:13" outlineLevel="1" x14ac:dyDescent="0.25">
      <c r="A51" t="s">
        <v>76</v>
      </c>
      <c r="C51" s="2" t="s">
        <v>91</v>
      </c>
      <c r="D51" t="s">
        <v>87</v>
      </c>
      <c r="F51" t="str">
        <f>_xlfn.CONCAT("FretRout",LEFT(C51,3),RIGHT(C51,1),"Dist")</f>
        <v>FretRoutCat3Dist</v>
      </c>
      <c r="G51" t="s">
        <v>17</v>
      </c>
      <c r="H51">
        <v>1</v>
      </c>
      <c r="I51" s="2"/>
      <c r="K51" t="s">
        <v>88</v>
      </c>
      <c r="L51">
        <v>17855</v>
      </c>
      <c r="M51" s="2"/>
    </row>
    <row r="52" spans="1:13" outlineLevel="1" x14ac:dyDescent="0.25">
      <c r="A52" t="s">
        <v>76</v>
      </c>
      <c r="C52" s="2" t="s">
        <v>91</v>
      </c>
      <c r="D52" s="2" t="s">
        <v>89</v>
      </c>
      <c r="F52" t="str">
        <f>_xlfn.CONCAT("FretRout",LEFT(C52,3),RIGHT(C52,1),"Rempl")</f>
        <v>FretRoutCat3Rempl</v>
      </c>
      <c r="G52" t="s">
        <v>17</v>
      </c>
      <c r="H52">
        <v>1</v>
      </c>
      <c r="I52" s="3"/>
      <c r="K52" t="s">
        <v>70</v>
      </c>
      <c r="L52">
        <v>0</v>
      </c>
      <c r="M52" s="2"/>
    </row>
    <row r="53" spans="1:13" outlineLevel="1" x14ac:dyDescent="0.25">
      <c r="A53" t="s">
        <v>76</v>
      </c>
      <c r="C53" s="2" t="s">
        <v>92</v>
      </c>
      <c r="D53" t="s">
        <v>78</v>
      </c>
      <c r="F53" t="str">
        <f t="shared" ref="F53" si="3">_xlfn.CONCAT("FretRout",LEFT(C53,3),RIGHT(C53,1),"Nom")</f>
        <v>FretRoutCat4Nom</v>
      </c>
      <c r="G53" t="s">
        <v>20</v>
      </c>
      <c r="H53">
        <v>1</v>
      </c>
      <c r="I53" s="4"/>
      <c r="J53" s="4" t="s">
        <v>389</v>
      </c>
      <c r="L53" s="4" t="str">
        <f t="shared" ref="L53:L59" si="4">J53</f>
        <v>VUL Diesel (Crit'Air 4)</v>
      </c>
      <c r="M53" s="2"/>
    </row>
    <row r="54" spans="1:13" outlineLevel="1" x14ac:dyDescent="0.25">
      <c r="A54" t="s">
        <v>76</v>
      </c>
      <c r="C54" s="2" t="s">
        <v>92</v>
      </c>
      <c r="D54" t="s">
        <v>79</v>
      </c>
      <c r="F54" t="str">
        <f t="shared" ref="F54" si="5">_xlfn.CONCAT("FretRout",LEFT(C54,3),RIGHT(C54,1),"Type")</f>
        <v>FretRoutCat4Type</v>
      </c>
      <c r="G54" t="s">
        <v>20</v>
      </c>
      <c r="H54">
        <v>1</v>
      </c>
      <c r="J54" t="s">
        <v>1770</v>
      </c>
      <c r="L54" s="4" t="str">
        <f t="shared" si="4"/>
        <v>VUL</v>
      </c>
      <c r="M54" s="2"/>
    </row>
    <row r="55" spans="1:13" outlineLevel="1" x14ac:dyDescent="0.25">
      <c r="A55" t="s">
        <v>76</v>
      </c>
      <c r="C55" s="2" t="s">
        <v>92</v>
      </c>
      <c r="D55" t="s">
        <v>80</v>
      </c>
      <c r="F55" t="str">
        <f t="shared" ref="F55" si="6">_xlfn.CONCAT("FretRout",LEFT(C55,3),RIGHT(C55,1),"PTAC")</f>
        <v>FretRoutCat4PTAC</v>
      </c>
      <c r="G55" t="s">
        <v>36</v>
      </c>
      <c r="H55">
        <v>1</v>
      </c>
      <c r="J55" t="s">
        <v>1451</v>
      </c>
      <c r="L55" s="4" t="str">
        <f t="shared" si="4"/>
        <v>&lt;=3,5t</v>
      </c>
      <c r="M55" s="2"/>
    </row>
    <row r="56" spans="1:13" outlineLevel="1" x14ac:dyDescent="0.25">
      <c r="A56" t="s">
        <v>76</v>
      </c>
      <c r="C56" s="2" t="s">
        <v>92</v>
      </c>
      <c r="D56" t="s">
        <v>81</v>
      </c>
      <c r="F56" t="str">
        <f t="shared" ref="F56" si="7">_xlfn.CONCAT("FretRout",LEFT(C56,3),RIGHT(C56,1),"Mot")</f>
        <v>FretRoutCat4Mot</v>
      </c>
      <c r="G56" t="s">
        <v>36</v>
      </c>
      <c r="H56">
        <v>1</v>
      </c>
      <c r="I56" s="2"/>
      <c r="J56" t="s">
        <v>138</v>
      </c>
      <c r="L56" s="4" t="str">
        <f t="shared" si="4"/>
        <v>Diesel</v>
      </c>
      <c r="M56" s="2"/>
    </row>
    <row r="57" spans="1:13" outlineLevel="1" x14ac:dyDescent="0.25">
      <c r="A57" t="s">
        <v>76</v>
      </c>
      <c r="C57" s="2" t="s">
        <v>92</v>
      </c>
      <c r="D57" t="s">
        <v>82</v>
      </c>
      <c r="F57" t="str">
        <f t="shared" ref="F57" si="8">_xlfn.CONCAT("FretRout",LEFT(C57,3),RIGHT(C57,1),"Carb")</f>
        <v>FretRoutCat4Carb</v>
      </c>
      <c r="G57" t="s">
        <v>36</v>
      </c>
      <c r="H57">
        <v>1</v>
      </c>
      <c r="J57" t="s">
        <v>1449</v>
      </c>
      <c r="L57" s="4" t="str">
        <f t="shared" si="4"/>
        <v>Gazole à la pompe</v>
      </c>
      <c r="M57" s="2"/>
    </row>
    <row r="58" spans="1:13" outlineLevel="1" x14ac:dyDescent="0.25">
      <c r="A58" t="s">
        <v>76</v>
      </c>
      <c r="C58" s="2" t="s">
        <v>92</v>
      </c>
      <c r="D58" t="s">
        <v>83</v>
      </c>
      <c r="F58" t="str">
        <f t="shared" ref="F58" si="9">_xlfn.CONCAT("FretRout",LEFT(C58,3),RIGHT(C58,1),"Euro")</f>
        <v>FretRoutCat4Euro</v>
      </c>
      <c r="G58" t="s">
        <v>36</v>
      </c>
      <c r="H58">
        <v>1</v>
      </c>
      <c r="J58">
        <v>0</v>
      </c>
      <c r="L58" s="4">
        <f t="shared" si="4"/>
        <v>0</v>
      </c>
      <c r="M58" s="2"/>
    </row>
    <row r="59" spans="1:13" outlineLevel="1" x14ac:dyDescent="0.25">
      <c r="A59" t="s">
        <v>76</v>
      </c>
      <c r="C59" s="2" t="s">
        <v>92</v>
      </c>
      <c r="D59" t="s">
        <v>84</v>
      </c>
      <c r="F59" t="str">
        <f t="shared" ref="F59" si="10">_xlfn.CONCAT("FretRout",LEFT(C59,3),RIGHT(C59,1),"CritAir")</f>
        <v>FretRoutCat4CritAir</v>
      </c>
      <c r="G59" t="s">
        <v>36</v>
      </c>
      <c r="H59">
        <v>1</v>
      </c>
      <c r="I59" s="2"/>
      <c r="J59">
        <v>4</v>
      </c>
      <c r="L59" s="4">
        <f t="shared" si="4"/>
        <v>4</v>
      </c>
      <c r="M59" s="2"/>
    </row>
    <row r="60" spans="1:13" outlineLevel="1" x14ac:dyDescent="0.25">
      <c r="A60" t="s">
        <v>76</v>
      </c>
      <c r="C60" s="2" t="s">
        <v>92</v>
      </c>
      <c r="D60" t="s">
        <v>85</v>
      </c>
      <c r="F60" t="str">
        <f t="shared" ref="F60" si="11">_xlfn.CONCAT("FretRout",LEFT(C60,3),RIGHT(C60,1),"Nb")</f>
        <v>FretRoutCat4Nb</v>
      </c>
      <c r="G60" t="s">
        <v>17</v>
      </c>
      <c r="H60">
        <v>1</v>
      </c>
      <c r="K60" t="s">
        <v>86</v>
      </c>
      <c r="L60">
        <v>0</v>
      </c>
      <c r="M60" s="2"/>
    </row>
    <row r="61" spans="1:13" outlineLevel="1" x14ac:dyDescent="0.25">
      <c r="A61" t="s">
        <v>76</v>
      </c>
      <c r="C61" s="2" t="s">
        <v>92</v>
      </c>
      <c r="D61" t="s">
        <v>87</v>
      </c>
      <c r="F61" t="str">
        <f t="shared" ref="F61" si="12">_xlfn.CONCAT("FretRout",LEFT(C61,3),RIGHT(C61,1),"Dist")</f>
        <v>FretRoutCat4Dist</v>
      </c>
      <c r="G61" t="s">
        <v>17</v>
      </c>
      <c r="H61">
        <v>1</v>
      </c>
      <c r="I61" s="2"/>
      <c r="K61" t="s">
        <v>88</v>
      </c>
      <c r="L61">
        <v>17855</v>
      </c>
      <c r="M61" s="2"/>
    </row>
    <row r="62" spans="1:13" outlineLevel="1" x14ac:dyDescent="0.25">
      <c r="A62" t="s">
        <v>76</v>
      </c>
      <c r="C62" s="2" t="s">
        <v>92</v>
      </c>
      <c r="D62" s="2" t="s">
        <v>89</v>
      </c>
      <c r="F62" t="str">
        <f t="shared" ref="F62" si="13">_xlfn.CONCAT("FretRout",LEFT(C62,3),RIGHT(C62,1),"Rempl")</f>
        <v>FretRoutCat4Rempl</v>
      </c>
      <c r="G62" t="s">
        <v>17</v>
      </c>
      <c r="H62">
        <v>1</v>
      </c>
      <c r="I62" s="3"/>
      <c r="K62" t="s">
        <v>70</v>
      </c>
      <c r="L62">
        <v>0</v>
      </c>
      <c r="M62" s="2"/>
    </row>
    <row r="63" spans="1:13" outlineLevel="1" x14ac:dyDescent="0.25">
      <c r="A63" t="s">
        <v>76</v>
      </c>
      <c r="C63" s="2" t="s">
        <v>93</v>
      </c>
      <c r="D63" t="s">
        <v>78</v>
      </c>
      <c r="F63" t="str">
        <f t="shared" ref="F63" si="14">_xlfn.CONCAT("FretRout",LEFT(C63,3),RIGHT(C63,1),"Nom")</f>
        <v>FretRoutCat5Nom</v>
      </c>
      <c r="G63" t="s">
        <v>20</v>
      </c>
      <c r="H63">
        <v>1</v>
      </c>
      <c r="I63" s="4"/>
      <c r="J63" s="4" t="s">
        <v>390</v>
      </c>
      <c r="L63" s="4" t="str">
        <f t="shared" ref="L63:L69" si="15">J63</f>
        <v>VUL Diesel (Crit'Air 5)</v>
      </c>
      <c r="M63" s="2"/>
    </row>
    <row r="64" spans="1:13" outlineLevel="1" x14ac:dyDescent="0.25">
      <c r="A64" t="s">
        <v>76</v>
      </c>
      <c r="C64" s="2" t="s">
        <v>93</v>
      </c>
      <c r="D64" t="s">
        <v>79</v>
      </c>
      <c r="F64" t="str">
        <f t="shared" ref="F64" si="16">_xlfn.CONCAT("FretRout",LEFT(C64,3),RIGHT(C64,1),"Type")</f>
        <v>FretRoutCat5Type</v>
      </c>
      <c r="G64" t="s">
        <v>20</v>
      </c>
      <c r="H64">
        <v>1</v>
      </c>
      <c r="J64" t="s">
        <v>1770</v>
      </c>
      <c r="L64" s="4" t="str">
        <f t="shared" si="15"/>
        <v>VUL</v>
      </c>
      <c r="M64" s="2"/>
    </row>
    <row r="65" spans="1:13" outlineLevel="1" x14ac:dyDescent="0.25">
      <c r="A65" t="s">
        <v>76</v>
      </c>
      <c r="C65" s="2" t="s">
        <v>93</v>
      </c>
      <c r="D65" t="s">
        <v>80</v>
      </c>
      <c r="F65" t="str">
        <f t="shared" ref="F65" si="17">_xlfn.CONCAT("FretRout",LEFT(C65,3),RIGHT(C65,1),"PTAC")</f>
        <v>FretRoutCat5PTAC</v>
      </c>
      <c r="G65" t="s">
        <v>36</v>
      </c>
      <c r="H65">
        <v>1</v>
      </c>
      <c r="J65" t="s">
        <v>1451</v>
      </c>
      <c r="L65" s="4" t="str">
        <f t="shared" si="15"/>
        <v>&lt;=3,5t</v>
      </c>
      <c r="M65" s="2"/>
    </row>
    <row r="66" spans="1:13" outlineLevel="1" x14ac:dyDescent="0.25">
      <c r="A66" t="s">
        <v>76</v>
      </c>
      <c r="C66" s="2" t="s">
        <v>93</v>
      </c>
      <c r="D66" t="s">
        <v>81</v>
      </c>
      <c r="F66" t="str">
        <f t="shared" ref="F66" si="18">_xlfn.CONCAT("FretRout",LEFT(C66,3),RIGHT(C66,1),"Mot")</f>
        <v>FretRoutCat5Mot</v>
      </c>
      <c r="G66" t="s">
        <v>36</v>
      </c>
      <c r="H66">
        <v>1</v>
      </c>
      <c r="I66" s="2"/>
      <c r="J66" t="s">
        <v>138</v>
      </c>
      <c r="L66" s="4" t="str">
        <f t="shared" si="15"/>
        <v>Diesel</v>
      </c>
      <c r="M66" s="2"/>
    </row>
    <row r="67" spans="1:13" outlineLevel="1" x14ac:dyDescent="0.25">
      <c r="A67" t="s">
        <v>76</v>
      </c>
      <c r="C67" s="2" t="s">
        <v>93</v>
      </c>
      <c r="D67" t="s">
        <v>82</v>
      </c>
      <c r="F67" t="str">
        <f t="shared" ref="F67" si="19">_xlfn.CONCAT("FretRout",LEFT(C67,3),RIGHT(C67,1),"Carb")</f>
        <v>FretRoutCat5Carb</v>
      </c>
      <c r="G67" t="s">
        <v>36</v>
      </c>
      <c r="H67">
        <v>1</v>
      </c>
      <c r="J67" t="s">
        <v>1449</v>
      </c>
      <c r="L67" s="4" t="str">
        <f t="shared" si="15"/>
        <v>Gazole à la pompe</v>
      </c>
      <c r="M67" s="2"/>
    </row>
    <row r="68" spans="1:13" outlineLevel="1" x14ac:dyDescent="0.25">
      <c r="A68" t="s">
        <v>76</v>
      </c>
      <c r="C68" s="2" t="s">
        <v>93</v>
      </c>
      <c r="D68" t="s">
        <v>83</v>
      </c>
      <c r="F68" t="str">
        <f t="shared" ref="F68" si="20">_xlfn.CONCAT("FretRout",LEFT(C68,3),RIGHT(C68,1),"Euro")</f>
        <v>FretRoutCat5Euro</v>
      </c>
      <c r="G68" t="s">
        <v>36</v>
      </c>
      <c r="H68">
        <v>1</v>
      </c>
      <c r="J68">
        <v>0</v>
      </c>
      <c r="L68" s="4">
        <f t="shared" si="15"/>
        <v>0</v>
      </c>
      <c r="M68" s="2"/>
    </row>
    <row r="69" spans="1:13" outlineLevel="1" x14ac:dyDescent="0.25">
      <c r="A69" t="s">
        <v>76</v>
      </c>
      <c r="C69" s="2" t="s">
        <v>93</v>
      </c>
      <c r="D69" t="s">
        <v>84</v>
      </c>
      <c r="F69" t="str">
        <f t="shared" ref="F69" si="21">_xlfn.CONCAT("FretRout",LEFT(C69,3),RIGHT(C69,1),"CritAir")</f>
        <v>FretRoutCat5CritAir</v>
      </c>
      <c r="G69" t="s">
        <v>36</v>
      </c>
      <c r="H69">
        <v>1</v>
      </c>
      <c r="I69" s="2"/>
      <c r="J69">
        <v>5</v>
      </c>
      <c r="L69" s="4">
        <f t="shared" si="15"/>
        <v>5</v>
      </c>
      <c r="M69" s="2"/>
    </row>
    <row r="70" spans="1:13" outlineLevel="1" x14ac:dyDescent="0.25">
      <c r="A70" t="s">
        <v>76</v>
      </c>
      <c r="C70" s="2" t="s">
        <v>93</v>
      </c>
      <c r="D70" t="s">
        <v>85</v>
      </c>
      <c r="F70" t="str">
        <f t="shared" ref="F70" si="22">_xlfn.CONCAT("FretRout",LEFT(C70,3),RIGHT(C70,1),"Nb")</f>
        <v>FretRoutCat5Nb</v>
      </c>
      <c r="G70" t="s">
        <v>17</v>
      </c>
      <c r="H70">
        <v>1</v>
      </c>
      <c r="K70" t="s">
        <v>86</v>
      </c>
      <c r="L70">
        <v>0</v>
      </c>
      <c r="M70" s="2"/>
    </row>
    <row r="71" spans="1:13" outlineLevel="1" x14ac:dyDescent="0.25">
      <c r="A71" t="s">
        <v>76</v>
      </c>
      <c r="C71" s="2" t="s">
        <v>93</v>
      </c>
      <c r="D71" t="s">
        <v>87</v>
      </c>
      <c r="F71" t="str">
        <f t="shared" ref="F71" si="23">_xlfn.CONCAT("FretRout",LEFT(C71,3),RIGHT(C71,1),"Dist")</f>
        <v>FretRoutCat5Dist</v>
      </c>
      <c r="G71" t="s">
        <v>17</v>
      </c>
      <c r="H71">
        <v>1</v>
      </c>
      <c r="I71" s="2"/>
      <c r="K71" t="s">
        <v>88</v>
      </c>
      <c r="L71">
        <v>17855</v>
      </c>
      <c r="M71" s="2"/>
    </row>
    <row r="72" spans="1:13" outlineLevel="1" x14ac:dyDescent="0.25">
      <c r="A72" t="s">
        <v>76</v>
      </c>
      <c r="C72" s="2" t="s">
        <v>93</v>
      </c>
      <c r="D72" s="2" t="s">
        <v>89</v>
      </c>
      <c r="F72" t="str">
        <f t="shared" ref="F72" si="24">_xlfn.CONCAT("FretRout",LEFT(C72,3),RIGHT(C72,1),"Rempl")</f>
        <v>FretRoutCat5Rempl</v>
      </c>
      <c r="G72" t="s">
        <v>17</v>
      </c>
      <c r="H72">
        <v>1</v>
      </c>
      <c r="I72" s="3"/>
      <c r="K72" t="s">
        <v>70</v>
      </c>
      <c r="L72">
        <v>0</v>
      </c>
      <c r="M72" s="2"/>
    </row>
    <row r="73" spans="1:13" outlineLevel="1" x14ac:dyDescent="0.25">
      <c r="A73" t="s">
        <v>76</v>
      </c>
      <c r="C73" s="2" t="s">
        <v>94</v>
      </c>
      <c r="D73" t="s">
        <v>78</v>
      </c>
      <c r="F73" t="str">
        <f t="shared" ref="F73" si="25">_xlfn.CONCAT("FretRout",LEFT(C73,3),RIGHT(C73,1),"Nom")</f>
        <v>FretRoutCat6Nom</v>
      </c>
      <c r="G73" t="s">
        <v>20</v>
      </c>
      <c r="H73">
        <v>1</v>
      </c>
      <c r="I73" s="4"/>
      <c r="J73" s="4" t="s">
        <v>391</v>
      </c>
      <c r="L73" s="4" t="str">
        <f t="shared" ref="L73:L79" si="26">J73</f>
        <v>VUL Essence (Crit'Air 1)</v>
      </c>
      <c r="M73" s="2"/>
    </row>
    <row r="74" spans="1:13" outlineLevel="1" x14ac:dyDescent="0.25">
      <c r="A74" t="s">
        <v>76</v>
      </c>
      <c r="C74" s="2" t="s">
        <v>94</v>
      </c>
      <c r="D74" t="s">
        <v>79</v>
      </c>
      <c r="F74" t="str">
        <f t="shared" ref="F74" si="27">_xlfn.CONCAT("FretRout",LEFT(C74,3),RIGHT(C74,1),"Type")</f>
        <v>FretRoutCat6Type</v>
      </c>
      <c r="G74" t="s">
        <v>20</v>
      </c>
      <c r="H74">
        <v>1</v>
      </c>
      <c r="J74" t="s">
        <v>1770</v>
      </c>
      <c r="L74" s="4" t="str">
        <f t="shared" si="26"/>
        <v>VUL</v>
      </c>
      <c r="M74" s="2"/>
    </row>
    <row r="75" spans="1:13" outlineLevel="1" x14ac:dyDescent="0.25">
      <c r="A75" t="s">
        <v>76</v>
      </c>
      <c r="C75" s="2" t="s">
        <v>94</v>
      </c>
      <c r="D75" t="s">
        <v>80</v>
      </c>
      <c r="F75" t="str">
        <f t="shared" ref="F75" si="28">_xlfn.CONCAT("FretRout",LEFT(C75,3),RIGHT(C75,1),"PTAC")</f>
        <v>FretRoutCat6PTAC</v>
      </c>
      <c r="G75" t="s">
        <v>36</v>
      </c>
      <c r="H75">
        <v>1</v>
      </c>
      <c r="J75" t="s">
        <v>1451</v>
      </c>
      <c r="L75" s="4" t="str">
        <f t="shared" si="26"/>
        <v>&lt;=3,5t</v>
      </c>
      <c r="M75" s="2"/>
    </row>
    <row r="76" spans="1:13" outlineLevel="1" x14ac:dyDescent="0.25">
      <c r="A76" t="s">
        <v>76</v>
      </c>
      <c r="C76" s="2" t="s">
        <v>94</v>
      </c>
      <c r="D76" t="s">
        <v>81</v>
      </c>
      <c r="F76" t="str">
        <f t="shared" ref="F76" si="29">_xlfn.CONCAT("FretRout",LEFT(C76,3),RIGHT(C76,1),"Mot")</f>
        <v>FretRoutCat6Mot</v>
      </c>
      <c r="G76" t="s">
        <v>36</v>
      </c>
      <c r="H76">
        <v>1</v>
      </c>
      <c r="I76" s="2"/>
      <c r="J76" t="s">
        <v>1454</v>
      </c>
      <c r="L76" s="4" t="str">
        <f t="shared" si="26"/>
        <v>Essence</v>
      </c>
      <c r="M76" s="2"/>
    </row>
    <row r="77" spans="1:13" outlineLevel="1" x14ac:dyDescent="0.25">
      <c r="A77" t="s">
        <v>76</v>
      </c>
      <c r="C77" s="2" t="s">
        <v>94</v>
      </c>
      <c r="D77" t="s">
        <v>82</v>
      </c>
      <c r="F77" t="str">
        <f t="shared" ref="F77" si="30">_xlfn.CONCAT("FretRout",LEFT(C77,3),RIGHT(C77,1),"Carb")</f>
        <v>FretRoutCat6Carb</v>
      </c>
      <c r="G77" t="s">
        <v>36</v>
      </c>
      <c r="H77">
        <v>1</v>
      </c>
      <c r="J77" t="s">
        <v>1455</v>
      </c>
      <c r="L77" s="4" t="str">
        <f t="shared" si="26"/>
        <v>Essence à la pompe</v>
      </c>
      <c r="M77" s="2"/>
    </row>
    <row r="78" spans="1:13" outlineLevel="1" x14ac:dyDescent="0.25">
      <c r="A78" t="s">
        <v>76</v>
      </c>
      <c r="C78" s="2" t="s">
        <v>94</v>
      </c>
      <c r="D78" t="s">
        <v>83</v>
      </c>
      <c r="F78" t="str">
        <f t="shared" ref="F78" si="31">_xlfn.CONCAT("FretRout",LEFT(C78,3),RIGHT(C78,1),"Euro")</f>
        <v>FretRoutCat6Euro</v>
      </c>
      <c r="G78" t="s">
        <v>36</v>
      </c>
      <c r="H78">
        <v>1</v>
      </c>
      <c r="J78">
        <v>0</v>
      </c>
      <c r="L78" s="4">
        <f t="shared" si="26"/>
        <v>0</v>
      </c>
      <c r="M78" s="2"/>
    </row>
    <row r="79" spans="1:13" outlineLevel="1" x14ac:dyDescent="0.25">
      <c r="A79" t="s">
        <v>76</v>
      </c>
      <c r="C79" s="2" t="s">
        <v>94</v>
      </c>
      <c r="D79" t="s">
        <v>84</v>
      </c>
      <c r="F79" t="str">
        <f t="shared" ref="F79" si="32">_xlfn.CONCAT("FretRout",LEFT(C79,3),RIGHT(C79,1),"CritAir")</f>
        <v>FretRoutCat6CritAir</v>
      </c>
      <c r="G79" t="s">
        <v>36</v>
      </c>
      <c r="H79">
        <v>1</v>
      </c>
      <c r="I79" s="2"/>
      <c r="J79">
        <v>1</v>
      </c>
      <c r="L79" s="4">
        <f t="shared" si="26"/>
        <v>1</v>
      </c>
      <c r="M79" s="2"/>
    </row>
    <row r="80" spans="1:13" outlineLevel="1" x14ac:dyDescent="0.25">
      <c r="A80" t="s">
        <v>76</v>
      </c>
      <c r="C80" s="2" t="s">
        <v>94</v>
      </c>
      <c r="D80" t="s">
        <v>85</v>
      </c>
      <c r="F80" t="str">
        <f t="shared" ref="F80" si="33">_xlfn.CONCAT("FretRout",LEFT(C80,3),RIGHT(C80,1),"Nb")</f>
        <v>FretRoutCat6Nb</v>
      </c>
      <c r="G80" t="s">
        <v>17</v>
      </c>
      <c r="H80">
        <v>1</v>
      </c>
      <c r="K80" t="s">
        <v>86</v>
      </c>
      <c r="L80">
        <v>0</v>
      </c>
      <c r="M80" s="2"/>
    </row>
    <row r="81" spans="1:13" outlineLevel="1" x14ac:dyDescent="0.25">
      <c r="A81" t="s">
        <v>76</v>
      </c>
      <c r="C81" s="2" t="s">
        <v>94</v>
      </c>
      <c r="D81" t="s">
        <v>87</v>
      </c>
      <c r="F81" t="str">
        <f t="shared" ref="F81" si="34">_xlfn.CONCAT("FretRout",LEFT(C81,3),RIGHT(C81,1),"Dist")</f>
        <v>FretRoutCat6Dist</v>
      </c>
      <c r="G81" t="s">
        <v>17</v>
      </c>
      <c r="H81">
        <v>1</v>
      </c>
      <c r="I81" s="2"/>
      <c r="K81" t="s">
        <v>88</v>
      </c>
      <c r="L81">
        <v>11201</v>
      </c>
      <c r="M81" s="2"/>
    </row>
    <row r="82" spans="1:13" outlineLevel="1" x14ac:dyDescent="0.25">
      <c r="A82" t="s">
        <v>76</v>
      </c>
      <c r="C82" s="2" t="s">
        <v>94</v>
      </c>
      <c r="D82" s="2" t="s">
        <v>89</v>
      </c>
      <c r="F82" t="str">
        <f t="shared" ref="F82" si="35">_xlfn.CONCAT("FretRout",LEFT(C82,3),RIGHT(C82,1),"Rempl")</f>
        <v>FretRoutCat6Rempl</v>
      </c>
      <c r="G82" t="s">
        <v>17</v>
      </c>
      <c r="H82">
        <v>1</v>
      </c>
      <c r="I82" s="3"/>
      <c r="K82" t="s">
        <v>70</v>
      </c>
      <c r="L82">
        <v>0</v>
      </c>
      <c r="M82" s="2"/>
    </row>
    <row r="83" spans="1:13" outlineLevel="1" x14ac:dyDescent="0.25">
      <c r="A83" t="s">
        <v>76</v>
      </c>
      <c r="C83" s="2" t="s">
        <v>95</v>
      </c>
      <c r="D83" t="s">
        <v>78</v>
      </c>
      <c r="F83" t="str">
        <f t="shared" ref="F83" si="36">_xlfn.CONCAT("FretRout",LEFT(C83,3),RIGHT(C83,1),"Nom")</f>
        <v>FretRoutCat7Nom</v>
      </c>
      <c r="G83" t="s">
        <v>20</v>
      </c>
      <c r="H83">
        <v>1</v>
      </c>
      <c r="I83" s="4"/>
      <c r="J83" s="4" t="s">
        <v>392</v>
      </c>
      <c r="L83" s="4" t="str">
        <f t="shared" ref="L83:L89" si="37">J83</f>
        <v>VUL Essence &lt;=3,5t (Crit'Air 2)</v>
      </c>
      <c r="M83" s="2"/>
    </row>
    <row r="84" spans="1:13" outlineLevel="1" x14ac:dyDescent="0.25">
      <c r="A84" t="s">
        <v>76</v>
      </c>
      <c r="C84" s="2" t="s">
        <v>95</v>
      </c>
      <c r="D84" t="s">
        <v>79</v>
      </c>
      <c r="F84" t="str">
        <f t="shared" ref="F84" si="38">_xlfn.CONCAT("FretRout",LEFT(C84,3),RIGHT(C84,1),"Type")</f>
        <v>FretRoutCat7Type</v>
      </c>
      <c r="G84" t="s">
        <v>20</v>
      </c>
      <c r="H84">
        <v>1</v>
      </c>
      <c r="J84" t="s">
        <v>1770</v>
      </c>
      <c r="L84" s="4" t="str">
        <f t="shared" si="37"/>
        <v>VUL</v>
      </c>
      <c r="M84" s="2"/>
    </row>
    <row r="85" spans="1:13" outlineLevel="1" x14ac:dyDescent="0.25">
      <c r="A85" t="s">
        <v>76</v>
      </c>
      <c r="C85" s="2" t="s">
        <v>95</v>
      </c>
      <c r="D85" t="s">
        <v>80</v>
      </c>
      <c r="F85" t="str">
        <f t="shared" ref="F85" si="39">_xlfn.CONCAT("FretRout",LEFT(C85,3),RIGHT(C85,1),"PTAC")</f>
        <v>FretRoutCat7PTAC</v>
      </c>
      <c r="G85" t="s">
        <v>36</v>
      </c>
      <c r="H85">
        <v>1</v>
      </c>
      <c r="J85" t="s">
        <v>1451</v>
      </c>
      <c r="L85" s="4" t="str">
        <f t="shared" si="37"/>
        <v>&lt;=3,5t</v>
      </c>
      <c r="M85" s="2"/>
    </row>
    <row r="86" spans="1:13" outlineLevel="1" x14ac:dyDescent="0.25">
      <c r="A86" t="s">
        <v>76</v>
      </c>
      <c r="C86" s="2" t="s">
        <v>95</v>
      </c>
      <c r="D86" t="s">
        <v>81</v>
      </c>
      <c r="F86" t="str">
        <f t="shared" ref="F86" si="40">_xlfn.CONCAT("FretRout",LEFT(C86,3),RIGHT(C86,1),"Mot")</f>
        <v>FretRoutCat7Mot</v>
      </c>
      <c r="G86" t="s">
        <v>36</v>
      </c>
      <c r="H86">
        <v>1</v>
      </c>
      <c r="I86" s="2"/>
      <c r="J86" t="s">
        <v>1454</v>
      </c>
      <c r="L86" s="4" t="str">
        <f t="shared" si="37"/>
        <v>Essence</v>
      </c>
      <c r="M86" s="2"/>
    </row>
    <row r="87" spans="1:13" outlineLevel="1" x14ac:dyDescent="0.25">
      <c r="A87" t="s">
        <v>76</v>
      </c>
      <c r="C87" s="2" t="s">
        <v>95</v>
      </c>
      <c r="D87" t="s">
        <v>82</v>
      </c>
      <c r="F87" t="str">
        <f t="shared" ref="F87" si="41">_xlfn.CONCAT("FretRout",LEFT(C87,3),RIGHT(C87,1),"Carb")</f>
        <v>FretRoutCat7Carb</v>
      </c>
      <c r="G87" t="s">
        <v>36</v>
      </c>
      <c r="H87">
        <v>1</v>
      </c>
      <c r="J87" t="s">
        <v>1455</v>
      </c>
      <c r="L87" s="4" t="str">
        <f t="shared" si="37"/>
        <v>Essence à la pompe</v>
      </c>
      <c r="M87" s="2"/>
    </row>
    <row r="88" spans="1:13" outlineLevel="1" x14ac:dyDescent="0.25">
      <c r="A88" t="s">
        <v>76</v>
      </c>
      <c r="C88" s="2" t="s">
        <v>95</v>
      </c>
      <c r="D88" t="s">
        <v>83</v>
      </c>
      <c r="F88" t="str">
        <f t="shared" ref="F88" si="42">_xlfn.CONCAT("FretRout",LEFT(C88,3),RIGHT(C88,1),"Euro")</f>
        <v>FretRoutCat7Euro</v>
      </c>
      <c r="G88" t="s">
        <v>36</v>
      </c>
      <c r="H88">
        <v>1</v>
      </c>
      <c r="J88">
        <v>0</v>
      </c>
      <c r="L88" s="4">
        <f t="shared" si="37"/>
        <v>0</v>
      </c>
      <c r="M88" s="2"/>
    </row>
    <row r="89" spans="1:13" outlineLevel="1" x14ac:dyDescent="0.25">
      <c r="A89" t="s">
        <v>76</v>
      </c>
      <c r="C89" s="2" t="s">
        <v>95</v>
      </c>
      <c r="D89" t="s">
        <v>84</v>
      </c>
      <c r="F89" t="str">
        <f t="shared" ref="F89" si="43">_xlfn.CONCAT("FretRout",LEFT(C89,3),RIGHT(C89,1),"CritAir")</f>
        <v>FretRoutCat7CritAir</v>
      </c>
      <c r="G89" t="s">
        <v>36</v>
      </c>
      <c r="H89">
        <v>1</v>
      </c>
      <c r="I89" s="2"/>
      <c r="J89">
        <v>2</v>
      </c>
      <c r="L89" s="4">
        <f t="shared" si="37"/>
        <v>2</v>
      </c>
      <c r="M89" s="2"/>
    </row>
    <row r="90" spans="1:13" outlineLevel="1" x14ac:dyDescent="0.25">
      <c r="A90" t="s">
        <v>76</v>
      </c>
      <c r="C90" s="2" t="s">
        <v>95</v>
      </c>
      <c r="D90" t="s">
        <v>85</v>
      </c>
      <c r="F90" t="str">
        <f t="shared" ref="F90" si="44">_xlfn.CONCAT("FretRout",LEFT(C90,3),RIGHT(C90,1),"Nb")</f>
        <v>FretRoutCat7Nb</v>
      </c>
      <c r="G90" t="s">
        <v>17</v>
      </c>
      <c r="H90">
        <v>1</v>
      </c>
      <c r="K90" t="s">
        <v>86</v>
      </c>
      <c r="L90">
        <v>0</v>
      </c>
      <c r="M90" s="2"/>
    </row>
    <row r="91" spans="1:13" outlineLevel="1" x14ac:dyDescent="0.25">
      <c r="A91" t="s">
        <v>76</v>
      </c>
      <c r="C91" s="2" t="s">
        <v>95</v>
      </c>
      <c r="D91" t="s">
        <v>87</v>
      </c>
      <c r="F91" t="str">
        <f t="shared" ref="F91" si="45">_xlfn.CONCAT("FretRout",LEFT(C91,3),RIGHT(C91,1),"Dist")</f>
        <v>FretRoutCat7Dist</v>
      </c>
      <c r="G91" t="s">
        <v>17</v>
      </c>
      <c r="H91">
        <v>1</v>
      </c>
      <c r="I91" s="2"/>
      <c r="K91" t="s">
        <v>88</v>
      </c>
      <c r="L91">
        <v>11201</v>
      </c>
      <c r="M91" s="2"/>
    </row>
    <row r="92" spans="1:13" outlineLevel="1" x14ac:dyDescent="0.25">
      <c r="A92" t="s">
        <v>76</v>
      </c>
      <c r="C92" s="2" t="s">
        <v>95</v>
      </c>
      <c r="D92" s="2" t="s">
        <v>89</v>
      </c>
      <c r="F92" t="str">
        <f t="shared" ref="F92" si="46">_xlfn.CONCAT("FretRout",LEFT(C92,3),RIGHT(C92,1),"Rempl")</f>
        <v>FretRoutCat7Rempl</v>
      </c>
      <c r="G92" t="s">
        <v>17</v>
      </c>
      <c r="H92">
        <v>1</v>
      </c>
      <c r="I92" s="3"/>
      <c r="K92" t="s">
        <v>70</v>
      </c>
      <c r="L92">
        <v>0</v>
      </c>
      <c r="M92" s="2"/>
    </row>
    <row r="93" spans="1:13" outlineLevel="1" x14ac:dyDescent="0.25">
      <c r="A93" t="s">
        <v>76</v>
      </c>
      <c r="C93" s="2" t="s">
        <v>96</v>
      </c>
      <c r="D93" t="s">
        <v>78</v>
      </c>
      <c r="F93" t="str">
        <f t="shared" ref="F93" si="47">_xlfn.CONCAT("FretRout",LEFT(C93,3),RIGHT(C93,1),"Nom")</f>
        <v>FretRoutCat8Nom</v>
      </c>
      <c r="G93" t="s">
        <v>20</v>
      </c>
      <c r="H93">
        <v>1</v>
      </c>
      <c r="I93" s="4"/>
      <c r="J93" s="4" t="s">
        <v>393</v>
      </c>
      <c r="L93" s="4" t="str">
        <f t="shared" ref="L93:L99" si="48">J93</f>
        <v>VUL Essence &lt;=3,5t (Crit'Air 3)</v>
      </c>
      <c r="M93" s="2"/>
    </row>
    <row r="94" spans="1:13" outlineLevel="1" x14ac:dyDescent="0.25">
      <c r="A94" t="s">
        <v>76</v>
      </c>
      <c r="C94" s="2" t="s">
        <v>96</v>
      </c>
      <c r="D94" t="s">
        <v>79</v>
      </c>
      <c r="F94" t="str">
        <f t="shared" ref="F94" si="49">_xlfn.CONCAT("FretRout",LEFT(C94,3),RIGHT(C94,1),"Type")</f>
        <v>FretRoutCat8Type</v>
      </c>
      <c r="G94" t="s">
        <v>20</v>
      </c>
      <c r="H94">
        <v>1</v>
      </c>
      <c r="J94" t="s">
        <v>1770</v>
      </c>
      <c r="L94" s="4" t="str">
        <f t="shared" si="48"/>
        <v>VUL</v>
      </c>
      <c r="M94" s="2"/>
    </row>
    <row r="95" spans="1:13" outlineLevel="1" x14ac:dyDescent="0.25">
      <c r="A95" t="s">
        <v>76</v>
      </c>
      <c r="C95" s="2" t="s">
        <v>96</v>
      </c>
      <c r="D95" t="s">
        <v>80</v>
      </c>
      <c r="F95" t="str">
        <f t="shared" ref="F95" si="50">_xlfn.CONCAT("FretRout",LEFT(C95,3),RIGHT(C95,1),"PTAC")</f>
        <v>FretRoutCat8PTAC</v>
      </c>
      <c r="G95" t="s">
        <v>36</v>
      </c>
      <c r="H95">
        <v>1</v>
      </c>
      <c r="J95" t="s">
        <v>1451</v>
      </c>
      <c r="L95" s="4" t="str">
        <f t="shared" si="48"/>
        <v>&lt;=3,5t</v>
      </c>
      <c r="M95" s="2"/>
    </row>
    <row r="96" spans="1:13" outlineLevel="1" x14ac:dyDescent="0.25">
      <c r="A96" t="s">
        <v>76</v>
      </c>
      <c r="C96" s="2" t="s">
        <v>96</v>
      </c>
      <c r="D96" t="s">
        <v>81</v>
      </c>
      <c r="F96" t="str">
        <f t="shared" ref="F96" si="51">_xlfn.CONCAT("FretRout",LEFT(C96,3),RIGHT(C96,1),"Mot")</f>
        <v>FretRoutCat8Mot</v>
      </c>
      <c r="G96" t="s">
        <v>36</v>
      </c>
      <c r="H96">
        <v>1</v>
      </c>
      <c r="I96" s="2"/>
      <c r="J96" t="s">
        <v>1454</v>
      </c>
      <c r="L96" s="4" t="str">
        <f t="shared" si="48"/>
        <v>Essence</v>
      </c>
      <c r="M96" s="2"/>
    </row>
    <row r="97" spans="1:13" outlineLevel="1" x14ac:dyDescent="0.25">
      <c r="A97" t="s">
        <v>76</v>
      </c>
      <c r="C97" s="2" t="s">
        <v>96</v>
      </c>
      <c r="D97" t="s">
        <v>82</v>
      </c>
      <c r="F97" t="str">
        <f t="shared" ref="F97" si="52">_xlfn.CONCAT("FretRout",LEFT(C97,3),RIGHT(C97,1),"Carb")</f>
        <v>FretRoutCat8Carb</v>
      </c>
      <c r="G97" t="s">
        <v>36</v>
      </c>
      <c r="H97">
        <v>1</v>
      </c>
      <c r="J97" t="s">
        <v>1455</v>
      </c>
      <c r="L97" s="4" t="str">
        <f t="shared" si="48"/>
        <v>Essence à la pompe</v>
      </c>
      <c r="M97" s="2"/>
    </row>
    <row r="98" spans="1:13" outlineLevel="1" x14ac:dyDescent="0.25">
      <c r="A98" t="s">
        <v>76</v>
      </c>
      <c r="C98" s="2" t="s">
        <v>96</v>
      </c>
      <c r="D98" t="s">
        <v>83</v>
      </c>
      <c r="F98" t="str">
        <f t="shared" ref="F98" si="53">_xlfn.CONCAT("FretRout",LEFT(C98,3),RIGHT(C98,1),"Euro")</f>
        <v>FretRoutCat8Euro</v>
      </c>
      <c r="G98" t="s">
        <v>36</v>
      </c>
      <c r="H98">
        <v>1</v>
      </c>
      <c r="J98">
        <v>0</v>
      </c>
      <c r="L98" s="4">
        <f t="shared" si="48"/>
        <v>0</v>
      </c>
      <c r="M98" s="2"/>
    </row>
    <row r="99" spans="1:13" outlineLevel="1" x14ac:dyDescent="0.25">
      <c r="A99" t="s">
        <v>76</v>
      </c>
      <c r="C99" s="2" t="s">
        <v>96</v>
      </c>
      <c r="D99" t="s">
        <v>84</v>
      </c>
      <c r="F99" t="str">
        <f t="shared" ref="F99" si="54">_xlfn.CONCAT("FretRout",LEFT(C99,3),RIGHT(C99,1),"CritAir")</f>
        <v>FretRoutCat8CritAir</v>
      </c>
      <c r="G99" t="s">
        <v>36</v>
      </c>
      <c r="H99">
        <v>1</v>
      </c>
      <c r="I99" s="2"/>
      <c r="J99">
        <v>3</v>
      </c>
      <c r="L99" s="4">
        <f t="shared" si="48"/>
        <v>3</v>
      </c>
    </row>
    <row r="100" spans="1:13" outlineLevel="1" x14ac:dyDescent="0.25">
      <c r="A100" t="s">
        <v>76</v>
      </c>
      <c r="C100" s="2" t="s">
        <v>96</v>
      </c>
      <c r="D100" t="s">
        <v>85</v>
      </c>
      <c r="F100" t="str">
        <f t="shared" ref="F100" si="55">_xlfn.CONCAT("FretRout",LEFT(C100,3),RIGHT(C100,1),"Nb")</f>
        <v>FretRoutCat8Nb</v>
      </c>
      <c r="G100" t="s">
        <v>17</v>
      </c>
      <c r="H100">
        <v>1</v>
      </c>
      <c r="K100" t="s">
        <v>86</v>
      </c>
      <c r="L100">
        <v>0</v>
      </c>
    </row>
    <row r="101" spans="1:13" outlineLevel="1" x14ac:dyDescent="0.25">
      <c r="A101" t="s">
        <v>76</v>
      </c>
      <c r="C101" s="2" t="s">
        <v>96</v>
      </c>
      <c r="D101" t="s">
        <v>87</v>
      </c>
      <c r="F101" t="str">
        <f t="shared" ref="F101" si="56">_xlfn.CONCAT("FretRout",LEFT(C101,3),RIGHT(C101,1),"Dist")</f>
        <v>FretRoutCat8Dist</v>
      </c>
      <c r="G101" t="s">
        <v>17</v>
      </c>
      <c r="H101">
        <v>1</v>
      </c>
      <c r="I101" s="2"/>
      <c r="K101" t="s">
        <v>88</v>
      </c>
      <c r="L101">
        <v>11201</v>
      </c>
    </row>
    <row r="102" spans="1:13" outlineLevel="1" x14ac:dyDescent="0.25">
      <c r="A102" t="s">
        <v>76</v>
      </c>
      <c r="C102" s="2" t="s">
        <v>96</v>
      </c>
      <c r="D102" s="2" t="s">
        <v>89</v>
      </c>
      <c r="F102" t="str">
        <f t="shared" ref="F102" si="57">_xlfn.CONCAT("FretRout",LEFT(C102,3),RIGHT(C102,1),"Rempl")</f>
        <v>FretRoutCat8Rempl</v>
      </c>
      <c r="G102" t="s">
        <v>17</v>
      </c>
      <c r="H102">
        <v>1</v>
      </c>
      <c r="I102" s="3"/>
      <c r="K102" t="s">
        <v>70</v>
      </c>
      <c r="L102">
        <v>0</v>
      </c>
    </row>
    <row r="103" spans="1:13" outlineLevel="1" x14ac:dyDescent="0.25">
      <c r="A103" t="s">
        <v>76</v>
      </c>
      <c r="C103" s="2" t="s">
        <v>97</v>
      </c>
      <c r="D103" t="s">
        <v>78</v>
      </c>
      <c r="F103" t="str">
        <f t="shared" ref="F103" si="58">_xlfn.CONCAT("FretRout",LEFT(C103,3),RIGHT(C103,1),"Nom")</f>
        <v>FretRoutCat9Nom</v>
      </c>
      <c r="G103" t="s">
        <v>20</v>
      </c>
      <c r="H103">
        <v>1</v>
      </c>
      <c r="I103" s="4"/>
      <c r="J103" s="4" t="s">
        <v>394</v>
      </c>
      <c r="L103" s="4" t="str">
        <f t="shared" ref="L103:L109" si="59">J103</f>
        <v>VUL Gaz (GNC) (Crit'Air 1)</v>
      </c>
    </row>
    <row r="104" spans="1:13" outlineLevel="1" x14ac:dyDescent="0.25">
      <c r="A104" t="s">
        <v>76</v>
      </c>
      <c r="C104" s="2" t="s">
        <v>97</v>
      </c>
      <c r="D104" t="s">
        <v>79</v>
      </c>
      <c r="F104" t="str">
        <f t="shared" ref="F104" si="60">_xlfn.CONCAT("FretRout",LEFT(C104,3),RIGHT(C104,1),"Type")</f>
        <v>FretRoutCat9Type</v>
      </c>
      <c r="G104" t="s">
        <v>20</v>
      </c>
      <c r="H104">
        <v>1</v>
      </c>
      <c r="J104" t="s">
        <v>1770</v>
      </c>
      <c r="L104" s="4" t="str">
        <f t="shared" si="59"/>
        <v>VUL</v>
      </c>
    </row>
    <row r="105" spans="1:13" outlineLevel="1" x14ac:dyDescent="0.25">
      <c r="A105" t="s">
        <v>76</v>
      </c>
      <c r="C105" s="2" t="s">
        <v>97</v>
      </c>
      <c r="D105" t="s">
        <v>80</v>
      </c>
      <c r="F105" t="str">
        <f t="shared" ref="F105" si="61">_xlfn.CONCAT("FretRout",LEFT(C105,3),RIGHT(C105,1),"PTAC")</f>
        <v>FretRoutCat9PTAC</v>
      </c>
      <c r="G105" t="s">
        <v>36</v>
      </c>
      <c r="H105">
        <v>1</v>
      </c>
      <c r="J105" t="s">
        <v>1451</v>
      </c>
      <c r="L105" s="4" t="str">
        <f t="shared" si="59"/>
        <v>&lt;=3,5t</v>
      </c>
    </row>
    <row r="106" spans="1:13" outlineLevel="1" x14ac:dyDescent="0.25">
      <c r="A106" t="s">
        <v>76</v>
      </c>
      <c r="C106" s="2" t="s">
        <v>97</v>
      </c>
      <c r="D106" t="s">
        <v>81</v>
      </c>
      <c r="F106" t="str">
        <f t="shared" ref="F106" si="62">_xlfn.CONCAT("FretRout",LEFT(C106,3),RIGHT(C106,1),"Mot")</f>
        <v>FretRoutCat9Mot</v>
      </c>
      <c r="G106" t="s">
        <v>36</v>
      </c>
      <c r="H106">
        <v>1</v>
      </c>
      <c r="I106" s="2"/>
      <c r="J106" t="s">
        <v>1456</v>
      </c>
      <c r="L106" s="4" t="str">
        <f t="shared" si="59"/>
        <v>Gaz (GNC)</v>
      </c>
    </row>
    <row r="107" spans="1:13" outlineLevel="1" x14ac:dyDescent="0.25">
      <c r="A107" t="s">
        <v>76</v>
      </c>
      <c r="C107" s="2" t="s">
        <v>97</v>
      </c>
      <c r="D107" t="s">
        <v>82</v>
      </c>
      <c r="F107" t="str">
        <f t="shared" ref="F107" si="63">_xlfn.CONCAT("FretRout",LEFT(C107,3),RIGHT(C107,1),"Carb")</f>
        <v>FretRoutCat9Carb</v>
      </c>
      <c r="G107" t="s">
        <v>36</v>
      </c>
      <c r="H107">
        <v>1</v>
      </c>
      <c r="J107">
        <v>0</v>
      </c>
      <c r="L107" s="4">
        <f t="shared" si="59"/>
        <v>0</v>
      </c>
    </row>
    <row r="108" spans="1:13" outlineLevel="1" x14ac:dyDescent="0.25">
      <c r="A108" t="s">
        <v>76</v>
      </c>
      <c r="C108" s="2" t="s">
        <v>97</v>
      </c>
      <c r="D108" t="s">
        <v>83</v>
      </c>
      <c r="F108" t="str">
        <f t="shared" ref="F108" si="64">_xlfn.CONCAT("FretRout",LEFT(C108,3),RIGHT(C108,1),"Euro")</f>
        <v>FretRoutCat9Euro</v>
      </c>
      <c r="G108" t="s">
        <v>36</v>
      </c>
      <c r="H108">
        <v>1</v>
      </c>
      <c r="J108">
        <v>0</v>
      </c>
      <c r="L108" s="4">
        <f t="shared" si="59"/>
        <v>0</v>
      </c>
    </row>
    <row r="109" spans="1:13" outlineLevel="1" x14ac:dyDescent="0.25">
      <c r="A109" t="s">
        <v>76</v>
      </c>
      <c r="C109" s="2" t="s">
        <v>97</v>
      </c>
      <c r="D109" t="s">
        <v>84</v>
      </c>
      <c r="F109" t="str">
        <f t="shared" ref="F109" si="65">_xlfn.CONCAT("FretRout",LEFT(C109,3),RIGHT(C109,1),"CritAir")</f>
        <v>FretRoutCat9CritAir</v>
      </c>
      <c r="G109" t="s">
        <v>36</v>
      </c>
      <c r="H109">
        <v>1</v>
      </c>
      <c r="I109" s="2"/>
      <c r="J109">
        <v>1</v>
      </c>
      <c r="L109" s="4">
        <f t="shared" si="59"/>
        <v>1</v>
      </c>
    </row>
    <row r="110" spans="1:13" outlineLevel="1" x14ac:dyDescent="0.25">
      <c r="A110" t="s">
        <v>76</v>
      </c>
      <c r="C110" s="2" t="s">
        <v>97</v>
      </c>
      <c r="D110" t="s">
        <v>85</v>
      </c>
      <c r="F110" t="str">
        <f t="shared" ref="F110" si="66">_xlfn.CONCAT("FretRout",LEFT(C110,3),RIGHT(C110,1),"Nb")</f>
        <v>FretRoutCat9Nb</v>
      </c>
      <c r="G110" t="s">
        <v>17</v>
      </c>
      <c r="H110">
        <v>1</v>
      </c>
      <c r="K110" t="s">
        <v>86</v>
      </c>
      <c r="L110">
        <v>0</v>
      </c>
    </row>
    <row r="111" spans="1:13" outlineLevel="1" x14ac:dyDescent="0.25">
      <c r="A111" t="s">
        <v>76</v>
      </c>
      <c r="C111" s="2" t="s">
        <v>97</v>
      </c>
      <c r="D111" t="s">
        <v>87</v>
      </c>
      <c r="F111" t="str">
        <f t="shared" ref="F111" si="67">_xlfn.CONCAT("FretRout",LEFT(C111,3),RIGHT(C111,1),"Dist")</f>
        <v>FretRoutCat9Dist</v>
      </c>
      <c r="G111" t="s">
        <v>17</v>
      </c>
      <c r="H111">
        <v>1</v>
      </c>
      <c r="I111" s="2"/>
      <c r="K111" t="s">
        <v>88</v>
      </c>
      <c r="L111">
        <v>11205</v>
      </c>
    </row>
    <row r="112" spans="1:13" outlineLevel="1" x14ac:dyDescent="0.25">
      <c r="A112" t="s">
        <v>76</v>
      </c>
      <c r="C112" s="2" t="s">
        <v>97</v>
      </c>
      <c r="D112" s="2" t="s">
        <v>89</v>
      </c>
      <c r="F112" t="str">
        <f t="shared" ref="F112" si="68">_xlfn.CONCAT("FretRout",LEFT(C112,3),RIGHT(C112,1),"Rempl")</f>
        <v>FretRoutCat9Rempl</v>
      </c>
      <c r="G112" t="s">
        <v>17</v>
      </c>
      <c r="H112">
        <v>1</v>
      </c>
      <c r="I112" s="3"/>
      <c r="K112" t="s">
        <v>70</v>
      </c>
      <c r="L112">
        <v>0</v>
      </c>
    </row>
    <row r="113" spans="1:12" outlineLevel="1" x14ac:dyDescent="0.25">
      <c r="A113" t="s">
        <v>76</v>
      </c>
      <c r="C113" s="2" t="s">
        <v>98</v>
      </c>
      <c r="D113" t="s">
        <v>78</v>
      </c>
      <c r="F113" t="str">
        <f>_xlfn.CONCAT("FretRout",LEFT(C113,3),RIGHT(C113,2),"Nom")</f>
        <v>FretRoutCat10Nom</v>
      </c>
      <c r="G113" t="s">
        <v>20</v>
      </c>
      <c r="H113">
        <v>1</v>
      </c>
      <c r="I113" s="4"/>
      <c r="J113" s="4" t="s">
        <v>395</v>
      </c>
      <c r="L113" s="4" t="str">
        <f t="shared" ref="L113:L119" si="69">J113</f>
        <v>PL Electrique &lt;=7.5t (Crit'Air E)</v>
      </c>
    </row>
    <row r="114" spans="1:12" outlineLevel="1" x14ac:dyDescent="0.25">
      <c r="A114" t="s">
        <v>76</v>
      </c>
      <c r="C114" s="2" t="s">
        <v>98</v>
      </c>
      <c r="D114" t="s">
        <v>79</v>
      </c>
      <c r="F114" t="str">
        <f>_xlfn.CONCAT("FretRout",LEFT(C114,3),RIGHT(C114,2),"Type")</f>
        <v>FretRoutCat10Type</v>
      </c>
      <c r="G114" t="s">
        <v>20</v>
      </c>
      <c r="H114">
        <v>1</v>
      </c>
      <c r="J114" t="s">
        <v>1771</v>
      </c>
      <c r="L114" s="4" t="str">
        <f t="shared" si="69"/>
        <v>PL</v>
      </c>
    </row>
    <row r="115" spans="1:12" outlineLevel="1" x14ac:dyDescent="0.25">
      <c r="A115" t="s">
        <v>76</v>
      </c>
      <c r="C115" s="2" t="s">
        <v>98</v>
      </c>
      <c r="D115" t="s">
        <v>80</v>
      </c>
      <c r="F115" t="str">
        <f>_xlfn.CONCAT("FretRout",LEFT(C115,3),RIGHT(C115,2),"PTAC")</f>
        <v>FretRoutCat10PTAC</v>
      </c>
      <c r="G115" t="s">
        <v>36</v>
      </c>
      <c r="H115">
        <v>1</v>
      </c>
      <c r="J115" t="s">
        <v>1457</v>
      </c>
      <c r="L115" s="4" t="str">
        <f t="shared" si="69"/>
        <v>&lt;=7.5t</v>
      </c>
    </row>
    <row r="116" spans="1:12" outlineLevel="1" x14ac:dyDescent="0.25">
      <c r="A116" t="s">
        <v>76</v>
      </c>
      <c r="C116" s="2" t="s">
        <v>98</v>
      </c>
      <c r="D116" t="s">
        <v>81</v>
      </c>
      <c r="F116" t="str">
        <f>_xlfn.CONCAT("FretRout",LEFT(C116,3),RIGHT(C116,2),"Mot")</f>
        <v>FretRoutCat10Mot</v>
      </c>
      <c r="G116" t="s">
        <v>36</v>
      </c>
      <c r="H116">
        <v>1</v>
      </c>
      <c r="I116" s="2"/>
      <c r="J116" t="s">
        <v>456</v>
      </c>
      <c r="L116" s="4" t="str">
        <f t="shared" si="69"/>
        <v>Electrique</v>
      </c>
    </row>
    <row r="117" spans="1:12" outlineLevel="1" x14ac:dyDescent="0.25">
      <c r="A117" t="s">
        <v>76</v>
      </c>
      <c r="C117" s="2" t="s">
        <v>98</v>
      </c>
      <c r="D117" t="s">
        <v>82</v>
      </c>
      <c r="F117" t="str">
        <f>_xlfn.CONCAT("FretRout",LEFT(C117,3),RIGHT(C117,2),"Carb")</f>
        <v>FretRoutCat10Carb</v>
      </c>
      <c r="G117" t="s">
        <v>36</v>
      </c>
      <c r="H117">
        <v>1</v>
      </c>
      <c r="J117">
        <v>0</v>
      </c>
      <c r="L117" s="4">
        <f t="shared" si="69"/>
        <v>0</v>
      </c>
    </row>
    <row r="118" spans="1:12" outlineLevel="1" x14ac:dyDescent="0.25">
      <c r="A118" t="s">
        <v>76</v>
      </c>
      <c r="C118" s="2" t="s">
        <v>98</v>
      </c>
      <c r="D118" t="s">
        <v>83</v>
      </c>
      <c r="F118" t="str">
        <f>_xlfn.CONCAT("FretRout",LEFT(C118,3),RIGHT(C118,2),"Euro")</f>
        <v>FretRoutCat10Euro</v>
      </c>
      <c r="G118" t="s">
        <v>36</v>
      </c>
      <c r="H118">
        <v>1</v>
      </c>
      <c r="J118">
        <v>0</v>
      </c>
      <c r="L118" s="4">
        <f t="shared" si="69"/>
        <v>0</v>
      </c>
    </row>
    <row r="119" spans="1:12" outlineLevel="1" x14ac:dyDescent="0.25">
      <c r="A119" t="s">
        <v>76</v>
      </c>
      <c r="C119" s="2" t="s">
        <v>98</v>
      </c>
      <c r="D119" t="s">
        <v>84</v>
      </c>
      <c r="F119" t="str">
        <f>_xlfn.CONCAT("FretRout",LEFT(C119,3),RIGHT(C119,2),"CritAir")</f>
        <v>FretRoutCat10CritAir</v>
      </c>
      <c r="G119" t="s">
        <v>36</v>
      </c>
      <c r="H119">
        <v>1</v>
      </c>
      <c r="I119" s="2"/>
      <c r="J119" t="s">
        <v>1453</v>
      </c>
      <c r="L119" s="4" t="str">
        <f t="shared" si="69"/>
        <v>E</v>
      </c>
    </row>
    <row r="120" spans="1:12" outlineLevel="1" x14ac:dyDescent="0.25">
      <c r="A120" t="s">
        <v>76</v>
      </c>
      <c r="C120" s="2" t="s">
        <v>98</v>
      </c>
      <c r="D120" t="s">
        <v>85</v>
      </c>
      <c r="F120" t="str">
        <f>_xlfn.CONCAT("FretRout",LEFT(C120,3),RIGHT(C120,2),"Nb")</f>
        <v>FretRoutCat10Nb</v>
      </c>
      <c r="G120" t="s">
        <v>17</v>
      </c>
      <c r="H120">
        <v>1</v>
      </c>
      <c r="K120" t="s">
        <v>86</v>
      </c>
      <c r="L120">
        <v>0</v>
      </c>
    </row>
    <row r="121" spans="1:12" outlineLevel="1" x14ac:dyDescent="0.25">
      <c r="A121" t="s">
        <v>76</v>
      </c>
      <c r="C121" s="2" t="s">
        <v>98</v>
      </c>
      <c r="D121" t="s">
        <v>87</v>
      </c>
      <c r="F121" t="str">
        <f>_xlfn.CONCAT("FretRout",LEFT(C121,3),RIGHT(C121,2),"Dist")</f>
        <v>FretRoutCat10Dist</v>
      </c>
      <c r="G121" t="s">
        <v>17</v>
      </c>
      <c r="H121">
        <v>1</v>
      </c>
      <c r="I121" s="2"/>
      <c r="K121" t="s">
        <v>88</v>
      </c>
      <c r="L121">
        <v>12015</v>
      </c>
    </row>
    <row r="122" spans="1:12" outlineLevel="1" x14ac:dyDescent="0.25">
      <c r="A122" t="s">
        <v>76</v>
      </c>
      <c r="C122" s="2" t="s">
        <v>98</v>
      </c>
      <c r="D122" s="2" t="s">
        <v>89</v>
      </c>
      <c r="F122" t="str">
        <f>_xlfn.CONCAT("FretRout",LEFT(C122,3),RIGHT(C122,2),"Rempl")</f>
        <v>FretRoutCat10Rempl</v>
      </c>
      <c r="G122" t="s">
        <v>17</v>
      </c>
      <c r="H122">
        <v>1</v>
      </c>
      <c r="I122" s="3"/>
      <c r="K122" t="s">
        <v>70</v>
      </c>
      <c r="L122">
        <v>0</v>
      </c>
    </row>
    <row r="123" spans="1:12" outlineLevel="1" x14ac:dyDescent="0.25">
      <c r="A123" t="s">
        <v>76</v>
      </c>
      <c r="C123" s="2" t="s">
        <v>99</v>
      </c>
      <c r="D123" t="s">
        <v>78</v>
      </c>
      <c r="F123" t="str">
        <f t="shared" ref="F123" si="70">_xlfn.CONCAT("FretRout",LEFT(C123,3),RIGHT(C123,2),"Nom")</f>
        <v>FretRoutCat11Nom</v>
      </c>
      <c r="G123" t="s">
        <v>20</v>
      </c>
      <c r="H123">
        <v>1</v>
      </c>
      <c r="I123" s="4"/>
      <c r="J123" s="4" t="s">
        <v>396</v>
      </c>
      <c r="L123" s="4" t="str">
        <f t="shared" ref="L123:L129" si="71">J123</f>
        <v>PL Electrique &gt;7.5-12t (Crit'Air E)</v>
      </c>
    </row>
    <row r="124" spans="1:12" outlineLevel="1" x14ac:dyDescent="0.25">
      <c r="A124" t="s">
        <v>76</v>
      </c>
      <c r="C124" s="2" t="s">
        <v>99</v>
      </c>
      <c r="D124" t="s">
        <v>79</v>
      </c>
      <c r="F124" t="str">
        <f t="shared" ref="F124" si="72">_xlfn.CONCAT("FretRout",LEFT(C124,3),RIGHT(C124,2),"Type")</f>
        <v>FretRoutCat11Type</v>
      </c>
      <c r="G124" t="s">
        <v>20</v>
      </c>
      <c r="H124">
        <v>1</v>
      </c>
      <c r="J124" t="s">
        <v>1771</v>
      </c>
      <c r="L124" s="4" t="str">
        <f t="shared" si="71"/>
        <v>PL</v>
      </c>
    </row>
    <row r="125" spans="1:12" outlineLevel="1" x14ac:dyDescent="0.25">
      <c r="A125" t="s">
        <v>76</v>
      </c>
      <c r="C125" s="2" t="s">
        <v>99</v>
      </c>
      <c r="D125" t="s">
        <v>80</v>
      </c>
      <c r="F125" t="str">
        <f t="shared" ref="F125" si="73">_xlfn.CONCAT("FretRout",LEFT(C125,3),RIGHT(C125,2),"PTAC")</f>
        <v>FretRoutCat11PTAC</v>
      </c>
      <c r="G125" t="s">
        <v>36</v>
      </c>
      <c r="H125">
        <v>1</v>
      </c>
      <c r="J125" t="s">
        <v>1458</v>
      </c>
      <c r="L125" s="4" t="str">
        <f t="shared" si="71"/>
        <v>&gt;7.5-12t</v>
      </c>
    </row>
    <row r="126" spans="1:12" outlineLevel="1" x14ac:dyDescent="0.25">
      <c r="A126" t="s">
        <v>76</v>
      </c>
      <c r="C126" s="2" t="s">
        <v>99</v>
      </c>
      <c r="D126" t="s">
        <v>81</v>
      </c>
      <c r="F126" t="str">
        <f t="shared" ref="F126" si="74">_xlfn.CONCAT("FretRout",LEFT(C126,3),RIGHT(C126,2),"Mot")</f>
        <v>FretRoutCat11Mot</v>
      </c>
      <c r="G126" t="s">
        <v>36</v>
      </c>
      <c r="H126">
        <v>1</v>
      </c>
      <c r="I126" s="2"/>
      <c r="J126" t="s">
        <v>456</v>
      </c>
      <c r="L126" s="4" t="str">
        <f t="shared" si="71"/>
        <v>Electrique</v>
      </c>
    </row>
    <row r="127" spans="1:12" outlineLevel="1" x14ac:dyDescent="0.25">
      <c r="A127" t="s">
        <v>76</v>
      </c>
      <c r="C127" s="2" t="s">
        <v>99</v>
      </c>
      <c r="D127" t="s">
        <v>82</v>
      </c>
      <c r="F127" t="str">
        <f t="shared" ref="F127" si="75">_xlfn.CONCAT("FretRout",LEFT(C127,3),RIGHT(C127,2),"Carb")</f>
        <v>FretRoutCat11Carb</v>
      </c>
      <c r="G127" t="s">
        <v>36</v>
      </c>
      <c r="H127">
        <v>1</v>
      </c>
      <c r="J127">
        <v>0</v>
      </c>
      <c r="L127" s="4">
        <f t="shared" si="71"/>
        <v>0</v>
      </c>
    </row>
    <row r="128" spans="1:12" outlineLevel="1" x14ac:dyDescent="0.25">
      <c r="A128" t="s">
        <v>76</v>
      </c>
      <c r="C128" s="2" t="s">
        <v>99</v>
      </c>
      <c r="D128" t="s">
        <v>83</v>
      </c>
      <c r="F128" t="str">
        <f t="shared" ref="F128" si="76">_xlfn.CONCAT("FretRout",LEFT(C128,3),RIGHT(C128,2),"Euro")</f>
        <v>FretRoutCat11Euro</v>
      </c>
      <c r="G128" t="s">
        <v>36</v>
      </c>
      <c r="H128">
        <v>1</v>
      </c>
      <c r="J128">
        <v>0</v>
      </c>
      <c r="L128" s="4">
        <f t="shared" si="71"/>
        <v>0</v>
      </c>
    </row>
    <row r="129" spans="1:12" outlineLevel="1" x14ac:dyDescent="0.25">
      <c r="A129" t="s">
        <v>76</v>
      </c>
      <c r="C129" s="2" t="s">
        <v>99</v>
      </c>
      <c r="D129" t="s">
        <v>84</v>
      </c>
      <c r="F129" t="str">
        <f t="shared" ref="F129" si="77">_xlfn.CONCAT("FretRout",LEFT(C129,3),RIGHT(C129,2),"CritAir")</f>
        <v>FretRoutCat11CritAir</v>
      </c>
      <c r="G129" t="s">
        <v>36</v>
      </c>
      <c r="H129">
        <v>1</v>
      </c>
      <c r="I129" s="2"/>
      <c r="J129" t="s">
        <v>1453</v>
      </c>
      <c r="L129" s="4" t="str">
        <f t="shared" si="71"/>
        <v>E</v>
      </c>
    </row>
    <row r="130" spans="1:12" outlineLevel="1" x14ac:dyDescent="0.25">
      <c r="A130" t="s">
        <v>76</v>
      </c>
      <c r="C130" s="2" t="s">
        <v>99</v>
      </c>
      <c r="D130" t="s">
        <v>85</v>
      </c>
      <c r="F130" t="str">
        <f t="shared" ref="F130" si="78">_xlfn.CONCAT("FretRout",LEFT(C130,3),RIGHT(C130,2),"Nb")</f>
        <v>FretRoutCat11Nb</v>
      </c>
      <c r="G130" t="s">
        <v>17</v>
      </c>
      <c r="H130">
        <v>1</v>
      </c>
      <c r="K130" t="s">
        <v>86</v>
      </c>
      <c r="L130">
        <v>0</v>
      </c>
    </row>
    <row r="131" spans="1:12" outlineLevel="1" x14ac:dyDescent="0.25">
      <c r="A131" t="s">
        <v>76</v>
      </c>
      <c r="C131" s="2" t="s">
        <v>99</v>
      </c>
      <c r="D131" t="s">
        <v>87</v>
      </c>
      <c r="F131" t="str">
        <f t="shared" ref="F131" si="79">_xlfn.CONCAT("FretRout",LEFT(C131,3),RIGHT(C131,2),"Dist")</f>
        <v>FretRoutCat11Dist</v>
      </c>
      <c r="G131" t="s">
        <v>17</v>
      </c>
      <c r="H131">
        <v>1</v>
      </c>
      <c r="I131" s="2"/>
      <c r="K131" t="s">
        <v>88</v>
      </c>
      <c r="L131">
        <v>12015</v>
      </c>
    </row>
    <row r="132" spans="1:12" outlineLevel="1" x14ac:dyDescent="0.25">
      <c r="A132" t="s">
        <v>76</v>
      </c>
      <c r="C132" s="2" t="s">
        <v>99</v>
      </c>
      <c r="D132" s="2" t="s">
        <v>89</v>
      </c>
      <c r="F132" t="str">
        <f t="shared" ref="F132" si="80">_xlfn.CONCAT("FretRout",LEFT(C132,3),RIGHT(C132,2),"Rempl")</f>
        <v>FretRoutCat11Rempl</v>
      </c>
      <c r="G132" t="s">
        <v>17</v>
      </c>
      <c r="H132">
        <v>1</v>
      </c>
      <c r="I132" s="3"/>
      <c r="K132" t="s">
        <v>70</v>
      </c>
      <c r="L132">
        <v>0</v>
      </c>
    </row>
    <row r="133" spans="1:12" outlineLevel="1" x14ac:dyDescent="0.25">
      <c r="A133" t="s">
        <v>76</v>
      </c>
      <c r="C133" s="2" t="s">
        <v>100</v>
      </c>
      <c r="D133" t="s">
        <v>78</v>
      </c>
      <c r="F133" t="str">
        <f t="shared" ref="F133" si="81">_xlfn.CONCAT("FretRout",LEFT(C133,3),RIGHT(C133,2),"Nom")</f>
        <v>FretRoutCat12Nom</v>
      </c>
      <c r="G133" t="s">
        <v>20</v>
      </c>
      <c r="H133">
        <v>1</v>
      </c>
      <c r="I133" s="4"/>
      <c r="J133" s="4" t="s">
        <v>397</v>
      </c>
      <c r="L133" s="4" t="str">
        <f t="shared" ref="L133:L139" si="82">J133</f>
        <v>PL Electrique &gt;14-20t (Crit'Air E)</v>
      </c>
    </row>
    <row r="134" spans="1:12" outlineLevel="1" x14ac:dyDescent="0.25">
      <c r="A134" t="s">
        <v>76</v>
      </c>
      <c r="C134" s="2" t="s">
        <v>100</v>
      </c>
      <c r="D134" t="s">
        <v>79</v>
      </c>
      <c r="F134" t="str">
        <f t="shared" ref="F134" si="83">_xlfn.CONCAT("FretRout",LEFT(C134,3),RIGHT(C134,2),"Type")</f>
        <v>FretRoutCat12Type</v>
      </c>
      <c r="G134" t="s">
        <v>20</v>
      </c>
      <c r="H134">
        <v>1</v>
      </c>
      <c r="J134" t="s">
        <v>1771</v>
      </c>
      <c r="L134" s="4" t="str">
        <f t="shared" si="82"/>
        <v>PL</v>
      </c>
    </row>
    <row r="135" spans="1:12" outlineLevel="1" x14ac:dyDescent="0.25">
      <c r="A135" t="s">
        <v>76</v>
      </c>
      <c r="C135" s="2" t="s">
        <v>100</v>
      </c>
      <c r="D135" t="s">
        <v>80</v>
      </c>
      <c r="F135" t="str">
        <f t="shared" ref="F135" si="84">_xlfn.CONCAT("FretRout",LEFT(C135,3),RIGHT(C135,2),"PTAC")</f>
        <v>FretRoutCat12PTAC</v>
      </c>
      <c r="G135" t="s">
        <v>36</v>
      </c>
      <c r="H135">
        <v>1</v>
      </c>
      <c r="J135" t="s">
        <v>1459</v>
      </c>
      <c r="L135" s="4" t="str">
        <f t="shared" si="82"/>
        <v>&gt;14-20t</v>
      </c>
    </row>
    <row r="136" spans="1:12" outlineLevel="1" x14ac:dyDescent="0.25">
      <c r="A136" t="s">
        <v>76</v>
      </c>
      <c r="C136" s="2" t="s">
        <v>100</v>
      </c>
      <c r="D136" t="s">
        <v>81</v>
      </c>
      <c r="F136" t="str">
        <f t="shared" ref="F136" si="85">_xlfn.CONCAT("FretRout",LEFT(C136,3),RIGHT(C136,2),"Mot")</f>
        <v>FretRoutCat12Mot</v>
      </c>
      <c r="G136" t="s">
        <v>36</v>
      </c>
      <c r="H136">
        <v>1</v>
      </c>
      <c r="I136" s="2"/>
      <c r="J136" t="s">
        <v>456</v>
      </c>
      <c r="L136" s="4" t="str">
        <f t="shared" si="82"/>
        <v>Electrique</v>
      </c>
    </row>
    <row r="137" spans="1:12" outlineLevel="1" x14ac:dyDescent="0.25">
      <c r="A137" t="s">
        <v>76</v>
      </c>
      <c r="C137" s="2" t="s">
        <v>100</v>
      </c>
      <c r="D137" t="s">
        <v>82</v>
      </c>
      <c r="F137" t="str">
        <f t="shared" ref="F137" si="86">_xlfn.CONCAT("FretRout",LEFT(C137,3),RIGHT(C137,2),"Carb")</f>
        <v>FretRoutCat12Carb</v>
      </c>
      <c r="G137" t="s">
        <v>36</v>
      </c>
      <c r="H137">
        <v>1</v>
      </c>
      <c r="J137">
        <v>0</v>
      </c>
      <c r="L137" s="4">
        <f t="shared" si="82"/>
        <v>0</v>
      </c>
    </row>
    <row r="138" spans="1:12" outlineLevel="1" x14ac:dyDescent="0.25">
      <c r="A138" t="s">
        <v>76</v>
      </c>
      <c r="C138" s="2" t="s">
        <v>100</v>
      </c>
      <c r="D138" t="s">
        <v>83</v>
      </c>
      <c r="F138" t="str">
        <f t="shared" ref="F138" si="87">_xlfn.CONCAT("FretRout",LEFT(C138,3),RIGHT(C138,2),"Euro")</f>
        <v>FretRoutCat12Euro</v>
      </c>
      <c r="G138" t="s">
        <v>36</v>
      </c>
      <c r="H138">
        <v>1</v>
      </c>
      <c r="J138">
        <v>0</v>
      </c>
      <c r="L138" s="4">
        <f t="shared" si="82"/>
        <v>0</v>
      </c>
    </row>
    <row r="139" spans="1:12" outlineLevel="1" x14ac:dyDescent="0.25">
      <c r="A139" t="s">
        <v>76</v>
      </c>
      <c r="C139" s="2" t="s">
        <v>100</v>
      </c>
      <c r="D139" t="s">
        <v>84</v>
      </c>
      <c r="F139" t="str">
        <f t="shared" ref="F139" si="88">_xlfn.CONCAT("FretRout",LEFT(C139,3),RIGHT(C139,2),"CritAir")</f>
        <v>FretRoutCat12CritAir</v>
      </c>
      <c r="G139" t="s">
        <v>36</v>
      </c>
      <c r="H139">
        <v>1</v>
      </c>
      <c r="I139" s="2"/>
      <c r="J139" t="s">
        <v>1453</v>
      </c>
      <c r="L139" s="4" t="str">
        <f t="shared" si="82"/>
        <v>E</v>
      </c>
    </row>
    <row r="140" spans="1:12" outlineLevel="1" x14ac:dyDescent="0.25">
      <c r="A140" t="s">
        <v>76</v>
      </c>
      <c r="C140" s="2" t="s">
        <v>100</v>
      </c>
      <c r="D140" t="s">
        <v>85</v>
      </c>
      <c r="F140" t="str">
        <f t="shared" ref="F140" si="89">_xlfn.CONCAT("FretRout",LEFT(C140,3),RIGHT(C140,2),"Nb")</f>
        <v>FretRoutCat12Nb</v>
      </c>
      <c r="G140" t="s">
        <v>17</v>
      </c>
      <c r="H140">
        <v>1</v>
      </c>
      <c r="K140" t="s">
        <v>86</v>
      </c>
      <c r="L140">
        <v>0</v>
      </c>
    </row>
    <row r="141" spans="1:12" outlineLevel="1" x14ac:dyDescent="0.25">
      <c r="A141" t="s">
        <v>76</v>
      </c>
      <c r="C141" s="2" t="s">
        <v>100</v>
      </c>
      <c r="D141" t="s">
        <v>87</v>
      </c>
      <c r="F141" t="str">
        <f t="shared" ref="F141" si="90">_xlfn.CONCAT("FretRout",LEFT(C141,3),RIGHT(C141,2),"Dist")</f>
        <v>FretRoutCat12Dist</v>
      </c>
      <c r="G141" t="s">
        <v>17</v>
      </c>
      <c r="H141">
        <v>1</v>
      </c>
      <c r="I141" s="2"/>
      <c r="K141" t="s">
        <v>88</v>
      </c>
      <c r="L141">
        <v>12015</v>
      </c>
    </row>
    <row r="142" spans="1:12" outlineLevel="1" x14ac:dyDescent="0.25">
      <c r="A142" t="s">
        <v>76</v>
      </c>
      <c r="C142" s="2" t="s">
        <v>100</v>
      </c>
      <c r="D142" s="2" t="s">
        <v>89</v>
      </c>
      <c r="F142" t="str">
        <f t="shared" ref="F142" si="91">_xlfn.CONCAT("FretRout",LEFT(C142,3),RIGHT(C142,2),"Rempl")</f>
        <v>FretRoutCat12Rempl</v>
      </c>
      <c r="G142" t="s">
        <v>17</v>
      </c>
      <c r="H142">
        <v>1</v>
      </c>
      <c r="I142" s="3"/>
      <c r="K142" t="s">
        <v>70</v>
      </c>
      <c r="L142">
        <v>0</v>
      </c>
    </row>
    <row r="143" spans="1:12" outlineLevel="1" x14ac:dyDescent="0.25">
      <c r="A143" t="s">
        <v>76</v>
      </c>
      <c r="C143" s="2" t="s">
        <v>101</v>
      </c>
      <c r="D143" t="s">
        <v>78</v>
      </c>
      <c r="F143" t="str">
        <f t="shared" ref="F143" si="92">_xlfn.CONCAT("FretRout",LEFT(C143,3),RIGHT(C143,2),"Nom")</f>
        <v>FretRoutCat13Nom</v>
      </c>
      <c r="G143" t="s">
        <v>20</v>
      </c>
      <c r="H143">
        <v>1</v>
      </c>
      <c r="I143" s="4"/>
      <c r="J143" s="4" t="s">
        <v>398</v>
      </c>
      <c r="L143" s="4" t="str">
        <f t="shared" ref="L143:L149" si="93">J143</f>
        <v>PL Electrique &gt;20-26t (Crit'Air E)</v>
      </c>
    </row>
    <row r="144" spans="1:12" outlineLevel="1" x14ac:dyDescent="0.25">
      <c r="A144" t="s">
        <v>76</v>
      </c>
      <c r="C144" s="2" t="s">
        <v>101</v>
      </c>
      <c r="D144" t="s">
        <v>79</v>
      </c>
      <c r="F144" t="str">
        <f t="shared" ref="F144" si="94">_xlfn.CONCAT("FretRout",LEFT(C144,3),RIGHT(C144,2),"Type")</f>
        <v>FretRoutCat13Type</v>
      </c>
      <c r="G144" t="s">
        <v>20</v>
      </c>
      <c r="H144">
        <v>1</v>
      </c>
      <c r="J144" t="s">
        <v>1771</v>
      </c>
      <c r="L144" s="4" t="str">
        <f t="shared" si="93"/>
        <v>PL</v>
      </c>
    </row>
    <row r="145" spans="1:12" outlineLevel="1" x14ac:dyDescent="0.25">
      <c r="A145" t="s">
        <v>76</v>
      </c>
      <c r="C145" s="2" t="s">
        <v>101</v>
      </c>
      <c r="D145" t="s">
        <v>80</v>
      </c>
      <c r="F145" t="str">
        <f t="shared" ref="F145" si="95">_xlfn.CONCAT("FretRout",LEFT(C145,3),RIGHT(C145,2),"PTAC")</f>
        <v>FretRoutCat13PTAC</v>
      </c>
      <c r="G145" t="s">
        <v>36</v>
      </c>
      <c r="H145">
        <v>1</v>
      </c>
      <c r="J145" t="s">
        <v>1460</v>
      </c>
      <c r="L145" s="4" t="str">
        <f t="shared" si="93"/>
        <v>&gt;20-26t</v>
      </c>
    </row>
    <row r="146" spans="1:12" outlineLevel="1" x14ac:dyDescent="0.25">
      <c r="A146" t="s">
        <v>76</v>
      </c>
      <c r="C146" s="2" t="s">
        <v>101</v>
      </c>
      <c r="D146" t="s">
        <v>81</v>
      </c>
      <c r="F146" t="str">
        <f t="shared" ref="F146" si="96">_xlfn.CONCAT("FretRout",LEFT(C146,3),RIGHT(C146,2),"Mot")</f>
        <v>FretRoutCat13Mot</v>
      </c>
      <c r="G146" t="s">
        <v>36</v>
      </c>
      <c r="H146">
        <v>1</v>
      </c>
      <c r="I146" s="2"/>
      <c r="J146" t="s">
        <v>456</v>
      </c>
      <c r="L146" s="4" t="str">
        <f t="shared" si="93"/>
        <v>Electrique</v>
      </c>
    </row>
    <row r="147" spans="1:12" outlineLevel="1" x14ac:dyDescent="0.25">
      <c r="A147" t="s">
        <v>76</v>
      </c>
      <c r="C147" s="2" t="s">
        <v>101</v>
      </c>
      <c r="D147" t="s">
        <v>82</v>
      </c>
      <c r="F147" t="str">
        <f t="shared" ref="F147" si="97">_xlfn.CONCAT("FretRout",LEFT(C147,3),RIGHT(C147,2),"Carb")</f>
        <v>FretRoutCat13Carb</v>
      </c>
      <c r="G147" t="s">
        <v>36</v>
      </c>
      <c r="H147">
        <v>1</v>
      </c>
      <c r="J147">
        <v>0</v>
      </c>
      <c r="L147" s="4">
        <f t="shared" si="93"/>
        <v>0</v>
      </c>
    </row>
    <row r="148" spans="1:12" outlineLevel="1" x14ac:dyDescent="0.25">
      <c r="A148" t="s">
        <v>76</v>
      </c>
      <c r="C148" s="2" t="s">
        <v>101</v>
      </c>
      <c r="D148" t="s">
        <v>83</v>
      </c>
      <c r="F148" t="str">
        <f t="shared" ref="F148" si="98">_xlfn.CONCAT("FretRout",LEFT(C148,3),RIGHT(C148,2),"Euro")</f>
        <v>FretRoutCat13Euro</v>
      </c>
      <c r="G148" t="s">
        <v>36</v>
      </c>
      <c r="H148">
        <v>1</v>
      </c>
      <c r="J148">
        <v>0</v>
      </c>
      <c r="L148" s="4">
        <f t="shared" si="93"/>
        <v>0</v>
      </c>
    </row>
    <row r="149" spans="1:12" outlineLevel="1" x14ac:dyDescent="0.25">
      <c r="A149" t="s">
        <v>76</v>
      </c>
      <c r="C149" s="2" t="s">
        <v>101</v>
      </c>
      <c r="D149" t="s">
        <v>84</v>
      </c>
      <c r="F149" t="str">
        <f t="shared" ref="F149" si="99">_xlfn.CONCAT("FretRout",LEFT(C149,3),RIGHT(C149,2),"CritAir")</f>
        <v>FretRoutCat13CritAir</v>
      </c>
      <c r="G149" t="s">
        <v>36</v>
      </c>
      <c r="H149">
        <v>1</v>
      </c>
      <c r="I149" s="2"/>
      <c r="J149" t="s">
        <v>1453</v>
      </c>
      <c r="L149" s="4" t="str">
        <f t="shared" si="93"/>
        <v>E</v>
      </c>
    </row>
    <row r="150" spans="1:12" outlineLevel="1" x14ac:dyDescent="0.25">
      <c r="A150" t="s">
        <v>76</v>
      </c>
      <c r="C150" s="2" t="s">
        <v>101</v>
      </c>
      <c r="D150" t="s">
        <v>85</v>
      </c>
      <c r="F150" t="str">
        <f t="shared" ref="F150" si="100">_xlfn.CONCAT("FretRout",LEFT(C150,3),RIGHT(C150,2),"Nb")</f>
        <v>FretRoutCat13Nb</v>
      </c>
      <c r="G150" t="s">
        <v>17</v>
      </c>
      <c r="H150">
        <v>1</v>
      </c>
      <c r="K150" t="s">
        <v>86</v>
      </c>
      <c r="L150">
        <v>0</v>
      </c>
    </row>
    <row r="151" spans="1:12" outlineLevel="1" x14ac:dyDescent="0.25">
      <c r="A151" t="s">
        <v>76</v>
      </c>
      <c r="C151" s="2" t="s">
        <v>101</v>
      </c>
      <c r="D151" t="s">
        <v>87</v>
      </c>
      <c r="F151" t="str">
        <f t="shared" ref="F151" si="101">_xlfn.CONCAT("FretRout",LEFT(C151,3),RIGHT(C151,2),"Dist")</f>
        <v>FretRoutCat13Dist</v>
      </c>
      <c r="G151" t="s">
        <v>17</v>
      </c>
      <c r="H151">
        <v>1</v>
      </c>
      <c r="I151" s="2"/>
      <c r="K151" t="s">
        <v>88</v>
      </c>
      <c r="L151">
        <v>12015</v>
      </c>
    </row>
    <row r="152" spans="1:12" outlineLevel="1" x14ac:dyDescent="0.25">
      <c r="A152" t="s">
        <v>76</v>
      </c>
      <c r="C152" s="2" t="s">
        <v>101</v>
      </c>
      <c r="D152" s="2" t="s">
        <v>89</v>
      </c>
      <c r="F152" t="str">
        <f t="shared" ref="F152" si="102">_xlfn.CONCAT("FretRout",LEFT(C152,3),RIGHT(C152,2),"Rempl")</f>
        <v>FretRoutCat13Rempl</v>
      </c>
      <c r="G152" t="s">
        <v>17</v>
      </c>
      <c r="H152">
        <v>1</v>
      </c>
      <c r="I152" s="3"/>
      <c r="K152" t="s">
        <v>70</v>
      </c>
      <c r="L152">
        <v>0</v>
      </c>
    </row>
    <row r="153" spans="1:12" outlineLevel="1" x14ac:dyDescent="0.25">
      <c r="A153" t="s">
        <v>76</v>
      </c>
      <c r="C153" s="2" t="s">
        <v>102</v>
      </c>
      <c r="D153" t="s">
        <v>78</v>
      </c>
      <c r="F153" t="str">
        <f t="shared" ref="F153" si="103">_xlfn.CONCAT("FretRout",LEFT(C153,3),RIGHT(C153,2),"Nom")</f>
        <v>FretRoutCat14Nom</v>
      </c>
      <c r="G153" t="s">
        <v>20</v>
      </c>
      <c r="H153">
        <v>1</v>
      </c>
      <c r="I153" s="4"/>
      <c r="J153" s="4" t="s">
        <v>399</v>
      </c>
      <c r="L153" s="4" t="str">
        <f t="shared" ref="L153:L159" si="104">J153</f>
        <v>PL Electrique &gt;28-34t (Crit'Air E)</v>
      </c>
    </row>
    <row r="154" spans="1:12" outlineLevel="1" x14ac:dyDescent="0.25">
      <c r="A154" t="s">
        <v>76</v>
      </c>
      <c r="C154" s="2" t="s">
        <v>102</v>
      </c>
      <c r="D154" t="s">
        <v>79</v>
      </c>
      <c r="F154" t="str">
        <f t="shared" ref="F154" si="105">_xlfn.CONCAT("FretRout",LEFT(C154,3),RIGHT(C154,2),"Type")</f>
        <v>FretRoutCat14Type</v>
      </c>
      <c r="G154" t="s">
        <v>20</v>
      </c>
      <c r="H154">
        <v>1</v>
      </c>
      <c r="J154" t="s">
        <v>1771</v>
      </c>
      <c r="L154" s="4" t="str">
        <f t="shared" si="104"/>
        <v>PL</v>
      </c>
    </row>
    <row r="155" spans="1:12" outlineLevel="1" x14ac:dyDescent="0.25">
      <c r="A155" t="s">
        <v>76</v>
      </c>
      <c r="C155" s="2" t="s">
        <v>102</v>
      </c>
      <c r="D155" t="s">
        <v>80</v>
      </c>
      <c r="F155" t="str">
        <f t="shared" ref="F155" si="106">_xlfn.CONCAT("FretRout",LEFT(C155,3),RIGHT(C155,2),"PTAC")</f>
        <v>FretRoutCat14PTAC</v>
      </c>
      <c r="G155" t="s">
        <v>36</v>
      </c>
      <c r="H155">
        <v>1</v>
      </c>
      <c r="J155" t="s">
        <v>1461</v>
      </c>
      <c r="L155" s="4" t="str">
        <f t="shared" si="104"/>
        <v>&gt;28-34t</v>
      </c>
    </row>
    <row r="156" spans="1:12" outlineLevel="1" x14ac:dyDescent="0.25">
      <c r="A156" t="s">
        <v>76</v>
      </c>
      <c r="C156" s="2" t="s">
        <v>102</v>
      </c>
      <c r="D156" t="s">
        <v>81</v>
      </c>
      <c r="F156" t="str">
        <f t="shared" ref="F156" si="107">_xlfn.CONCAT("FretRout",LEFT(C156,3),RIGHT(C156,2),"Mot")</f>
        <v>FretRoutCat14Mot</v>
      </c>
      <c r="G156" t="s">
        <v>36</v>
      </c>
      <c r="H156">
        <v>1</v>
      </c>
      <c r="I156" s="2"/>
      <c r="J156" t="s">
        <v>456</v>
      </c>
      <c r="L156" s="4" t="str">
        <f t="shared" si="104"/>
        <v>Electrique</v>
      </c>
    </row>
    <row r="157" spans="1:12" outlineLevel="1" x14ac:dyDescent="0.25">
      <c r="A157" t="s">
        <v>76</v>
      </c>
      <c r="C157" s="2" t="s">
        <v>102</v>
      </c>
      <c r="D157" t="s">
        <v>82</v>
      </c>
      <c r="F157" t="str">
        <f t="shared" ref="F157" si="108">_xlfn.CONCAT("FretRout",LEFT(C157,3),RIGHT(C157,2),"Carb")</f>
        <v>FretRoutCat14Carb</v>
      </c>
      <c r="G157" t="s">
        <v>36</v>
      </c>
      <c r="H157">
        <v>1</v>
      </c>
      <c r="J157">
        <v>0</v>
      </c>
      <c r="L157" s="4">
        <f t="shared" si="104"/>
        <v>0</v>
      </c>
    </row>
    <row r="158" spans="1:12" outlineLevel="1" x14ac:dyDescent="0.25">
      <c r="A158" t="s">
        <v>76</v>
      </c>
      <c r="C158" s="2" t="s">
        <v>102</v>
      </c>
      <c r="D158" t="s">
        <v>83</v>
      </c>
      <c r="F158" t="str">
        <f t="shared" ref="F158" si="109">_xlfn.CONCAT("FretRout",LEFT(C158,3),RIGHT(C158,2),"Euro")</f>
        <v>FretRoutCat14Euro</v>
      </c>
      <c r="G158" t="s">
        <v>36</v>
      </c>
      <c r="H158">
        <v>1</v>
      </c>
      <c r="J158">
        <v>0</v>
      </c>
      <c r="L158" s="4">
        <f t="shared" si="104"/>
        <v>0</v>
      </c>
    </row>
    <row r="159" spans="1:12" outlineLevel="1" x14ac:dyDescent="0.25">
      <c r="A159" t="s">
        <v>76</v>
      </c>
      <c r="C159" s="2" t="s">
        <v>102</v>
      </c>
      <c r="D159" t="s">
        <v>84</v>
      </c>
      <c r="F159" t="str">
        <f t="shared" ref="F159" si="110">_xlfn.CONCAT("FretRout",LEFT(C159,3),RIGHT(C159,2),"CritAir")</f>
        <v>FretRoutCat14CritAir</v>
      </c>
      <c r="G159" t="s">
        <v>36</v>
      </c>
      <c r="H159">
        <v>1</v>
      </c>
      <c r="I159" s="2"/>
      <c r="J159" t="s">
        <v>1453</v>
      </c>
      <c r="L159" s="4" t="str">
        <f t="shared" si="104"/>
        <v>E</v>
      </c>
    </row>
    <row r="160" spans="1:12" outlineLevel="1" x14ac:dyDescent="0.25">
      <c r="A160" t="s">
        <v>76</v>
      </c>
      <c r="C160" s="2" t="s">
        <v>102</v>
      </c>
      <c r="D160" t="s">
        <v>85</v>
      </c>
      <c r="F160" t="str">
        <f t="shared" ref="F160" si="111">_xlfn.CONCAT("FretRout",LEFT(C160,3),RIGHT(C160,2),"Nb")</f>
        <v>FretRoutCat14Nb</v>
      </c>
      <c r="G160" t="s">
        <v>17</v>
      </c>
      <c r="H160">
        <v>1</v>
      </c>
      <c r="K160" t="s">
        <v>86</v>
      </c>
      <c r="L160">
        <v>0</v>
      </c>
    </row>
    <row r="161" spans="1:12" outlineLevel="1" x14ac:dyDescent="0.25">
      <c r="A161" t="s">
        <v>76</v>
      </c>
      <c r="C161" s="2" t="s">
        <v>102</v>
      </c>
      <c r="D161" t="s">
        <v>87</v>
      </c>
      <c r="F161" t="str">
        <f t="shared" ref="F161" si="112">_xlfn.CONCAT("FretRout",LEFT(C161,3),RIGHT(C161,2),"Dist")</f>
        <v>FretRoutCat14Dist</v>
      </c>
      <c r="G161" t="s">
        <v>17</v>
      </c>
      <c r="H161">
        <v>1</v>
      </c>
      <c r="I161" s="2"/>
      <c r="K161" t="s">
        <v>88</v>
      </c>
      <c r="L161">
        <v>12015</v>
      </c>
    </row>
    <row r="162" spans="1:12" outlineLevel="1" x14ac:dyDescent="0.25">
      <c r="A162" t="s">
        <v>76</v>
      </c>
      <c r="C162" s="2" t="s">
        <v>102</v>
      </c>
      <c r="D162" s="2" t="s">
        <v>89</v>
      </c>
      <c r="F162" t="str">
        <f t="shared" ref="F162" si="113">_xlfn.CONCAT("FretRout",LEFT(C162,3),RIGHT(C162,2),"Rempl")</f>
        <v>FretRoutCat14Rempl</v>
      </c>
      <c r="G162" t="s">
        <v>17</v>
      </c>
      <c r="H162">
        <v>1</v>
      </c>
      <c r="I162" s="3"/>
      <c r="K162" t="s">
        <v>70</v>
      </c>
      <c r="L162">
        <v>0</v>
      </c>
    </row>
    <row r="163" spans="1:12" outlineLevel="1" x14ac:dyDescent="0.25">
      <c r="A163" t="s">
        <v>76</v>
      </c>
      <c r="C163" s="2" t="s">
        <v>103</v>
      </c>
      <c r="D163" t="s">
        <v>78</v>
      </c>
      <c r="F163" t="str">
        <f t="shared" ref="F163" si="114">_xlfn.CONCAT("FretRout",LEFT(C163,3),RIGHT(C163,2),"Nom")</f>
        <v>FretRoutCat15Nom</v>
      </c>
      <c r="G163" t="s">
        <v>20</v>
      </c>
      <c r="H163">
        <v>1</v>
      </c>
      <c r="I163" s="4"/>
      <c r="J163" s="4" t="s">
        <v>400</v>
      </c>
      <c r="L163" s="4" t="str">
        <f t="shared" ref="L163:L169" si="115">J163</f>
        <v>PL Electrique &gt;34-40t (Crit'Air E)</v>
      </c>
    </row>
    <row r="164" spans="1:12" outlineLevel="1" x14ac:dyDescent="0.25">
      <c r="A164" t="s">
        <v>76</v>
      </c>
      <c r="C164" s="2" t="s">
        <v>103</v>
      </c>
      <c r="D164" t="s">
        <v>79</v>
      </c>
      <c r="F164" t="str">
        <f t="shared" ref="F164" si="116">_xlfn.CONCAT("FretRout",LEFT(C164,3),RIGHT(C164,2),"Type")</f>
        <v>FretRoutCat15Type</v>
      </c>
      <c r="G164" t="s">
        <v>20</v>
      </c>
      <c r="H164">
        <v>1</v>
      </c>
      <c r="J164" t="s">
        <v>1771</v>
      </c>
      <c r="L164" s="4" t="str">
        <f t="shared" si="115"/>
        <v>PL</v>
      </c>
    </row>
    <row r="165" spans="1:12" outlineLevel="1" x14ac:dyDescent="0.25">
      <c r="A165" t="s">
        <v>76</v>
      </c>
      <c r="C165" s="2" t="s">
        <v>103</v>
      </c>
      <c r="D165" t="s">
        <v>80</v>
      </c>
      <c r="F165" t="str">
        <f t="shared" ref="F165" si="117">_xlfn.CONCAT("FretRout",LEFT(C165,3),RIGHT(C165,2),"PTAC")</f>
        <v>FretRoutCat15PTAC</v>
      </c>
      <c r="G165" t="s">
        <v>36</v>
      </c>
      <c r="H165">
        <v>1</v>
      </c>
      <c r="J165" t="s">
        <v>1462</v>
      </c>
      <c r="L165" s="4" t="str">
        <f t="shared" si="115"/>
        <v>&gt;34-40t</v>
      </c>
    </row>
    <row r="166" spans="1:12" outlineLevel="1" x14ac:dyDescent="0.25">
      <c r="A166" t="s">
        <v>76</v>
      </c>
      <c r="C166" s="2" t="s">
        <v>103</v>
      </c>
      <c r="D166" t="s">
        <v>81</v>
      </c>
      <c r="F166" t="str">
        <f t="shared" ref="F166" si="118">_xlfn.CONCAT("FretRout",LEFT(C166,3),RIGHT(C166,2),"Mot")</f>
        <v>FretRoutCat15Mot</v>
      </c>
      <c r="G166" t="s">
        <v>36</v>
      </c>
      <c r="H166">
        <v>1</v>
      </c>
      <c r="I166" s="2"/>
      <c r="J166" t="s">
        <v>456</v>
      </c>
      <c r="L166" s="4" t="str">
        <f t="shared" si="115"/>
        <v>Electrique</v>
      </c>
    </row>
    <row r="167" spans="1:12" outlineLevel="1" x14ac:dyDescent="0.25">
      <c r="A167" t="s">
        <v>76</v>
      </c>
      <c r="C167" s="2" t="s">
        <v>103</v>
      </c>
      <c r="D167" t="s">
        <v>82</v>
      </c>
      <c r="F167" t="str">
        <f t="shared" ref="F167" si="119">_xlfn.CONCAT("FretRout",LEFT(C167,3),RIGHT(C167,2),"Carb")</f>
        <v>FretRoutCat15Carb</v>
      </c>
      <c r="G167" t="s">
        <v>36</v>
      </c>
      <c r="H167">
        <v>1</v>
      </c>
      <c r="J167">
        <v>0</v>
      </c>
      <c r="L167" s="4">
        <f t="shared" si="115"/>
        <v>0</v>
      </c>
    </row>
    <row r="168" spans="1:12" outlineLevel="1" x14ac:dyDescent="0.25">
      <c r="A168" t="s">
        <v>76</v>
      </c>
      <c r="C168" s="2" t="s">
        <v>103</v>
      </c>
      <c r="D168" t="s">
        <v>83</v>
      </c>
      <c r="F168" t="str">
        <f t="shared" ref="F168" si="120">_xlfn.CONCAT("FretRout",LEFT(C168,3),RIGHT(C168,2),"Euro")</f>
        <v>FretRoutCat15Euro</v>
      </c>
      <c r="G168" t="s">
        <v>36</v>
      </c>
      <c r="H168">
        <v>1</v>
      </c>
      <c r="J168">
        <v>0</v>
      </c>
      <c r="L168" s="4">
        <f t="shared" si="115"/>
        <v>0</v>
      </c>
    </row>
    <row r="169" spans="1:12" outlineLevel="1" x14ac:dyDescent="0.25">
      <c r="A169" t="s">
        <v>76</v>
      </c>
      <c r="C169" s="2" t="s">
        <v>103</v>
      </c>
      <c r="D169" t="s">
        <v>84</v>
      </c>
      <c r="F169" t="str">
        <f t="shared" ref="F169" si="121">_xlfn.CONCAT("FretRout",LEFT(C169,3),RIGHT(C169,2),"CritAir")</f>
        <v>FretRoutCat15CritAir</v>
      </c>
      <c r="G169" t="s">
        <v>36</v>
      </c>
      <c r="H169">
        <v>1</v>
      </c>
      <c r="I169" s="2"/>
      <c r="J169" t="s">
        <v>1453</v>
      </c>
      <c r="L169" s="4" t="str">
        <f t="shared" si="115"/>
        <v>E</v>
      </c>
    </row>
    <row r="170" spans="1:12" outlineLevel="1" x14ac:dyDescent="0.25">
      <c r="A170" t="s">
        <v>76</v>
      </c>
      <c r="C170" s="2" t="s">
        <v>103</v>
      </c>
      <c r="D170" t="s">
        <v>85</v>
      </c>
      <c r="F170" t="str">
        <f t="shared" ref="F170" si="122">_xlfn.CONCAT("FretRout",LEFT(C170,3),RIGHT(C170,2),"Nb")</f>
        <v>FretRoutCat15Nb</v>
      </c>
      <c r="G170" t="s">
        <v>17</v>
      </c>
      <c r="H170">
        <v>1</v>
      </c>
      <c r="K170" t="s">
        <v>86</v>
      </c>
      <c r="L170">
        <v>0</v>
      </c>
    </row>
    <row r="171" spans="1:12" outlineLevel="1" x14ac:dyDescent="0.25">
      <c r="A171" t="s">
        <v>76</v>
      </c>
      <c r="C171" s="2" t="s">
        <v>103</v>
      </c>
      <c r="D171" t="s">
        <v>87</v>
      </c>
      <c r="F171" t="str">
        <f t="shared" ref="F171" si="123">_xlfn.CONCAT("FretRout",LEFT(C171,3),RIGHT(C171,2),"Dist")</f>
        <v>FretRoutCat15Dist</v>
      </c>
      <c r="G171" t="s">
        <v>17</v>
      </c>
      <c r="H171">
        <v>1</v>
      </c>
      <c r="I171" s="2"/>
      <c r="K171" t="s">
        <v>88</v>
      </c>
      <c r="L171">
        <v>12015</v>
      </c>
    </row>
    <row r="172" spans="1:12" outlineLevel="1" x14ac:dyDescent="0.25">
      <c r="A172" t="s">
        <v>76</v>
      </c>
      <c r="C172" s="2" t="s">
        <v>103</v>
      </c>
      <c r="D172" s="2" t="s">
        <v>89</v>
      </c>
      <c r="F172" t="str">
        <f t="shared" ref="F172" si="124">_xlfn.CONCAT("FretRout",LEFT(C172,3),RIGHT(C172,2),"Rempl")</f>
        <v>FretRoutCat15Rempl</v>
      </c>
      <c r="G172" t="s">
        <v>17</v>
      </c>
      <c r="H172">
        <v>1</v>
      </c>
      <c r="I172" s="3"/>
      <c r="K172" t="s">
        <v>70</v>
      </c>
      <c r="L172">
        <v>0</v>
      </c>
    </row>
    <row r="173" spans="1:12" outlineLevel="1" x14ac:dyDescent="0.25">
      <c r="A173" t="s">
        <v>76</v>
      </c>
      <c r="C173" s="2" t="s">
        <v>104</v>
      </c>
      <c r="D173" t="s">
        <v>78</v>
      </c>
      <c r="F173" t="str">
        <f t="shared" ref="F173" si="125">_xlfn.CONCAT("FretRout",LEFT(C173,3),RIGHT(C173,2),"Nom")</f>
        <v>FretRoutCat16Nom</v>
      </c>
      <c r="G173" t="s">
        <v>20</v>
      </c>
      <c r="H173">
        <v>1</v>
      </c>
      <c r="I173" s="4"/>
      <c r="J173" s="4" t="s">
        <v>401</v>
      </c>
      <c r="L173" s="4" t="str">
        <f t="shared" ref="L173:L179" si="126">J173</f>
        <v>PL Diesel &lt;=7.5t (Crit'Air 2)</v>
      </c>
    </row>
    <row r="174" spans="1:12" outlineLevel="1" x14ac:dyDescent="0.25">
      <c r="A174" t="s">
        <v>76</v>
      </c>
      <c r="C174" s="2" t="s">
        <v>104</v>
      </c>
      <c r="D174" t="s">
        <v>79</v>
      </c>
      <c r="F174" t="str">
        <f t="shared" ref="F174" si="127">_xlfn.CONCAT("FretRout",LEFT(C174,3),RIGHT(C174,2),"Type")</f>
        <v>FretRoutCat16Type</v>
      </c>
      <c r="G174" t="s">
        <v>20</v>
      </c>
      <c r="H174">
        <v>1</v>
      </c>
      <c r="J174" t="s">
        <v>1771</v>
      </c>
      <c r="L174" s="4" t="str">
        <f t="shared" si="126"/>
        <v>PL</v>
      </c>
    </row>
    <row r="175" spans="1:12" outlineLevel="1" x14ac:dyDescent="0.25">
      <c r="A175" t="s">
        <v>76</v>
      </c>
      <c r="C175" s="2" t="s">
        <v>104</v>
      </c>
      <c r="D175" t="s">
        <v>80</v>
      </c>
      <c r="F175" t="str">
        <f t="shared" ref="F175" si="128">_xlfn.CONCAT("FretRout",LEFT(C175,3),RIGHT(C175,2),"PTAC")</f>
        <v>FretRoutCat16PTAC</v>
      </c>
      <c r="G175" t="s">
        <v>36</v>
      </c>
      <c r="H175">
        <v>1</v>
      </c>
      <c r="J175" t="s">
        <v>1457</v>
      </c>
      <c r="L175" s="4" t="str">
        <f t="shared" si="126"/>
        <v>&lt;=7.5t</v>
      </c>
    </row>
    <row r="176" spans="1:12" outlineLevel="1" x14ac:dyDescent="0.25">
      <c r="A176" t="s">
        <v>76</v>
      </c>
      <c r="C176" s="2" t="s">
        <v>104</v>
      </c>
      <c r="D176" t="s">
        <v>81</v>
      </c>
      <c r="F176" t="str">
        <f t="shared" ref="F176" si="129">_xlfn.CONCAT("FretRout",LEFT(C176,3),RIGHT(C176,2),"Mot")</f>
        <v>FretRoutCat16Mot</v>
      </c>
      <c r="G176" t="s">
        <v>36</v>
      </c>
      <c r="H176">
        <v>1</v>
      </c>
      <c r="I176" s="2"/>
      <c r="J176" t="s">
        <v>138</v>
      </c>
      <c r="L176" s="4" t="str">
        <f t="shared" si="126"/>
        <v>Diesel</v>
      </c>
    </row>
    <row r="177" spans="1:12" outlineLevel="1" x14ac:dyDescent="0.25">
      <c r="A177" t="s">
        <v>76</v>
      </c>
      <c r="C177" s="2" t="s">
        <v>104</v>
      </c>
      <c r="D177" t="s">
        <v>82</v>
      </c>
      <c r="F177" t="str">
        <f t="shared" ref="F177" si="130">_xlfn.CONCAT("FretRout",LEFT(C177,3),RIGHT(C177,2),"Carb")</f>
        <v>FretRoutCat16Carb</v>
      </c>
      <c r="G177" t="s">
        <v>36</v>
      </c>
      <c r="H177">
        <v>1</v>
      </c>
      <c r="J177" t="s">
        <v>1449</v>
      </c>
      <c r="L177" s="4" t="str">
        <f t="shared" si="126"/>
        <v>Gazole à la pompe</v>
      </c>
    </row>
    <row r="178" spans="1:12" outlineLevel="1" x14ac:dyDescent="0.25">
      <c r="A178" t="s">
        <v>76</v>
      </c>
      <c r="C178" s="2" t="s">
        <v>104</v>
      </c>
      <c r="D178" t="s">
        <v>83</v>
      </c>
      <c r="F178" t="str">
        <f t="shared" ref="F178" si="131">_xlfn.CONCAT("FretRout",LEFT(C178,3),RIGHT(C178,2),"Euro")</f>
        <v>FretRoutCat16Euro</v>
      </c>
      <c r="G178" t="s">
        <v>36</v>
      </c>
      <c r="H178">
        <v>1</v>
      </c>
      <c r="J178">
        <v>0</v>
      </c>
      <c r="L178" s="4">
        <f t="shared" si="126"/>
        <v>0</v>
      </c>
    </row>
    <row r="179" spans="1:12" outlineLevel="1" x14ac:dyDescent="0.25">
      <c r="A179" t="s">
        <v>76</v>
      </c>
      <c r="C179" s="2" t="s">
        <v>104</v>
      </c>
      <c r="D179" t="s">
        <v>84</v>
      </c>
      <c r="F179" t="str">
        <f t="shared" ref="F179" si="132">_xlfn.CONCAT("FretRout",LEFT(C179,3),RIGHT(C179,2),"CritAir")</f>
        <v>FretRoutCat16CritAir</v>
      </c>
      <c r="G179" t="s">
        <v>36</v>
      </c>
      <c r="H179">
        <v>1</v>
      </c>
      <c r="I179" s="2"/>
      <c r="J179">
        <v>2</v>
      </c>
      <c r="L179" s="4">
        <f t="shared" si="126"/>
        <v>2</v>
      </c>
    </row>
    <row r="180" spans="1:12" outlineLevel="1" x14ac:dyDescent="0.25">
      <c r="A180" t="s">
        <v>76</v>
      </c>
      <c r="C180" s="2" t="s">
        <v>104</v>
      </c>
      <c r="D180" t="s">
        <v>85</v>
      </c>
      <c r="F180" t="str">
        <f t="shared" ref="F180" si="133">_xlfn.CONCAT("FretRout",LEFT(C180,3),RIGHT(C180,2),"Nb")</f>
        <v>FretRoutCat16Nb</v>
      </c>
      <c r="G180" t="s">
        <v>17</v>
      </c>
      <c r="H180">
        <v>1</v>
      </c>
      <c r="K180" t="s">
        <v>86</v>
      </c>
      <c r="L180">
        <v>0</v>
      </c>
    </row>
    <row r="181" spans="1:12" outlineLevel="1" x14ac:dyDescent="0.25">
      <c r="A181" t="s">
        <v>76</v>
      </c>
      <c r="C181" s="2" t="s">
        <v>104</v>
      </c>
      <c r="D181" t="s">
        <v>87</v>
      </c>
      <c r="F181" t="str">
        <f t="shared" ref="F181" si="134">_xlfn.CONCAT("FretRout",LEFT(C181,3),RIGHT(C181,2),"Dist")</f>
        <v>FretRoutCat16Dist</v>
      </c>
      <c r="G181" t="s">
        <v>17</v>
      </c>
      <c r="H181">
        <v>1</v>
      </c>
      <c r="I181" s="2"/>
      <c r="K181" t="s">
        <v>88</v>
      </c>
      <c r="L181">
        <v>42385.998762263436</v>
      </c>
    </row>
    <row r="182" spans="1:12" outlineLevel="1" x14ac:dyDescent="0.25">
      <c r="A182" t="s">
        <v>76</v>
      </c>
      <c r="C182" s="2" t="s">
        <v>104</v>
      </c>
      <c r="D182" s="2" t="s">
        <v>89</v>
      </c>
      <c r="F182" t="str">
        <f t="shared" ref="F182" si="135">_xlfn.CONCAT("FretRout",LEFT(C182,3),RIGHT(C182,2),"Rempl")</f>
        <v>FretRoutCat16Rempl</v>
      </c>
      <c r="G182" t="s">
        <v>17</v>
      </c>
      <c r="H182">
        <v>1</v>
      </c>
      <c r="I182" s="3"/>
      <c r="K182" t="s">
        <v>70</v>
      </c>
      <c r="L182">
        <v>0</v>
      </c>
    </row>
    <row r="183" spans="1:12" outlineLevel="1" x14ac:dyDescent="0.25">
      <c r="A183" t="s">
        <v>76</v>
      </c>
      <c r="C183" s="2" t="s">
        <v>105</v>
      </c>
      <c r="D183" t="s">
        <v>78</v>
      </c>
      <c r="F183" t="str">
        <f t="shared" ref="F183" si="136">_xlfn.CONCAT("FretRout",LEFT(C183,3),RIGHT(C183,2),"Nom")</f>
        <v>FretRoutCat17Nom</v>
      </c>
      <c r="G183" t="s">
        <v>20</v>
      </c>
      <c r="H183">
        <v>1</v>
      </c>
      <c r="I183" s="4"/>
      <c r="J183" s="4" t="s">
        <v>402</v>
      </c>
      <c r="L183" s="4" t="str">
        <f t="shared" ref="L183:L189" si="137">J183</f>
        <v>PL Diesel &lt;=7.5t (Crit'Air 3)</v>
      </c>
    </row>
    <row r="184" spans="1:12" outlineLevel="1" x14ac:dyDescent="0.25">
      <c r="A184" t="s">
        <v>76</v>
      </c>
      <c r="C184" s="2" t="s">
        <v>105</v>
      </c>
      <c r="D184" t="s">
        <v>79</v>
      </c>
      <c r="F184" t="str">
        <f t="shared" ref="F184" si="138">_xlfn.CONCAT("FretRout",LEFT(C184,3),RIGHT(C184,2),"Type")</f>
        <v>FretRoutCat17Type</v>
      </c>
      <c r="G184" t="s">
        <v>20</v>
      </c>
      <c r="H184">
        <v>1</v>
      </c>
      <c r="J184" t="s">
        <v>1771</v>
      </c>
      <c r="L184" s="4" t="str">
        <f t="shared" si="137"/>
        <v>PL</v>
      </c>
    </row>
    <row r="185" spans="1:12" outlineLevel="1" x14ac:dyDescent="0.25">
      <c r="A185" t="s">
        <v>76</v>
      </c>
      <c r="C185" s="2" t="s">
        <v>105</v>
      </c>
      <c r="D185" t="s">
        <v>80</v>
      </c>
      <c r="F185" t="str">
        <f t="shared" ref="F185" si="139">_xlfn.CONCAT("FretRout",LEFT(C185,3),RIGHT(C185,2),"PTAC")</f>
        <v>FretRoutCat17PTAC</v>
      </c>
      <c r="G185" t="s">
        <v>36</v>
      </c>
      <c r="H185">
        <v>1</v>
      </c>
      <c r="J185" t="s">
        <v>1457</v>
      </c>
      <c r="L185" s="4" t="str">
        <f t="shared" si="137"/>
        <v>&lt;=7.5t</v>
      </c>
    </row>
    <row r="186" spans="1:12" outlineLevel="1" x14ac:dyDescent="0.25">
      <c r="A186" t="s">
        <v>76</v>
      </c>
      <c r="C186" s="2" t="s">
        <v>105</v>
      </c>
      <c r="D186" t="s">
        <v>81</v>
      </c>
      <c r="F186" t="str">
        <f t="shared" ref="F186" si="140">_xlfn.CONCAT("FretRout",LEFT(C186,3),RIGHT(C186,2),"Mot")</f>
        <v>FretRoutCat17Mot</v>
      </c>
      <c r="G186" t="s">
        <v>36</v>
      </c>
      <c r="H186">
        <v>1</v>
      </c>
      <c r="I186" s="2"/>
      <c r="J186" t="s">
        <v>138</v>
      </c>
      <c r="L186" s="4" t="str">
        <f t="shared" si="137"/>
        <v>Diesel</v>
      </c>
    </row>
    <row r="187" spans="1:12" outlineLevel="1" x14ac:dyDescent="0.25">
      <c r="A187" t="s">
        <v>76</v>
      </c>
      <c r="C187" s="2" t="s">
        <v>105</v>
      </c>
      <c r="D187" t="s">
        <v>82</v>
      </c>
      <c r="F187" t="str">
        <f t="shared" ref="F187" si="141">_xlfn.CONCAT("FretRout",LEFT(C187,3),RIGHT(C187,2),"Carb")</f>
        <v>FretRoutCat17Carb</v>
      </c>
      <c r="G187" t="s">
        <v>36</v>
      </c>
      <c r="H187">
        <v>1</v>
      </c>
      <c r="J187" t="s">
        <v>1449</v>
      </c>
      <c r="L187" s="4" t="str">
        <f t="shared" si="137"/>
        <v>Gazole à la pompe</v>
      </c>
    </row>
    <row r="188" spans="1:12" outlineLevel="1" x14ac:dyDescent="0.25">
      <c r="A188" t="s">
        <v>76</v>
      </c>
      <c r="C188" s="2" t="s">
        <v>105</v>
      </c>
      <c r="D188" t="s">
        <v>83</v>
      </c>
      <c r="F188" t="str">
        <f t="shared" ref="F188" si="142">_xlfn.CONCAT("FretRout",LEFT(C188,3),RIGHT(C188,2),"Euro")</f>
        <v>FretRoutCat17Euro</v>
      </c>
      <c r="G188" t="s">
        <v>36</v>
      </c>
      <c r="H188">
        <v>1</v>
      </c>
      <c r="J188">
        <v>0</v>
      </c>
      <c r="L188" s="4">
        <f t="shared" si="137"/>
        <v>0</v>
      </c>
    </row>
    <row r="189" spans="1:12" outlineLevel="1" x14ac:dyDescent="0.25">
      <c r="A189" t="s">
        <v>76</v>
      </c>
      <c r="C189" s="2" t="s">
        <v>105</v>
      </c>
      <c r="D189" t="s">
        <v>84</v>
      </c>
      <c r="F189" t="str">
        <f t="shared" ref="F189" si="143">_xlfn.CONCAT("FretRout",LEFT(C189,3),RIGHT(C189,2),"CritAir")</f>
        <v>FretRoutCat17CritAir</v>
      </c>
      <c r="G189" t="s">
        <v>36</v>
      </c>
      <c r="H189">
        <v>1</v>
      </c>
      <c r="I189" s="2"/>
      <c r="J189">
        <v>3</v>
      </c>
      <c r="L189" s="4">
        <f t="shared" si="137"/>
        <v>3</v>
      </c>
    </row>
    <row r="190" spans="1:12" outlineLevel="1" x14ac:dyDescent="0.25">
      <c r="A190" t="s">
        <v>76</v>
      </c>
      <c r="C190" s="2" t="s">
        <v>105</v>
      </c>
      <c r="D190" t="s">
        <v>85</v>
      </c>
      <c r="F190" t="str">
        <f t="shared" ref="F190" si="144">_xlfn.CONCAT("FretRout",LEFT(C190,3),RIGHT(C190,2),"Nb")</f>
        <v>FretRoutCat17Nb</v>
      </c>
      <c r="G190" t="s">
        <v>17</v>
      </c>
      <c r="H190">
        <v>1</v>
      </c>
      <c r="K190" t="s">
        <v>86</v>
      </c>
      <c r="L190">
        <v>0</v>
      </c>
    </row>
    <row r="191" spans="1:12" outlineLevel="1" x14ac:dyDescent="0.25">
      <c r="A191" t="s">
        <v>76</v>
      </c>
      <c r="C191" s="2" t="s">
        <v>105</v>
      </c>
      <c r="D191" t="s">
        <v>87</v>
      </c>
      <c r="F191" t="str">
        <f t="shared" ref="F191" si="145">_xlfn.CONCAT("FretRout",LEFT(C191,3),RIGHT(C191,2),"Dist")</f>
        <v>FretRoutCat17Dist</v>
      </c>
      <c r="G191" t="s">
        <v>17</v>
      </c>
      <c r="H191">
        <v>1</v>
      </c>
      <c r="I191" s="2"/>
      <c r="K191" t="s">
        <v>88</v>
      </c>
      <c r="L191">
        <v>42385.998762263436</v>
      </c>
    </row>
    <row r="192" spans="1:12" outlineLevel="1" x14ac:dyDescent="0.25">
      <c r="A192" t="s">
        <v>76</v>
      </c>
      <c r="C192" s="2" t="s">
        <v>105</v>
      </c>
      <c r="D192" s="2" t="s">
        <v>89</v>
      </c>
      <c r="F192" t="str">
        <f t="shared" ref="F192" si="146">_xlfn.CONCAT("FretRout",LEFT(C192,3),RIGHT(C192,2),"Rempl")</f>
        <v>FretRoutCat17Rempl</v>
      </c>
      <c r="G192" t="s">
        <v>17</v>
      </c>
      <c r="H192">
        <v>1</v>
      </c>
      <c r="I192" s="3"/>
      <c r="K192" t="s">
        <v>70</v>
      </c>
      <c r="L192">
        <v>0</v>
      </c>
    </row>
    <row r="193" spans="1:12" outlineLevel="1" x14ac:dyDescent="0.25">
      <c r="A193" t="s">
        <v>76</v>
      </c>
      <c r="C193" s="2" t="s">
        <v>106</v>
      </c>
      <c r="D193" t="s">
        <v>78</v>
      </c>
      <c r="F193" t="str">
        <f t="shared" ref="F193" si="147">_xlfn.CONCAT("FretRout",LEFT(C193,3),RIGHT(C193,2),"Nom")</f>
        <v>FretRoutCat18Nom</v>
      </c>
      <c r="G193" t="s">
        <v>20</v>
      </c>
      <c r="H193">
        <v>1</v>
      </c>
      <c r="I193" s="4"/>
      <c r="J193" s="4" t="s">
        <v>403</v>
      </c>
      <c r="L193" s="4" t="str">
        <f t="shared" ref="L193:L199" si="148">J193</f>
        <v>PL Diesel &lt;=7.5t (Crit'Air 4)</v>
      </c>
    </row>
    <row r="194" spans="1:12" outlineLevel="1" x14ac:dyDescent="0.25">
      <c r="A194" t="s">
        <v>76</v>
      </c>
      <c r="C194" s="2" t="s">
        <v>106</v>
      </c>
      <c r="D194" t="s">
        <v>79</v>
      </c>
      <c r="F194" t="str">
        <f t="shared" ref="F194" si="149">_xlfn.CONCAT("FretRout",LEFT(C194,3),RIGHT(C194,2),"Type")</f>
        <v>FretRoutCat18Type</v>
      </c>
      <c r="G194" t="s">
        <v>20</v>
      </c>
      <c r="H194">
        <v>1</v>
      </c>
      <c r="J194" t="s">
        <v>1771</v>
      </c>
      <c r="L194" s="4" t="str">
        <f t="shared" si="148"/>
        <v>PL</v>
      </c>
    </row>
    <row r="195" spans="1:12" outlineLevel="1" x14ac:dyDescent="0.25">
      <c r="A195" t="s">
        <v>76</v>
      </c>
      <c r="C195" s="2" t="s">
        <v>106</v>
      </c>
      <c r="D195" t="s">
        <v>80</v>
      </c>
      <c r="F195" t="str">
        <f t="shared" ref="F195" si="150">_xlfn.CONCAT("FretRout",LEFT(C195,3),RIGHT(C195,2),"PTAC")</f>
        <v>FretRoutCat18PTAC</v>
      </c>
      <c r="G195" t="s">
        <v>36</v>
      </c>
      <c r="H195">
        <v>1</v>
      </c>
      <c r="J195" t="s">
        <v>1457</v>
      </c>
      <c r="L195" s="4" t="str">
        <f t="shared" si="148"/>
        <v>&lt;=7.5t</v>
      </c>
    </row>
    <row r="196" spans="1:12" outlineLevel="1" x14ac:dyDescent="0.25">
      <c r="A196" t="s">
        <v>76</v>
      </c>
      <c r="C196" s="2" t="s">
        <v>106</v>
      </c>
      <c r="D196" t="s">
        <v>81</v>
      </c>
      <c r="F196" t="str">
        <f t="shared" ref="F196" si="151">_xlfn.CONCAT("FretRout",LEFT(C196,3),RIGHT(C196,2),"Mot")</f>
        <v>FretRoutCat18Mot</v>
      </c>
      <c r="G196" t="s">
        <v>36</v>
      </c>
      <c r="H196">
        <v>1</v>
      </c>
      <c r="I196" s="2"/>
      <c r="J196" t="s">
        <v>138</v>
      </c>
      <c r="L196" s="4" t="str">
        <f t="shared" si="148"/>
        <v>Diesel</v>
      </c>
    </row>
    <row r="197" spans="1:12" outlineLevel="1" x14ac:dyDescent="0.25">
      <c r="A197" t="s">
        <v>76</v>
      </c>
      <c r="C197" s="2" t="s">
        <v>106</v>
      </c>
      <c r="D197" t="s">
        <v>82</v>
      </c>
      <c r="F197" t="str">
        <f t="shared" ref="F197" si="152">_xlfn.CONCAT("FretRout",LEFT(C197,3),RIGHT(C197,2),"Carb")</f>
        <v>FretRoutCat18Carb</v>
      </c>
      <c r="G197" t="s">
        <v>36</v>
      </c>
      <c r="H197">
        <v>1</v>
      </c>
      <c r="J197" t="s">
        <v>1449</v>
      </c>
      <c r="L197" s="4" t="str">
        <f t="shared" si="148"/>
        <v>Gazole à la pompe</v>
      </c>
    </row>
    <row r="198" spans="1:12" outlineLevel="1" x14ac:dyDescent="0.25">
      <c r="A198" t="s">
        <v>76</v>
      </c>
      <c r="C198" s="2" t="s">
        <v>106</v>
      </c>
      <c r="D198" t="s">
        <v>83</v>
      </c>
      <c r="F198" t="str">
        <f t="shared" ref="F198" si="153">_xlfn.CONCAT("FretRout",LEFT(C198,3),RIGHT(C198,2),"Euro")</f>
        <v>FretRoutCat18Euro</v>
      </c>
      <c r="G198" t="s">
        <v>36</v>
      </c>
      <c r="H198">
        <v>1</v>
      </c>
      <c r="J198">
        <v>0</v>
      </c>
      <c r="L198" s="4">
        <f t="shared" si="148"/>
        <v>0</v>
      </c>
    </row>
    <row r="199" spans="1:12" outlineLevel="1" x14ac:dyDescent="0.25">
      <c r="A199" t="s">
        <v>76</v>
      </c>
      <c r="C199" s="2" t="s">
        <v>106</v>
      </c>
      <c r="D199" t="s">
        <v>84</v>
      </c>
      <c r="F199" t="str">
        <f t="shared" ref="F199" si="154">_xlfn.CONCAT("FretRout",LEFT(C199,3),RIGHT(C199,2),"CritAir")</f>
        <v>FretRoutCat18CritAir</v>
      </c>
      <c r="G199" t="s">
        <v>36</v>
      </c>
      <c r="H199">
        <v>1</v>
      </c>
      <c r="I199" s="2"/>
      <c r="J199">
        <v>4</v>
      </c>
      <c r="L199" s="4">
        <f t="shared" si="148"/>
        <v>4</v>
      </c>
    </row>
    <row r="200" spans="1:12" outlineLevel="1" x14ac:dyDescent="0.25">
      <c r="A200" t="s">
        <v>76</v>
      </c>
      <c r="C200" s="2" t="s">
        <v>106</v>
      </c>
      <c r="D200" t="s">
        <v>85</v>
      </c>
      <c r="F200" t="str">
        <f t="shared" ref="F200" si="155">_xlfn.CONCAT("FretRout",LEFT(C200,3),RIGHT(C200,2),"Nb")</f>
        <v>FretRoutCat18Nb</v>
      </c>
      <c r="G200" t="s">
        <v>17</v>
      </c>
      <c r="H200">
        <v>1</v>
      </c>
      <c r="K200" t="s">
        <v>86</v>
      </c>
      <c r="L200">
        <v>0</v>
      </c>
    </row>
    <row r="201" spans="1:12" outlineLevel="1" x14ac:dyDescent="0.25">
      <c r="A201" t="s">
        <v>76</v>
      </c>
      <c r="C201" s="2" t="s">
        <v>106</v>
      </c>
      <c r="D201" t="s">
        <v>87</v>
      </c>
      <c r="F201" t="str">
        <f t="shared" ref="F201" si="156">_xlfn.CONCAT("FretRout",LEFT(C201,3),RIGHT(C201,2),"Dist")</f>
        <v>FretRoutCat18Dist</v>
      </c>
      <c r="G201" t="s">
        <v>17</v>
      </c>
      <c r="H201">
        <v>1</v>
      </c>
      <c r="I201" s="2"/>
      <c r="K201" t="s">
        <v>88</v>
      </c>
      <c r="L201">
        <v>42385.998762263436</v>
      </c>
    </row>
    <row r="202" spans="1:12" outlineLevel="1" x14ac:dyDescent="0.25">
      <c r="A202" t="s">
        <v>76</v>
      </c>
      <c r="C202" s="2" t="s">
        <v>106</v>
      </c>
      <c r="D202" s="2" t="s">
        <v>89</v>
      </c>
      <c r="F202" t="str">
        <f t="shared" ref="F202" si="157">_xlfn.CONCAT("FretRout",LEFT(C202,3),RIGHT(C202,2),"Rempl")</f>
        <v>FretRoutCat18Rempl</v>
      </c>
      <c r="G202" t="s">
        <v>17</v>
      </c>
      <c r="H202">
        <v>1</v>
      </c>
      <c r="I202" s="3"/>
      <c r="K202" t="s">
        <v>70</v>
      </c>
      <c r="L202">
        <v>0</v>
      </c>
    </row>
    <row r="203" spans="1:12" outlineLevel="1" x14ac:dyDescent="0.25">
      <c r="A203" t="s">
        <v>76</v>
      </c>
      <c r="C203" s="2" t="s">
        <v>107</v>
      </c>
      <c r="D203" t="s">
        <v>78</v>
      </c>
      <c r="F203" t="str">
        <f t="shared" ref="F203" si="158">_xlfn.CONCAT("FretRout",LEFT(C203,3),RIGHT(C203,2),"Nom")</f>
        <v>FretRoutCat19Nom</v>
      </c>
      <c r="G203" t="s">
        <v>20</v>
      </c>
      <c r="H203">
        <v>1</v>
      </c>
      <c r="I203" s="4"/>
      <c r="J203" s="4" t="s">
        <v>404</v>
      </c>
      <c r="L203" s="4" t="str">
        <f t="shared" ref="L203:L209" si="159">J203</f>
        <v>PL Diesel &lt;=7.5t (Crit'Air 5)</v>
      </c>
    </row>
    <row r="204" spans="1:12" outlineLevel="1" x14ac:dyDescent="0.25">
      <c r="A204" t="s">
        <v>76</v>
      </c>
      <c r="C204" s="2" t="s">
        <v>107</v>
      </c>
      <c r="D204" t="s">
        <v>79</v>
      </c>
      <c r="F204" t="str">
        <f t="shared" ref="F204" si="160">_xlfn.CONCAT("FretRout",LEFT(C204,3),RIGHT(C204,2),"Type")</f>
        <v>FretRoutCat19Type</v>
      </c>
      <c r="G204" t="s">
        <v>20</v>
      </c>
      <c r="H204">
        <v>1</v>
      </c>
      <c r="J204" t="s">
        <v>1771</v>
      </c>
      <c r="L204" s="4" t="str">
        <f t="shared" si="159"/>
        <v>PL</v>
      </c>
    </row>
    <row r="205" spans="1:12" outlineLevel="1" x14ac:dyDescent="0.25">
      <c r="A205" t="s">
        <v>76</v>
      </c>
      <c r="C205" s="2" t="s">
        <v>107</v>
      </c>
      <c r="D205" t="s">
        <v>80</v>
      </c>
      <c r="F205" t="str">
        <f t="shared" ref="F205" si="161">_xlfn.CONCAT("FretRout",LEFT(C205,3),RIGHT(C205,2),"PTAC")</f>
        <v>FretRoutCat19PTAC</v>
      </c>
      <c r="G205" t="s">
        <v>36</v>
      </c>
      <c r="H205">
        <v>1</v>
      </c>
      <c r="J205" t="s">
        <v>1457</v>
      </c>
      <c r="L205" s="4" t="str">
        <f t="shared" si="159"/>
        <v>&lt;=7.5t</v>
      </c>
    </row>
    <row r="206" spans="1:12" outlineLevel="1" x14ac:dyDescent="0.25">
      <c r="A206" t="s">
        <v>76</v>
      </c>
      <c r="C206" s="2" t="s">
        <v>107</v>
      </c>
      <c r="D206" t="s">
        <v>81</v>
      </c>
      <c r="F206" t="str">
        <f t="shared" ref="F206" si="162">_xlfn.CONCAT("FretRout",LEFT(C206,3),RIGHT(C206,2),"Mot")</f>
        <v>FretRoutCat19Mot</v>
      </c>
      <c r="G206" t="s">
        <v>36</v>
      </c>
      <c r="H206">
        <v>1</v>
      </c>
      <c r="I206" s="2"/>
      <c r="J206" t="s">
        <v>138</v>
      </c>
      <c r="L206" s="4" t="str">
        <f t="shared" si="159"/>
        <v>Diesel</v>
      </c>
    </row>
    <row r="207" spans="1:12" outlineLevel="1" x14ac:dyDescent="0.25">
      <c r="A207" t="s">
        <v>76</v>
      </c>
      <c r="C207" s="2" t="s">
        <v>107</v>
      </c>
      <c r="D207" t="s">
        <v>82</v>
      </c>
      <c r="F207" t="str">
        <f t="shared" ref="F207" si="163">_xlfn.CONCAT("FretRout",LEFT(C207,3),RIGHT(C207,2),"Carb")</f>
        <v>FretRoutCat19Carb</v>
      </c>
      <c r="G207" t="s">
        <v>36</v>
      </c>
      <c r="H207">
        <v>1</v>
      </c>
      <c r="J207" t="s">
        <v>1449</v>
      </c>
      <c r="L207" s="4" t="str">
        <f t="shared" si="159"/>
        <v>Gazole à la pompe</v>
      </c>
    </row>
    <row r="208" spans="1:12" outlineLevel="1" x14ac:dyDescent="0.25">
      <c r="A208" t="s">
        <v>76</v>
      </c>
      <c r="C208" s="2" t="s">
        <v>107</v>
      </c>
      <c r="D208" t="s">
        <v>83</v>
      </c>
      <c r="F208" t="str">
        <f t="shared" ref="F208" si="164">_xlfn.CONCAT("FretRout",LEFT(C208,3),RIGHT(C208,2),"Euro")</f>
        <v>FretRoutCat19Euro</v>
      </c>
      <c r="G208" t="s">
        <v>36</v>
      </c>
      <c r="H208">
        <v>1</v>
      </c>
      <c r="J208">
        <v>0</v>
      </c>
      <c r="L208" s="4">
        <f t="shared" si="159"/>
        <v>0</v>
      </c>
    </row>
    <row r="209" spans="1:12" outlineLevel="1" x14ac:dyDescent="0.25">
      <c r="A209" t="s">
        <v>76</v>
      </c>
      <c r="C209" s="2" t="s">
        <v>107</v>
      </c>
      <c r="D209" t="s">
        <v>84</v>
      </c>
      <c r="F209" t="str">
        <f t="shared" ref="F209" si="165">_xlfn.CONCAT("FretRout",LEFT(C209,3),RIGHT(C209,2),"CritAir")</f>
        <v>FretRoutCat19CritAir</v>
      </c>
      <c r="G209" t="s">
        <v>36</v>
      </c>
      <c r="H209">
        <v>1</v>
      </c>
      <c r="I209" s="2"/>
      <c r="J209">
        <v>5</v>
      </c>
      <c r="L209" s="4">
        <f t="shared" si="159"/>
        <v>5</v>
      </c>
    </row>
    <row r="210" spans="1:12" outlineLevel="1" x14ac:dyDescent="0.25">
      <c r="A210" t="s">
        <v>76</v>
      </c>
      <c r="C210" s="2" t="s">
        <v>107</v>
      </c>
      <c r="D210" t="s">
        <v>85</v>
      </c>
      <c r="F210" t="str">
        <f t="shared" ref="F210" si="166">_xlfn.CONCAT("FretRout",LEFT(C210,3),RIGHT(C210,2),"Nb")</f>
        <v>FretRoutCat19Nb</v>
      </c>
      <c r="G210" t="s">
        <v>17</v>
      </c>
      <c r="H210">
        <v>1</v>
      </c>
      <c r="K210" t="s">
        <v>86</v>
      </c>
      <c r="L210">
        <v>0</v>
      </c>
    </row>
    <row r="211" spans="1:12" outlineLevel="1" x14ac:dyDescent="0.25">
      <c r="A211" t="s">
        <v>76</v>
      </c>
      <c r="C211" s="2" t="s">
        <v>107</v>
      </c>
      <c r="D211" t="s">
        <v>87</v>
      </c>
      <c r="F211" t="str">
        <f t="shared" ref="F211" si="167">_xlfn.CONCAT("FretRout",LEFT(C211,3),RIGHT(C211,2),"Dist")</f>
        <v>FretRoutCat19Dist</v>
      </c>
      <c r="G211" t="s">
        <v>17</v>
      </c>
      <c r="H211">
        <v>1</v>
      </c>
      <c r="I211" s="2"/>
      <c r="K211" t="s">
        <v>88</v>
      </c>
      <c r="L211">
        <v>42385.998762263436</v>
      </c>
    </row>
    <row r="212" spans="1:12" outlineLevel="1" x14ac:dyDescent="0.25">
      <c r="A212" t="s">
        <v>76</v>
      </c>
      <c r="C212" s="2" t="s">
        <v>107</v>
      </c>
      <c r="D212" s="2" t="s">
        <v>89</v>
      </c>
      <c r="F212" t="str">
        <f t="shared" ref="F212" si="168">_xlfn.CONCAT("FretRout",LEFT(C212,3),RIGHT(C212,2),"Rempl")</f>
        <v>FretRoutCat19Rempl</v>
      </c>
      <c r="G212" t="s">
        <v>17</v>
      </c>
      <c r="H212">
        <v>1</v>
      </c>
      <c r="I212" s="3"/>
      <c r="K212" t="s">
        <v>70</v>
      </c>
      <c r="L212">
        <v>0</v>
      </c>
    </row>
    <row r="213" spans="1:12" outlineLevel="1" x14ac:dyDescent="0.25">
      <c r="A213" t="s">
        <v>76</v>
      </c>
      <c r="C213" s="2" t="s">
        <v>108</v>
      </c>
      <c r="D213" t="s">
        <v>78</v>
      </c>
      <c r="F213" t="str">
        <f t="shared" ref="F213" si="169">_xlfn.CONCAT("FretRout",LEFT(C213,3),RIGHT(C213,2),"Nom")</f>
        <v>FretRoutCat20Nom</v>
      </c>
      <c r="G213" t="s">
        <v>20</v>
      </c>
      <c r="H213">
        <v>1</v>
      </c>
      <c r="I213" s="4"/>
      <c r="J213" s="4" t="s">
        <v>405</v>
      </c>
      <c r="L213" s="4" t="str">
        <f t="shared" ref="L213:L219" si="170">J213</f>
        <v>PL Diesel &gt;7.5-12t (Crit'Air 2)</v>
      </c>
    </row>
    <row r="214" spans="1:12" outlineLevel="1" x14ac:dyDescent="0.25">
      <c r="A214" t="s">
        <v>76</v>
      </c>
      <c r="C214" s="2" t="s">
        <v>108</v>
      </c>
      <c r="D214" t="s">
        <v>79</v>
      </c>
      <c r="F214" t="str">
        <f t="shared" ref="F214" si="171">_xlfn.CONCAT("FretRout",LEFT(C214,3),RIGHT(C214,2),"Type")</f>
        <v>FretRoutCat20Type</v>
      </c>
      <c r="G214" t="s">
        <v>20</v>
      </c>
      <c r="H214">
        <v>1</v>
      </c>
      <c r="J214" t="s">
        <v>1771</v>
      </c>
      <c r="L214" s="4" t="str">
        <f t="shared" si="170"/>
        <v>PL</v>
      </c>
    </row>
    <row r="215" spans="1:12" outlineLevel="1" x14ac:dyDescent="0.25">
      <c r="A215" t="s">
        <v>76</v>
      </c>
      <c r="C215" s="2" t="s">
        <v>108</v>
      </c>
      <c r="D215" t="s">
        <v>80</v>
      </c>
      <c r="F215" t="str">
        <f t="shared" ref="F215" si="172">_xlfn.CONCAT("FretRout",LEFT(C215,3),RIGHT(C215,2),"PTAC")</f>
        <v>FretRoutCat20PTAC</v>
      </c>
      <c r="G215" t="s">
        <v>36</v>
      </c>
      <c r="H215">
        <v>1</v>
      </c>
      <c r="J215" t="s">
        <v>1458</v>
      </c>
      <c r="L215" s="4" t="str">
        <f t="shared" si="170"/>
        <v>&gt;7.5-12t</v>
      </c>
    </row>
    <row r="216" spans="1:12" outlineLevel="1" x14ac:dyDescent="0.25">
      <c r="A216" t="s">
        <v>76</v>
      </c>
      <c r="C216" s="2" t="s">
        <v>108</v>
      </c>
      <c r="D216" t="s">
        <v>81</v>
      </c>
      <c r="F216" t="str">
        <f t="shared" ref="F216" si="173">_xlfn.CONCAT("FretRout",LEFT(C216,3),RIGHT(C216,2),"Mot")</f>
        <v>FretRoutCat20Mot</v>
      </c>
      <c r="G216" t="s">
        <v>36</v>
      </c>
      <c r="H216">
        <v>1</v>
      </c>
      <c r="I216" s="2"/>
      <c r="J216" t="s">
        <v>138</v>
      </c>
      <c r="L216" s="4" t="str">
        <f t="shared" si="170"/>
        <v>Diesel</v>
      </c>
    </row>
    <row r="217" spans="1:12" outlineLevel="1" x14ac:dyDescent="0.25">
      <c r="A217" t="s">
        <v>76</v>
      </c>
      <c r="C217" s="2" t="s">
        <v>108</v>
      </c>
      <c r="D217" t="s">
        <v>82</v>
      </c>
      <c r="F217" t="str">
        <f t="shared" ref="F217" si="174">_xlfn.CONCAT("FretRout",LEFT(C217,3),RIGHT(C217,2),"Carb")</f>
        <v>FretRoutCat20Carb</v>
      </c>
      <c r="G217" t="s">
        <v>36</v>
      </c>
      <c r="H217">
        <v>1</v>
      </c>
      <c r="J217" t="s">
        <v>1449</v>
      </c>
      <c r="L217" s="4" t="str">
        <f t="shared" si="170"/>
        <v>Gazole à la pompe</v>
      </c>
    </row>
    <row r="218" spans="1:12" outlineLevel="1" x14ac:dyDescent="0.25">
      <c r="A218" t="s">
        <v>76</v>
      </c>
      <c r="C218" s="2" t="s">
        <v>108</v>
      </c>
      <c r="D218" t="s">
        <v>83</v>
      </c>
      <c r="F218" t="str">
        <f t="shared" ref="F218" si="175">_xlfn.CONCAT("FretRout",LEFT(C218,3),RIGHT(C218,2),"Euro")</f>
        <v>FretRoutCat20Euro</v>
      </c>
      <c r="G218" t="s">
        <v>36</v>
      </c>
      <c r="H218">
        <v>1</v>
      </c>
      <c r="J218">
        <v>0</v>
      </c>
      <c r="L218" s="4">
        <f t="shared" si="170"/>
        <v>0</v>
      </c>
    </row>
    <row r="219" spans="1:12" outlineLevel="1" x14ac:dyDescent="0.25">
      <c r="A219" t="s">
        <v>76</v>
      </c>
      <c r="C219" s="2" t="s">
        <v>108</v>
      </c>
      <c r="D219" t="s">
        <v>84</v>
      </c>
      <c r="F219" t="str">
        <f t="shared" ref="F219" si="176">_xlfn.CONCAT("FretRout",LEFT(C219,3),RIGHT(C219,2),"CritAir")</f>
        <v>FretRoutCat20CritAir</v>
      </c>
      <c r="G219" t="s">
        <v>36</v>
      </c>
      <c r="H219">
        <v>1</v>
      </c>
      <c r="I219" s="2"/>
      <c r="J219">
        <v>2</v>
      </c>
      <c r="L219" s="4">
        <f t="shared" si="170"/>
        <v>2</v>
      </c>
    </row>
    <row r="220" spans="1:12" outlineLevel="1" x14ac:dyDescent="0.25">
      <c r="A220" t="s">
        <v>76</v>
      </c>
      <c r="C220" s="2" t="s">
        <v>108</v>
      </c>
      <c r="D220" t="s">
        <v>85</v>
      </c>
      <c r="F220" t="str">
        <f t="shared" ref="F220" si="177">_xlfn.CONCAT("FretRout",LEFT(C220,3),RIGHT(C220,2),"Nb")</f>
        <v>FretRoutCat20Nb</v>
      </c>
      <c r="G220" t="s">
        <v>17</v>
      </c>
      <c r="H220">
        <v>1</v>
      </c>
      <c r="K220" t="s">
        <v>86</v>
      </c>
      <c r="L220">
        <v>0</v>
      </c>
    </row>
    <row r="221" spans="1:12" outlineLevel="1" x14ac:dyDescent="0.25">
      <c r="A221" t="s">
        <v>76</v>
      </c>
      <c r="C221" s="2" t="s">
        <v>108</v>
      </c>
      <c r="D221" t="s">
        <v>87</v>
      </c>
      <c r="F221" t="str">
        <f t="shared" ref="F221" si="178">_xlfn.CONCAT("FretRout",LEFT(C221,3),RIGHT(C221,2),"Dist")</f>
        <v>FretRoutCat20Dist</v>
      </c>
      <c r="G221" t="s">
        <v>17</v>
      </c>
      <c r="H221">
        <v>1</v>
      </c>
      <c r="I221" s="2"/>
      <c r="K221" t="s">
        <v>88</v>
      </c>
      <c r="L221">
        <v>42385.998762263436</v>
      </c>
    </row>
    <row r="222" spans="1:12" outlineLevel="1" x14ac:dyDescent="0.25">
      <c r="A222" t="s">
        <v>76</v>
      </c>
      <c r="C222" s="2" t="s">
        <v>108</v>
      </c>
      <c r="D222" s="2" t="s">
        <v>89</v>
      </c>
      <c r="F222" t="str">
        <f t="shared" ref="F222" si="179">_xlfn.CONCAT("FretRout",LEFT(C222,3),RIGHT(C222,2),"Rempl")</f>
        <v>FretRoutCat20Rempl</v>
      </c>
      <c r="G222" t="s">
        <v>17</v>
      </c>
      <c r="H222">
        <v>1</v>
      </c>
      <c r="I222" s="3"/>
      <c r="K222" t="s">
        <v>70</v>
      </c>
      <c r="L222">
        <v>0</v>
      </c>
    </row>
    <row r="223" spans="1:12" outlineLevel="1" x14ac:dyDescent="0.25">
      <c r="A223" t="s">
        <v>76</v>
      </c>
      <c r="C223" s="2" t="s">
        <v>109</v>
      </c>
      <c r="D223" t="s">
        <v>78</v>
      </c>
      <c r="F223" t="str">
        <f t="shared" ref="F223" si="180">_xlfn.CONCAT("FretRout",LEFT(C223,3),RIGHT(C223,2),"Nom")</f>
        <v>FretRoutCat21Nom</v>
      </c>
      <c r="G223" t="s">
        <v>20</v>
      </c>
      <c r="H223">
        <v>1</v>
      </c>
      <c r="I223" s="4"/>
      <c r="J223" s="4" t="s">
        <v>406</v>
      </c>
      <c r="L223" s="4" t="str">
        <f t="shared" ref="L223:L229" si="181">J223</f>
        <v>PL Diesel &gt;7.5-12t (Crit'Air 3)</v>
      </c>
    </row>
    <row r="224" spans="1:12" outlineLevel="1" x14ac:dyDescent="0.25">
      <c r="A224" t="s">
        <v>76</v>
      </c>
      <c r="C224" s="2" t="s">
        <v>109</v>
      </c>
      <c r="D224" t="s">
        <v>79</v>
      </c>
      <c r="F224" t="str">
        <f t="shared" ref="F224" si="182">_xlfn.CONCAT("FretRout",LEFT(C224,3),RIGHT(C224,2),"Type")</f>
        <v>FretRoutCat21Type</v>
      </c>
      <c r="G224" t="s">
        <v>20</v>
      </c>
      <c r="H224">
        <v>1</v>
      </c>
      <c r="J224" t="s">
        <v>1771</v>
      </c>
      <c r="L224" s="4" t="str">
        <f t="shared" si="181"/>
        <v>PL</v>
      </c>
    </row>
    <row r="225" spans="1:12" outlineLevel="1" x14ac:dyDescent="0.25">
      <c r="A225" t="s">
        <v>76</v>
      </c>
      <c r="C225" s="2" t="s">
        <v>109</v>
      </c>
      <c r="D225" t="s">
        <v>80</v>
      </c>
      <c r="F225" t="str">
        <f t="shared" ref="F225" si="183">_xlfn.CONCAT("FretRout",LEFT(C225,3),RIGHT(C225,2),"PTAC")</f>
        <v>FretRoutCat21PTAC</v>
      </c>
      <c r="G225" t="s">
        <v>36</v>
      </c>
      <c r="H225">
        <v>1</v>
      </c>
      <c r="J225" t="s">
        <v>1458</v>
      </c>
      <c r="L225" s="4" t="str">
        <f t="shared" si="181"/>
        <v>&gt;7.5-12t</v>
      </c>
    </row>
    <row r="226" spans="1:12" outlineLevel="1" x14ac:dyDescent="0.25">
      <c r="A226" t="s">
        <v>76</v>
      </c>
      <c r="C226" s="2" t="s">
        <v>109</v>
      </c>
      <c r="D226" t="s">
        <v>81</v>
      </c>
      <c r="F226" t="str">
        <f t="shared" ref="F226" si="184">_xlfn.CONCAT("FretRout",LEFT(C226,3),RIGHT(C226,2),"Mot")</f>
        <v>FretRoutCat21Mot</v>
      </c>
      <c r="G226" t="s">
        <v>36</v>
      </c>
      <c r="H226">
        <v>1</v>
      </c>
      <c r="I226" s="2"/>
      <c r="J226" t="s">
        <v>138</v>
      </c>
      <c r="L226" s="4" t="str">
        <f t="shared" si="181"/>
        <v>Diesel</v>
      </c>
    </row>
    <row r="227" spans="1:12" outlineLevel="1" x14ac:dyDescent="0.25">
      <c r="A227" t="s">
        <v>76</v>
      </c>
      <c r="C227" s="2" t="s">
        <v>109</v>
      </c>
      <c r="D227" t="s">
        <v>82</v>
      </c>
      <c r="F227" t="str">
        <f t="shared" ref="F227" si="185">_xlfn.CONCAT("FretRout",LEFT(C227,3),RIGHT(C227,2),"Carb")</f>
        <v>FretRoutCat21Carb</v>
      </c>
      <c r="G227" t="s">
        <v>36</v>
      </c>
      <c r="H227">
        <v>1</v>
      </c>
      <c r="J227" t="s">
        <v>1449</v>
      </c>
      <c r="L227" s="4" t="str">
        <f t="shared" si="181"/>
        <v>Gazole à la pompe</v>
      </c>
    </row>
    <row r="228" spans="1:12" outlineLevel="1" x14ac:dyDescent="0.25">
      <c r="A228" t="s">
        <v>76</v>
      </c>
      <c r="C228" s="2" t="s">
        <v>109</v>
      </c>
      <c r="D228" t="s">
        <v>83</v>
      </c>
      <c r="F228" t="str">
        <f t="shared" ref="F228" si="186">_xlfn.CONCAT("FretRout",LEFT(C228,3),RIGHT(C228,2),"Euro")</f>
        <v>FretRoutCat21Euro</v>
      </c>
      <c r="G228" t="s">
        <v>36</v>
      </c>
      <c r="H228">
        <v>1</v>
      </c>
      <c r="J228">
        <v>0</v>
      </c>
      <c r="L228" s="4">
        <f t="shared" si="181"/>
        <v>0</v>
      </c>
    </row>
    <row r="229" spans="1:12" outlineLevel="1" x14ac:dyDescent="0.25">
      <c r="A229" t="s">
        <v>76</v>
      </c>
      <c r="C229" s="2" t="s">
        <v>109</v>
      </c>
      <c r="D229" t="s">
        <v>84</v>
      </c>
      <c r="F229" t="str">
        <f t="shared" ref="F229" si="187">_xlfn.CONCAT("FretRout",LEFT(C229,3),RIGHT(C229,2),"CritAir")</f>
        <v>FretRoutCat21CritAir</v>
      </c>
      <c r="G229" t="s">
        <v>36</v>
      </c>
      <c r="H229">
        <v>1</v>
      </c>
      <c r="I229" s="2"/>
      <c r="J229">
        <v>3</v>
      </c>
      <c r="L229" s="4">
        <f t="shared" si="181"/>
        <v>3</v>
      </c>
    </row>
    <row r="230" spans="1:12" outlineLevel="1" x14ac:dyDescent="0.25">
      <c r="A230" t="s">
        <v>76</v>
      </c>
      <c r="C230" s="2" t="s">
        <v>109</v>
      </c>
      <c r="D230" t="s">
        <v>85</v>
      </c>
      <c r="F230" t="str">
        <f t="shared" ref="F230" si="188">_xlfn.CONCAT("FretRout",LEFT(C230,3),RIGHT(C230,2),"Nb")</f>
        <v>FretRoutCat21Nb</v>
      </c>
      <c r="G230" t="s">
        <v>17</v>
      </c>
      <c r="H230">
        <v>1</v>
      </c>
      <c r="K230" t="s">
        <v>86</v>
      </c>
      <c r="L230">
        <v>0</v>
      </c>
    </row>
    <row r="231" spans="1:12" outlineLevel="1" x14ac:dyDescent="0.25">
      <c r="A231" t="s">
        <v>76</v>
      </c>
      <c r="C231" s="2" t="s">
        <v>109</v>
      </c>
      <c r="D231" t="s">
        <v>87</v>
      </c>
      <c r="F231" t="str">
        <f t="shared" ref="F231" si="189">_xlfn.CONCAT("FretRout",LEFT(C231,3),RIGHT(C231,2),"Dist")</f>
        <v>FretRoutCat21Dist</v>
      </c>
      <c r="G231" t="s">
        <v>17</v>
      </c>
      <c r="H231">
        <v>1</v>
      </c>
      <c r="I231" s="2"/>
      <c r="K231" t="s">
        <v>88</v>
      </c>
      <c r="L231">
        <v>42385.998762263436</v>
      </c>
    </row>
    <row r="232" spans="1:12" outlineLevel="1" x14ac:dyDescent="0.25">
      <c r="A232" t="s">
        <v>76</v>
      </c>
      <c r="C232" s="2" t="s">
        <v>109</v>
      </c>
      <c r="D232" s="2" t="s">
        <v>89</v>
      </c>
      <c r="F232" t="str">
        <f t="shared" ref="F232" si="190">_xlfn.CONCAT("FretRout",LEFT(C232,3),RIGHT(C232,2),"Rempl")</f>
        <v>FretRoutCat21Rempl</v>
      </c>
      <c r="G232" t="s">
        <v>17</v>
      </c>
      <c r="H232">
        <v>1</v>
      </c>
      <c r="I232" s="3"/>
      <c r="K232" t="s">
        <v>70</v>
      </c>
      <c r="L232">
        <v>0</v>
      </c>
    </row>
    <row r="233" spans="1:12" outlineLevel="1" x14ac:dyDescent="0.25">
      <c r="A233" t="s">
        <v>76</v>
      </c>
      <c r="C233" s="2" t="s">
        <v>110</v>
      </c>
      <c r="D233" t="s">
        <v>78</v>
      </c>
      <c r="F233" t="str">
        <f t="shared" ref="F233" si="191">_xlfn.CONCAT("FretRout",LEFT(C233,3),RIGHT(C233,2),"Nom")</f>
        <v>FretRoutCat22Nom</v>
      </c>
      <c r="G233" t="s">
        <v>20</v>
      </c>
      <c r="H233">
        <v>1</v>
      </c>
      <c r="I233" s="4"/>
      <c r="J233" s="4" t="s">
        <v>407</v>
      </c>
      <c r="L233" s="4" t="str">
        <f t="shared" ref="L233:L239" si="192">J233</f>
        <v>PL Diesel &gt;7.5-12t (Crit'Air 4)</v>
      </c>
    </row>
    <row r="234" spans="1:12" outlineLevel="1" x14ac:dyDescent="0.25">
      <c r="A234" t="s">
        <v>76</v>
      </c>
      <c r="C234" s="2" t="s">
        <v>110</v>
      </c>
      <c r="D234" t="s">
        <v>79</v>
      </c>
      <c r="F234" t="str">
        <f t="shared" ref="F234" si="193">_xlfn.CONCAT("FretRout",LEFT(C234,3),RIGHT(C234,2),"Type")</f>
        <v>FretRoutCat22Type</v>
      </c>
      <c r="G234" t="s">
        <v>20</v>
      </c>
      <c r="H234">
        <v>1</v>
      </c>
      <c r="J234" t="s">
        <v>1771</v>
      </c>
      <c r="L234" s="4" t="str">
        <f t="shared" si="192"/>
        <v>PL</v>
      </c>
    </row>
    <row r="235" spans="1:12" outlineLevel="1" x14ac:dyDescent="0.25">
      <c r="A235" t="s">
        <v>76</v>
      </c>
      <c r="C235" s="2" t="s">
        <v>110</v>
      </c>
      <c r="D235" t="s">
        <v>80</v>
      </c>
      <c r="F235" t="str">
        <f t="shared" ref="F235" si="194">_xlfn.CONCAT("FretRout",LEFT(C235,3),RIGHT(C235,2),"PTAC")</f>
        <v>FretRoutCat22PTAC</v>
      </c>
      <c r="G235" t="s">
        <v>36</v>
      </c>
      <c r="H235">
        <v>1</v>
      </c>
      <c r="J235" t="s">
        <v>1458</v>
      </c>
      <c r="L235" s="4" t="str">
        <f t="shared" si="192"/>
        <v>&gt;7.5-12t</v>
      </c>
    </row>
    <row r="236" spans="1:12" outlineLevel="1" x14ac:dyDescent="0.25">
      <c r="A236" t="s">
        <v>76</v>
      </c>
      <c r="C236" s="2" t="s">
        <v>110</v>
      </c>
      <c r="D236" t="s">
        <v>81</v>
      </c>
      <c r="F236" t="str">
        <f t="shared" ref="F236" si="195">_xlfn.CONCAT("FretRout",LEFT(C236,3),RIGHT(C236,2),"Mot")</f>
        <v>FretRoutCat22Mot</v>
      </c>
      <c r="G236" t="s">
        <v>36</v>
      </c>
      <c r="H236">
        <v>1</v>
      </c>
      <c r="I236" s="2"/>
      <c r="J236" t="s">
        <v>138</v>
      </c>
      <c r="L236" s="4" t="str">
        <f t="shared" si="192"/>
        <v>Diesel</v>
      </c>
    </row>
    <row r="237" spans="1:12" outlineLevel="1" x14ac:dyDescent="0.25">
      <c r="A237" t="s">
        <v>76</v>
      </c>
      <c r="C237" s="2" t="s">
        <v>110</v>
      </c>
      <c r="D237" t="s">
        <v>82</v>
      </c>
      <c r="F237" t="str">
        <f t="shared" ref="F237" si="196">_xlfn.CONCAT("FretRout",LEFT(C237,3),RIGHT(C237,2),"Carb")</f>
        <v>FretRoutCat22Carb</v>
      </c>
      <c r="G237" t="s">
        <v>36</v>
      </c>
      <c r="H237">
        <v>1</v>
      </c>
      <c r="J237" t="s">
        <v>1449</v>
      </c>
      <c r="L237" s="4" t="str">
        <f t="shared" si="192"/>
        <v>Gazole à la pompe</v>
      </c>
    </row>
    <row r="238" spans="1:12" outlineLevel="1" x14ac:dyDescent="0.25">
      <c r="A238" t="s">
        <v>76</v>
      </c>
      <c r="C238" s="2" t="s">
        <v>110</v>
      </c>
      <c r="D238" t="s">
        <v>83</v>
      </c>
      <c r="F238" t="str">
        <f t="shared" ref="F238" si="197">_xlfn.CONCAT("FretRout",LEFT(C238,3),RIGHT(C238,2),"Euro")</f>
        <v>FretRoutCat22Euro</v>
      </c>
      <c r="G238" t="s">
        <v>36</v>
      </c>
      <c r="H238">
        <v>1</v>
      </c>
      <c r="J238">
        <v>0</v>
      </c>
      <c r="L238" s="4">
        <f t="shared" si="192"/>
        <v>0</v>
      </c>
    </row>
    <row r="239" spans="1:12" outlineLevel="1" x14ac:dyDescent="0.25">
      <c r="A239" t="s">
        <v>76</v>
      </c>
      <c r="C239" s="2" t="s">
        <v>110</v>
      </c>
      <c r="D239" t="s">
        <v>84</v>
      </c>
      <c r="F239" t="str">
        <f t="shared" ref="F239" si="198">_xlfn.CONCAT("FretRout",LEFT(C239,3),RIGHT(C239,2),"CritAir")</f>
        <v>FretRoutCat22CritAir</v>
      </c>
      <c r="G239" t="s">
        <v>36</v>
      </c>
      <c r="H239">
        <v>1</v>
      </c>
      <c r="I239" s="2"/>
      <c r="J239">
        <v>4</v>
      </c>
      <c r="L239" s="4">
        <f t="shared" si="192"/>
        <v>4</v>
      </c>
    </row>
    <row r="240" spans="1:12" outlineLevel="1" x14ac:dyDescent="0.25">
      <c r="A240" t="s">
        <v>76</v>
      </c>
      <c r="C240" s="2" t="s">
        <v>110</v>
      </c>
      <c r="D240" t="s">
        <v>85</v>
      </c>
      <c r="F240" t="str">
        <f t="shared" ref="F240" si="199">_xlfn.CONCAT("FretRout",LEFT(C240,3),RIGHT(C240,2),"Nb")</f>
        <v>FretRoutCat22Nb</v>
      </c>
      <c r="G240" t="s">
        <v>17</v>
      </c>
      <c r="H240">
        <v>1</v>
      </c>
      <c r="K240" t="s">
        <v>86</v>
      </c>
      <c r="L240">
        <v>0</v>
      </c>
    </row>
    <row r="241" spans="1:12" outlineLevel="1" x14ac:dyDescent="0.25">
      <c r="A241" t="s">
        <v>76</v>
      </c>
      <c r="C241" s="2" t="s">
        <v>110</v>
      </c>
      <c r="D241" t="s">
        <v>87</v>
      </c>
      <c r="F241" t="str">
        <f t="shared" ref="F241" si="200">_xlfn.CONCAT("FretRout",LEFT(C241,3),RIGHT(C241,2),"Dist")</f>
        <v>FretRoutCat22Dist</v>
      </c>
      <c r="G241" t="s">
        <v>17</v>
      </c>
      <c r="H241">
        <v>1</v>
      </c>
      <c r="I241" s="2"/>
      <c r="K241" t="s">
        <v>88</v>
      </c>
      <c r="L241">
        <v>42385.998762263436</v>
      </c>
    </row>
    <row r="242" spans="1:12" outlineLevel="1" x14ac:dyDescent="0.25">
      <c r="A242" t="s">
        <v>76</v>
      </c>
      <c r="C242" s="2" t="s">
        <v>110</v>
      </c>
      <c r="D242" s="2" t="s">
        <v>89</v>
      </c>
      <c r="F242" t="str">
        <f t="shared" ref="F242" si="201">_xlfn.CONCAT("FretRout",LEFT(C242,3),RIGHT(C242,2),"Rempl")</f>
        <v>FretRoutCat22Rempl</v>
      </c>
      <c r="G242" t="s">
        <v>17</v>
      </c>
      <c r="H242">
        <v>1</v>
      </c>
      <c r="I242" s="3"/>
      <c r="K242" t="s">
        <v>70</v>
      </c>
      <c r="L242">
        <v>0</v>
      </c>
    </row>
    <row r="243" spans="1:12" outlineLevel="1" x14ac:dyDescent="0.25">
      <c r="A243" t="s">
        <v>76</v>
      </c>
      <c r="C243" s="2" t="s">
        <v>111</v>
      </c>
      <c r="D243" t="s">
        <v>78</v>
      </c>
      <c r="F243" t="str">
        <f t="shared" ref="F243" si="202">_xlfn.CONCAT("FretRout",LEFT(C243,3),RIGHT(C243,2),"Nom")</f>
        <v>FretRoutCat23Nom</v>
      </c>
      <c r="G243" t="s">
        <v>20</v>
      </c>
      <c r="H243">
        <v>1</v>
      </c>
      <c r="I243" s="4"/>
      <c r="J243" s="4" t="s">
        <v>408</v>
      </c>
      <c r="L243" s="4" t="str">
        <f t="shared" ref="L243:L249" si="203">J243</f>
        <v>PL Diesel &gt;7.5-12t (Crit'Air 5)</v>
      </c>
    </row>
    <row r="244" spans="1:12" outlineLevel="1" x14ac:dyDescent="0.25">
      <c r="A244" t="s">
        <v>76</v>
      </c>
      <c r="C244" s="2" t="s">
        <v>111</v>
      </c>
      <c r="D244" t="s">
        <v>79</v>
      </c>
      <c r="F244" t="str">
        <f t="shared" ref="F244" si="204">_xlfn.CONCAT("FretRout",LEFT(C244,3),RIGHT(C244,2),"Type")</f>
        <v>FretRoutCat23Type</v>
      </c>
      <c r="G244" t="s">
        <v>20</v>
      </c>
      <c r="H244">
        <v>1</v>
      </c>
      <c r="J244" t="s">
        <v>1771</v>
      </c>
      <c r="L244" s="4" t="str">
        <f t="shared" si="203"/>
        <v>PL</v>
      </c>
    </row>
    <row r="245" spans="1:12" outlineLevel="1" x14ac:dyDescent="0.25">
      <c r="A245" t="s">
        <v>76</v>
      </c>
      <c r="C245" s="2" t="s">
        <v>111</v>
      </c>
      <c r="D245" t="s">
        <v>80</v>
      </c>
      <c r="F245" t="str">
        <f t="shared" ref="F245" si="205">_xlfn.CONCAT("FretRout",LEFT(C245,3),RIGHT(C245,2),"PTAC")</f>
        <v>FretRoutCat23PTAC</v>
      </c>
      <c r="G245" t="s">
        <v>36</v>
      </c>
      <c r="H245">
        <v>1</v>
      </c>
      <c r="J245" t="s">
        <v>1458</v>
      </c>
      <c r="L245" s="4" t="str">
        <f t="shared" si="203"/>
        <v>&gt;7.5-12t</v>
      </c>
    </row>
    <row r="246" spans="1:12" outlineLevel="1" x14ac:dyDescent="0.25">
      <c r="A246" t="s">
        <v>76</v>
      </c>
      <c r="C246" s="2" t="s">
        <v>111</v>
      </c>
      <c r="D246" t="s">
        <v>81</v>
      </c>
      <c r="F246" t="str">
        <f t="shared" ref="F246" si="206">_xlfn.CONCAT("FretRout",LEFT(C246,3),RIGHT(C246,2),"Mot")</f>
        <v>FretRoutCat23Mot</v>
      </c>
      <c r="G246" t="s">
        <v>36</v>
      </c>
      <c r="H246">
        <v>1</v>
      </c>
      <c r="I246" s="2"/>
      <c r="J246" t="s">
        <v>138</v>
      </c>
      <c r="L246" s="4" t="str">
        <f t="shared" si="203"/>
        <v>Diesel</v>
      </c>
    </row>
    <row r="247" spans="1:12" outlineLevel="1" x14ac:dyDescent="0.25">
      <c r="A247" t="s">
        <v>76</v>
      </c>
      <c r="C247" s="2" t="s">
        <v>111</v>
      </c>
      <c r="D247" t="s">
        <v>82</v>
      </c>
      <c r="F247" t="str">
        <f t="shared" ref="F247" si="207">_xlfn.CONCAT("FretRout",LEFT(C247,3),RIGHT(C247,2),"Carb")</f>
        <v>FretRoutCat23Carb</v>
      </c>
      <c r="G247" t="s">
        <v>36</v>
      </c>
      <c r="H247">
        <v>1</v>
      </c>
      <c r="J247" t="s">
        <v>1449</v>
      </c>
      <c r="L247" s="4" t="str">
        <f t="shared" si="203"/>
        <v>Gazole à la pompe</v>
      </c>
    </row>
    <row r="248" spans="1:12" outlineLevel="1" x14ac:dyDescent="0.25">
      <c r="A248" t="s">
        <v>76</v>
      </c>
      <c r="C248" s="2" t="s">
        <v>111</v>
      </c>
      <c r="D248" t="s">
        <v>83</v>
      </c>
      <c r="F248" t="str">
        <f t="shared" ref="F248" si="208">_xlfn.CONCAT("FretRout",LEFT(C248,3),RIGHT(C248,2),"Euro")</f>
        <v>FretRoutCat23Euro</v>
      </c>
      <c r="G248" t="s">
        <v>36</v>
      </c>
      <c r="H248">
        <v>1</v>
      </c>
      <c r="J248">
        <v>0</v>
      </c>
      <c r="L248" s="4">
        <f t="shared" si="203"/>
        <v>0</v>
      </c>
    </row>
    <row r="249" spans="1:12" outlineLevel="1" x14ac:dyDescent="0.25">
      <c r="A249" t="s">
        <v>76</v>
      </c>
      <c r="C249" s="2" t="s">
        <v>111</v>
      </c>
      <c r="D249" t="s">
        <v>84</v>
      </c>
      <c r="F249" t="str">
        <f t="shared" ref="F249" si="209">_xlfn.CONCAT("FretRout",LEFT(C249,3),RIGHT(C249,2),"CritAir")</f>
        <v>FretRoutCat23CritAir</v>
      </c>
      <c r="G249" t="s">
        <v>36</v>
      </c>
      <c r="H249">
        <v>1</v>
      </c>
      <c r="I249" s="2"/>
      <c r="J249">
        <v>5</v>
      </c>
      <c r="L249" s="4">
        <f t="shared" si="203"/>
        <v>5</v>
      </c>
    </row>
    <row r="250" spans="1:12" outlineLevel="1" x14ac:dyDescent="0.25">
      <c r="A250" t="s">
        <v>76</v>
      </c>
      <c r="C250" s="2" t="s">
        <v>111</v>
      </c>
      <c r="D250" t="s">
        <v>85</v>
      </c>
      <c r="F250" t="str">
        <f t="shared" ref="F250" si="210">_xlfn.CONCAT("FretRout",LEFT(C250,3),RIGHT(C250,2),"Nb")</f>
        <v>FretRoutCat23Nb</v>
      </c>
      <c r="G250" t="s">
        <v>17</v>
      </c>
      <c r="H250">
        <v>1</v>
      </c>
      <c r="K250" t="s">
        <v>86</v>
      </c>
      <c r="L250">
        <v>0</v>
      </c>
    </row>
    <row r="251" spans="1:12" outlineLevel="1" x14ac:dyDescent="0.25">
      <c r="A251" t="s">
        <v>76</v>
      </c>
      <c r="C251" s="2" t="s">
        <v>111</v>
      </c>
      <c r="D251" t="s">
        <v>87</v>
      </c>
      <c r="F251" t="str">
        <f t="shared" ref="F251" si="211">_xlfn.CONCAT("FretRout",LEFT(C251,3),RIGHT(C251,2),"Dist")</f>
        <v>FretRoutCat23Dist</v>
      </c>
      <c r="G251" t="s">
        <v>17</v>
      </c>
      <c r="H251">
        <v>1</v>
      </c>
      <c r="I251" s="2"/>
      <c r="K251" t="s">
        <v>88</v>
      </c>
      <c r="L251">
        <v>42385.998762263436</v>
      </c>
    </row>
    <row r="252" spans="1:12" outlineLevel="1" x14ac:dyDescent="0.25">
      <c r="A252" t="s">
        <v>76</v>
      </c>
      <c r="C252" s="2" t="s">
        <v>111</v>
      </c>
      <c r="D252" s="2" t="s">
        <v>89</v>
      </c>
      <c r="F252" t="str">
        <f t="shared" ref="F252" si="212">_xlfn.CONCAT("FretRout",LEFT(C252,3),RIGHT(C252,2),"Rempl")</f>
        <v>FretRoutCat23Rempl</v>
      </c>
      <c r="G252" t="s">
        <v>17</v>
      </c>
      <c r="H252">
        <v>1</v>
      </c>
      <c r="I252" s="3"/>
      <c r="K252" t="s">
        <v>70</v>
      </c>
      <c r="L252">
        <v>0</v>
      </c>
    </row>
    <row r="253" spans="1:12" outlineLevel="1" x14ac:dyDescent="0.25">
      <c r="A253" t="s">
        <v>76</v>
      </c>
      <c r="C253" s="2" t="s">
        <v>112</v>
      </c>
      <c r="D253" t="s">
        <v>78</v>
      </c>
      <c r="F253" t="str">
        <f t="shared" ref="F253" si="213">_xlfn.CONCAT("FretRout",LEFT(C253,3),RIGHT(C253,2),"Nom")</f>
        <v>FretRoutCat24Nom</v>
      </c>
      <c r="G253" t="s">
        <v>20</v>
      </c>
      <c r="H253">
        <v>1</v>
      </c>
      <c r="I253" s="4"/>
      <c r="J253" s="4" t="s">
        <v>409</v>
      </c>
      <c r="L253" s="4" t="str">
        <f t="shared" ref="L253:L259" si="214">J253</f>
        <v>PL Diesel &gt;14-20t (Crit'Air 2)</v>
      </c>
    </row>
    <row r="254" spans="1:12" outlineLevel="1" x14ac:dyDescent="0.25">
      <c r="A254" t="s">
        <v>76</v>
      </c>
      <c r="C254" s="2" t="s">
        <v>112</v>
      </c>
      <c r="D254" t="s">
        <v>79</v>
      </c>
      <c r="F254" t="str">
        <f t="shared" ref="F254" si="215">_xlfn.CONCAT("FretRout",LEFT(C254,3),RIGHT(C254,2),"Type")</f>
        <v>FretRoutCat24Type</v>
      </c>
      <c r="G254" t="s">
        <v>20</v>
      </c>
      <c r="H254">
        <v>1</v>
      </c>
      <c r="J254" t="s">
        <v>1771</v>
      </c>
      <c r="L254" s="4" t="str">
        <f t="shared" si="214"/>
        <v>PL</v>
      </c>
    </row>
    <row r="255" spans="1:12" outlineLevel="1" x14ac:dyDescent="0.25">
      <c r="A255" t="s">
        <v>76</v>
      </c>
      <c r="C255" s="2" t="s">
        <v>112</v>
      </c>
      <c r="D255" t="s">
        <v>80</v>
      </c>
      <c r="F255" t="str">
        <f t="shared" ref="F255" si="216">_xlfn.CONCAT("FretRout",LEFT(C255,3),RIGHT(C255,2),"PTAC")</f>
        <v>FretRoutCat24PTAC</v>
      </c>
      <c r="G255" t="s">
        <v>36</v>
      </c>
      <c r="H255">
        <v>1</v>
      </c>
      <c r="J255" t="s">
        <v>1459</v>
      </c>
      <c r="L255" s="4" t="str">
        <f t="shared" si="214"/>
        <v>&gt;14-20t</v>
      </c>
    </row>
    <row r="256" spans="1:12" outlineLevel="1" x14ac:dyDescent="0.25">
      <c r="A256" t="s">
        <v>76</v>
      </c>
      <c r="C256" s="2" t="s">
        <v>112</v>
      </c>
      <c r="D256" t="s">
        <v>81</v>
      </c>
      <c r="F256" t="str">
        <f t="shared" ref="F256" si="217">_xlfn.CONCAT("FretRout",LEFT(C256,3),RIGHT(C256,2),"Mot")</f>
        <v>FretRoutCat24Mot</v>
      </c>
      <c r="G256" t="s">
        <v>36</v>
      </c>
      <c r="H256">
        <v>1</v>
      </c>
      <c r="I256" s="2"/>
      <c r="J256" t="s">
        <v>138</v>
      </c>
      <c r="L256" s="4" t="str">
        <f t="shared" si="214"/>
        <v>Diesel</v>
      </c>
    </row>
    <row r="257" spans="1:12" outlineLevel="1" x14ac:dyDescent="0.25">
      <c r="A257" t="s">
        <v>76</v>
      </c>
      <c r="C257" s="2" t="s">
        <v>112</v>
      </c>
      <c r="D257" t="s">
        <v>82</v>
      </c>
      <c r="F257" t="str">
        <f t="shared" ref="F257" si="218">_xlfn.CONCAT("FretRout",LEFT(C257,3),RIGHT(C257,2),"Carb")</f>
        <v>FretRoutCat24Carb</v>
      </c>
      <c r="G257" t="s">
        <v>36</v>
      </c>
      <c r="H257">
        <v>1</v>
      </c>
      <c r="J257" t="s">
        <v>1449</v>
      </c>
      <c r="L257" s="4" t="str">
        <f t="shared" si="214"/>
        <v>Gazole à la pompe</v>
      </c>
    </row>
    <row r="258" spans="1:12" outlineLevel="1" x14ac:dyDescent="0.25">
      <c r="A258" t="s">
        <v>76</v>
      </c>
      <c r="C258" s="2" t="s">
        <v>112</v>
      </c>
      <c r="D258" t="s">
        <v>83</v>
      </c>
      <c r="F258" t="str">
        <f t="shared" ref="F258" si="219">_xlfn.CONCAT("FretRout",LEFT(C258,3),RIGHT(C258,2),"Euro")</f>
        <v>FretRoutCat24Euro</v>
      </c>
      <c r="G258" t="s">
        <v>36</v>
      </c>
      <c r="H258">
        <v>1</v>
      </c>
      <c r="J258">
        <v>0</v>
      </c>
      <c r="L258" s="4">
        <f t="shared" si="214"/>
        <v>0</v>
      </c>
    </row>
    <row r="259" spans="1:12" outlineLevel="1" x14ac:dyDescent="0.25">
      <c r="A259" t="s">
        <v>76</v>
      </c>
      <c r="C259" s="2" t="s">
        <v>112</v>
      </c>
      <c r="D259" t="s">
        <v>84</v>
      </c>
      <c r="F259" t="str">
        <f t="shared" ref="F259" si="220">_xlfn.CONCAT("FretRout",LEFT(C259,3),RIGHT(C259,2),"CritAir")</f>
        <v>FretRoutCat24CritAir</v>
      </c>
      <c r="G259" t="s">
        <v>36</v>
      </c>
      <c r="H259">
        <v>1</v>
      </c>
      <c r="I259" s="2"/>
      <c r="J259">
        <v>2</v>
      </c>
      <c r="L259" s="4">
        <f t="shared" si="214"/>
        <v>2</v>
      </c>
    </row>
    <row r="260" spans="1:12" outlineLevel="1" x14ac:dyDescent="0.25">
      <c r="A260" t="s">
        <v>76</v>
      </c>
      <c r="C260" s="2" t="s">
        <v>112</v>
      </c>
      <c r="D260" t="s">
        <v>85</v>
      </c>
      <c r="F260" t="str">
        <f t="shared" ref="F260" si="221">_xlfn.CONCAT("FretRout",LEFT(C260,3),RIGHT(C260,2),"Nb")</f>
        <v>FretRoutCat24Nb</v>
      </c>
      <c r="G260" t="s">
        <v>17</v>
      </c>
      <c r="H260">
        <v>1</v>
      </c>
      <c r="K260" t="s">
        <v>86</v>
      </c>
      <c r="L260">
        <v>0</v>
      </c>
    </row>
    <row r="261" spans="1:12" outlineLevel="1" x14ac:dyDescent="0.25">
      <c r="A261" t="s">
        <v>76</v>
      </c>
      <c r="C261" s="2" t="s">
        <v>112</v>
      </c>
      <c r="D261" t="s">
        <v>87</v>
      </c>
      <c r="F261" t="str">
        <f t="shared" ref="F261" si="222">_xlfn.CONCAT("FretRout",LEFT(C261,3),RIGHT(C261,2),"Dist")</f>
        <v>FretRoutCat24Dist</v>
      </c>
      <c r="G261" t="s">
        <v>17</v>
      </c>
      <c r="H261">
        <v>1</v>
      </c>
      <c r="I261" s="2"/>
      <c r="K261" t="s">
        <v>88</v>
      </c>
      <c r="L261">
        <v>42385.998762263436</v>
      </c>
    </row>
    <row r="262" spans="1:12" outlineLevel="1" x14ac:dyDescent="0.25">
      <c r="A262" t="s">
        <v>76</v>
      </c>
      <c r="C262" s="2" t="s">
        <v>112</v>
      </c>
      <c r="D262" s="2" t="s">
        <v>89</v>
      </c>
      <c r="F262" t="str">
        <f t="shared" ref="F262" si="223">_xlfn.CONCAT("FretRout",LEFT(C262,3),RIGHT(C262,2),"Rempl")</f>
        <v>FretRoutCat24Rempl</v>
      </c>
      <c r="G262" t="s">
        <v>17</v>
      </c>
      <c r="H262">
        <v>1</v>
      </c>
      <c r="I262" s="3"/>
      <c r="K262" t="s">
        <v>70</v>
      </c>
      <c r="L262">
        <v>0</v>
      </c>
    </row>
    <row r="263" spans="1:12" outlineLevel="1" x14ac:dyDescent="0.25">
      <c r="A263" t="s">
        <v>76</v>
      </c>
      <c r="C263" s="2" t="s">
        <v>113</v>
      </c>
      <c r="D263" t="s">
        <v>78</v>
      </c>
      <c r="F263" t="str">
        <f t="shared" ref="F263" si="224">_xlfn.CONCAT("FretRout",LEFT(C263,3),RIGHT(C263,2),"Nom")</f>
        <v>FretRoutCat25Nom</v>
      </c>
      <c r="G263" t="s">
        <v>20</v>
      </c>
      <c r="H263">
        <v>1</v>
      </c>
      <c r="I263" s="4"/>
      <c r="J263" s="4" t="s">
        <v>410</v>
      </c>
      <c r="L263" s="4" t="str">
        <f t="shared" ref="L263:L269" si="225">J263</f>
        <v>PL Diesel &gt;14-20t (Crit'Air 3)</v>
      </c>
    </row>
    <row r="264" spans="1:12" outlineLevel="1" x14ac:dyDescent="0.25">
      <c r="A264" t="s">
        <v>76</v>
      </c>
      <c r="C264" s="2" t="s">
        <v>113</v>
      </c>
      <c r="D264" t="s">
        <v>79</v>
      </c>
      <c r="F264" t="str">
        <f t="shared" ref="F264" si="226">_xlfn.CONCAT("FretRout",LEFT(C264,3),RIGHT(C264,2),"Type")</f>
        <v>FretRoutCat25Type</v>
      </c>
      <c r="G264" t="s">
        <v>20</v>
      </c>
      <c r="H264">
        <v>1</v>
      </c>
      <c r="J264" t="s">
        <v>1771</v>
      </c>
      <c r="L264" s="4" t="str">
        <f t="shared" si="225"/>
        <v>PL</v>
      </c>
    </row>
    <row r="265" spans="1:12" outlineLevel="1" x14ac:dyDescent="0.25">
      <c r="A265" t="s">
        <v>76</v>
      </c>
      <c r="C265" s="2" t="s">
        <v>113</v>
      </c>
      <c r="D265" t="s">
        <v>80</v>
      </c>
      <c r="F265" t="str">
        <f t="shared" ref="F265" si="227">_xlfn.CONCAT("FretRout",LEFT(C265,3),RIGHT(C265,2),"PTAC")</f>
        <v>FretRoutCat25PTAC</v>
      </c>
      <c r="G265" t="s">
        <v>36</v>
      </c>
      <c r="H265">
        <v>1</v>
      </c>
      <c r="J265" t="s">
        <v>1459</v>
      </c>
      <c r="L265" s="4" t="str">
        <f t="shared" si="225"/>
        <v>&gt;14-20t</v>
      </c>
    </row>
    <row r="266" spans="1:12" outlineLevel="1" x14ac:dyDescent="0.25">
      <c r="A266" t="s">
        <v>76</v>
      </c>
      <c r="C266" s="2" t="s">
        <v>113</v>
      </c>
      <c r="D266" t="s">
        <v>81</v>
      </c>
      <c r="F266" t="str">
        <f t="shared" ref="F266" si="228">_xlfn.CONCAT("FretRout",LEFT(C266,3),RIGHT(C266,2),"Mot")</f>
        <v>FretRoutCat25Mot</v>
      </c>
      <c r="G266" t="s">
        <v>36</v>
      </c>
      <c r="H266">
        <v>1</v>
      </c>
      <c r="I266" s="2"/>
      <c r="J266" t="s">
        <v>138</v>
      </c>
      <c r="L266" s="4" t="str">
        <f t="shared" si="225"/>
        <v>Diesel</v>
      </c>
    </row>
    <row r="267" spans="1:12" outlineLevel="1" x14ac:dyDescent="0.25">
      <c r="A267" t="s">
        <v>76</v>
      </c>
      <c r="C267" s="2" t="s">
        <v>113</v>
      </c>
      <c r="D267" t="s">
        <v>82</v>
      </c>
      <c r="F267" t="str">
        <f t="shared" ref="F267" si="229">_xlfn.CONCAT("FretRout",LEFT(C267,3),RIGHT(C267,2),"Carb")</f>
        <v>FretRoutCat25Carb</v>
      </c>
      <c r="G267" t="s">
        <v>36</v>
      </c>
      <c r="H267">
        <v>1</v>
      </c>
      <c r="J267" t="s">
        <v>1449</v>
      </c>
      <c r="L267" s="4" t="str">
        <f t="shared" si="225"/>
        <v>Gazole à la pompe</v>
      </c>
    </row>
    <row r="268" spans="1:12" outlineLevel="1" x14ac:dyDescent="0.25">
      <c r="A268" t="s">
        <v>76</v>
      </c>
      <c r="C268" s="2" t="s">
        <v>113</v>
      </c>
      <c r="D268" t="s">
        <v>83</v>
      </c>
      <c r="F268" t="str">
        <f t="shared" ref="F268" si="230">_xlfn.CONCAT("FretRout",LEFT(C268,3),RIGHT(C268,2),"Euro")</f>
        <v>FretRoutCat25Euro</v>
      </c>
      <c r="G268" t="s">
        <v>36</v>
      </c>
      <c r="H268">
        <v>1</v>
      </c>
      <c r="J268">
        <v>0</v>
      </c>
      <c r="L268" s="4">
        <f t="shared" si="225"/>
        <v>0</v>
      </c>
    </row>
    <row r="269" spans="1:12" outlineLevel="1" x14ac:dyDescent="0.25">
      <c r="A269" t="s">
        <v>76</v>
      </c>
      <c r="C269" s="2" t="s">
        <v>113</v>
      </c>
      <c r="D269" t="s">
        <v>84</v>
      </c>
      <c r="F269" t="str">
        <f t="shared" ref="F269" si="231">_xlfn.CONCAT("FretRout",LEFT(C269,3),RIGHT(C269,2),"CritAir")</f>
        <v>FretRoutCat25CritAir</v>
      </c>
      <c r="G269" t="s">
        <v>36</v>
      </c>
      <c r="H269">
        <v>1</v>
      </c>
      <c r="I269" s="2"/>
      <c r="J269">
        <v>3</v>
      </c>
      <c r="L269" s="4">
        <f t="shared" si="225"/>
        <v>3</v>
      </c>
    </row>
    <row r="270" spans="1:12" outlineLevel="1" x14ac:dyDescent="0.25">
      <c r="A270" t="s">
        <v>76</v>
      </c>
      <c r="C270" s="2" t="s">
        <v>113</v>
      </c>
      <c r="D270" t="s">
        <v>85</v>
      </c>
      <c r="F270" t="str">
        <f t="shared" ref="F270" si="232">_xlfn.CONCAT("FretRout",LEFT(C270,3),RIGHT(C270,2),"Nb")</f>
        <v>FretRoutCat25Nb</v>
      </c>
      <c r="G270" t="s">
        <v>17</v>
      </c>
      <c r="H270">
        <v>1</v>
      </c>
      <c r="K270" t="s">
        <v>86</v>
      </c>
      <c r="L270">
        <v>0</v>
      </c>
    </row>
    <row r="271" spans="1:12" outlineLevel="1" x14ac:dyDescent="0.25">
      <c r="A271" t="s">
        <v>76</v>
      </c>
      <c r="C271" s="2" t="s">
        <v>113</v>
      </c>
      <c r="D271" t="s">
        <v>87</v>
      </c>
      <c r="F271" t="str">
        <f t="shared" ref="F271" si="233">_xlfn.CONCAT("FretRout",LEFT(C271,3),RIGHT(C271,2),"Dist")</f>
        <v>FretRoutCat25Dist</v>
      </c>
      <c r="G271" t="s">
        <v>17</v>
      </c>
      <c r="H271">
        <v>1</v>
      </c>
      <c r="I271" s="2"/>
      <c r="K271" t="s">
        <v>88</v>
      </c>
      <c r="L271">
        <v>42385.998762263436</v>
      </c>
    </row>
    <row r="272" spans="1:12" outlineLevel="1" x14ac:dyDescent="0.25">
      <c r="A272" t="s">
        <v>76</v>
      </c>
      <c r="C272" s="2" t="s">
        <v>113</v>
      </c>
      <c r="D272" s="2" t="s">
        <v>89</v>
      </c>
      <c r="F272" t="str">
        <f t="shared" ref="F272" si="234">_xlfn.CONCAT("FretRout",LEFT(C272,3),RIGHT(C272,2),"Rempl")</f>
        <v>FretRoutCat25Rempl</v>
      </c>
      <c r="G272" t="s">
        <v>17</v>
      </c>
      <c r="H272">
        <v>1</v>
      </c>
      <c r="I272" s="3"/>
      <c r="K272" t="s">
        <v>70</v>
      </c>
      <c r="L272">
        <v>0</v>
      </c>
    </row>
    <row r="273" spans="1:12" outlineLevel="1" x14ac:dyDescent="0.25">
      <c r="A273" t="s">
        <v>76</v>
      </c>
      <c r="C273" s="2" t="s">
        <v>114</v>
      </c>
      <c r="D273" t="s">
        <v>78</v>
      </c>
      <c r="F273" t="str">
        <f t="shared" ref="F273" si="235">_xlfn.CONCAT("FretRout",LEFT(C273,3),RIGHT(C273,2),"Nom")</f>
        <v>FretRoutCat26Nom</v>
      </c>
      <c r="G273" t="s">
        <v>20</v>
      </c>
      <c r="H273">
        <v>1</v>
      </c>
      <c r="I273" s="4"/>
      <c r="J273" s="4" t="s">
        <v>411</v>
      </c>
      <c r="L273" s="4" t="str">
        <f t="shared" ref="L273:L279" si="236">J273</f>
        <v>PL Diesel &gt;14-20t (Crit'Air 4)</v>
      </c>
    </row>
    <row r="274" spans="1:12" outlineLevel="1" x14ac:dyDescent="0.25">
      <c r="A274" t="s">
        <v>76</v>
      </c>
      <c r="C274" s="2" t="s">
        <v>114</v>
      </c>
      <c r="D274" t="s">
        <v>79</v>
      </c>
      <c r="F274" t="str">
        <f t="shared" ref="F274" si="237">_xlfn.CONCAT("FretRout",LEFT(C274,3),RIGHT(C274,2),"Type")</f>
        <v>FretRoutCat26Type</v>
      </c>
      <c r="G274" t="s">
        <v>20</v>
      </c>
      <c r="H274">
        <v>1</v>
      </c>
      <c r="J274" t="s">
        <v>1771</v>
      </c>
      <c r="L274" s="4" t="str">
        <f t="shared" si="236"/>
        <v>PL</v>
      </c>
    </row>
    <row r="275" spans="1:12" outlineLevel="1" x14ac:dyDescent="0.25">
      <c r="A275" t="s">
        <v>76</v>
      </c>
      <c r="C275" s="2" t="s">
        <v>114</v>
      </c>
      <c r="D275" t="s">
        <v>80</v>
      </c>
      <c r="F275" t="str">
        <f t="shared" ref="F275" si="238">_xlfn.CONCAT("FretRout",LEFT(C275,3),RIGHT(C275,2),"PTAC")</f>
        <v>FretRoutCat26PTAC</v>
      </c>
      <c r="G275" t="s">
        <v>36</v>
      </c>
      <c r="H275">
        <v>1</v>
      </c>
      <c r="J275" t="s">
        <v>1459</v>
      </c>
      <c r="L275" s="4" t="str">
        <f t="shared" si="236"/>
        <v>&gt;14-20t</v>
      </c>
    </row>
    <row r="276" spans="1:12" outlineLevel="1" x14ac:dyDescent="0.25">
      <c r="A276" t="s">
        <v>76</v>
      </c>
      <c r="C276" s="2" t="s">
        <v>114</v>
      </c>
      <c r="D276" t="s">
        <v>81</v>
      </c>
      <c r="F276" t="str">
        <f t="shared" ref="F276" si="239">_xlfn.CONCAT("FretRout",LEFT(C276,3),RIGHT(C276,2),"Mot")</f>
        <v>FretRoutCat26Mot</v>
      </c>
      <c r="G276" t="s">
        <v>36</v>
      </c>
      <c r="H276">
        <v>1</v>
      </c>
      <c r="I276" s="2"/>
      <c r="J276" t="s">
        <v>138</v>
      </c>
      <c r="L276" s="4" t="str">
        <f t="shared" si="236"/>
        <v>Diesel</v>
      </c>
    </row>
    <row r="277" spans="1:12" outlineLevel="1" x14ac:dyDescent="0.25">
      <c r="A277" t="s">
        <v>76</v>
      </c>
      <c r="C277" s="2" t="s">
        <v>114</v>
      </c>
      <c r="D277" t="s">
        <v>82</v>
      </c>
      <c r="F277" t="str">
        <f t="shared" ref="F277" si="240">_xlfn.CONCAT("FretRout",LEFT(C277,3),RIGHT(C277,2),"Carb")</f>
        <v>FretRoutCat26Carb</v>
      </c>
      <c r="G277" t="s">
        <v>36</v>
      </c>
      <c r="H277">
        <v>1</v>
      </c>
      <c r="J277" t="s">
        <v>1449</v>
      </c>
      <c r="L277" s="4" t="str">
        <f t="shared" si="236"/>
        <v>Gazole à la pompe</v>
      </c>
    </row>
    <row r="278" spans="1:12" outlineLevel="1" x14ac:dyDescent="0.25">
      <c r="A278" t="s">
        <v>76</v>
      </c>
      <c r="C278" s="2" t="s">
        <v>114</v>
      </c>
      <c r="D278" t="s">
        <v>83</v>
      </c>
      <c r="F278" t="str">
        <f t="shared" ref="F278" si="241">_xlfn.CONCAT("FretRout",LEFT(C278,3),RIGHT(C278,2),"Euro")</f>
        <v>FretRoutCat26Euro</v>
      </c>
      <c r="G278" t="s">
        <v>36</v>
      </c>
      <c r="H278">
        <v>1</v>
      </c>
      <c r="J278">
        <v>0</v>
      </c>
      <c r="L278" s="4">
        <f t="shared" si="236"/>
        <v>0</v>
      </c>
    </row>
    <row r="279" spans="1:12" outlineLevel="1" x14ac:dyDescent="0.25">
      <c r="A279" t="s">
        <v>76</v>
      </c>
      <c r="C279" s="2" t="s">
        <v>114</v>
      </c>
      <c r="D279" t="s">
        <v>84</v>
      </c>
      <c r="F279" t="str">
        <f t="shared" ref="F279" si="242">_xlfn.CONCAT("FretRout",LEFT(C279,3),RIGHT(C279,2),"CritAir")</f>
        <v>FretRoutCat26CritAir</v>
      </c>
      <c r="G279" t="s">
        <v>36</v>
      </c>
      <c r="H279">
        <v>1</v>
      </c>
      <c r="I279" s="2"/>
      <c r="J279">
        <v>4</v>
      </c>
      <c r="L279" s="4">
        <f t="shared" si="236"/>
        <v>4</v>
      </c>
    </row>
    <row r="280" spans="1:12" outlineLevel="1" x14ac:dyDescent="0.25">
      <c r="A280" t="s">
        <v>76</v>
      </c>
      <c r="C280" s="2" t="s">
        <v>114</v>
      </c>
      <c r="D280" t="s">
        <v>85</v>
      </c>
      <c r="F280" t="str">
        <f t="shared" ref="F280" si="243">_xlfn.CONCAT("FretRout",LEFT(C280,3),RIGHT(C280,2),"Nb")</f>
        <v>FretRoutCat26Nb</v>
      </c>
      <c r="G280" t="s">
        <v>17</v>
      </c>
      <c r="H280">
        <v>1</v>
      </c>
      <c r="K280" t="s">
        <v>86</v>
      </c>
      <c r="L280">
        <v>0</v>
      </c>
    </row>
    <row r="281" spans="1:12" outlineLevel="1" x14ac:dyDescent="0.25">
      <c r="A281" t="s">
        <v>76</v>
      </c>
      <c r="C281" s="2" t="s">
        <v>114</v>
      </c>
      <c r="D281" t="s">
        <v>87</v>
      </c>
      <c r="F281" t="str">
        <f t="shared" ref="F281" si="244">_xlfn.CONCAT("FretRout",LEFT(C281,3),RIGHT(C281,2),"Dist")</f>
        <v>FretRoutCat26Dist</v>
      </c>
      <c r="G281" t="s">
        <v>17</v>
      </c>
      <c r="H281">
        <v>1</v>
      </c>
      <c r="I281" s="2"/>
      <c r="K281" t="s">
        <v>88</v>
      </c>
      <c r="L281">
        <v>42385.998762263436</v>
      </c>
    </row>
    <row r="282" spans="1:12" outlineLevel="1" x14ac:dyDescent="0.25">
      <c r="A282" t="s">
        <v>76</v>
      </c>
      <c r="C282" s="2" t="s">
        <v>114</v>
      </c>
      <c r="D282" s="2" t="s">
        <v>89</v>
      </c>
      <c r="F282" t="str">
        <f t="shared" ref="F282" si="245">_xlfn.CONCAT("FretRout",LEFT(C282,3),RIGHT(C282,2),"Rempl")</f>
        <v>FretRoutCat26Rempl</v>
      </c>
      <c r="G282" t="s">
        <v>17</v>
      </c>
      <c r="H282">
        <v>1</v>
      </c>
      <c r="I282" s="3"/>
      <c r="K282" t="s">
        <v>70</v>
      </c>
      <c r="L282">
        <v>0</v>
      </c>
    </row>
    <row r="283" spans="1:12" outlineLevel="1" x14ac:dyDescent="0.25">
      <c r="A283" t="s">
        <v>76</v>
      </c>
      <c r="C283" s="2" t="s">
        <v>115</v>
      </c>
      <c r="D283" t="s">
        <v>78</v>
      </c>
      <c r="F283" t="str">
        <f t="shared" ref="F283" si="246">_xlfn.CONCAT("FretRout",LEFT(C283,3),RIGHT(C283,2),"Nom")</f>
        <v>FretRoutCat27Nom</v>
      </c>
      <c r="G283" t="s">
        <v>20</v>
      </c>
      <c r="H283">
        <v>1</v>
      </c>
      <c r="I283" s="4"/>
      <c r="J283" s="4" t="s">
        <v>412</v>
      </c>
      <c r="L283" s="4" t="str">
        <f t="shared" ref="L283:L289" si="247">J283</f>
        <v>PL Diesel &gt;14-20t (Crit'Air 5)</v>
      </c>
    </row>
    <row r="284" spans="1:12" outlineLevel="1" x14ac:dyDescent="0.25">
      <c r="A284" t="s">
        <v>76</v>
      </c>
      <c r="C284" s="2" t="s">
        <v>115</v>
      </c>
      <c r="D284" t="s">
        <v>79</v>
      </c>
      <c r="F284" t="str">
        <f t="shared" ref="F284" si="248">_xlfn.CONCAT("FretRout",LEFT(C284,3),RIGHT(C284,2),"Type")</f>
        <v>FretRoutCat27Type</v>
      </c>
      <c r="G284" t="s">
        <v>20</v>
      </c>
      <c r="H284">
        <v>1</v>
      </c>
      <c r="J284" t="s">
        <v>1771</v>
      </c>
      <c r="L284" s="4" t="str">
        <f t="shared" si="247"/>
        <v>PL</v>
      </c>
    </row>
    <row r="285" spans="1:12" outlineLevel="1" x14ac:dyDescent="0.25">
      <c r="A285" t="s">
        <v>76</v>
      </c>
      <c r="C285" s="2" t="s">
        <v>115</v>
      </c>
      <c r="D285" t="s">
        <v>80</v>
      </c>
      <c r="F285" t="str">
        <f t="shared" ref="F285" si="249">_xlfn.CONCAT("FretRout",LEFT(C285,3),RIGHT(C285,2),"PTAC")</f>
        <v>FretRoutCat27PTAC</v>
      </c>
      <c r="G285" t="s">
        <v>36</v>
      </c>
      <c r="H285">
        <v>1</v>
      </c>
      <c r="J285" t="s">
        <v>1459</v>
      </c>
      <c r="L285" s="4" t="str">
        <f t="shared" si="247"/>
        <v>&gt;14-20t</v>
      </c>
    </row>
    <row r="286" spans="1:12" outlineLevel="1" x14ac:dyDescent="0.25">
      <c r="A286" t="s">
        <v>76</v>
      </c>
      <c r="C286" s="2" t="s">
        <v>115</v>
      </c>
      <c r="D286" t="s">
        <v>81</v>
      </c>
      <c r="F286" t="str">
        <f t="shared" ref="F286" si="250">_xlfn.CONCAT("FretRout",LEFT(C286,3),RIGHT(C286,2),"Mot")</f>
        <v>FretRoutCat27Mot</v>
      </c>
      <c r="G286" t="s">
        <v>36</v>
      </c>
      <c r="H286">
        <v>1</v>
      </c>
      <c r="I286" s="2"/>
      <c r="J286" t="s">
        <v>138</v>
      </c>
      <c r="L286" s="4" t="str">
        <f t="shared" si="247"/>
        <v>Diesel</v>
      </c>
    </row>
    <row r="287" spans="1:12" outlineLevel="1" x14ac:dyDescent="0.25">
      <c r="A287" t="s">
        <v>76</v>
      </c>
      <c r="C287" s="2" t="s">
        <v>115</v>
      </c>
      <c r="D287" t="s">
        <v>82</v>
      </c>
      <c r="F287" t="str">
        <f t="shared" ref="F287" si="251">_xlfn.CONCAT("FretRout",LEFT(C287,3),RIGHT(C287,2),"Carb")</f>
        <v>FretRoutCat27Carb</v>
      </c>
      <c r="G287" t="s">
        <v>36</v>
      </c>
      <c r="H287">
        <v>1</v>
      </c>
      <c r="J287" t="s">
        <v>1449</v>
      </c>
      <c r="L287" s="4" t="str">
        <f t="shared" si="247"/>
        <v>Gazole à la pompe</v>
      </c>
    </row>
    <row r="288" spans="1:12" outlineLevel="1" x14ac:dyDescent="0.25">
      <c r="A288" t="s">
        <v>76</v>
      </c>
      <c r="C288" s="2" t="s">
        <v>115</v>
      </c>
      <c r="D288" t="s">
        <v>83</v>
      </c>
      <c r="F288" t="str">
        <f t="shared" ref="F288" si="252">_xlfn.CONCAT("FretRout",LEFT(C288,3),RIGHT(C288,2),"Euro")</f>
        <v>FretRoutCat27Euro</v>
      </c>
      <c r="G288" t="s">
        <v>36</v>
      </c>
      <c r="H288">
        <v>1</v>
      </c>
      <c r="J288">
        <v>0</v>
      </c>
      <c r="L288" s="4">
        <f t="shared" si="247"/>
        <v>0</v>
      </c>
    </row>
    <row r="289" spans="1:12" outlineLevel="1" x14ac:dyDescent="0.25">
      <c r="A289" t="s">
        <v>76</v>
      </c>
      <c r="C289" s="2" t="s">
        <v>115</v>
      </c>
      <c r="D289" t="s">
        <v>84</v>
      </c>
      <c r="F289" t="str">
        <f t="shared" ref="F289" si="253">_xlfn.CONCAT("FretRout",LEFT(C289,3),RIGHT(C289,2),"CritAir")</f>
        <v>FretRoutCat27CritAir</v>
      </c>
      <c r="G289" t="s">
        <v>36</v>
      </c>
      <c r="H289">
        <v>1</v>
      </c>
      <c r="I289" s="2"/>
      <c r="J289">
        <v>5</v>
      </c>
      <c r="L289" s="4">
        <f t="shared" si="247"/>
        <v>5</v>
      </c>
    </row>
    <row r="290" spans="1:12" outlineLevel="1" x14ac:dyDescent="0.25">
      <c r="A290" t="s">
        <v>76</v>
      </c>
      <c r="C290" s="2" t="s">
        <v>115</v>
      </c>
      <c r="D290" t="s">
        <v>85</v>
      </c>
      <c r="F290" t="str">
        <f t="shared" ref="F290" si="254">_xlfn.CONCAT("FretRout",LEFT(C290,3),RIGHT(C290,2),"Nb")</f>
        <v>FretRoutCat27Nb</v>
      </c>
      <c r="G290" t="s">
        <v>17</v>
      </c>
      <c r="H290">
        <v>1</v>
      </c>
      <c r="K290" t="s">
        <v>86</v>
      </c>
      <c r="L290">
        <v>0</v>
      </c>
    </row>
    <row r="291" spans="1:12" outlineLevel="1" x14ac:dyDescent="0.25">
      <c r="A291" t="s">
        <v>76</v>
      </c>
      <c r="C291" s="2" t="s">
        <v>115</v>
      </c>
      <c r="D291" t="s">
        <v>87</v>
      </c>
      <c r="F291" t="str">
        <f t="shared" ref="F291" si="255">_xlfn.CONCAT("FretRout",LEFT(C291,3),RIGHT(C291,2),"Dist")</f>
        <v>FretRoutCat27Dist</v>
      </c>
      <c r="G291" t="s">
        <v>17</v>
      </c>
      <c r="H291">
        <v>1</v>
      </c>
      <c r="I291" s="2"/>
      <c r="K291" t="s">
        <v>88</v>
      </c>
      <c r="L291">
        <v>42385.998762263436</v>
      </c>
    </row>
    <row r="292" spans="1:12" outlineLevel="1" x14ac:dyDescent="0.25">
      <c r="A292" t="s">
        <v>76</v>
      </c>
      <c r="C292" s="2" t="s">
        <v>115</v>
      </c>
      <c r="D292" s="2" t="s">
        <v>89</v>
      </c>
      <c r="F292" t="str">
        <f t="shared" ref="F292" si="256">_xlfn.CONCAT("FretRout",LEFT(C292,3),RIGHT(C292,2),"Rempl")</f>
        <v>FretRoutCat27Rempl</v>
      </c>
      <c r="G292" t="s">
        <v>17</v>
      </c>
      <c r="H292">
        <v>1</v>
      </c>
      <c r="I292" s="3"/>
      <c r="K292" t="s">
        <v>70</v>
      </c>
      <c r="L292">
        <v>0</v>
      </c>
    </row>
    <row r="293" spans="1:12" outlineLevel="1" x14ac:dyDescent="0.25">
      <c r="A293" t="s">
        <v>76</v>
      </c>
      <c r="C293" s="2" t="s">
        <v>116</v>
      </c>
      <c r="D293" t="s">
        <v>78</v>
      </c>
      <c r="F293" t="str">
        <f t="shared" ref="F293" si="257">_xlfn.CONCAT("FretRout",LEFT(C293,3),RIGHT(C293,2),"Nom")</f>
        <v>FretRoutCat28Nom</v>
      </c>
      <c r="G293" t="s">
        <v>20</v>
      </c>
      <c r="H293">
        <v>1</v>
      </c>
      <c r="I293" s="4"/>
      <c r="J293" s="4" t="s">
        <v>413</v>
      </c>
      <c r="L293" s="4" t="str">
        <f t="shared" ref="L293:L299" si="258">J293</f>
        <v>PL Diesel &gt;20-26t (Crit'Air 2)</v>
      </c>
    </row>
    <row r="294" spans="1:12" outlineLevel="1" x14ac:dyDescent="0.25">
      <c r="A294" t="s">
        <v>76</v>
      </c>
      <c r="C294" s="2" t="s">
        <v>116</v>
      </c>
      <c r="D294" t="s">
        <v>79</v>
      </c>
      <c r="F294" t="str">
        <f t="shared" ref="F294" si="259">_xlfn.CONCAT("FretRout",LEFT(C294,3),RIGHT(C294,2),"Type")</f>
        <v>FretRoutCat28Type</v>
      </c>
      <c r="G294" t="s">
        <v>20</v>
      </c>
      <c r="H294">
        <v>1</v>
      </c>
      <c r="J294" t="s">
        <v>1771</v>
      </c>
      <c r="L294" s="4" t="str">
        <f t="shared" si="258"/>
        <v>PL</v>
      </c>
    </row>
    <row r="295" spans="1:12" outlineLevel="1" x14ac:dyDescent="0.25">
      <c r="A295" t="s">
        <v>76</v>
      </c>
      <c r="C295" s="2" t="s">
        <v>116</v>
      </c>
      <c r="D295" t="s">
        <v>80</v>
      </c>
      <c r="F295" t="str">
        <f t="shared" ref="F295" si="260">_xlfn.CONCAT("FretRout",LEFT(C295,3),RIGHT(C295,2),"PTAC")</f>
        <v>FretRoutCat28PTAC</v>
      </c>
      <c r="G295" t="s">
        <v>36</v>
      </c>
      <c r="H295">
        <v>1</v>
      </c>
      <c r="J295" t="s">
        <v>1460</v>
      </c>
      <c r="L295" s="4" t="str">
        <f t="shared" si="258"/>
        <v>&gt;20-26t</v>
      </c>
    </row>
    <row r="296" spans="1:12" outlineLevel="1" x14ac:dyDescent="0.25">
      <c r="A296" t="s">
        <v>76</v>
      </c>
      <c r="C296" s="2" t="s">
        <v>116</v>
      </c>
      <c r="D296" t="s">
        <v>81</v>
      </c>
      <c r="F296" t="str">
        <f t="shared" ref="F296" si="261">_xlfn.CONCAT("FretRout",LEFT(C296,3),RIGHT(C296,2),"Mot")</f>
        <v>FretRoutCat28Mot</v>
      </c>
      <c r="G296" t="s">
        <v>36</v>
      </c>
      <c r="H296">
        <v>1</v>
      </c>
      <c r="I296" s="2"/>
      <c r="J296" t="s">
        <v>138</v>
      </c>
      <c r="L296" s="4" t="str">
        <f t="shared" si="258"/>
        <v>Diesel</v>
      </c>
    </row>
    <row r="297" spans="1:12" outlineLevel="1" x14ac:dyDescent="0.25">
      <c r="A297" t="s">
        <v>76</v>
      </c>
      <c r="C297" s="2" t="s">
        <v>116</v>
      </c>
      <c r="D297" t="s">
        <v>82</v>
      </c>
      <c r="F297" t="str">
        <f t="shared" ref="F297" si="262">_xlfn.CONCAT("FretRout",LEFT(C297,3),RIGHT(C297,2),"Carb")</f>
        <v>FretRoutCat28Carb</v>
      </c>
      <c r="G297" t="s">
        <v>36</v>
      </c>
      <c r="H297">
        <v>1</v>
      </c>
      <c r="J297" t="s">
        <v>1449</v>
      </c>
      <c r="L297" s="4" t="str">
        <f t="shared" si="258"/>
        <v>Gazole à la pompe</v>
      </c>
    </row>
    <row r="298" spans="1:12" outlineLevel="1" x14ac:dyDescent="0.25">
      <c r="A298" t="s">
        <v>76</v>
      </c>
      <c r="C298" s="2" t="s">
        <v>116</v>
      </c>
      <c r="D298" t="s">
        <v>83</v>
      </c>
      <c r="F298" t="str">
        <f t="shared" ref="F298" si="263">_xlfn.CONCAT("FretRout",LEFT(C298,3),RIGHT(C298,2),"Euro")</f>
        <v>FretRoutCat28Euro</v>
      </c>
      <c r="G298" t="s">
        <v>36</v>
      </c>
      <c r="H298">
        <v>1</v>
      </c>
      <c r="J298">
        <v>0</v>
      </c>
      <c r="L298" s="4">
        <f t="shared" si="258"/>
        <v>0</v>
      </c>
    </row>
    <row r="299" spans="1:12" outlineLevel="1" x14ac:dyDescent="0.25">
      <c r="A299" t="s">
        <v>76</v>
      </c>
      <c r="C299" s="2" t="s">
        <v>116</v>
      </c>
      <c r="D299" t="s">
        <v>84</v>
      </c>
      <c r="F299" t="str">
        <f t="shared" ref="F299" si="264">_xlfn.CONCAT("FretRout",LEFT(C299,3),RIGHT(C299,2),"CritAir")</f>
        <v>FretRoutCat28CritAir</v>
      </c>
      <c r="G299" t="s">
        <v>36</v>
      </c>
      <c r="H299">
        <v>1</v>
      </c>
      <c r="I299" s="2"/>
      <c r="J299">
        <v>2</v>
      </c>
      <c r="L299" s="4">
        <f t="shared" si="258"/>
        <v>2</v>
      </c>
    </row>
    <row r="300" spans="1:12" outlineLevel="1" x14ac:dyDescent="0.25">
      <c r="A300" t="s">
        <v>76</v>
      </c>
      <c r="C300" s="2" t="s">
        <v>116</v>
      </c>
      <c r="D300" t="s">
        <v>85</v>
      </c>
      <c r="F300" t="str">
        <f t="shared" ref="F300" si="265">_xlfn.CONCAT("FretRout",LEFT(C300,3),RIGHT(C300,2),"Nb")</f>
        <v>FretRoutCat28Nb</v>
      </c>
      <c r="G300" t="s">
        <v>17</v>
      </c>
      <c r="H300">
        <v>1</v>
      </c>
      <c r="K300" t="s">
        <v>86</v>
      </c>
      <c r="L300">
        <v>0</v>
      </c>
    </row>
    <row r="301" spans="1:12" outlineLevel="1" x14ac:dyDescent="0.25">
      <c r="A301" t="s">
        <v>76</v>
      </c>
      <c r="C301" s="2" t="s">
        <v>116</v>
      </c>
      <c r="D301" t="s">
        <v>87</v>
      </c>
      <c r="F301" t="str">
        <f t="shared" ref="F301" si="266">_xlfn.CONCAT("FretRout",LEFT(C301,3),RIGHT(C301,2),"Dist")</f>
        <v>FretRoutCat28Dist</v>
      </c>
      <c r="G301" t="s">
        <v>17</v>
      </c>
      <c r="H301">
        <v>1</v>
      </c>
      <c r="I301" s="2"/>
      <c r="K301" t="s">
        <v>88</v>
      </c>
      <c r="L301">
        <v>42385.998762263436</v>
      </c>
    </row>
    <row r="302" spans="1:12" outlineLevel="1" x14ac:dyDescent="0.25">
      <c r="A302" t="s">
        <v>76</v>
      </c>
      <c r="C302" s="2" t="s">
        <v>116</v>
      </c>
      <c r="D302" s="2" t="s">
        <v>89</v>
      </c>
      <c r="F302" t="str">
        <f t="shared" ref="F302" si="267">_xlfn.CONCAT("FretRout",LEFT(C302,3),RIGHT(C302,2),"Rempl")</f>
        <v>FretRoutCat28Rempl</v>
      </c>
      <c r="G302" t="s">
        <v>17</v>
      </c>
      <c r="H302">
        <v>1</v>
      </c>
      <c r="I302" s="3"/>
      <c r="K302" t="s">
        <v>70</v>
      </c>
      <c r="L302">
        <v>0</v>
      </c>
    </row>
    <row r="303" spans="1:12" outlineLevel="1" x14ac:dyDescent="0.25">
      <c r="A303" t="s">
        <v>76</v>
      </c>
      <c r="C303" s="2" t="s">
        <v>117</v>
      </c>
      <c r="D303" t="s">
        <v>78</v>
      </c>
      <c r="F303" t="str">
        <f t="shared" ref="F303" si="268">_xlfn.CONCAT("FretRout",LEFT(C303,3),RIGHT(C303,2),"Nom")</f>
        <v>FretRoutCat29Nom</v>
      </c>
      <c r="G303" t="s">
        <v>20</v>
      </c>
      <c r="H303">
        <v>1</v>
      </c>
      <c r="I303" s="4"/>
      <c r="J303" s="4" t="s">
        <v>414</v>
      </c>
      <c r="L303" s="4" t="str">
        <f t="shared" ref="L303:L309" si="269">J303</f>
        <v>PL Diesel &gt;20-26t (Crit'Air 3)</v>
      </c>
    </row>
    <row r="304" spans="1:12" outlineLevel="1" x14ac:dyDescent="0.25">
      <c r="A304" t="s">
        <v>76</v>
      </c>
      <c r="C304" s="2" t="s">
        <v>117</v>
      </c>
      <c r="D304" t="s">
        <v>79</v>
      </c>
      <c r="F304" t="str">
        <f t="shared" ref="F304" si="270">_xlfn.CONCAT("FretRout",LEFT(C304,3),RIGHT(C304,2),"Type")</f>
        <v>FretRoutCat29Type</v>
      </c>
      <c r="G304" t="s">
        <v>20</v>
      </c>
      <c r="H304">
        <v>1</v>
      </c>
      <c r="J304" t="s">
        <v>1771</v>
      </c>
      <c r="L304" s="4" t="str">
        <f t="shared" si="269"/>
        <v>PL</v>
      </c>
    </row>
    <row r="305" spans="1:12" outlineLevel="1" x14ac:dyDescent="0.25">
      <c r="A305" t="s">
        <v>76</v>
      </c>
      <c r="C305" s="2" t="s">
        <v>117</v>
      </c>
      <c r="D305" t="s">
        <v>80</v>
      </c>
      <c r="F305" t="str">
        <f t="shared" ref="F305" si="271">_xlfn.CONCAT("FretRout",LEFT(C305,3),RIGHT(C305,2),"PTAC")</f>
        <v>FretRoutCat29PTAC</v>
      </c>
      <c r="G305" t="s">
        <v>36</v>
      </c>
      <c r="H305">
        <v>1</v>
      </c>
      <c r="J305" t="s">
        <v>1460</v>
      </c>
      <c r="L305" s="4" t="str">
        <f t="shared" si="269"/>
        <v>&gt;20-26t</v>
      </c>
    </row>
    <row r="306" spans="1:12" outlineLevel="1" x14ac:dyDescent="0.25">
      <c r="A306" t="s">
        <v>76</v>
      </c>
      <c r="C306" s="2" t="s">
        <v>117</v>
      </c>
      <c r="D306" t="s">
        <v>81</v>
      </c>
      <c r="F306" t="str">
        <f t="shared" ref="F306" si="272">_xlfn.CONCAT("FretRout",LEFT(C306,3),RIGHT(C306,2),"Mot")</f>
        <v>FretRoutCat29Mot</v>
      </c>
      <c r="G306" t="s">
        <v>36</v>
      </c>
      <c r="H306">
        <v>1</v>
      </c>
      <c r="I306" s="2"/>
      <c r="J306" t="s">
        <v>138</v>
      </c>
      <c r="L306" s="4" t="str">
        <f t="shared" si="269"/>
        <v>Diesel</v>
      </c>
    </row>
    <row r="307" spans="1:12" outlineLevel="1" x14ac:dyDescent="0.25">
      <c r="A307" t="s">
        <v>76</v>
      </c>
      <c r="C307" s="2" t="s">
        <v>117</v>
      </c>
      <c r="D307" t="s">
        <v>82</v>
      </c>
      <c r="F307" t="str">
        <f t="shared" ref="F307" si="273">_xlfn.CONCAT("FretRout",LEFT(C307,3),RIGHT(C307,2),"Carb")</f>
        <v>FretRoutCat29Carb</v>
      </c>
      <c r="G307" t="s">
        <v>36</v>
      </c>
      <c r="H307">
        <v>1</v>
      </c>
      <c r="J307" t="s">
        <v>1449</v>
      </c>
      <c r="L307" s="4" t="str">
        <f t="shared" si="269"/>
        <v>Gazole à la pompe</v>
      </c>
    </row>
    <row r="308" spans="1:12" outlineLevel="1" x14ac:dyDescent="0.25">
      <c r="A308" t="s">
        <v>76</v>
      </c>
      <c r="C308" s="2" t="s">
        <v>117</v>
      </c>
      <c r="D308" t="s">
        <v>83</v>
      </c>
      <c r="F308" t="str">
        <f t="shared" ref="F308" si="274">_xlfn.CONCAT("FretRout",LEFT(C308,3),RIGHT(C308,2),"Euro")</f>
        <v>FretRoutCat29Euro</v>
      </c>
      <c r="G308" t="s">
        <v>36</v>
      </c>
      <c r="H308">
        <v>1</v>
      </c>
      <c r="J308">
        <v>0</v>
      </c>
      <c r="L308" s="4">
        <f t="shared" si="269"/>
        <v>0</v>
      </c>
    </row>
    <row r="309" spans="1:12" outlineLevel="1" x14ac:dyDescent="0.25">
      <c r="A309" t="s">
        <v>76</v>
      </c>
      <c r="C309" s="2" t="s">
        <v>117</v>
      </c>
      <c r="D309" t="s">
        <v>84</v>
      </c>
      <c r="F309" t="str">
        <f t="shared" ref="F309" si="275">_xlfn.CONCAT("FretRout",LEFT(C309,3),RIGHT(C309,2),"CritAir")</f>
        <v>FretRoutCat29CritAir</v>
      </c>
      <c r="G309" t="s">
        <v>36</v>
      </c>
      <c r="H309">
        <v>1</v>
      </c>
      <c r="I309" s="2"/>
      <c r="J309">
        <v>3</v>
      </c>
      <c r="L309" s="4">
        <f t="shared" si="269"/>
        <v>3</v>
      </c>
    </row>
    <row r="310" spans="1:12" outlineLevel="1" x14ac:dyDescent="0.25">
      <c r="A310" t="s">
        <v>76</v>
      </c>
      <c r="C310" s="2" t="s">
        <v>117</v>
      </c>
      <c r="D310" t="s">
        <v>85</v>
      </c>
      <c r="F310" t="str">
        <f t="shared" ref="F310" si="276">_xlfn.CONCAT("FretRout",LEFT(C310,3),RIGHT(C310,2),"Nb")</f>
        <v>FretRoutCat29Nb</v>
      </c>
      <c r="G310" t="s">
        <v>17</v>
      </c>
      <c r="H310">
        <v>1</v>
      </c>
      <c r="K310" t="s">
        <v>86</v>
      </c>
      <c r="L310">
        <v>0</v>
      </c>
    </row>
    <row r="311" spans="1:12" outlineLevel="1" x14ac:dyDescent="0.25">
      <c r="A311" t="s">
        <v>76</v>
      </c>
      <c r="C311" s="2" t="s">
        <v>117</v>
      </c>
      <c r="D311" t="s">
        <v>87</v>
      </c>
      <c r="F311" t="str">
        <f t="shared" ref="F311" si="277">_xlfn.CONCAT("FretRout",LEFT(C311,3),RIGHT(C311,2),"Dist")</f>
        <v>FretRoutCat29Dist</v>
      </c>
      <c r="G311" t="s">
        <v>17</v>
      </c>
      <c r="H311">
        <v>1</v>
      </c>
      <c r="I311" s="2"/>
      <c r="K311" t="s">
        <v>88</v>
      </c>
      <c r="L311">
        <v>42385.998762263436</v>
      </c>
    </row>
    <row r="312" spans="1:12" outlineLevel="1" x14ac:dyDescent="0.25">
      <c r="A312" t="s">
        <v>76</v>
      </c>
      <c r="C312" s="2" t="s">
        <v>117</v>
      </c>
      <c r="D312" s="2" t="s">
        <v>89</v>
      </c>
      <c r="F312" t="str">
        <f t="shared" ref="F312" si="278">_xlfn.CONCAT("FretRout",LEFT(C312,3),RIGHT(C312,2),"Rempl")</f>
        <v>FretRoutCat29Rempl</v>
      </c>
      <c r="G312" t="s">
        <v>17</v>
      </c>
      <c r="H312">
        <v>1</v>
      </c>
      <c r="I312" s="3"/>
      <c r="K312" t="s">
        <v>70</v>
      </c>
      <c r="L312">
        <v>0</v>
      </c>
    </row>
    <row r="313" spans="1:12" outlineLevel="1" x14ac:dyDescent="0.25">
      <c r="A313" t="s">
        <v>76</v>
      </c>
      <c r="C313" s="2" t="s">
        <v>118</v>
      </c>
      <c r="D313" t="s">
        <v>78</v>
      </c>
      <c r="F313" t="str">
        <f t="shared" ref="F313" si="279">_xlfn.CONCAT("FretRout",LEFT(C313,3),RIGHT(C313,2),"Nom")</f>
        <v>FretRoutCat30Nom</v>
      </c>
      <c r="G313" t="s">
        <v>20</v>
      </c>
      <c r="H313">
        <v>1</v>
      </c>
      <c r="I313" s="4"/>
      <c r="J313" s="4" t="s">
        <v>415</v>
      </c>
      <c r="L313" s="4" t="str">
        <f t="shared" ref="L313:L319" si="280">J313</f>
        <v>PL Diesel &gt;20-26t (Crit'Air 4)</v>
      </c>
    </row>
    <row r="314" spans="1:12" outlineLevel="1" x14ac:dyDescent="0.25">
      <c r="A314" t="s">
        <v>76</v>
      </c>
      <c r="C314" s="2" t="s">
        <v>118</v>
      </c>
      <c r="D314" t="s">
        <v>79</v>
      </c>
      <c r="F314" t="str">
        <f t="shared" ref="F314" si="281">_xlfn.CONCAT("FretRout",LEFT(C314,3),RIGHT(C314,2),"Type")</f>
        <v>FretRoutCat30Type</v>
      </c>
      <c r="G314" t="s">
        <v>20</v>
      </c>
      <c r="H314">
        <v>1</v>
      </c>
      <c r="J314" t="s">
        <v>1771</v>
      </c>
      <c r="L314" s="4" t="str">
        <f t="shared" si="280"/>
        <v>PL</v>
      </c>
    </row>
    <row r="315" spans="1:12" outlineLevel="1" x14ac:dyDescent="0.25">
      <c r="A315" t="s">
        <v>76</v>
      </c>
      <c r="C315" s="2" t="s">
        <v>118</v>
      </c>
      <c r="D315" t="s">
        <v>80</v>
      </c>
      <c r="F315" t="str">
        <f t="shared" ref="F315" si="282">_xlfn.CONCAT("FretRout",LEFT(C315,3),RIGHT(C315,2),"PTAC")</f>
        <v>FretRoutCat30PTAC</v>
      </c>
      <c r="G315" t="s">
        <v>36</v>
      </c>
      <c r="H315">
        <v>1</v>
      </c>
      <c r="J315" t="s">
        <v>1460</v>
      </c>
      <c r="L315" s="4" t="str">
        <f t="shared" si="280"/>
        <v>&gt;20-26t</v>
      </c>
    </row>
    <row r="316" spans="1:12" outlineLevel="1" x14ac:dyDescent="0.25">
      <c r="A316" t="s">
        <v>76</v>
      </c>
      <c r="C316" s="2" t="s">
        <v>118</v>
      </c>
      <c r="D316" t="s">
        <v>81</v>
      </c>
      <c r="F316" t="str">
        <f t="shared" ref="F316" si="283">_xlfn.CONCAT("FretRout",LEFT(C316,3),RIGHT(C316,2),"Mot")</f>
        <v>FretRoutCat30Mot</v>
      </c>
      <c r="G316" t="s">
        <v>36</v>
      </c>
      <c r="H316">
        <v>1</v>
      </c>
      <c r="I316" s="2"/>
      <c r="J316" t="s">
        <v>138</v>
      </c>
      <c r="L316" s="4" t="str">
        <f t="shared" si="280"/>
        <v>Diesel</v>
      </c>
    </row>
    <row r="317" spans="1:12" outlineLevel="1" x14ac:dyDescent="0.25">
      <c r="A317" t="s">
        <v>76</v>
      </c>
      <c r="C317" s="2" t="s">
        <v>118</v>
      </c>
      <c r="D317" t="s">
        <v>82</v>
      </c>
      <c r="F317" t="str">
        <f t="shared" ref="F317" si="284">_xlfn.CONCAT("FretRout",LEFT(C317,3),RIGHT(C317,2),"Carb")</f>
        <v>FretRoutCat30Carb</v>
      </c>
      <c r="G317" t="s">
        <v>36</v>
      </c>
      <c r="H317">
        <v>1</v>
      </c>
      <c r="J317" t="s">
        <v>1449</v>
      </c>
      <c r="L317" s="4" t="str">
        <f t="shared" si="280"/>
        <v>Gazole à la pompe</v>
      </c>
    </row>
    <row r="318" spans="1:12" outlineLevel="1" x14ac:dyDescent="0.25">
      <c r="A318" t="s">
        <v>76</v>
      </c>
      <c r="C318" s="2" t="s">
        <v>118</v>
      </c>
      <c r="D318" t="s">
        <v>83</v>
      </c>
      <c r="F318" t="str">
        <f t="shared" ref="F318" si="285">_xlfn.CONCAT("FretRout",LEFT(C318,3),RIGHT(C318,2),"Euro")</f>
        <v>FretRoutCat30Euro</v>
      </c>
      <c r="G318" t="s">
        <v>36</v>
      </c>
      <c r="H318">
        <v>1</v>
      </c>
      <c r="J318">
        <v>0</v>
      </c>
      <c r="L318" s="4">
        <f t="shared" si="280"/>
        <v>0</v>
      </c>
    </row>
    <row r="319" spans="1:12" outlineLevel="1" x14ac:dyDescent="0.25">
      <c r="A319" t="s">
        <v>76</v>
      </c>
      <c r="C319" s="2" t="s">
        <v>118</v>
      </c>
      <c r="D319" t="s">
        <v>84</v>
      </c>
      <c r="F319" t="str">
        <f t="shared" ref="F319" si="286">_xlfn.CONCAT("FretRout",LEFT(C319,3),RIGHT(C319,2),"CritAir")</f>
        <v>FretRoutCat30CritAir</v>
      </c>
      <c r="G319" t="s">
        <v>36</v>
      </c>
      <c r="H319">
        <v>1</v>
      </c>
      <c r="I319" s="2"/>
      <c r="J319">
        <v>4</v>
      </c>
      <c r="L319" s="4">
        <f t="shared" si="280"/>
        <v>4</v>
      </c>
    </row>
    <row r="320" spans="1:12" outlineLevel="1" x14ac:dyDescent="0.25">
      <c r="A320" t="s">
        <v>76</v>
      </c>
      <c r="C320" s="2" t="s">
        <v>118</v>
      </c>
      <c r="D320" t="s">
        <v>85</v>
      </c>
      <c r="F320" t="str">
        <f t="shared" ref="F320" si="287">_xlfn.CONCAT("FretRout",LEFT(C320,3),RIGHT(C320,2),"Nb")</f>
        <v>FretRoutCat30Nb</v>
      </c>
      <c r="G320" t="s">
        <v>17</v>
      </c>
      <c r="H320">
        <v>1</v>
      </c>
      <c r="K320" t="s">
        <v>86</v>
      </c>
      <c r="L320">
        <v>0</v>
      </c>
    </row>
    <row r="321" spans="1:12" outlineLevel="1" x14ac:dyDescent="0.25">
      <c r="A321" t="s">
        <v>76</v>
      </c>
      <c r="C321" s="2" t="s">
        <v>118</v>
      </c>
      <c r="D321" t="s">
        <v>87</v>
      </c>
      <c r="F321" t="str">
        <f t="shared" ref="F321" si="288">_xlfn.CONCAT("FretRout",LEFT(C321,3),RIGHT(C321,2),"Dist")</f>
        <v>FretRoutCat30Dist</v>
      </c>
      <c r="G321" t="s">
        <v>17</v>
      </c>
      <c r="H321">
        <v>1</v>
      </c>
      <c r="I321" s="2"/>
      <c r="K321" t="s">
        <v>88</v>
      </c>
      <c r="L321">
        <v>42385.998762263436</v>
      </c>
    </row>
    <row r="322" spans="1:12" outlineLevel="1" x14ac:dyDescent="0.25">
      <c r="A322" t="s">
        <v>76</v>
      </c>
      <c r="C322" s="2" t="s">
        <v>118</v>
      </c>
      <c r="D322" s="2" t="s">
        <v>89</v>
      </c>
      <c r="F322" t="str">
        <f t="shared" ref="F322" si="289">_xlfn.CONCAT("FretRout",LEFT(C322,3),RIGHT(C322,2),"Rempl")</f>
        <v>FretRoutCat30Rempl</v>
      </c>
      <c r="G322" t="s">
        <v>17</v>
      </c>
      <c r="H322">
        <v>1</v>
      </c>
      <c r="I322" s="3"/>
      <c r="K322" t="s">
        <v>70</v>
      </c>
      <c r="L322">
        <v>0</v>
      </c>
    </row>
    <row r="323" spans="1:12" outlineLevel="1" x14ac:dyDescent="0.25">
      <c r="A323" t="s">
        <v>76</v>
      </c>
      <c r="C323" s="2" t="s">
        <v>119</v>
      </c>
      <c r="D323" t="s">
        <v>78</v>
      </c>
      <c r="F323" t="str">
        <f t="shared" ref="F323" si="290">_xlfn.CONCAT("FretRout",LEFT(C323,3),RIGHT(C323,2),"Nom")</f>
        <v>FretRoutCat31Nom</v>
      </c>
      <c r="G323" t="s">
        <v>20</v>
      </c>
      <c r="H323">
        <v>1</v>
      </c>
      <c r="I323" s="4"/>
      <c r="J323" s="4" t="s">
        <v>416</v>
      </c>
      <c r="L323" s="4" t="str">
        <f t="shared" ref="L323:L329" si="291">J323</f>
        <v>PL Diesel &gt;20-26t (Crit'Air 5)</v>
      </c>
    </row>
    <row r="324" spans="1:12" outlineLevel="1" x14ac:dyDescent="0.25">
      <c r="A324" t="s">
        <v>76</v>
      </c>
      <c r="C324" s="2" t="s">
        <v>119</v>
      </c>
      <c r="D324" t="s">
        <v>79</v>
      </c>
      <c r="F324" t="str">
        <f t="shared" ref="F324" si="292">_xlfn.CONCAT("FretRout",LEFT(C324,3),RIGHT(C324,2),"Type")</f>
        <v>FretRoutCat31Type</v>
      </c>
      <c r="G324" t="s">
        <v>20</v>
      </c>
      <c r="H324">
        <v>1</v>
      </c>
      <c r="J324" t="s">
        <v>1771</v>
      </c>
      <c r="L324" s="4" t="str">
        <f t="shared" si="291"/>
        <v>PL</v>
      </c>
    </row>
    <row r="325" spans="1:12" outlineLevel="1" x14ac:dyDescent="0.25">
      <c r="A325" t="s">
        <v>76</v>
      </c>
      <c r="C325" s="2" t="s">
        <v>119</v>
      </c>
      <c r="D325" t="s">
        <v>80</v>
      </c>
      <c r="F325" t="str">
        <f t="shared" ref="F325" si="293">_xlfn.CONCAT("FretRout",LEFT(C325,3),RIGHT(C325,2),"PTAC")</f>
        <v>FretRoutCat31PTAC</v>
      </c>
      <c r="G325" t="s">
        <v>36</v>
      </c>
      <c r="H325">
        <v>1</v>
      </c>
      <c r="J325" t="s">
        <v>1460</v>
      </c>
      <c r="L325" s="4" t="str">
        <f t="shared" si="291"/>
        <v>&gt;20-26t</v>
      </c>
    </row>
    <row r="326" spans="1:12" outlineLevel="1" x14ac:dyDescent="0.25">
      <c r="A326" t="s">
        <v>76</v>
      </c>
      <c r="C326" s="2" t="s">
        <v>119</v>
      </c>
      <c r="D326" t="s">
        <v>81</v>
      </c>
      <c r="F326" t="str">
        <f t="shared" ref="F326" si="294">_xlfn.CONCAT("FretRout",LEFT(C326,3),RIGHT(C326,2),"Mot")</f>
        <v>FretRoutCat31Mot</v>
      </c>
      <c r="G326" t="s">
        <v>36</v>
      </c>
      <c r="H326">
        <v>1</v>
      </c>
      <c r="I326" s="2"/>
      <c r="J326" t="s">
        <v>138</v>
      </c>
      <c r="L326" s="4" t="str">
        <f t="shared" si="291"/>
        <v>Diesel</v>
      </c>
    </row>
    <row r="327" spans="1:12" outlineLevel="1" x14ac:dyDescent="0.25">
      <c r="A327" t="s">
        <v>76</v>
      </c>
      <c r="C327" s="2" t="s">
        <v>119</v>
      </c>
      <c r="D327" t="s">
        <v>82</v>
      </c>
      <c r="F327" t="str">
        <f t="shared" ref="F327" si="295">_xlfn.CONCAT("FretRout",LEFT(C327,3),RIGHT(C327,2),"Carb")</f>
        <v>FretRoutCat31Carb</v>
      </c>
      <c r="G327" t="s">
        <v>36</v>
      </c>
      <c r="H327">
        <v>1</v>
      </c>
      <c r="J327" t="s">
        <v>1449</v>
      </c>
      <c r="L327" s="4" t="str">
        <f t="shared" si="291"/>
        <v>Gazole à la pompe</v>
      </c>
    </row>
    <row r="328" spans="1:12" outlineLevel="1" x14ac:dyDescent="0.25">
      <c r="A328" t="s">
        <v>76</v>
      </c>
      <c r="C328" s="2" t="s">
        <v>119</v>
      </c>
      <c r="D328" t="s">
        <v>83</v>
      </c>
      <c r="F328" t="str">
        <f t="shared" ref="F328" si="296">_xlfn.CONCAT("FretRout",LEFT(C328,3),RIGHT(C328,2),"Euro")</f>
        <v>FretRoutCat31Euro</v>
      </c>
      <c r="G328" t="s">
        <v>36</v>
      </c>
      <c r="H328">
        <v>1</v>
      </c>
      <c r="J328">
        <v>0</v>
      </c>
      <c r="L328" s="4">
        <f t="shared" si="291"/>
        <v>0</v>
      </c>
    </row>
    <row r="329" spans="1:12" outlineLevel="1" x14ac:dyDescent="0.25">
      <c r="A329" t="s">
        <v>76</v>
      </c>
      <c r="C329" s="2" t="s">
        <v>119</v>
      </c>
      <c r="D329" t="s">
        <v>84</v>
      </c>
      <c r="F329" t="str">
        <f t="shared" ref="F329" si="297">_xlfn.CONCAT("FretRout",LEFT(C329,3),RIGHT(C329,2),"CritAir")</f>
        <v>FretRoutCat31CritAir</v>
      </c>
      <c r="G329" t="s">
        <v>36</v>
      </c>
      <c r="H329">
        <v>1</v>
      </c>
      <c r="I329" s="2"/>
      <c r="J329">
        <v>5</v>
      </c>
      <c r="L329" s="4">
        <f t="shared" si="291"/>
        <v>5</v>
      </c>
    </row>
    <row r="330" spans="1:12" outlineLevel="1" x14ac:dyDescent="0.25">
      <c r="A330" t="s">
        <v>76</v>
      </c>
      <c r="C330" s="2" t="s">
        <v>119</v>
      </c>
      <c r="D330" t="s">
        <v>85</v>
      </c>
      <c r="F330" t="str">
        <f t="shared" ref="F330" si="298">_xlfn.CONCAT("FretRout",LEFT(C330,3),RIGHT(C330,2),"Nb")</f>
        <v>FretRoutCat31Nb</v>
      </c>
      <c r="G330" t="s">
        <v>17</v>
      </c>
      <c r="H330">
        <v>1</v>
      </c>
      <c r="K330" t="s">
        <v>86</v>
      </c>
      <c r="L330">
        <v>0</v>
      </c>
    </row>
    <row r="331" spans="1:12" outlineLevel="1" x14ac:dyDescent="0.25">
      <c r="A331" t="s">
        <v>76</v>
      </c>
      <c r="C331" s="2" t="s">
        <v>119</v>
      </c>
      <c r="D331" t="s">
        <v>87</v>
      </c>
      <c r="F331" t="str">
        <f t="shared" ref="F331" si="299">_xlfn.CONCAT("FretRout",LEFT(C331,3),RIGHT(C331,2),"Dist")</f>
        <v>FretRoutCat31Dist</v>
      </c>
      <c r="G331" t="s">
        <v>17</v>
      </c>
      <c r="H331">
        <v>1</v>
      </c>
      <c r="I331" s="2"/>
      <c r="K331" t="s">
        <v>88</v>
      </c>
      <c r="L331">
        <v>42385.998762263436</v>
      </c>
    </row>
    <row r="332" spans="1:12" outlineLevel="1" x14ac:dyDescent="0.25">
      <c r="A332" t="s">
        <v>76</v>
      </c>
      <c r="C332" s="2" t="s">
        <v>119</v>
      </c>
      <c r="D332" s="2" t="s">
        <v>89</v>
      </c>
      <c r="F332" t="str">
        <f t="shared" ref="F332" si="300">_xlfn.CONCAT("FretRout",LEFT(C332,3),RIGHT(C332,2),"Rempl")</f>
        <v>FretRoutCat31Rempl</v>
      </c>
      <c r="G332" t="s">
        <v>17</v>
      </c>
      <c r="H332">
        <v>1</v>
      </c>
      <c r="I332" s="3"/>
      <c r="K332" t="s">
        <v>70</v>
      </c>
      <c r="L332">
        <v>0</v>
      </c>
    </row>
    <row r="333" spans="1:12" outlineLevel="1" x14ac:dyDescent="0.25">
      <c r="A333" t="s">
        <v>76</v>
      </c>
      <c r="C333" s="2" t="s">
        <v>120</v>
      </c>
      <c r="D333" t="s">
        <v>78</v>
      </c>
      <c r="F333" t="str">
        <f t="shared" ref="F333" si="301">_xlfn.CONCAT("FretRout",LEFT(C333,3),RIGHT(C333,2),"Nom")</f>
        <v>FretRoutCat32Nom</v>
      </c>
      <c r="G333" t="s">
        <v>20</v>
      </c>
      <c r="H333">
        <v>1</v>
      </c>
      <c r="I333" s="4"/>
      <c r="J333" s="4" t="s">
        <v>417</v>
      </c>
      <c r="L333" s="4" t="str">
        <f t="shared" ref="L333:L339" si="302">J333</f>
        <v>PL Diesel &gt;28-34t (Crit'Air 2)</v>
      </c>
    </row>
    <row r="334" spans="1:12" outlineLevel="1" x14ac:dyDescent="0.25">
      <c r="A334" t="s">
        <v>76</v>
      </c>
      <c r="C334" s="2" t="s">
        <v>120</v>
      </c>
      <c r="D334" t="s">
        <v>79</v>
      </c>
      <c r="F334" t="str">
        <f t="shared" ref="F334" si="303">_xlfn.CONCAT("FretRout",LEFT(C334,3),RIGHT(C334,2),"Type")</f>
        <v>FretRoutCat32Type</v>
      </c>
      <c r="G334" t="s">
        <v>20</v>
      </c>
      <c r="H334">
        <v>1</v>
      </c>
      <c r="J334" t="s">
        <v>1771</v>
      </c>
      <c r="L334" s="4" t="str">
        <f t="shared" si="302"/>
        <v>PL</v>
      </c>
    </row>
    <row r="335" spans="1:12" outlineLevel="1" x14ac:dyDescent="0.25">
      <c r="A335" t="s">
        <v>76</v>
      </c>
      <c r="C335" s="2" t="s">
        <v>120</v>
      </c>
      <c r="D335" t="s">
        <v>80</v>
      </c>
      <c r="F335" t="str">
        <f t="shared" ref="F335" si="304">_xlfn.CONCAT("FretRout",LEFT(C335,3),RIGHT(C335,2),"PTAC")</f>
        <v>FretRoutCat32PTAC</v>
      </c>
      <c r="G335" t="s">
        <v>36</v>
      </c>
      <c r="H335">
        <v>1</v>
      </c>
      <c r="J335" t="s">
        <v>1461</v>
      </c>
      <c r="L335" s="4" t="str">
        <f t="shared" si="302"/>
        <v>&gt;28-34t</v>
      </c>
    </row>
    <row r="336" spans="1:12" outlineLevel="1" x14ac:dyDescent="0.25">
      <c r="A336" t="s">
        <v>76</v>
      </c>
      <c r="C336" s="2" t="s">
        <v>120</v>
      </c>
      <c r="D336" t="s">
        <v>81</v>
      </c>
      <c r="F336" t="str">
        <f t="shared" ref="F336" si="305">_xlfn.CONCAT("FretRout",LEFT(C336,3),RIGHT(C336,2),"Mot")</f>
        <v>FretRoutCat32Mot</v>
      </c>
      <c r="G336" t="s">
        <v>36</v>
      </c>
      <c r="H336">
        <v>1</v>
      </c>
      <c r="I336" s="2"/>
      <c r="J336" t="s">
        <v>138</v>
      </c>
      <c r="L336" s="4" t="str">
        <f t="shared" si="302"/>
        <v>Diesel</v>
      </c>
    </row>
    <row r="337" spans="1:12" outlineLevel="1" x14ac:dyDescent="0.25">
      <c r="A337" t="s">
        <v>76</v>
      </c>
      <c r="C337" s="2" t="s">
        <v>120</v>
      </c>
      <c r="D337" t="s">
        <v>82</v>
      </c>
      <c r="F337" t="str">
        <f t="shared" ref="F337" si="306">_xlfn.CONCAT("FretRout",LEFT(C337,3),RIGHT(C337,2),"Carb")</f>
        <v>FretRoutCat32Carb</v>
      </c>
      <c r="G337" t="s">
        <v>36</v>
      </c>
      <c r="H337">
        <v>1</v>
      </c>
      <c r="J337" t="s">
        <v>1449</v>
      </c>
      <c r="L337" s="4" t="str">
        <f t="shared" si="302"/>
        <v>Gazole à la pompe</v>
      </c>
    </row>
    <row r="338" spans="1:12" outlineLevel="1" x14ac:dyDescent="0.25">
      <c r="A338" t="s">
        <v>76</v>
      </c>
      <c r="C338" s="2" t="s">
        <v>120</v>
      </c>
      <c r="D338" t="s">
        <v>83</v>
      </c>
      <c r="F338" t="str">
        <f t="shared" ref="F338" si="307">_xlfn.CONCAT("FretRout",LEFT(C338,3),RIGHT(C338,2),"Euro")</f>
        <v>FretRoutCat32Euro</v>
      </c>
      <c r="G338" t="s">
        <v>36</v>
      </c>
      <c r="H338">
        <v>1</v>
      </c>
      <c r="J338">
        <v>0</v>
      </c>
      <c r="L338" s="4">
        <f t="shared" si="302"/>
        <v>0</v>
      </c>
    </row>
    <row r="339" spans="1:12" outlineLevel="1" x14ac:dyDescent="0.25">
      <c r="A339" t="s">
        <v>76</v>
      </c>
      <c r="C339" s="2" t="s">
        <v>120</v>
      </c>
      <c r="D339" t="s">
        <v>84</v>
      </c>
      <c r="F339" t="str">
        <f t="shared" ref="F339" si="308">_xlfn.CONCAT("FretRout",LEFT(C339,3),RIGHT(C339,2),"CritAir")</f>
        <v>FretRoutCat32CritAir</v>
      </c>
      <c r="G339" t="s">
        <v>36</v>
      </c>
      <c r="H339">
        <v>1</v>
      </c>
      <c r="I339" s="2"/>
      <c r="J339">
        <v>2</v>
      </c>
      <c r="L339" s="4">
        <f t="shared" si="302"/>
        <v>2</v>
      </c>
    </row>
    <row r="340" spans="1:12" outlineLevel="1" x14ac:dyDescent="0.25">
      <c r="A340" t="s">
        <v>76</v>
      </c>
      <c r="C340" s="2" t="s">
        <v>120</v>
      </c>
      <c r="D340" t="s">
        <v>85</v>
      </c>
      <c r="F340" t="str">
        <f t="shared" ref="F340" si="309">_xlfn.CONCAT("FretRout",LEFT(C340,3),RIGHT(C340,2),"Nb")</f>
        <v>FretRoutCat32Nb</v>
      </c>
      <c r="G340" t="s">
        <v>17</v>
      </c>
      <c r="H340">
        <v>1</v>
      </c>
      <c r="K340" t="s">
        <v>86</v>
      </c>
      <c r="L340">
        <v>0</v>
      </c>
    </row>
    <row r="341" spans="1:12" outlineLevel="1" x14ac:dyDescent="0.25">
      <c r="A341" t="s">
        <v>76</v>
      </c>
      <c r="C341" s="2" t="s">
        <v>120</v>
      </c>
      <c r="D341" t="s">
        <v>87</v>
      </c>
      <c r="F341" t="str">
        <f t="shared" ref="F341" si="310">_xlfn.CONCAT("FretRout",LEFT(C341,3),RIGHT(C341,2),"Dist")</f>
        <v>FretRoutCat32Dist</v>
      </c>
      <c r="G341" t="s">
        <v>17</v>
      </c>
      <c r="H341">
        <v>1</v>
      </c>
      <c r="I341" s="2"/>
      <c r="K341" t="s">
        <v>88</v>
      </c>
      <c r="L341">
        <v>42385.998762263436</v>
      </c>
    </row>
    <row r="342" spans="1:12" outlineLevel="1" x14ac:dyDescent="0.25">
      <c r="A342" t="s">
        <v>76</v>
      </c>
      <c r="C342" s="2" t="s">
        <v>120</v>
      </c>
      <c r="D342" s="2" t="s">
        <v>89</v>
      </c>
      <c r="F342" t="str">
        <f t="shared" ref="F342" si="311">_xlfn.CONCAT("FretRout",LEFT(C342,3),RIGHT(C342,2),"Rempl")</f>
        <v>FretRoutCat32Rempl</v>
      </c>
      <c r="G342" t="s">
        <v>17</v>
      </c>
      <c r="H342">
        <v>1</v>
      </c>
      <c r="I342" s="3"/>
      <c r="K342" t="s">
        <v>70</v>
      </c>
      <c r="L342">
        <v>0</v>
      </c>
    </row>
    <row r="343" spans="1:12" outlineLevel="1" x14ac:dyDescent="0.25">
      <c r="A343" t="s">
        <v>76</v>
      </c>
      <c r="C343" s="2" t="s">
        <v>121</v>
      </c>
      <c r="D343" t="s">
        <v>78</v>
      </c>
      <c r="F343" t="str">
        <f t="shared" ref="F343" si="312">_xlfn.CONCAT("FretRout",LEFT(C343,3),RIGHT(C343,2),"Nom")</f>
        <v>FretRoutCat33Nom</v>
      </c>
      <c r="G343" t="s">
        <v>20</v>
      </c>
      <c r="H343">
        <v>1</v>
      </c>
      <c r="I343" s="4"/>
      <c r="J343" s="4" t="s">
        <v>418</v>
      </c>
      <c r="L343" s="4" t="str">
        <f t="shared" ref="L343:L349" si="313">J343</f>
        <v>PL Diesel &gt;28-34t (Crit'Air 3)</v>
      </c>
    </row>
    <row r="344" spans="1:12" outlineLevel="1" x14ac:dyDescent="0.25">
      <c r="A344" t="s">
        <v>76</v>
      </c>
      <c r="C344" s="2" t="s">
        <v>121</v>
      </c>
      <c r="D344" t="s">
        <v>79</v>
      </c>
      <c r="F344" t="str">
        <f t="shared" ref="F344" si="314">_xlfn.CONCAT("FretRout",LEFT(C344,3),RIGHT(C344,2),"Type")</f>
        <v>FretRoutCat33Type</v>
      </c>
      <c r="G344" t="s">
        <v>20</v>
      </c>
      <c r="H344">
        <v>1</v>
      </c>
      <c r="J344" t="s">
        <v>1771</v>
      </c>
      <c r="L344" s="4" t="str">
        <f t="shared" si="313"/>
        <v>PL</v>
      </c>
    </row>
    <row r="345" spans="1:12" outlineLevel="1" x14ac:dyDescent="0.25">
      <c r="A345" t="s">
        <v>76</v>
      </c>
      <c r="C345" s="2" t="s">
        <v>121</v>
      </c>
      <c r="D345" t="s">
        <v>80</v>
      </c>
      <c r="F345" t="str">
        <f t="shared" ref="F345" si="315">_xlfn.CONCAT("FretRout",LEFT(C345,3),RIGHT(C345,2),"PTAC")</f>
        <v>FretRoutCat33PTAC</v>
      </c>
      <c r="G345" t="s">
        <v>36</v>
      </c>
      <c r="H345">
        <v>1</v>
      </c>
      <c r="J345" t="s">
        <v>1461</v>
      </c>
      <c r="L345" s="4" t="str">
        <f t="shared" si="313"/>
        <v>&gt;28-34t</v>
      </c>
    </row>
    <row r="346" spans="1:12" outlineLevel="1" x14ac:dyDescent="0.25">
      <c r="A346" t="s">
        <v>76</v>
      </c>
      <c r="C346" s="2" t="s">
        <v>121</v>
      </c>
      <c r="D346" t="s">
        <v>81</v>
      </c>
      <c r="F346" t="str">
        <f t="shared" ref="F346" si="316">_xlfn.CONCAT("FretRout",LEFT(C346,3),RIGHT(C346,2),"Mot")</f>
        <v>FretRoutCat33Mot</v>
      </c>
      <c r="G346" t="s">
        <v>36</v>
      </c>
      <c r="H346">
        <v>1</v>
      </c>
      <c r="I346" s="2"/>
      <c r="J346" t="s">
        <v>138</v>
      </c>
      <c r="L346" s="4" t="str">
        <f t="shared" si="313"/>
        <v>Diesel</v>
      </c>
    </row>
    <row r="347" spans="1:12" outlineLevel="1" x14ac:dyDescent="0.25">
      <c r="A347" t="s">
        <v>76</v>
      </c>
      <c r="C347" s="2" t="s">
        <v>121</v>
      </c>
      <c r="D347" t="s">
        <v>82</v>
      </c>
      <c r="F347" t="str">
        <f t="shared" ref="F347" si="317">_xlfn.CONCAT("FretRout",LEFT(C347,3),RIGHT(C347,2),"Carb")</f>
        <v>FretRoutCat33Carb</v>
      </c>
      <c r="G347" t="s">
        <v>36</v>
      </c>
      <c r="H347">
        <v>1</v>
      </c>
      <c r="J347" t="s">
        <v>1449</v>
      </c>
      <c r="L347" s="4" t="str">
        <f t="shared" si="313"/>
        <v>Gazole à la pompe</v>
      </c>
    </row>
    <row r="348" spans="1:12" outlineLevel="1" x14ac:dyDescent="0.25">
      <c r="A348" t="s">
        <v>76</v>
      </c>
      <c r="C348" s="2" t="s">
        <v>121</v>
      </c>
      <c r="D348" t="s">
        <v>83</v>
      </c>
      <c r="F348" t="str">
        <f t="shared" ref="F348" si="318">_xlfn.CONCAT("FretRout",LEFT(C348,3),RIGHT(C348,2),"Euro")</f>
        <v>FretRoutCat33Euro</v>
      </c>
      <c r="G348" t="s">
        <v>36</v>
      </c>
      <c r="H348">
        <v>1</v>
      </c>
      <c r="J348">
        <v>0</v>
      </c>
      <c r="L348" s="4">
        <f t="shared" si="313"/>
        <v>0</v>
      </c>
    </row>
    <row r="349" spans="1:12" outlineLevel="1" x14ac:dyDescent="0.25">
      <c r="A349" t="s">
        <v>76</v>
      </c>
      <c r="C349" s="2" t="s">
        <v>121</v>
      </c>
      <c r="D349" t="s">
        <v>84</v>
      </c>
      <c r="F349" t="str">
        <f t="shared" ref="F349" si="319">_xlfn.CONCAT("FretRout",LEFT(C349,3),RIGHT(C349,2),"CritAir")</f>
        <v>FretRoutCat33CritAir</v>
      </c>
      <c r="G349" t="s">
        <v>36</v>
      </c>
      <c r="H349">
        <v>1</v>
      </c>
      <c r="I349" s="2"/>
      <c r="J349">
        <v>3</v>
      </c>
      <c r="L349" s="4">
        <f t="shared" si="313"/>
        <v>3</v>
      </c>
    </row>
    <row r="350" spans="1:12" outlineLevel="1" x14ac:dyDescent="0.25">
      <c r="A350" t="s">
        <v>76</v>
      </c>
      <c r="C350" s="2" t="s">
        <v>121</v>
      </c>
      <c r="D350" t="s">
        <v>85</v>
      </c>
      <c r="F350" t="str">
        <f t="shared" ref="F350" si="320">_xlfn.CONCAT("FretRout",LEFT(C350,3),RIGHT(C350,2),"Nb")</f>
        <v>FretRoutCat33Nb</v>
      </c>
      <c r="G350" t="s">
        <v>17</v>
      </c>
      <c r="H350">
        <v>1</v>
      </c>
      <c r="K350" t="s">
        <v>86</v>
      </c>
      <c r="L350">
        <v>0</v>
      </c>
    </row>
    <row r="351" spans="1:12" outlineLevel="1" x14ac:dyDescent="0.25">
      <c r="A351" t="s">
        <v>76</v>
      </c>
      <c r="C351" s="2" t="s">
        <v>121</v>
      </c>
      <c r="D351" t="s">
        <v>87</v>
      </c>
      <c r="F351" t="str">
        <f t="shared" ref="F351" si="321">_xlfn.CONCAT("FretRout",LEFT(C351,3),RIGHT(C351,2),"Dist")</f>
        <v>FretRoutCat33Dist</v>
      </c>
      <c r="G351" t="s">
        <v>17</v>
      </c>
      <c r="H351">
        <v>1</v>
      </c>
      <c r="I351" s="2"/>
      <c r="K351" t="s">
        <v>88</v>
      </c>
      <c r="L351">
        <v>42385.998762263436</v>
      </c>
    </row>
    <row r="352" spans="1:12" outlineLevel="1" x14ac:dyDescent="0.25">
      <c r="A352" t="s">
        <v>76</v>
      </c>
      <c r="C352" s="2" t="s">
        <v>121</v>
      </c>
      <c r="D352" s="2" t="s">
        <v>89</v>
      </c>
      <c r="F352" t="str">
        <f t="shared" ref="F352" si="322">_xlfn.CONCAT("FretRout",LEFT(C352,3),RIGHT(C352,2),"Rempl")</f>
        <v>FretRoutCat33Rempl</v>
      </c>
      <c r="G352" t="s">
        <v>17</v>
      </c>
      <c r="H352">
        <v>1</v>
      </c>
      <c r="I352" s="3"/>
      <c r="K352" t="s">
        <v>70</v>
      </c>
      <c r="L352">
        <v>0</v>
      </c>
    </row>
    <row r="353" spans="1:12" outlineLevel="1" x14ac:dyDescent="0.25">
      <c r="A353" t="s">
        <v>76</v>
      </c>
      <c r="C353" s="2" t="s">
        <v>122</v>
      </c>
      <c r="D353" t="s">
        <v>78</v>
      </c>
      <c r="F353" t="str">
        <f t="shared" ref="F353" si="323">_xlfn.CONCAT("FretRout",LEFT(C353,3),RIGHT(C353,2),"Nom")</f>
        <v>FretRoutCat34Nom</v>
      </c>
      <c r="G353" t="s">
        <v>20</v>
      </c>
      <c r="H353">
        <v>1</v>
      </c>
      <c r="I353" s="4"/>
      <c r="J353" s="4" t="s">
        <v>419</v>
      </c>
      <c r="L353" s="4" t="str">
        <f t="shared" ref="L353:L359" si="324">J353</f>
        <v>PL Diesel &gt;28-34t (Crit'Air 4)</v>
      </c>
    </row>
    <row r="354" spans="1:12" outlineLevel="1" x14ac:dyDescent="0.25">
      <c r="A354" t="s">
        <v>76</v>
      </c>
      <c r="C354" s="2" t="s">
        <v>122</v>
      </c>
      <c r="D354" t="s">
        <v>79</v>
      </c>
      <c r="F354" t="str">
        <f t="shared" ref="F354" si="325">_xlfn.CONCAT("FretRout",LEFT(C354,3),RIGHT(C354,2),"Type")</f>
        <v>FretRoutCat34Type</v>
      </c>
      <c r="G354" t="s">
        <v>20</v>
      </c>
      <c r="H354">
        <v>1</v>
      </c>
      <c r="J354" t="s">
        <v>1771</v>
      </c>
      <c r="L354" s="4" t="str">
        <f t="shared" si="324"/>
        <v>PL</v>
      </c>
    </row>
    <row r="355" spans="1:12" outlineLevel="1" x14ac:dyDescent="0.25">
      <c r="A355" t="s">
        <v>76</v>
      </c>
      <c r="C355" s="2" t="s">
        <v>122</v>
      </c>
      <c r="D355" t="s">
        <v>80</v>
      </c>
      <c r="F355" t="str">
        <f t="shared" ref="F355" si="326">_xlfn.CONCAT("FretRout",LEFT(C355,3),RIGHT(C355,2),"PTAC")</f>
        <v>FretRoutCat34PTAC</v>
      </c>
      <c r="G355" t="s">
        <v>36</v>
      </c>
      <c r="H355">
        <v>1</v>
      </c>
      <c r="J355" t="s">
        <v>1461</v>
      </c>
      <c r="L355" s="4" t="str">
        <f t="shared" si="324"/>
        <v>&gt;28-34t</v>
      </c>
    </row>
    <row r="356" spans="1:12" outlineLevel="1" x14ac:dyDescent="0.25">
      <c r="A356" t="s">
        <v>76</v>
      </c>
      <c r="C356" s="2" t="s">
        <v>122</v>
      </c>
      <c r="D356" t="s">
        <v>81</v>
      </c>
      <c r="F356" t="str">
        <f t="shared" ref="F356" si="327">_xlfn.CONCAT("FretRout",LEFT(C356,3),RIGHT(C356,2),"Mot")</f>
        <v>FretRoutCat34Mot</v>
      </c>
      <c r="G356" t="s">
        <v>36</v>
      </c>
      <c r="H356">
        <v>1</v>
      </c>
      <c r="I356" s="2"/>
      <c r="J356" t="s">
        <v>138</v>
      </c>
      <c r="L356" s="4" t="str">
        <f t="shared" si="324"/>
        <v>Diesel</v>
      </c>
    </row>
    <row r="357" spans="1:12" outlineLevel="1" x14ac:dyDescent="0.25">
      <c r="A357" t="s">
        <v>76</v>
      </c>
      <c r="C357" s="2" t="s">
        <v>122</v>
      </c>
      <c r="D357" t="s">
        <v>82</v>
      </c>
      <c r="F357" t="str">
        <f t="shared" ref="F357" si="328">_xlfn.CONCAT("FretRout",LEFT(C357,3),RIGHT(C357,2),"Carb")</f>
        <v>FretRoutCat34Carb</v>
      </c>
      <c r="G357" t="s">
        <v>36</v>
      </c>
      <c r="H357">
        <v>1</v>
      </c>
      <c r="J357" t="s">
        <v>1449</v>
      </c>
      <c r="L357" s="4" t="str">
        <f t="shared" si="324"/>
        <v>Gazole à la pompe</v>
      </c>
    </row>
    <row r="358" spans="1:12" outlineLevel="1" x14ac:dyDescent="0.25">
      <c r="A358" t="s">
        <v>76</v>
      </c>
      <c r="C358" s="2" t="s">
        <v>122</v>
      </c>
      <c r="D358" t="s">
        <v>83</v>
      </c>
      <c r="F358" t="str">
        <f t="shared" ref="F358" si="329">_xlfn.CONCAT("FretRout",LEFT(C358,3),RIGHT(C358,2),"Euro")</f>
        <v>FretRoutCat34Euro</v>
      </c>
      <c r="G358" t="s">
        <v>36</v>
      </c>
      <c r="H358">
        <v>1</v>
      </c>
      <c r="J358">
        <v>0</v>
      </c>
      <c r="L358" s="4">
        <f t="shared" si="324"/>
        <v>0</v>
      </c>
    </row>
    <row r="359" spans="1:12" outlineLevel="1" x14ac:dyDescent="0.25">
      <c r="A359" t="s">
        <v>76</v>
      </c>
      <c r="C359" s="2" t="s">
        <v>122</v>
      </c>
      <c r="D359" t="s">
        <v>84</v>
      </c>
      <c r="F359" t="str">
        <f t="shared" ref="F359" si="330">_xlfn.CONCAT("FretRout",LEFT(C359,3),RIGHT(C359,2),"CritAir")</f>
        <v>FretRoutCat34CritAir</v>
      </c>
      <c r="G359" t="s">
        <v>36</v>
      </c>
      <c r="H359">
        <v>1</v>
      </c>
      <c r="I359" s="2"/>
      <c r="J359">
        <v>4</v>
      </c>
      <c r="L359" s="4">
        <f t="shared" si="324"/>
        <v>4</v>
      </c>
    </row>
    <row r="360" spans="1:12" outlineLevel="1" x14ac:dyDescent="0.25">
      <c r="A360" t="s">
        <v>76</v>
      </c>
      <c r="C360" s="2" t="s">
        <v>122</v>
      </c>
      <c r="D360" t="s">
        <v>85</v>
      </c>
      <c r="F360" t="str">
        <f t="shared" ref="F360" si="331">_xlfn.CONCAT("FretRout",LEFT(C360,3),RIGHT(C360,2),"Nb")</f>
        <v>FretRoutCat34Nb</v>
      </c>
      <c r="G360" t="s">
        <v>17</v>
      </c>
      <c r="H360">
        <v>1</v>
      </c>
      <c r="K360" t="s">
        <v>86</v>
      </c>
      <c r="L360">
        <v>0</v>
      </c>
    </row>
    <row r="361" spans="1:12" outlineLevel="1" x14ac:dyDescent="0.25">
      <c r="A361" t="s">
        <v>76</v>
      </c>
      <c r="C361" s="2" t="s">
        <v>122</v>
      </c>
      <c r="D361" t="s">
        <v>87</v>
      </c>
      <c r="F361" t="str">
        <f t="shared" ref="F361" si="332">_xlfn.CONCAT("FretRout",LEFT(C361,3),RIGHT(C361,2),"Dist")</f>
        <v>FretRoutCat34Dist</v>
      </c>
      <c r="G361" t="s">
        <v>17</v>
      </c>
      <c r="H361">
        <v>1</v>
      </c>
      <c r="I361" s="2"/>
      <c r="K361" t="s">
        <v>88</v>
      </c>
      <c r="L361">
        <v>42385.998762263436</v>
      </c>
    </row>
    <row r="362" spans="1:12" outlineLevel="1" x14ac:dyDescent="0.25">
      <c r="A362" t="s">
        <v>76</v>
      </c>
      <c r="C362" s="2" t="s">
        <v>122</v>
      </c>
      <c r="D362" s="2" t="s">
        <v>89</v>
      </c>
      <c r="F362" t="str">
        <f t="shared" ref="F362" si="333">_xlfn.CONCAT("FretRout",LEFT(C362,3),RIGHT(C362,2),"Rempl")</f>
        <v>FretRoutCat34Rempl</v>
      </c>
      <c r="G362" t="s">
        <v>17</v>
      </c>
      <c r="H362">
        <v>1</v>
      </c>
      <c r="I362" s="3"/>
      <c r="K362" t="s">
        <v>70</v>
      </c>
      <c r="L362">
        <v>0</v>
      </c>
    </row>
    <row r="363" spans="1:12" outlineLevel="1" x14ac:dyDescent="0.25">
      <c r="A363" t="s">
        <v>76</v>
      </c>
      <c r="C363" s="2" t="s">
        <v>123</v>
      </c>
      <c r="D363" t="s">
        <v>78</v>
      </c>
      <c r="F363" t="str">
        <f t="shared" ref="F363" si="334">_xlfn.CONCAT("FretRout",LEFT(C363,3),RIGHT(C363,2),"Nom")</f>
        <v>FretRoutCat35Nom</v>
      </c>
      <c r="G363" t="s">
        <v>20</v>
      </c>
      <c r="H363">
        <v>1</v>
      </c>
      <c r="I363" s="4"/>
      <c r="J363" s="4" t="s">
        <v>420</v>
      </c>
      <c r="L363" s="4" t="str">
        <f t="shared" ref="L363:L369" si="335">J363</f>
        <v>PL Diesel &gt;28-34t (Crit'Air 5)</v>
      </c>
    </row>
    <row r="364" spans="1:12" outlineLevel="1" x14ac:dyDescent="0.25">
      <c r="A364" t="s">
        <v>76</v>
      </c>
      <c r="C364" s="2" t="s">
        <v>123</v>
      </c>
      <c r="D364" t="s">
        <v>79</v>
      </c>
      <c r="F364" t="str">
        <f t="shared" ref="F364" si="336">_xlfn.CONCAT("FretRout",LEFT(C364,3),RIGHT(C364,2),"Type")</f>
        <v>FretRoutCat35Type</v>
      </c>
      <c r="G364" t="s">
        <v>20</v>
      </c>
      <c r="H364">
        <v>1</v>
      </c>
      <c r="J364" t="s">
        <v>1771</v>
      </c>
      <c r="L364" s="4" t="str">
        <f t="shared" si="335"/>
        <v>PL</v>
      </c>
    </row>
    <row r="365" spans="1:12" outlineLevel="1" x14ac:dyDescent="0.25">
      <c r="A365" t="s">
        <v>76</v>
      </c>
      <c r="C365" s="2" t="s">
        <v>123</v>
      </c>
      <c r="D365" t="s">
        <v>80</v>
      </c>
      <c r="F365" t="str">
        <f t="shared" ref="F365" si="337">_xlfn.CONCAT("FretRout",LEFT(C365,3),RIGHT(C365,2),"PTAC")</f>
        <v>FretRoutCat35PTAC</v>
      </c>
      <c r="G365" t="s">
        <v>36</v>
      </c>
      <c r="H365">
        <v>1</v>
      </c>
      <c r="J365" t="s">
        <v>1461</v>
      </c>
      <c r="L365" s="4" t="str">
        <f t="shared" si="335"/>
        <v>&gt;28-34t</v>
      </c>
    </row>
    <row r="366" spans="1:12" outlineLevel="1" x14ac:dyDescent="0.25">
      <c r="A366" t="s">
        <v>76</v>
      </c>
      <c r="C366" s="2" t="s">
        <v>123</v>
      </c>
      <c r="D366" t="s">
        <v>81</v>
      </c>
      <c r="F366" t="str">
        <f t="shared" ref="F366" si="338">_xlfn.CONCAT("FretRout",LEFT(C366,3),RIGHT(C366,2),"Mot")</f>
        <v>FretRoutCat35Mot</v>
      </c>
      <c r="G366" t="s">
        <v>36</v>
      </c>
      <c r="H366">
        <v>1</v>
      </c>
      <c r="I366" s="2"/>
      <c r="J366" t="s">
        <v>138</v>
      </c>
      <c r="L366" s="4" t="str">
        <f t="shared" si="335"/>
        <v>Diesel</v>
      </c>
    </row>
    <row r="367" spans="1:12" outlineLevel="1" x14ac:dyDescent="0.25">
      <c r="A367" t="s">
        <v>76</v>
      </c>
      <c r="C367" s="2" t="s">
        <v>123</v>
      </c>
      <c r="D367" t="s">
        <v>82</v>
      </c>
      <c r="F367" t="str">
        <f t="shared" ref="F367" si="339">_xlfn.CONCAT("FretRout",LEFT(C367,3),RIGHT(C367,2),"Carb")</f>
        <v>FretRoutCat35Carb</v>
      </c>
      <c r="G367" t="s">
        <v>36</v>
      </c>
      <c r="H367">
        <v>1</v>
      </c>
      <c r="J367" t="s">
        <v>1449</v>
      </c>
      <c r="L367" s="4" t="str">
        <f t="shared" si="335"/>
        <v>Gazole à la pompe</v>
      </c>
    </row>
    <row r="368" spans="1:12" outlineLevel="1" x14ac:dyDescent="0.25">
      <c r="A368" t="s">
        <v>76</v>
      </c>
      <c r="C368" s="2" t="s">
        <v>123</v>
      </c>
      <c r="D368" t="s">
        <v>83</v>
      </c>
      <c r="F368" t="str">
        <f t="shared" ref="F368" si="340">_xlfn.CONCAT("FretRout",LEFT(C368,3),RIGHT(C368,2),"Euro")</f>
        <v>FretRoutCat35Euro</v>
      </c>
      <c r="G368" t="s">
        <v>36</v>
      </c>
      <c r="H368">
        <v>1</v>
      </c>
      <c r="J368">
        <v>0</v>
      </c>
      <c r="L368" s="4">
        <f t="shared" si="335"/>
        <v>0</v>
      </c>
    </row>
    <row r="369" spans="1:12" outlineLevel="1" x14ac:dyDescent="0.25">
      <c r="A369" t="s">
        <v>76</v>
      </c>
      <c r="C369" s="2" t="s">
        <v>123</v>
      </c>
      <c r="D369" t="s">
        <v>84</v>
      </c>
      <c r="F369" t="str">
        <f t="shared" ref="F369" si="341">_xlfn.CONCAT("FretRout",LEFT(C369,3),RIGHT(C369,2),"CritAir")</f>
        <v>FretRoutCat35CritAir</v>
      </c>
      <c r="G369" t="s">
        <v>36</v>
      </c>
      <c r="H369">
        <v>1</v>
      </c>
      <c r="I369" s="2"/>
      <c r="J369">
        <v>5</v>
      </c>
      <c r="L369" s="4">
        <f t="shared" si="335"/>
        <v>5</v>
      </c>
    </row>
    <row r="370" spans="1:12" outlineLevel="1" x14ac:dyDescent="0.25">
      <c r="A370" t="s">
        <v>76</v>
      </c>
      <c r="C370" s="2" t="s">
        <v>123</v>
      </c>
      <c r="D370" t="s">
        <v>85</v>
      </c>
      <c r="F370" t="str">
        <f t="shared" ref="F370" si="342">_xlfn.CONCAT("FretRout",LEFT(C370,3),RIGHT(C370,2),"Nb")</f>
        <v>FretRoutCat35Nb</v>
      </c>
      <c r="G370" t="s">
        <v>17</v>
      </c>
      <c r="H370">
        <v>1</v>
      </c>
      <c r="K370" t="s">
        <v>86</v>
      </c>
      <c r="L370">
        <v>0</v>
      </c>
    </row>
    <row r="371" spans="1:12" outlineLevel="1" x14ac:dyDescent="0.25">
      <c r="A371" t="s">
        <v>76</v>
      </c>
      <c r="C371" s="2" t="s">
        <v>123</v>
      </c>
      <c r="D371" t="s">
        <v>87</v>
      </c>
      <c r="F371" t="str">
        <f t="shared" ref="F371" si="343">_xlfn.CONCAT("FretRout",LEFT(C371,3),RIGHT(C371,2),"Dist")</f>
        <v>FretRoutCat35Dist</v>
      </c>
      <c r="G371" t="s">
        <v>17</v>
      </c>
      <c r="H371">
        <v>1</v>
      </c>
      <c r="I371" s="2"/>
      <c r="K371" t="s">
        <v>88</v>
      </c>
      <c r="L371">
        <v>42385.998762263436</v>
      </c>
    </row>
    <row r="372" spans="1:12" outlineLevel="1" x14ac:dyDescent="0.25">
      <c r="A372" t="s">
        <v>76</v>
      </c>
      <c r="C372" s="2" t="s">
        <v>123</v>
      </c>
      <c r="D372" s="2" t="s">
        <v>89</v>
      </c>
      <c r="F372" t="str">
        <f t="shared" ref="F372" si="344">_xlfn.CONCAT("FretRout",LEFT(C372,3),RIGHT(C372,2),"Rempl")</f>
        <v>FretRoutCat35Rempl</v>
      </c>
      <c r="G372" t="s">
        <v>17</v>
      </c>
      <c r="H372">
        <v>1</v>
      </c>
      <c r="I372" s="3"/>
      <c r="K372" t="s">
        <v>70</v>
      </c>
      <c r="L372">
        <v>0</v>
      </c>
    </row>
    <row r="373" spans="1:12" outlineLevel="1" x14ac:dyDescent="0.25">
      <c r="A373" t="s">
        <v>76</v>
      </c>
      <c r="C373" s="2" t="s">
        <v>124</v>
      </c>
      <c r="D373" t="s">
        <v>78</v>
      </c>
      <c r="F373" t="str">
        <f t="shared" ref="F373" si="345">_xlfn.CONCAT("FretRout",LEFT(C373,3),RIGHT(C373,2),"Nom")</f>
        <v>FretRoutCat36Nom</v>
      </c>
      <c r="G373" t="s">
        <v>20</v>
      </c>
      <c r="H373">
        <v>1</v>
      </c>
      <c r="I373" s="4"/>
      <c r="J373" s="4" t="s">
        <v>421</v>
      </c>
      <c r="L373" s="4" t="str">
        <f t="shared" ref="L373:L379" si="346">J373</f>
        <v>PL Diesel &gt;34-40t (Crit'Air 2)</v>
      </c>
    </row>
    <row r="374" spans="1:12" outlineLevel="1" x14ac:dyDescent="0.25">
      <c r="A374" t="s">
        <v>76</v>
      </c>
      <c r="C374" s="2" t="s">
        <v>124</v>
      </c>
      <c r="D374" t="s">
        <v>79</v>
      </c>
      <c r="F374" t="str">
        <f t="shared" ref="F374" si="347">_xlfn.CONCAT("FretRout",LEFT(C374,3),RIGHT(C374,2),"Type")</f>
        <v>FretRoutCat36Type</v>
      </c>
      <c r="G374" t="s">
        <v>20</v>
      </c>
      <c r="H374">
        <v>1</v>
      </c>
      <c r="J374" t="s">
        <v>1771</v>
      </c>
      <c r="L374" s="4" t="str">
        <f t="shared" si="346"/>
        <v>PL</v>
      </c>
    </row>
    <row r="375" spans="1:12" outlineLevel="1" x14ac:dyDescent="0.25">
      <c r="A375" t="s">
        <v>76</v>
      </c>
      <c r="C375" s="2" t="s">
        <v>124</v>
      </c>
      <c r="D375" t="s">
        <v>80</v>
      </c>
      <c r="F375" t="str">
        <f t="shared" ref="F375" si="348">_xlfn.CONCAT("FretRout",LEFT(C375,3),RIGHT(C375,2),"PTAC")</f>
        <v>FretRoutCat36PTAC</v>
      </c>
      <c r="G375" t="s">
        <v>36</v>
      </c>
      <c r="H375">
        <v>1</v>
      </c>
      <c r="J375" t="s">
        <v>1462</v>
      </c>
      <c r="L375" s="4" t="str">
        <f t="shared" si="346"/>
        <v>&gt;34-40t</v>
      </c>
    </row>
    <row r="376" spans="1:12" outlineLevel="1" x14ac:dyDescent="0.25">
      <c r="A376" t="s">
        <v>76</v>
      </c>
      <c r="C376" s="2" t="s">
        <v>124</v>
      </c>
      <c r="D376" t="s">
        <v>81</v>
      </c>
      <c r="F376" t="str">
        <f t="shared" ref="F376" si="349">_xlfn.CONCAT("FretRout",LEFT(C376,3),RIGHT(C376,2),"Mot")</f>
        <v>FretRoutCat36Mot</v>
      </c>
      <c r="G376" t="s">
        <v>36</v>
      </c>
      <c r="H376">
        <v>1</v>
      </c>
      <c r="I376" s="2"/>
      <c r="J376" t="s">
        <v>138</v>
      </c>
      <c r="L376" s="4" t="str">
        <f t="shared" si="346"/>
        <v>Diesel</v>
      </c>
    </row>
    <row r="377" spans="1:12" outlineLevel="1" x14ac:dyDescent="0.25">
      <c r="A377" t="s">
        <v>76</v>
      </c>
      <c r="C377" s="2" t="s">
        <v>124</v>
      </c>
      <c r="D377" t="s">
        <v>82</v>
      </c>
      <c r="F377" t="str">
        <f t="shared" ref="F377" si="350">_xlfn.CONCAT("FretRout",LEFT(C377,3),RIGHT(C377,2),"Carb")</f>
        <v>FretRoutCat36Carb</v>
      </c>
      <c r="G377" t="s">
        <v>36</v>
      </c>
      <c r="H377">
        <v>1</v>
      </c>
      <c r="J377" t="s">
        <v>1449</v>
      </c>
      <c r="L377" s="4" t="str">
        <f t="shared" si="346"/>
        <v>Gazole à la pompe</v>
      </c>
    </row>
    <row r="378" spans="1:12" outlineLevel="1" x14ac:dyDescent="0.25">
      <c r="A378" t="s">
        <v>76</v>
      </c>
      <c r="C378" s="2" t="s">
        <v>124</v>
      </c>
      <c r="D378" t="s">
        <v>83</v>
      </c>
      <c r="F378" t="str">
        <f t="shared" ref="F378" si="351">_xlfn.CONCAT("FretRout",LEFT(C378,3),RIGHT(C378,2),"Euro")</f>
        <v>FretRoutCat36Euro</v>
      </c>
      <c r="G378" t="s">
        <v>36</v>
      </c>
      <c r="H378">
        <v>1</v>
      </c>
      <c r="J378">
        <v>0</v>
      </c>
      <c r="L378" s="4">
        <f t="shared" si="346"/>
        <v>0</v>
      </c>
    </row>
    <row r="379" spans="1:12" outlineLevel="1" x14ac:dyDescent="0.25">
      <c r="A379" t="s">
        <v>76</v>
      </c>
      <c r="C379" s="2" t="s">
        <v>124</v>
      </c>
      <c r="D379" t="s">
        <v>84</v>
      </c>
      <c r="F379" t="str">
        <f t="shared" ref="F379" si="352">_xlfn.CONCAT("FretRout",LEFT(C379,3),RIGHT(C379,2),"CritAir")</f>
        <v>FretRoutCat36CritAir</v>
      </c>
      <c r="G379" t="s">
        <v>36</v>
      </c>
      <c r="H379">
        <v>1</v>
      </c>
      <c r="I379" s="2"/>
      <c r="J379">
        <v>2</v>
      </c>
      <c r="L379" s="4">
        <f t="shared" si="346"/>
        <v>2</v>
      </c>
    </row>
    <row r="380" spans="1:12" outlineLevel="1" x14ac:dyDescent="0.25">
      <c r="A380" t="s">
        <v>76</v>
      </c>
      <c r="C380" s="2" t="s">
        <v>124</v>
      </c>
      <c r="D380" t="s">
        <v>85</v>
      </c>
      <c r="F380" t="str">
        <f t="shared" ref="F380" si="353">_xlfn.CONCAT("FretRout",LEFT(C380,3),RIGHT(C380,2),"Nb")</f>
        <v>FretRoutCat36Nb</v>
      </c>
      <c r="G380" t="s">
        <v>17</v>
      </c>
      <c r="H380">
        <v>1</v>
      </c>
      <c r="K380" t="s">
        <v>86</v>
      </c>
      <c r="L380">
        <v>0</v>
      </c>
    </row>
    <row r="381" spans="1:12" outlineLevel="1" x14ac:dyDescent="0.25">
      <c r="A381" t="s">
        <v>76</v>
      </c>
      <c r="C381" s="2" t="s">
        <v>124</v>
      </c>
      <c r="D381" t="s">
        <v>87</v>
      </c>
      <c r="F381" t="str">
        <f t="shared" ref="F381" si="354">_xlfn.CONCAT("FretRout",LEFT(C381,3),RIGHT(C381,2),"Dist")</f>
        <v>FretRoutCat36Dist</v>
      </c>
      <c r="G381" t="s">
        <v>17</v>
      </c>
      <c r="H381">
        <v>1</v>
      </c>
      <c r="I381" s="2"/>
      <c r="K381" t="s">
        <v>88</v>
      </c>
      <c r="L381">
        <v>42385.998762263436</v>
      </c>
    </row>
    <row r="382" spans="1:12" outlineLevel="1" x14ac:dyDescent="0.25">
      <c r="A382" t="s">
        <v>76</v>
      </c>
      <c r="C382" s="2" t="s">
        <v>124</v>
      </c>
      <c r="D382" s="2" t="s">
        <v>89</v>
      </c>
      <c r="F382" t="str">
        <f t="shared" ref="F382" si="355">_xlfn.CONCAT("FretRout",LEFT(C382,3),RIGHT(C382,2),"Rempl")</f>
        <v>FretRoutCat36Rempl</v>
      </c>
      <c r="G382" t="s">
        <v>17</v>
      </c>
      <c r="H382">
        <v>1</v>
      </c>
      <c r="I382" s="3"/>
      <c r="K382" t="s">
        <v>70</v>
      </c>
      <c r="L382">
        <v>0</v>
      </c>
    </row>
    <row r="383" spans="1:12" outlineLevel="1" x14ac:dyDescent="0.25">
      <c r="A383" t="s">
        <v>76</v>
      </c>
      <c r="C383" s="2" t="s">
        <v>125</v>
      </c>
      <c r="D383" t="s">
        <v>78</v>
      </c>
      <c r="F383" t="str">
        <f t="shared" ref="F383" si="356">_xlfn.CONCAT("FretRout",LEFT(C383,3),RIGHT(C383,2),"Nom")</f>
        <v>FretRoutCat37Nom</v>
      </c>
      <c r="G383" t="s">
        <v>20</v>
      </c>
      <c r="H383">
        <v>1</v>
      </c>
      <c r="I383" s="4"/>
      <c r="J383" s="4" t="s">
        <v>422</v>
      </c>
      <c r="L383" s="4" t="str">
        <f t="shared" ref="L383:L389" si="357">J383</f>
        <v>PL Diesel &gt;34-40t (Crit'Air 3)</v>
      </c>
    </row>
    <row r="384" spans="1:12" outlineLevel="1" x14ac:dyDescent="0.25">
      <c r="A384" t="s">
        <v>76</v>
      </c>
      <c r="C384" s="2" t="s">
        <v>125</v>
      </c>
      <c r="D384" t="s">
        <v>79</v>
      </c>
      <c r="F384" t="str">
        <f t="shared" ref="F384" si="358">_xlfn.CONCAT("FretRout",LEFT(C384,3),RIGHT(C384,2),"Type")</f>
        <v>FretRoutCat37Type</v>
      </c>
      <c r="G384" t="s">
        <v>20</v>
      </c>
      <c r="H384">
        <v>1</v>
      </c>
      <c r="J384" t="s">
        <v>1771</v>
      </c>
      <c r="L384" s="4" t="str">
        <f t="shared" si="357"/>
        <v>PL</v>
      </c>
    </row>
    <row r="385" spans="1:12" outlineLevel="1" x14ac:dyDescent="0.25">
      <c r="A385" t="s">
        <v>76</v>
      </c>
      <c r="C385" s="2" t="s">
        <v>125</v>
      </c>
      <c r="D385" t="s">
        <v>80</v>
      </c>
      <c r="F385" t="str">
        <f t="shared" ref="F385" si="359">_xlfn.CONCAT("FretRout",LEFT(C385,3),RIGHT(C385,2),"PTAC")</f>
        <v>FretRoutCat37PTAC</v>
      </c>
      <c r="G385" t="s">
        <v>36</v>
      </c>
      <c r="H385">
        <v>1</v>
      </c>
      <c r="J385" t="s">
        <v>1462</v>
      </c>
      <c r="L385" s="4" t="str">
        <f t="shared" si="357"/>
        <v>&gt;34-40t</v>
      </c>
    </row>
    <row r="386" spans="1:12" outlineLevel="1" x14ac:dyDescent="0.25">
      <c r="A386" t="s">
        <v>76</v>
      </c>
      <c r="C386" s="2" t="s">
        <v>125</v>
      </c>
      <c r="D386" t="s">
        <v>81</v>
      </c>
      <c r="F386" t="str">
        <f t="shared" ref="F386" si="360">_xlfn.CONCAT("FretRout",LEFT(C386,3),RIGHT(C386,2),"Mot")</f>
        <v>FretRoutCat37Mot</v>
      </c>
      <c r="G386" t="s">
        <v>36</v>
      </c>
      <c r="H386">
        <v>1</v>
      </c>
      <c r="I386" s="2"/>
      <c r="J386" t="s">
        <v>138</v>
      </c>
      <c r="L386" s="4" t="str">
        <f t="shared" si="357"/>
        <v>Diesel</v>
      </c>
    </row>
    <row r="387" spans="1:12" outlineLevel="1" x14ac:dyDescent="0.25">
      <c r="A387" t="s">
        <v>76</v>
      </c>
      <c r="C387" s="2" t="s">
        <v>125</v>
      </c>
      <c r="D387" t="s">
        <v>82</v>
      </c>
      <c r="F387" t="str">
        <f t="shared" ref="F387" si="361">_xlfn.CONCAT("FretRout",LEFT(C387,3),RIGHT(C387,2),"Carb")</f>
        <v>FretRoutCat37Carb</v>
      </c>
      <c r="G387" t="s">
        <v>36</v>
      </c>
      <c r="H387">
        <v>1</v>
      </c>
      <c r="J387" t="s">
        <v>1449</v>
      </c>
      <c r="L387" s="4" t="str">
        <f t="shared" si="357"/>
        <v>Gazole à la pompe</v>
      </c>
    </row>
    <row r="388" spans="1:12" outlineLevel="1" x14ac:dyDescent="0.25">
      <c r="A388" t="s">
        <v>76</v>
      </c>
      <c r="C388" s="2" t="s">
        <v>125</v>
      </c>
      <c r="D388" t="s">
        <v>83</v>
      </c>
      <c r="F388" t="str">
        <f t="shared" ref="F388" si="362">_xlfn.CONCAT("FretRout",LEFT(C388,3),RIGHT(C388,2),"Euro")</f>
        <v>FretRoutCat37Euro</v>
      </c>
      <c r="G388" t="s">
        <v>36</v>
      </c>
      <c r="H388">
        <v>1</v>
      </c>
      <c r="J388">
        <v>0</v>
      </c>
      <c r="L388" s="4">
        <f t="shared" si="357"/>
        <v>0</v>
      </c>
    </row>
    <row r="389" spans="1:12" outlineLevel="1" x14ac:dyDescent="0.25">
      <c r="A389" t="s">
        <v>76</v>
      </c>
      <c r="C389" s="2" t="s">
        <v>125</v>
      </c>
      <c r="D389" t="s">
        <v>84</v>
      </c>
      <c r="F389" t="str">
        <f t="shared" ref="F389" si="363">_xlfn.CONCAT("FretRout",LEFT(C389,3),RIGHT(C389,2),"CritAir")</f>
        <v>FretRoutCat37CritAir</v>
      </c>
      <c r="G389" t="s">
        <v>36</v>
      </c>
      <c r="H389">
        <v>1</v>
      </c>
      <c r="I389" s="2"/>
      <c r="J389">
        <v>3</v>
      </c>
      <c r="L389" s="4">
        <f t="shared" si="357"/>
        <v>3</v>
      </c>
    </row>
    <row r="390" spans="1:12" outlineLevel="1" x14ac:dyDescent="0.25">
      <c r="A390" t="s">
        <v>76</v>
      </c>
      <c r="C390" s="2" t="s">
        <v>125</v>
      </c>
      <c r="D390" t="s">
        <v>85</v>
      </c>
      <c r="F390" t="str">
        <f t="shared" ref="F390" si="364">_xlfn.CONCAT("FretRout",LEFT(C390,3),RIGHT(C390,2),"Nb")</f>
        <v>FretRoutCat37Nb</v>
      </c>
      <c r="G390" t="s">
        <v>17</v>
      </c>
      <c r="H390">
        <v>1</v>
      </c>
      <c r="K390" t="s">
        <v>86</v>
      </c>
      <c r="L390">
        <v>0</v>
      </c>
    </row>
    <row r="391" spans="1:12" outlineLevel="1" x14ac:dyDescent="0.25">
      <c r="A391" t="s">
        <v>76</v>
      </c>
      <c r="C391" s="2" t="s">
        <v>125</v>
      </c>
      <c r="D391" t="s">
        <v>87</v>
      </c>
      <c r="F391" t="str">
        <f t="shared" ref="F391" si="365">_xlfn.CONCAT("FretRout",LEFT(C391,3),RIGHT(C391,2),"Dist")</f>
        <v>FretRoutCat37Dist</v>
      </c>
      <c r="G391" t="s">
        <v>17</v>
      </c>
      <c r="H391">
        <v>1</v>
      </c>
      <c r="I391" s="2"/>
      <c r="K391" t="s">
        <v>88</v>
      </c>
      <c r="L391">
        <v>42385.998762263436</v>
      </c>
    </row>
    <row r="392" spans="1:12" outlineLevel="1" x14ac:dyDescent="0.25">
      <c r="A392" t="s">
        <v>76</v>
      </c>
      <c r="C392" s="2" t="s">
        <v>125</v>
      </c>
      <c r="D392" s="2" t="s">
        <v>89</v>
      </c>
      <c r="F392" t="str">
        <f t="shared" ref="F392" si="366">_xlfn.CONCAT("FretRout",LEFT(C392,3),RIGHT(C392,2),"Rempl")</f>
        <v>FretRoutCat37Rempl</v>
      </c>
      <c r="G392" t="s">
        <v>17</v>
      </c>
      <c r="H392">
        <v>1</v>
      </c>
      <c r="I392" s="3"/>
      <c r="K392" t="s">
        <v>70</v>
      </c>
      <c r="L392">
        <v>0</v>
      </c>
    </row>
    <row r="393" spans="1:12" x14ac:dyDescent="0.25">
      <c r="A393" t="s">
        <v>76</v>
      </c>
      <c r="C393" s="2" t="s">
        <v>126</v>
      </c>
      <c r="D393" t="s">
        <v>78</v>
      </c>
      <c r="F393" t="str">
        <f t="shared" ref="F393" si="367">_xlfn.CONCAT("FretRout",LEFT(C393,3),RIGHT(C393,2),"Nom")</f>
        <v>FretRoutCat38Nom</v>
      </c>
      <c r="G393" t="s">
        <v>20</v>
      </c>
      <c r="H393">
        <v>1</v>
      </c>
      <c r="I393" s="4"/>
      <c r="J393" s="4" t="s">
        <v>423</v>
      </c>
      <c r="L393" s="4" t="str">
        <f t="shared" ref="L393:L399" si="368">J393</f>
        <v>PL Diesel &gt;34-40t (Crit'Air 4)</v>
      </c>
    </row>
    <row r="394" spans="1:12" x14ac:dyDescent="0.25">
      <c r="A394" t="s">
        <v>76</v>
      </c>
      <c r="C394" s="2" t="s">
        <v>126</v>
      </c>
      <c r="D394" t="s">
        <v>79</v>
      </c>
      <c r="F394" t="str">
        <f t="shared" ref="F394" si="369">_xlfn.CONCAT("FretRout",LEFT(C394,3),RIGHT(C394,2),"Type")</f>
        <v>FretRoutCat38Type</v>
      </c>
      <c r="G394" t="s">
        <v>20</v>
      </c>
      <c r="H394">
        <v>1</v>
      </c>
      <c r="J394" t="s">
        <v>1771</v>
      </c>
      <c r="L394" s="4" t="str">
        <f t="shared" si="368"/>
        <v>PL</v>
      </c>
    </row>
    <row r="395" spans="1:12" x14ac:dyDescent="0.25">
      <c r="A395" t="s">
        <v>76</v>
      </c>
      <c r="C395" s="2" t="s">
        <v>126</v>
      </c>
      <c r="D395" t="s">
        <v>80</v>
      </c>
      <c r="F395" t="str">
        <f t="shared" ref="F395" si="370">_xlfn.CONCAT("FretRout",LEFT(C395,3),RIGHT(C395,2),"PTAC")</f>
        <v>FretRoutCat38PTAC</v>
      </c>
      <c r="G395" t="s">
        <v>36</v>
      </c>
      <c r="H395">
        <v>1</v>
      </c>
      <c r="J395" t="s">
        <v>1462</v>
      </c>
      <c r="L395" s="4" t="str">
        <f t="shared" si="368"/>
        <v>&gt;34-40t</v>
      </c>
    </row>
    <row r="396" spans="1:12" x14ac:dyDescent="0.25">
      <c r="A396" t="s">
        <v>76</v>
      </c>
      <c r="C396" s="2" t="s">
        <v>126</v>
      </c>
      <c r="D396" t="s">
        <v>81</v>
      </c>
      <c r="F396" t="str">
        <f t="shared" ref="F396" si="371">_xlfn.CONCAT("FretRout",LEFT(C396,3),RIGHT(C396,2),"Mot")</f>
        <v>FretRoutCat38Mot</v>
      </c>
      <c r="G396" t="s">
        <v>36</v>
      </c>
      <c r="H396">
        <v>1</v>
      </c>
      <c r="I396" s="2"/>
      <c r="J396" t="s">
        <v>138</v>
      </c>
      <c r="L396" s="4" t="str">
        <f t="shared" si="368"/>
        <v>Diesel</v>
      </c>
    </row>
    <row r="397" spans="1:12" x14ac:dyDescent="0.25">
      <c r="A397" t="s">
        <v>76</v>
      </c>
      <c r="C397" s="2" t="s">
        <v>126</v>
      </c>
      <c r="D397" t="s">
        <v>82</v>
      </c>
      <c r="F397" t="str">
        <f t="shared" ref="F397" si="372">_xlfn.CONCAT("FretRout",LEFT(C397,3),RIGHT(C397,2),"Carb")</f>
        <v>FretRoutCat38Carb</v>
      </c>
      <c r="G397" t="s">
        <v>36</v>
      </c>
      <c r="H397">
        <v>1</v>
      </c>
      <c r="J397" t="s">
        <v>1449</v>
      </c>
      <c r="L397" s="4" t="str">
        <f t="shared" si="368"/>
        <v>Gazole à la pompe</v>
      </c>
    </row>
    <row r="398" spans="1:12" x14ac:dyDescent="0.25">
      <c r="A398" t="s">
        <v>76</v>
      </c>
      <c r="C398" s="2" t="s">
        <v>126</v>
      </c>
      <c r="D398" t="s">
        <v>83</v>
      </c>
      <c r="F398" t="str">
        <f t="shared" ref="F398" si="373">_xlfn.CONCAT("FretRout",LEFT(C398,3),RIGHT(C398,2),"Euro")</f>
        <v>FretRoutCat38Euro</v>
      </c>
      <c r="G398" t="s">
        <v>36</v>
      </c>
      <c r="H398">
        <v>1</v>
      </c>
      <c r="J398">
        <v>0</v>
      </c>
      <c r="L398" s="4">
        <f t="shared" si="368"/>
        <v>0</v>
      </c>
    </row>
    <row r="399" spans="1:12" x14ac:dyDescent="0.25">
      <c r="A399" t="s">
        <v>76</v>
      </c>
      <c r="C399" s="2" t="s">
        <v>126</v>
      </c>
      <c r="D399" t="s">
        <v>84</v>
      </c>
      <c r="F399" t="str">
        <f t="shared" ref="F399" si="374">_xlfn.CONCAT("FretRout",LEFT(C399,3),RIGHT(C399,2),"CritAir")</f>
        <v>FretRoutCat38CritAir</v>
      </c>
      <c r="G399" t="s">
        <v>36</v>
      </c>
      <c r="H399">
        <v>1</v>
      </c>
      <c r="I399" s="2"/>
      <c r="J399">
        <v>4</v>
      </c>
      <c r="L399" s="4">
        <f t="shared" si="368"/>
        <v>4</v>
      </c>
    </row>
    <row r="400" spans="1:12" x14ac:dyDescent="0.25">
      <c r="A400" t="s">
        <v>76</v>
      </c>
      <c r="C400" s="2" t="s">
        <v>126</v>
      </c>
      <c r="D400" t="s">
        <v>85</v>
      </c>
      <c r="F400" t="str">
        <f t="shared" ref="F400" si="375">_xlfn.CONCAT("FretRout",LEFT(C400,3),RIGHT(C400,2),"Nb")</f>
        <v>FretRoutCat38Nb</v>
      </c>
      <c r="G400" t="s">
        <v>17</v>
      </c>
      <c r="H400">
        <v>1</v>
      </c>
      <c r="K400" t="s">
        <v>86</v>
      </c>
      <c r="L400">
        <v>0</v>
      </c>
    </row>
    <row r="401" spans="1:12" x14ac:dyDescent="0.25">
      <c r="A401" t="s">
        <v>76</v>
      </c>
      <c r="C401" s="2" t="s">
        <v>126</v>
      </c>
      <c r="D401" t="s">
        <v>87</v>
      </c>
      <c r="F401" t="str">
        <f t="shared" ref="F401" si="376">_xlfn.CONCAT("FretRout",LEFT(C401,3),RIGHT(C401,2),"Dist")</f>
        <v>FretRoutCat38Dist</v>
      </c>
      <c r="G401" t="s">
        <v>17</v>
      </c>
      <c r="H401">
        <v>1</v>
      </c>
      <c r="I401" s="2"/>
      <c r="K401" t="s">
        <v>88</v>
      </c>
      <c r="L401">
        <v>42385.998762263436</v>
      </c>
    </row>
    <row r="402" spans="1:12" x14ac:dyDescent="0.25">
      <c r="A402" t="s">
        <v>76</v>
      </c>
      <c r="C402" s="2" t="s">
        <v>126</v>
      </c>
      <c r="D402" s="2" t="s">
        <v>89</v>
      </c>
      <c r="F402" t="str">
        <f t="shared" ref="F402" si="377">_xlfn.CONCAT("FretRout",LEFT(C402,3),RIGHT(C402,2),"Rempl")</f>
        <v>FretRoutCat38Rempl</v>
      </c>
      <c r="G402" t="s">
        <v>17</v>
      </c>
      <c r="H402">
        <v>1</v>
      </c>
      <c r="I402" s="3"/>
      <c r="K402" t="s">
        <v>70</v>
      </c>
      <c r="L402">
        <v>0</v>
      </c>
    </row>
    <row r="403" spans="1:12" x14ac:dyDescent="0.25">
      <c r="A403" t="s">
        <v>76</v>
      </c>
      <c r="C403" s="2" t="s">
        <v>127</v>
      </c>
      <c r="D403" t="s">
        <v>78</v>
      </c>
      <c r="F403" t="str">
        <f t="shared" ref="F403" si="378">_xlfn.CONCAT("FretRout",LEFT(C403,3),RIGHT(C403,2),"Nom")</f>
        <v>FretRoutCat39Nom</v>
      </c>
      <c r="G403" t="s">
        <v>20</v>
      </c>
      <c r="H403">
        <v>1</v>
      </c>
      <c r="I403" s="4"/>
      <c r="J403" s="4" t="s">
        <v>424</v>
      </c>
      <c r="L403" s="4" t="str">
        <f t="shared" ref="L403:L409" si="379">J403</f>
        <v>PL Diesel &gt;34-40t (Crit'Air 5)</v>
      </c>
    </row>
    <row r="404" spans="1:12" outlineLevel="1" x14ac:dyDescent="0.25">
      <c r="A404" t="s">
        <v>76</v>
      </c>
      <c r="C404" s="2" t="s">
        <v>127</v>
      </c>
      <c r="D404" t="s">
        <v>79</v>
      </c>
      <c r="F404" t="str">
        <f t="shared" ref="F404" si="380">_xlfn.CONCAT("FretRout",LEFT(C404,3),RIGHT(C404,2),"Type")</f>
        <v>FretRoutCat39Type</v>
      </c>
      <c r="G404" t="s">
        <v>20</v>
      </c>
      <c r="H404">
        <v>1</v>
      </c>
      <c r="J404" t="s">
        <v>1771</v>
      </c>
      <c r="L404" s="4" t="str">
        <f t="shared" si="379"/>
        <v>PL</v>
      </c>
    </row>
    <row r="405" spans="1:12" outlineLevel="1" x14ac:dyDescent="0.25">
      <c r="A405" t="s">
        <v>76</v>
      </c>
      <c r="C405" s="2" t="s">
        <v>127</v>
      </c>
      <c r="D405" t="s">
        <v>80</v>
      </c>
      <c r="F405" t="str">
        <f t="shared" ref="F405" si="381">_xlfn.CONCAT("FretRout",LEFT(C405,3),RIGHT(C405,2),"PTAC")</f>
        <v>FretRoutCat39PTAC</v>
      </c>
      <c r="G405" t="s">
        <v>36</v>
      </c>
      <c r="H405">
        <v>1</v>
      </c>
      <c r="J405" t="s">
        <v>1462</v>
      </c>
      <c r="L405" s="4" t="str">
        <f t="shared" si="379"/>
        <v>&gt;34-40t</v>
      </c>
    </row>
    <row r="406" spans="1:12" outlineLevel="1" x14ac:dyDescent="0.25">
      <c r="A406" t="s">
        <v>76</v>
      </c>
      <c r="C406" s="2" t="s">
        <v>127</v>
      </c>
      <c r="D406" t="s">
        <v>81</v>
      </c>
      <c r="F406" t="str">
        <f t="shared" ref="F406" si="382">_xlfn.CONCAT("FretRout",LEFT(C406,3),RIGHT(C406,2),"Mot")</f>
        <v>FretRoutCat39Mot</v>
      </c>
      <c r="G406" t="s">
        <v>36</v>
      </c>
      <c r="H406">
        <v>1</v>
      </c>
      <c r="I406" s="2"/>
      <c r="J406" t="s">
        <v>138</v>
      </c>
      <c r="L406" s="4" t="str">
        <f t="shared" si="379"/>
        <v>Diesel</v>
      </c>
    </row>
    <row r="407" spans="1:12" outlineLevel="1" x14ac:dyDescent="0.25">
      <c r="A407" t="s">
        <v>76</v>
      </c>
      <c r="C407" s="2" t="s">
        <v>127</v>
      </c>
      <c r="D407" t="s">
        <v>82</v>
      </c>
      <c r="F407" t="str">
        <f t="shared" ref="F407" si="383">_xlfn.CONCAT("FretRout",LEFT(C407,3),RIGHT(C407,2),"Carb")</f>
        <v>FretRoutCat39Carb</v>
      </c>
      <c r="G407" t="s">
        <v>36</v>
      </c>
      <c r="H407">
        <v>1</v>
      </c>
      <c r="J407" t="s">
        <v>1449</v>
      </c>
      <c r="L407" s="4" t="str">
        <f t="shared" si="379"/>
        <v>Gazole à la pompe</v>
      </c>
    </row>
    <row r="408" spans="1:12" outlineLevel="1" x14ac:dyDescent="0.25">
      <c r="A408" t="s">
        <v>76</v>
      </c>
      <c r="C408" s="2" t="s">
        <v>127</v>
      </c>
      <c r="D408" t="s">
        <v>83</v>
      </c>
      <c r="F408" t="str">
        <f t="shared" ref="F408" si="384">_xlfn.CONCAT("FretRout",LEFT(C408,3),RIGHT(C408,2),"Euro")</f>
        <v>FretRoutCat39Euro</v>
      </c>
      <c r="G408" t="s">
        <v>36</v>
      </c>
      <c r="H408">
        <v>1</v>
      </c>
      <c r="J408">
        <v>0</v>
      </c>
      <c r="L408" s="4">
        <f t="shared" si="379"/>
        <v>0</v>
      </c>
    </row>
    <row r="409" spans="1:12" outlineLevel="1" x14ac:dyDescent="0.25">
      <c r="A409" t="s">
        <v>76</v>
      </c>
      <c r="C409" s="2" t="s">
        <v>127</v>
      </c>
      <c r="D409" t="s">
        <v>84</v>
      </c>
      <c r="F409" t="str">
        <f t="shared" ref="F409" si="385">_xlfn.CONCAT("FretRout",LEFT(C409,3),RIGHT(C409,2),"CritAir")</f>
        <v>FretRoutCat39CritAir</v>
      </c>
      <c r="G409" t="s">
        <v>36</v>
      </c>
      <c r="H409">
        <v>1</v>
      </c>
      <c r="I409" s="2"/>
      <c r="J409">
        <v>5</v>
      </c>
      <c r="L409" s="4">
        <f t="shared" si="379"/>
        <v>5</v>
      </c>
    </row>
    <row r="410" spans="1:12" outlineLevel="1" x14ac:dyDescent="0.25">
      <c r="A410" t="s">
        <v>76</v>
      </c>
      <c r="C410" s="2" t="s">
        <v>127</v>
      </c>
      <c r="D410" t="s">
        <v>85</v>
      </c>
      <c r="F410" t="str">
        <f t="shared" ref="F410" si="386">_xlfn.CONCAT("FretRout",LEFT(C410,3),RIGHT(C410,2),"Nb")</f>
        <v>FretRoutCat39Nb</v>
      </c>
      <c r="G410" t="s">
        <v>17</v>
      </c>
      <c r="H410">
        <v>1</v>
      </c>
      <c r="K410" t="s">
        <v>86</v>
      </c>
      <c r="L410">
        <v>0</v>
      </c>
    </row>
    <row r="411" spans="1:12" outlineLevel="1" x14ac:dyDescent="0.25">
      <c r="A411" t="s">
        <v>76</v>
      </c>
      <c r="C411" s="2" t="s">
        <v>127</v>
      </c>
      <c r="D411" t="s">
        <v>87</v>
      </c>
      <c r="F411" t="str">
        <f t="shared" ref="F411" si="387">_xlfn.CONCAT("FretRout",LEFT(C411,3),RIGHT(C411,2),"Dist")</f>
        <v>FretRoutCat39Dist</v>
      </c>
      <c r="G411" t="s">
        <v>17</v>
      </c>
      <c r="H411">
        <v>1</v>
      </c>
      <c r="I411" s="2"/>
      <c r="K411" t="s">
        <v>88</v>
      </c>
      <c r="L411">
        <v>42385.998762263436</v>
      </c>
    </row>
    <row r="412" spans="1:12" outlineLevel="1" x14ac:dyDescent="0.25">
      <c r="A412" t="s">
        <v>76</v>
      </c>
      <c r="C412" s="2" t="s">
        <v>127</v>
      </c>
      <c r="D412" s="2" t="s">
        <v>89</v>
      </c>
      <c r="F412" t="str">
        <f t="shared" ref="F412" si="388">_xlfn.CONCAT("FretRout",LEFT(C412,3),RIGHT(C412,2),"Rempl")</f>
        <v>FretRoutCat39Rempl</v>
      </c>
      <c r="G412" t="s">
        <v>17</v>
      </c>
      <c r="H412">
        <v>1</v>
      </c>
      <c r="I412" s="3"/>
      <c r="K412" t="s">
        <v>70</v>
      </c>
      <c r="L412">
        <v>0</v>
      </c>
    </row>
    <row r="413" spans="1:12" outlineLevel="1" x14ac:dyDescent="0.25">
      <c r="A413" t="s">
        <v>76</v>
      </c>
      <c r="C413" s="2" t="s">
        <v>128</v>
      </c>
      <c r="D413" t="s">
        <v>78</v>
      </c>
      <c r="F413" t="str">
        <f t="shared" ref="F413" si="389">_xlfn.CONCAT("FretRout",LEFT(C413,3),RIGHT(C413,2),"Nom")</f>
        <v>FretRoutCat40Nom</v>
      </c>
      <c r="G413" t="s">
        <v>20</v>
      </c>
      <c r="H413">
        <v>1</v>
      </c>
      <c r="I413" s="4"/>
      <c r="J413" s="4" t="s">
        <v>425</v>
      </c>
      <c r="L413" s="4" t="str">
        <f t="shared" ref="L413:L419" si="390">J413</f>
        <v>PL Gaz (GNC) &gt;14-20t (Crit'Air 1)</v>
      </c>
    </row>
    <row r="414" spans="1:12" outlineLevel="1" x14ac:dyDescent="0.25">
      <c r="A414" t="s">
        <v>76</v>
      </c>
      <c r="C414" s="2" t="s">
        <v>128</v>
      </c>
      <c r="D414" t="s">
        <v>79</v>
      </c>
      <c r="F414" t="str">
        <f t="shared" ref="F414" si="391">_xlfn.CONCAT("FretRout",LEFT(C414,3),RIGHT(C414,2),"Type")</f>
        <v>FretRoutCat40Type</v>
      </c>
      <c r="G414" t="s">
        <v>20</v>
      </c>
      <c r="H414">
        <v>1</v>
      </c>
      <c r="J414" t="s">
        <v>1771</v>
      </c>
      <c r="L414" s="4" t="str">
        <f t="shared" si="390"/>
        <v>PL</v>
      </c>
    </row>
    <row r="415" spans="1:12" outlineLevel="1" x14ac:dyDescent="0.25">
      <c r="A415" t="s">
        <v>76</v>
      </c>
      <c r="C415" s="2" t="s">
        <v>128</v>
      </c>
      <c r="D415" t="s">
        <v>80</v>
      </c>
      <c r="F415" t="str">
        <f t="shared" ref="F415" si="392">_xlfn.CONCAT("FretRout",LEFT(C415,3),RIGHT(C415,2),"PTAC")</f>
        <v>FretRoutCat40PTAC</v>
      </c>
      <c r="G415" t="s">
        <v>36</v>
      </c>
      <c r="H415">
        <v>1</v>
      </c>
      <c r="J415" t="s">
        <v>1459</v>
      </c>
      <c r="L415" s="4" t="str">
        <f t="shared" si="390"/>
        <v>&gt;14-20t</v>
      </c>
    </row>
    <row r="416" spans="1:12" outlineLevel="1" x14ac:dyDescent="0.25">
      <c r="A416" t="s">
        <v>76</v>
      </c>
      <c r="C416" s="2" t="s">
        <v>128</v>
      </c>
      <c r="D416" t="s">
        <v>81</v>
      </c>
      <c r="F416" t="str">
        <f t="shared" ref="F416" si="393">_xlfn.CONCAT("FretRout",LEFT(C416,3),RIGHT(C416,2),"Mot")</f>
        <v>FretRoutCat40Mot</v>
      </c>
      <c r="G416" t="s">
        <v>36</v>
      </c>
      <c r="H416">
        <v>1</v>
      </c>
      <c r="I416" s="2"/>
      <c r="J416" t="s">
        <v>1456</v>
      </c>
      <c r="L416" s="4" t="str">
        <f t="shared" si="390"/>
        <v>Gaz (GNC)</v>
      </c>
    </row>
    <row r="417" spans="1:12" outlineLevel="1" x14ac:dyDescent="0.25">
      <c r="A417" t="s">
        <v>76</v>
      </c>
      <c r="C417" s="2" t="s">
        <v>128</v>
      </c>
      <c r="D417" t="s">
        <v>82</v>
      </c>
      <c r="F417" t="str">
        <f t="shared" ref="F417" si="394">_xlfn.CONCAT("FretRout",LEFT(C417,3),RIGHT(C417,2),"Carb")</f>
        <v>FretRoutCat40Carb</v>
      </c>
      <c r="G417" t="s">
        <v>36</v>
      </c>
      <c r="H417">
        <v>1</v>
      </c>
      <c r="J417">
        <v>0</v>
      </c>
      <c r="L417" s="4">
        <f t="shared" si="390"/>
        <v>0</v>
      </c>
    </row>
    <row r="418" spans="1:12" outlineLevel="1" x14ac:dyDescent="0.25">
      <c r="A418" t="s">
        <v>76</v>
      </c>
      <c r="C418" s="2" t="s">
        <v>128</v>
      </c>
      <c r="D418" t="s">
        <v>83</v>
      </c>
      <c r="F418" t="str">
        <f t="shared" ref="F418" si="395">_xlfn.CONCAT("FretRout",LEFT(C418,3),RIGHT(C418,2),"Euro")</f>
        <v>FretRoutCat40Euro</v>
      </c>
      <c r="G418" t="s">
        <v>36</v>
      </c>
      <c r="H418">
        <v>1</v>
      </c>
      <c r="J418">
        <v>0</v>
      </c>
      <c r="L418" s="4">
        <f t="shared" si="390"/>
        <v>0</v>
      </c>
    </row>
    <row r="419" spans="1:12" outlineLevel="1" x14ac:dyDescent="0.25">
      <c r="A419" t="s">
        <v>76</v>
      </c>
      <c r="C419" s="2" t="s">
        <v>128</v>
      </c>
      <c r="D419" t="s">
        <v>84</v>
      </c>
      <c r="F419" t="str">
        <f t="shared" ref="F419" si="396">_xlfn.CONCAT("FretRout",LEFT(C419,3),RIGHT(C419,2),"CritAir")</f>
        <v>FretRoutCat40CritAir</v>
      </c>
      <c r="G419" t="s">
        <v>36</v>
      </c>
      <c r="H419">
        <v>1</v>
      </c>
      <c r="I419" s="2"/>
      <c r="J419">
        <v>1</v>
      </c>
      <c r="L419" s="4">
        <f t="shared" si="390"/>
        <v>1</v>
      </c>
    </row>
    <row r="420" spans="1:12" outlineLevel="1" x14ac:dyDescent="0.25">
      <c r="A420" t="s">
        <v>76</v>
      </c>
      <c r="C420" s="2" t="s">
        <v>128</v>
      </c>
      <c r="D420" t="s">
        <v>85</v>
      </c>
      <c r="F420" t="str">
        <f t="shared" ref="F420" si="397">_xlfn.CONCAT("FretRout",LEFT(C420,3),RIGHT(C420,2),"Nb")</f>
        <v>FretRoutCat40Nb</v>
      </c>
      <c r="G420" t="s">
        <v>17</v>
      </c>
      <c r="H420">
        <v>1</v>
      </c>
      <c r="K420" t="s">
        <v>86</v>
      </c>
      <c r="L420">
        <v>0</v>
      </c>
    </row>
    <row r="421" spans="1:12" outlineLevel="1" x14ac:dyDescent="0.25">
      <c r="A421" t="s">
        <v>76</v>
      </c>
      <c r="C421" s="2" t="s">
        <v>128</v>
      </c>
      <c r="D421" t="s">
        <v>87</v>
      </c>
      <c r="F421" t="str">
        <f t="shared" ref="F421" si="398">_xlfn.CONCAT("FretRout",LEFT(C421,3),RIGHT(C421,2),"Dist")</f>
        <v>FretRoutCat40Dist</v>
      </c>
      <c r="G421" t="s">
        <v>17</v>
      </c>
      <c r="H421">
        <v>1</v>
      </c>
      <c r="I421" s="2"/>
      <c r="K421" t="s">
        <v>88</v>
      </c>
      <c r="L421">
        <v>46552.613237725091</v>
      </c>
    </row>
    <row r="422" spans="1:12" outlineLevel="1" x14ac:dyDescent="0.25">
      <c r="A422" t="s">
        <v>76</v>
      </c>
      <c r="C422" s="2" t="s">
        <v>128</v>
      </c>
      <c r="D422" s="2" t="s">
        <v>89</v>
      </c>
      <c r="F422" t="str">
        <f t="shared" ref="F422" si="399">_xlfn.CONCAT("FretRout",LEFT(C422,3),RIGHT(C422,2),"Rempl")</f>
        <v>FretRoutCat40Rempl</v>
      </c>
      <c r="G422" t="s">
        <v>17</v>
      </c>
      <c r="H422">
        <v>1</v>
      </c>
      <c r="I422" s="3"/>
      <c r="K422" t="s">
        <v>70</v>
      </c>
      <c r="L422">
        <v>0</v>
      </c>
    </row>
    <row r="423" spans="1:12" outlineLevel="1" x14ac:dyDescent="0.25">
      <c r="A423" t="s">
        <v>76</v>
      </c>
      <c r="C423" s="2" t="s">
        <v>129</v>
      </c>
      <c r="D423" t="s">
        <v>78</v>
      </c>
      <c r="F423" t="str">
        <f t="shared" ref="F423" si="400">_xlfn.CONCAT("FretRout",LEFT(C423,3),RIGHT(C423,2),"Nom")</f>
        <v>FretRoutCat41Nom</v>
      </c>
      <c r="G423" t="s">
        <v>20</v>
      </c>
      <c r="H423">
        <v>1</v>
      </c>
      <c r="I423" s="4"/>
      <c r="J423" s="4" t="s">
        <v>426</v>
      </c>
      <c r="L423" s="4" t="str">
        <f t="shared" ref="L423:L429" si="401">J423</f>
        <v>PL Gaz (GNC) &gt;14-20t (Crit'Air 2)</v>
      </c>
    </row>
    <row r="424" spans="1:12" outlineLevel="1" x14ac:dyDescent="0.25">
      <c r="A424" t="s">
        <v>76</v>
      </c>
      <c r="C424" s="2" t="s">
        <v>129</v>
      </c>
      <c r="D424" t="s">
        <v>79</v>
      </c>
      <c r="F424" t="str">
        <f t="shared" ref="F424" si="402">_xlfn.CONCAT("FretRout",LEFT(C424,3),RIGHT(C424,2),"Type")</f>
        <v>FretRoutCat41Type</v>
      </c>
      <c r="G424" t="s">
        <v>20</v>
      </c>
      <c r="H424">
        <v>1</v>
      </c>
      <c r="J424" t="s">
        <v>1771</v>
      </c>
      <c r="L424" s="4" t="str">
        <f t="shared" si="401"/>
        <v>PL</v>
      </c>
    </row>
    <row r="425" spans="1:12" outlineLevel="1" x14ac:dyDescent="0.25">
      <c r="A425" t="s">
        <v>76</v>
      </c>
      <c r="C425" s="2" t="s">
        <v>129</v>
      </c>
      <c r="D425" t="s">
        <v>80</v>
      </c>
      <c r="F425" t="str">
        <f t="shared" ref="F425" si="403">_xlfn.CONCAT("FretRout",LEFT(C425,3),RIGHT(C425,2),"PTAC")</f>
        <v>FretRoutCat41PTAC</v>
      </c>
      <c r="G425" t="s">
        <v>36</v>
      </c>
      <c r="H425">
        <v>1</v>
      </c>
      <c r="J425" t="s">
        <v>1459</v>
      </c>
      <c r="L425" s="4" t="str">
        <f t="shared" si="401"/>
        <v>&gt;14-20t</v>
      </c>
    </row>
    <row r="426" spans="1:12" outlineLevel="1" x14ac:dyDescent="0.25">
      <c r="A426" t="s">
        <v>76</v>
      </c>
      <c r="C426" s="2" t="s">
        <v>129</v>
      </c>
      <c r="D426" t="s">
        <v>81</v>
      </c>
      <c r="F426" t="str">
        <f t="shared" ref="F426" si="404">_xlfn.CONCAT("FretRout",LEFT(C426,3),RIGHT(C426,2),"Mot")</f>
        <v>FretRoutCat41Mot</v>
      </c>
      <c r="G426" t="s">
        <v>36</v>
      </c>
      <c r="H426">
        <v>1</v>
      </c>
      <c r="I426" s="2"/>
      <c r="J426" t="s">
        <v>1456</v>
      </c>
      <c r="L426" s="4" t="str">
        <f t="shared" si="401"/>
        <v>Gaz (GNC)</v>
      </c>
    </row>
    <row r="427" spans="1:12" outlineLevel="1" x14ac:dyDescent="0.25">
      <c r="A427" t="s">
        <v>76</v>
      </c>
      <c r="C427" s="2" t="s">
        <v>129</v>
      </c>
      <c r="D427" t="s">
        <v>82</v>
      </c>
      <c r="F427" t="str">
        <f t="shared" ref="F427" si="405">_xlfn.CONCAT("FretRout",LEFT(C427,3),RIGHT(C427,2),"Carb")</f>
        <v>FretRoutCat41Carb</v>
      </c>
      <c r="G427" t="s">
        <v>36</v>
      </c>
      <c r="H427">
        <v>1</v>
      </c>
      <c r="J427">
        <v>0</v>
      </c>
      <c r="L427" s="4">
        <f t="shared" si="401"/>
        <v>0</v>
      </c>
    </row>
    <row r="428" spans="1:12" outlineLevel="1" x14ac:dyDescent="0.25">
      <c r="A428" t="s">
        <v>76</v>
      </c>
      <c r="C428" s="2" t="s">
        <v>129</v>
      </c>
      <c r="D428" t="s">
        <v>83</v>
      </c>
      <c r="F428" t="str">
        <f t="shared" ref="F428" si="406">_xlfn.CONCAT("FretRout",LEFT(C428,3),RIGHT(C428,2),"Euro")</f>
        <v>FretRoutCat41Euro</v>
      </c>
      <c r="G428" t="s">
        <v>36</v>
      </c>
      <c r="H428">
        <v>1</v>
      </c>
      <c r="J428">
        <v>0</v>
      </c>
      <c r="L428" s="4">
        <f t="shared" si="401"/>
        <v>0</v>
      </c>
    </row>
    <row r="429" spans="1:12" outlineLevel="1" x14ac:dyDescent="0.25">
      <c r="A429" t="s">
        <v>76</v>
      </c>
      <c r="C429" s="2" t="s">
        <v>129</v>
      </c>
      <c r="D429" t="s">
        <v>84</v>
      </c>
      <c r="F429" t="str">
        <f t="shared" ref="F429" si="407">_xlfn.CONCAT("FretRout",LEFT(C429,3),RIGHT(C429,2),"CritAir")</f>
        <v>FretRoutCat41CritAir</v>
      </c>
      <c r="G429" t="s">
        <v>36</v>
      </c>
      <c r="H429">
        <v>1</v>
      </c>
      <c r="I429" s="2"/>
      <c r="J429">
        <v>2</v>
      </c>
      <c r="L429" s="4">
        <f t="shared" si="401"/>
        <v>2</v>
      </c>
    </row>
    <row r="430" spans="1:12" outlineLevel="1" x14ac:dyDescent="0.25">
      <c r="A430" t="s">
        <v>76</v>
      </c>
      <c r="C430" s="2" t="s">
        <v>129</v>
      </c>
      <c r="D430" t="s">
        <v>85</v>
      </c>
      <c r="F430" t="str">
        <f t="shared" ref="F430" si="408">_xlfn.CONCAT("FretRout",LEFT(C430,3),RIGHT(C430,2),"Nb")</f>
        <v>FretRoutCat41Nb</v>
      </c>
      <c r="G430" t="s">
        <v>17</v>
      </c>
      <c r="H430">
        <v>1</v>
      </c>
      <c r="K430" t="s">
        <v>86</v>
      </c>
      <c r="L430">
        <v>0</v>
      </c>
    </row>
    <row r="431" spans="1:12" outlineLevel="1" x14ac:dyDescent="0.25">
      <c r="A431" t="s">
        <v>76</v>
      </c>
      <c r="C431" s="2" t="s">
        <v>129</v>
      </c>
      <c r="D431" t="s">
        <v>87</v>
      </c>
      <c r="F431" t="str">
        <f t="shared" ref="F431" si="409">_xlfn.CONCAT("FretRout",LEFT(C431,3),RIGHT(C431,2),"Dist")</f>
        <v>FretRoutCat41Dist</v>
      </c>
      <c r="G431" t="s">
        <v>17</v>
      </c>
      <c r="H431">
        <v>1</v>
      </c>
      <c r="I431" s="2"/>
      <c r="K431" t="s">
        <v>88</v>
      </c>
      <c r="L431">
        <v>46552.613237725091</v>
      </c>
    </row>
    <row r="432" spans="1:12" outlineLevel="1" x14ac:dyDescent="0.25">
      <c r="A432" t="s">
        <v>76</v>
      </c>
      <c r="C432" s="2" t="s">
        <v>129</v>
      </c>
      <c r="D432" s="2" t="s">
        <v>89</v>
      </c>
      <c r="F432" t="str">
        <f t="shared" ref="F432" si="410">_xlfn.CONCAT("FretRout",LEFT(C432,3),RIGHT(C432,2),"Rempl")</f>
        <v>FretRoutCat41Rempl</v>
      </c>
      <c r="G432" t="s">
        <v>17</v>
      </c>
      <c r="H432">
        <v>1</v>
      </c>
      <c r="I432" s="3"/>
      <c r="K432" t="s">
        <v>70</v>
      </c>
      <c r="L432">
        <v>0</v>
      </c>
    </row>
    <row r="433" spans="1:12" x14ac:dyDescent="0.25">
      <c r="A433" t="s">
        <v>76</v>
      </c>
      <c r="C433" s="2" t="s">
        <v>130</v>
      </c>
      <c r="D433" t="s">
        <v>78</v>
      </c>
      <c r="F433" t="str">
        <f t="shared" ref="F433" si="411">_xlfn.CONCAT("FretRout",LEFT(C433,3),RIGHT(C433,2),"Nom")</f>
        <v>FretRoutCat42Nom</v>
      </c>
      <c r="G433" t="s">
        <v>20</v>
      </c>
      <c r="H433">
        <v>1</v>
      </c>
      <c r="I433" s="4"/>
      <c r="J433" s="4" t="s">
        <v>427</v>
      </c>
      <c r="L433" s="4" t="str">
        <f t="shared" ref="L433:L439" si="412">J433</f>
        <v>PL Gaz (GNC) &gt;20-26t (Crit'Air 1)</v>
      </c>
    </row>
    <row r="434" spans="1:12" x14ac:dyDescent="0.25">
      <c r="A434" t="s">
        <v>76</v>
      </c>
      <c r="C434" s="2" t="s">
        <v>130</v>
      </c>
      <c r="D434" t="s">
        <v>79</v>
      </c>
      <c r="F434" t="str">
        <f t="shared" ref="F434" si="413">_xlfn.CONCAT("FretRout",LEFT(C434,3),RIGHT(C434,2),"Type")</f>
        <v>FretRoutCat42Type</v>
      </c>
      <c r="G434" t="s">
        <v>20</v>
      </c>
      <c r="H434">
        <v>1</v>
      </c>
      <c r="J434" t="s">
        <v>1771</v>
      </c>
      <c r="L434" s="4" t="str">
        <f t="shared" si="412"/>
        <v>PL</v>
      </c>
    </row>
    <row r="435" spans="1:12" x14ac:dyDescent="0.25">
      <c r="A435" t="s">
        <v>76</v>
      </c>
      <c r="C435" s="2" t="s">
        <v>130</v>
      </c>
      <c r="D435" t="s">
        <v>80</v>
      </c>
      <c r="F435" t="str">
        <f t="shared" ref="F435" si="414">_xlfn.CONCAT("FretRout",LEFT(C435,3),RIGHT(C435,2),"PTAC")</f>
        <v>FretRoutCat42PTAC</v>
      </c>
      <c r="G435" t="s">
        <v>36</v>
      </c>
      <c r="H435">
        <v>1</v>
      </c>
      <c r="J435" t="s">
        <v>1460</v>
      </c>
      <c r="L435" s="4" t="str">
        <f t="shared" si="412"/>
        <v>&gt;20-26t</v>
      </c>
    </row>
    <row r="436" spans="1:12" x14ac:dyDescent="0.25">
      <c r="A436" t="s">
        <v>76</v>
      </c>
      <c r="C436" s="2" t="s">
        <v>130</v>
      </c>
      <c r="D436" t="s">
        <v>81</v>
      </c>
      <c r="F436" t="str">
        <f t="shared" ref="F436" si="415">_xlfn.CONCAT("FretRout",LEFT(C436,3),RIGHT(C436,2),"Mot")</f>
        <v>FretRoutCat42Mot</v>
      </c>
      <c r="G436" t="s">
        <v>36</v>
      </c>
      <c r="H436">
        <v>1</v>
      </c>
      <c r="I436" s="2"/>
      <c r="J436" t="s">
        <v>1456</v>
      </c>
      <c r="L436" s="4" t="str">
        <f t="shared" si="412"/>
        <v>Gaz (GNC)</v>
      </c>
    </row>
    <row r="437" spans="1:12" x14ac:dyDescent="0.25">
      <c r="A437" t="s">
        <v>76</v>
      </c>
      <c r="C437" s="2" t="s">
        <v>130</v>
      </c>
      <c r="D437" t="s">
        <v>82</v>
      </c>
      <c r="F437" t="str">
        <f t="shared" ref="F437" si="416">_xlfn.CONCAT("FretRout",LEFT(C437,3),RIGHT(C437,2),"Carb")</f>
        <v>FretRoutCat42Carb</v>
      </c>
      <c r="G437" t="s">
        <v>36</v>
      </c>
      <c r="H437">
        <v>1</v>
      </c>
      <c r="J437">
        <v>0</v>
      </c>
      <c r="L437" s="4">
        <f t="shared" si="412"/>
        <v>0</v>
      </c>
    </row>
    <row r="438" spans="1:12" x14ac:dyDescent="0.25">
      <c r="A438" t="s">
        <v>76</v>
      </c>
      <c r="C438" s="2" t="s">
        <v>130</v>
      </c>
      <c r="D438" t="s">
        <v>83</v>
      </c>
      <c r="F438" t="str">
        <f t="shared" ref="F438" si="417">_xlfn.CONCAT("FretRout",LEFT(C438,3),RIGHT(C438,2),"Euro")</f>
        <v>FretRoutCat42Euro</v>
      </c>
      <c r="G438" t="s">
        <v>36</v>
      </c>
      <c r="H438">
        <v>1</v>
      </c>
      <c r="J438">
        <v>0</v>
      </c>
      <c r="L438" s="4">
        <f t="shared" si="412"/>
        <v>0</v>
      </c>
    </row>
    <row r="439" spans="1:12" x14ac:dyDescent="0.25">
      <c r="A439" t="s">
        <v>76</v>
      </c>
      <c r="C439" s="2" t="s">
        <v>130</v>
      </c>
      <c r="D439" t="s">
        <v>84</v>
      </c>
      <c r="F439" t="str">
        <f t="shared" ref="F439" si="418">_xlfn.CONCAT("FretRout",LEFT(C439,3),RIGHT(C439,2),"CritAir")</f>
        <v>FretRoutCat42CritAir</v>
      </c>
      <c r="G439" t="s">
        <v>36</v>
      </c>
      <c r="H439">
        <v>1</v>
      </c>
      <c r="I439" s="2"/>
      <c r="J439">
        <v>1</v>
      </c>
      <c r="L439" s="4">
        <f t="shared" si="412"/>
        <v>1</v>
      </c>
    </row>
    <row r="440" spans="1:12" x14ac:dyDescent="0.25">
      <c r="A440" t="s">
        <v>76</v>
      </c>
      <c r="C440" s="2" t="s">
        <v>130</v>
      </c>
      <c r="D440" t="s">
        <v>85</v>
      </c>
      <c r="F440" t="str">
        <f t="shared" ref="F440" si="419">_xlfn.CONCAT("FretRout",LEFT(C440,3),RIGHT(C440,2),"Nb")</f>
        <v>FretRoutCat42Nb</v>
      </c>
      <c r="G440" t="s">
        <v>17</v>
      </c>
      <c r="H440">
        <v>1</v>
      </c>
      <c r="K440" t="s">
        <v>86</v>
      </c>
      <c r="L440">
        <v>0</v>
      </c>
    </row>
    <row r="441" spans="1:12" x14ac:dyDescent="0.25">
      <c r="A441" t="s">
        <v>76</v>
      </c>
      <c r="C441" s="2" t="s">
        <v>130</v>
      </c>
      <c r="D441" t="s">
        <v>87</v>
      </c>
      <c r="F441" t="str">
        <f t="shared" ref="F441" si="420">_xlfn.CONCAT("FretRout",LEFT(C441,3),RIGHT(C441,2),"Dist")</f>
        <v>FretRoutCat42Dist</v>
      </c>
      <c r="G441" t="s">
        <v>17</v>
      </c>
      <c r="H441">
        <v>1</v>
      </c>
      <c r="I441" s="2"/>
      <c r="K441" t="s">
        <v>88</v>
      </c>
      <c r="L441">
        <v>46552.613237725091</v>
      </c>
    </row>
    <row r="442" spans="1:12" x14ac:dyDescent="0.25">
      <c r="A442" t="s">
        <v>76</v>
      </c>
      <c r="C442" s="2" t="s">
        <v>130</v>
      </c>
      <c r="D442" s="2" t="s">
        <v>89</v>
      </c>
      <c r="F442" t="str">
        <f t="shared" ref="F442" si="421">_xlfn.CONCAT("FretRout",LEFT(C442,3),RIGHT(C442,2),"Rempl")</f>
        <v>FretRoutCat42Rempl</v>
      </c>
      <c r="G442" t="s">
        <v>17</v>
      </c>
      <c r="H442">
        <v>1</v>
      </c>
      <c r="I442" s="3"/>
      <c r="K442" t="s">
        <v>70</v>
      </c>
      <c r="L442">
        <v>0</v>
      </c>
    </row>
    <row r="443" spans="1:12" x14ac:dyDescent="0.25">
      <c r="A443" t="s">
        <v>76</v>
      </c>
      <c r="C443" s="2" t="s">
        <v>131</v>
      </c>
      <c r="D443" t="s">
        <v>78</v>
      </c>
      <c r="F443" t="str">
        <f t="shared" ref="F443" si="422">_xlfn.CONCAT("FretRout",LEFT(C443,3),RIGHT(C443,2),"Nom")</f>
        <v>FretRoutCat43Nom</v>
      </c>
      <c r="G443" t="s">
        <v>20</v>
      </c>
      <c r="H443">
        <v>1</v>
      </c>
      <c r="I443" s="4"/>
      <c r="J443" s="4" t="s">
        <v>428</v>
      </c>
      <c r="L443" s="4" t="str">
        <f t="shared" ref="L443:L449" si="423">J443</f>
        <v>PL Gaz (GNC) &gt;20-26t (Crit'Air 2)</v>
      </c>
    </row>
    <row r="444" spans="1:12" x14ac:dyDescent="0.25">
      <c r="A444" t="s">
        <v>76</v>
      </c>
      <c r="C444" s="2" t="s">
        <v>131</v>
      </c>
      <c r="D444" t="s">
        <v>79</v>
      </c>
      <c r="F444" t="str">
        <f t="shared" ref="F444" si="424">_xlfn.CONCAT("FretRout",LEFT(C444,3),RIGHT(C444,2),"Type")</f>
        <v>FretRoutCat43Type</v>
      </c>
      <c r="G444" t="s">
        <v>20</v>
      </c>
      <c r="H444">
        <v>1</v>
      </c>
      <c r="J444" t="s">
        <v>1771</v>
      </c>
      <c r="L444" s="4" t="str">
        <f t="shared" si="423"/>
        <v>PL</v>
      </c>
    </row>
    <row r="445" spans="1:12" x14ac:dyDescent="0.25">
      <c r="A445" t="s">
        <v>76</v>
      </c>
      <c r="C445" s="2" t="s">
        <v>131</v>
      </c>
      <c r="D445" t="s">
        <v>80</v>
      </c>
      <c r="F445" t="str">
        <f t="shared" ref="F445" si="425">_xlfn.CONCAT("FretRout",LEFT(C445,3),RIGHT(C445,2),"PTAC")</f>
        <v>FretRoutCat43PTAC</v>
      </c>
      <c r="G445" t="s">
        <v>36</v>
      </c>
      <c r="H445">
        <v>1</v>
      </c>
      <c r="J445" t="s">
        <v>1460</v>
      </c>
      <c r="L445" s="4" t="str">
        <f t="shared" si="423"/>
        <v>&gt;20-26t</v>
      </c>
    </row>
    <row r="446" spans="1:12" x14ac:dyDescent="0.25">
      <c r="A446" t="s">
        <v>76</v>
      </c>
      <c r="C446" s="2" t="s">
        <v>131</v>
      </c>
      <c r="D446" t="s">
        <v>81</v>
      </c>
      <c r="F446" t="str">
        <f t="shared" ref="F446" si="426">_xlfn.CONCAT("FretRout",LEFT(C446,3),RIGHT(C446,2),"Mot")</f>
        <v>FretRoutCat43Mot</v>
      </c>
      <c r="G446" t="s">
        <v>36</v>
      </c>
      <c r="H446">
        <v>1</v>
      </c>
      <c r="I446" s="2"/>
      <c r="J446" t="s">
        <v>1456</v>
      </c>
      <c r="L446" s="4" t="str">
        <f t="shared" si="423"/>
        <v>Gaz (GNC)</v>
      </c>
    </row>
    <row r="447" spans="1:12" x14ac:dyDescent="0.25">
      <c r="A447" t="s">
        <v>76</v>
      </c>
      <c r="C447" s="2" t="s">
        <v>131</v>
      </c>
      <c r="D447" t="s">
        <v>82</v>
      </c>
      <c r="F447" t="str">
        <f t="shared" ref="F447" si="427">_xlfn.CONCAT("FretRout",LEFT(C447,3),RIGHT(C447,2),"Carb")</f>
        <v>FretRoutCat43Carb</v>
      </c>
      <c r="G447" t="s">
        <v>36</v>
      </c>
      <c r="H447">
        <v>1</v>
      </c>
      <c r="J447">
        <v>0</v>
      </c>
      <c r="L447" s="4">
        <f t="shared" si="423"/>
        <v>0</v>
      </c>
    </row>
    <row r="448" spans="1:12" x14ac:dyDescent="0.25">
      <c r="A448" t="s">
        <v>76</v>
      </c>
      <c r="C448" s="2" t="s">
        <v>131</v>
      </c>
      <c r="D448" t="s">
        <v>83</v>
      </c>
      <c r="F448" t="str">
        <f t="shared" ref="F448" si="428">_xlfn.CONCAT("FretRout",LEFT(C448,3),RIGHT(C448,2),"Euro")</f>
        <v>FretRoutCat43Euro</v>
      </c>
      <c r="G448" t="s">
        <v>36</v>
      </c>
      <c r="H448">
        <v>1</v>
      </c>
      <c r="J448">
        <v>0</v>
      </c>
      <c r="L448" s="4">
        <f t="shared" si="423"/>
        <v>0</v>
      </c>
    </row>
    <row r="449" spans="1:12" x14ac:dyDescent="0.25">
      <c r="A449" t="s">
        <v>76</v>
      </c>
      <c r="C449" s="2" t="s">
        <v>131</v>
      </c>
      <c r="D449" t="s">
        <v>84</v>
      </c>
      <c r="F449" t="str">
        <f t="shared" ref="F449" si="429">_xlfn.CONCAT("FretRout",LEFT(C449,3),RIGHT(C449,2),"CritAir")</f>
        <v>FretRoutCat43CritAir</v>
      </c>
      <c r="G449" t="s">
        <v>36</v>
      </c>
      <c r="H449">
        <v>1</v>
      </c>
      <c r="I449" s="2"/>
      <c r="J449">
        <v>2</v>
      </c>
      <c r="L449" s="4">
        <f t="shared" si="423"/>
        <v>2</v>
      </c>
    </row>
    <row r="450" spans="1:12" x14ac:dyDescent="0.25">
      <c r="A450" t="s">
        <v>76</v>
      </c>
      <c r="C450" s="2" t="s">
        <v>131</v>
      </c>
      <c r="D450" t="s">
        <v>85</v>
      </c>
      <c r="F450" t="str">
        <f t="shared" ref="F450" si="430">_xlfn.CONCAT("FretRout",LEFT(C450,3),RIGHT(C450,2),"Nb")</f>
        <v>FretRoutCat43Nb</v>
      </c>
      <c r="G450" t="s">
        <v>17</v>
      </c>
      <c r="H450">
        <v>1</v>
      </c>
      <c r="K450" t="s">
        <v>86</v>
      </c>
      <c r="L450">
        <v>0</v>
      </c>
    </row>
    <row r="451" spans="1:12" x14ac:dyDescent="0.25">
      <c r="A451" t="s">
        <v>76</v>
      </c>
      <c r="C451" s="2" t="s">
        <v>131</v>
      </c>
      <c r="D451" t="s">
        <v>87</v>
      </c>
      <c r="F451" t="str">
        <f t="shared" ref="F451" si="431">_xlfn.CONCAT("FretRout",LEFT(C451,3),RIGHT(C451,2),"Dist")</f>
        <v>FretRoutCat43Dist</v>
      </c>
      <c r="G451" t="s">
        <v>17</v>
      </c>
      <c r="H451">
        <v>1</v>
      </c>
      <c r="I451" s="2"/>
      <c r="K451" t="s">
        <v>88</v>
      </c>
      <c r="L451">
        <v>46552.613237725091</v>
      </c>
    </row>
    <row r="452" spans="1:12" x14ac:dyDescent="0.25">
      <c r="A452" t="s">
        <v>76</v>
      </c>
      <c r="C452" s="2" t="s">
        <v>131</v>
      </c>
      <c r="D452" s="2" t="s">
        <v>89</v>
      </c>
      <c r="F452" t="str">
        <f t="shared" ref="F452" si="432">_xlfn.CONCAT("FretRout",LEFT(C452,3),RIGHT(C452,2),"Rempl")</f>
        <v>FretRoutCat43Rempl</v>
      </c>
      <c r="G452" t="s">
        <v>17</v>
      </c>
      <c r="H452">
        <v>1</v>
      </c>
      <c r="I452" s="3"/>
      <c r="K452" t="s">
        <v>70</v>
      </c>
      <c r="L452">
        <v>0</v>
      </c>
    </row>
    <row r="453" spans="1:12" x14ac:dyDescent="0.25">
      <c r="A453" t="s">
        <v>76</v>
      </c>
      <c r="C453" s="2" t="s">
        <v>132</v>
      </c>
      <c r="D453" t="s">
        <v>78</v>
      </c>
      <c r="F453" t="str">
        <f t="shared" ref="F453" si="433">_xlfn.CONCAT("FretRout",LEFT(C453,3),RIGHT(C453,2),"Nom")</f>
        <v>FretRoutCat44Nom</v>
      </c>
      <c r="G453" t="s">
        <v>20</v>
      </c>
      <c r="H453">
        <v>1</v>
      </c>
      <c r="I453" s="4"/>
      <c r="J453" s="4" t="s">
        <v>429</v>
      </c>
      <c r="L453" s="4" t="str">
        <f t="shared" ref="L453:L459" si="434">J453</f>
        <v>PL Gaz (GNC) &gt;28-34t (Crit'Air 1)</v>
      </c>
    </row>
    <row r="454" spans="1:12" x14ac:dyDescent="0.25">
      <c r="A454" t="s">
        <v>76</v>
      </c>
      <c r="C454" s="2" t="s">
        <v>132</v>
      </c>
      <c r="D454" t="s">
        <v>79</v>
      </c>
      <c r="F454" t="str">
        <f t="shared" ref="F454" si="435">_xlfn.CONCAT("FretRout",LEFT(C454,3),RIGHT(C454,2),"Type")</f>
        <v>FretRoutCat44Type</v>
      </c>
      <c r="G454" t="s">
        <v>20</v>
      </c>
      <c r="H454">
        <v>1</v>
      </c>
      <c r="J454" t="s">
        <v>1771</v>
      </c>
      <c r="L454" s="4" t="str">
        <f t="shared" si="434"/>
        <v>PL</v>
      </c>
    </row>
    <row r="455" spans="1:12" x14ac:dyDescent="0.25">
      <c r="A455" t="s">
        <v>76</v>
      </c>
      <c r="C455" s="2" t="s">
        <v>132</v>
      </c>
      <c r="D455" t="s">
        <v>80</v>
      </c>
      <c r="F455" t="str">
        <f t="shared" ref="F455" si="436">_xlfn.CONCAT("FretRout",LEFT(C455,3),RIGHT(C455,2),"PTAC")</f>
        <v>FretRoutCat44PTAC</v>
      </c>
      <c r="G455" t="s">
        <v>36</v>
      </c>
      <c r="H455">
        <v>1</v>
      </c>
      <c r="J455" t="s">
        <v>1461</v>
      </c>
      <c r="L455" s="4" t="str">
        <f t="shared" si="434"/>
        <v>&gt;28-34t</v>
      </c>
    </row>
    <row r="456" spans="1:12" x14ac:dyDescent="0.25">
      <c r="A456" t="s">
        <v>76</v>
      </c>
      <c r="C456" s="2" t="s">
        <v>132</v>
      </c>
      <c r="D456" t="s">
        <v>81</v>
      </c>
      <c r="F456" t="str">
        <f t="shared" ref="F456" si="437">_xlfn.CONCAT("FretRout",LEFT(C456,3),RIGHT(C456,2),"Mot")</f>
        <v>FretRoutCat44Mot</v>
      </c>
      <c r="G456" t="s">
        <v>36</v>
      </c>
      <c r="H456">
        <v>1</v>
      </c>
      <c r="I456" s="2"/>
      <c r="J456" t="s">
        <v>1456</v>
      </c>
      <c r="L456" s="4" t="str">
        <f t="shared" si="434"/>
        <v>Gaz (GNC)</v>
      </c>
    </row>
    <row r="457" spans="1:12" x14ac:dyDescent="0.25">
      <c r="A457" t="s">
        <v>76</v>
      </c>
      <c r="C457" s="2" t="s">
        <v>132</v>
      </c>
      <c r="D457" t="s">
        <v>82</v>
      </c>
      <c r="F457" t="str">
        <f t="shared" ref="F457" si="438">_xlfn.CONCAT("FretRout",LEFT(C457,3),RIGHT(C457,2),"Carb")</f>
        <v>FretRoutCat44Carb</v>
      </c>
      <c r="G457" t="s">
        <v>36</v>
      </c>
      <c r="H457">
        <v>1</v>
      </c>
      <c r="J457">
        <v>0</v>
      </c>
      <c r="L457" s="4">
        <f t="shared" si="434"/>
        <v>0</v>
      </c>
    </row>
    <row r="458" spans="1:12" x14ac:dyDescent="0.25">
      <c r="A458" t="s">
        <v>76</v>
      </c>
      <c r="C458" s="2" t="s">
        <v>132</v>
      </c>
      <c r="D458" t="s">
        <v>83</v>
      </c>
      <c r="F458" t="str">
        <f t="shared" ref="F458" si="439">_xlfn.CONCAT("FretRout",LEFT(C458,3),RIGHT(C458,2),"Euro")</f>
        <v>FretRoutCat44Euro</v>
      </c>
      <c r="G458" t="s">
        <v>36</v>
      </c>
      <c r="H458">
        <v>1</v>
      </c>
      <c r="J458">
        <v>0</v>
      </c>
      <c r="L458" s="4">
        <f t="shared" si="434"/>
        <v>0</v>
      </c>
    </row>
    <row r="459" spans="1:12" x14ac:dyDescent="0.25">
      <c r="A459" t="s">
        <v>76</v>
      </c>
      <c r="C459" s="2" t="s">
        <v>132</v>
      </c>
      <c r="D459" t="s">
        <v>84</v>
      </c>
      <c r="F459" t="str">
        <f t="shared" ref="F459" si="440">_xlfn.CONCAT("FretRout",LEFT(C459,3),RIGHT(C459,2),"CritAir")</f>
        <v>FretRoutCat44CritAir</v>
      </c>
      <c r="G459" t="s">
        <v>36</v>
      </c>
      <c r="H459">
        <v>1</v>
      </c>
      <c r="I459" s="2"/>
      <c r="J459">
        <v>1</v>
      </c>
      <c r="L459" s="4">
        <f t="shared" si="434"/>
        <v>1</v>
      </c>
    </row>
    <row r="460" spans="1:12" x14ac:dyDescent="0.25">
      <c r="A460" t="s">
        <v>76</v>
      </c>
      <c r="C460" s="2" t="s">
        <v>132</v>
      </c>
      <c r="D460" t="s">
        <v>85</v>
      </c>
      <c r="F460" t="str">
        <f t="shared" ref="F460" si="441">_xlfn.CONCAT("FretRout",LEFT(C460,3),RIGHT(C460,2),"Nb")</f>
        <v>FretRoutCat44Nb</v>
      </c>
      <c r="G460" t="s">
        <v>17</v>
      </c>
      <c r="H460">
        <v>1</v>
      </c>
      <c r="K460" t="s">
        <v>86</v>
      </c>
      <c r="L460">
        <v>0</v>
      </c>
    </row>
    <row r="461" spans="1:12" x14ac:dyDescent="0.25">
      <c r="A461" t="s">
        <v>76</v>
      </c>
      <c r="C461" s="2" t="s">
        <v>132</v>
      </c>
      <c r="D461" t="s">
        <v>87</v>
      </c>
      <c r="F461" t="str">
        <f t="shared" ref="F461" si="442">_xlfn.CONCAT("FretRout",LEFT(C461,3),RIGHT(C461,2),"Dist")</f>
        <v>FretRoutCat44Dist</v>
      </c>
      <c r="G461" t="s">
        <v>17</v>
      </c>
      <c r="H461">
        <v>1</v>
      </c>
      <c r="I461" s="2"/>
      <c r="K461" t="s">
        <v>88</v>
      </c>
      <c r="L461">
        <v>46552.613237725091</v>
      </c>
    </row>
    <row r="462" spans="1:12" x14ac:dyDescent="0.25">
      <c r="A462" t="s">
        <v>76</v>
      </c>
      <c r="C462" s="2" t="s">
        <v>132</v>
      </c>
      <c r="D462" s="2" t="s">
        <v>89</v>
      </c>
      <c r="F462" t="str">
        <f t="shared" ref="F462" si="443">_xlfn.CONCAT("FretRout",LEFT(C462,3),RIGHT(C462,2),"Rempl")</f>
        <v>FretRoutCat44Rempl</v>
      </c>
      <c r="G462" t="s">
        <v>17</v>
      </c>
      <c r="H462">
        <v>1</v>
      </c>
      <c r="I462" s="3"/>
      <c r="K462" t="s">
        <v>70</v>
      </c>
      <c r="L462">
        <v>0</v>
      </c>
    </row>
    <row r="463" spans="1:12" x14ac:dyDescent="0.25">
      <c r="A463" t="s">
        <v>76</v>
      </c>
      <c r="C463" s="2" t="s">
        <v>133</v>
      </c>
      <c r="D463" t="s">
        <v>78</v>
      </c>
      <c r="F463" t="str">
        <f t="shared" ref="F463" si="444">_xlfn.CONCAT("FretRout",LEFT(C463,3),RIGHT(C463,2),"Nom")</f>
        <v>FretRoutCat45Nom</v>
      </c>
      <c r="G463" t="s">
        <v>20</v>
      </c>
      <c r="H463">
        <v>1</v>
      </c>
      <c r="I463" s="4"/>
      <c r="J463" s="4" t="s">
        <v>387</v>
      </c>
      <c r="L463" s="4" t="str">
        <f t="shared" ref="L463:L469" si="445">J463</f>
        <v>PL Gaz (GNC) &gt;28-34t (Crit'Air 2)</v>
      </c>
    </row>
    <row r="464" spans="1:12" outlineLevel="1" x14ac:dyDescent="0.25">
      <c r="A464" t="s">
        <v>76</v>
      </c>
      <c r="C464" s="2" t="s">
        <v>133</v>
      </c>
      <c r="D464" t="s">
        <v>79</v>
      </c>
      <c r="F464" t="str">
        <f t="shared" ref="F464" si="446">_xlfn.CONCAT("FretRout",LEFT(C464,3),RIGHT(C464,2),"Type")</f>
        <v>FretRoutCat45Type</v>
      </c>
      <c r="G464" t="s">
        <v>20</v>
      </c>
      <c r="H464">
        <v>1</v>
      </c>
      <c r="J464" t="s">
        <v>1771</v>
      </c>
      <c r="L464" s="4" t="str">
        <f t="shared" si="445"/>
        <v>PL</v>
      </c>
    </row>
    <row r="465" spans="1:12" outlineLevel="1" x14ac:dyDescent="0.25">
      <c r="A465" t="s">
        <v>76</v>
      </c>
      <c r="C465" s="2" t="s">
        <v>133</v>
      </c>
      <c r="D465" t="s">
        <v>80</v>
      </c>
      <c r="F465" t="str">
        <f t="shared" ref="F465" si="447">_xlfn.CONCAT("FretRout",LEFT(C465,3),RIGHT(C465,2),"PTAC")</f>
        <v>FretRoutCat45PTAC</v>
      </c>
      <c r="G465" t="s">
        <v>36</v>
      </c>
      <c r="H465">
        <v>1</v>
      </c>
      <c r="J465" t="s">
        <v>1461</v>
      </c>
      <c r="L465" s="4" t="str">
        <f t="shared" si="445"/>
        <v>&gt;28-34t</v>
      </c>
    </row>
    <row r="466" spans="1:12" outlineLevel="1" x14ac:dyDescent="0.25">
      <c r="A466" t="s">
        <v>76</v>
      </c>
      <c r="C466" s="2" t="s">
        <v>133</v>
      </c>
      <c r="D466" t="s">
        <v>81</v>
      </c>
      <c r="F466" t="str">
        <f t="shared" ref="F466" si="448">_xlfn.CONCAT("FretRout",LEFT(C466,3),RIGHT(C466,2),"Mot")</f>
        <v>FretRoutCat45Mot</v>
      </c>
      <c r="G466" t="s">
        <v>36</v>
      </c>
      <c r="H466">
        <v>1</v>
      </c>
      <c r="I466" s="2"/>
      <c r="J466" t="s">
        <v>1456</v>
      </c>
      <c r="L466" s="4" t="str">
        <f t="shared" si="445"/>
        <v>Gaz (GNC)</v>
      </c>
    </row>
    <row r="467" spans="1:12" outlineLevel="1" x14ac:dyDescent="0.25">
      <c r="A467" t="s">
        <v>76</v>
      </c>
      <c r="C467" s="2" t="s">
        <v>133</v>
      </c>
      <c r="D467" t="s">
        <v>82</v>
      </c>
      <c r="F467" t="str">
        <f t="shared" ref="F467" si="449">_xlfn.CONCAT("FretRout",LEFT(C467,3),RIGHT(C467,2),"Carb")</f>
        <v>FretRoutCat45Carb</v>
      </c>
      <c r="G467" t="s">
        <v>36</v>
      </c>
      <c r="H467">
        <v>1</v>
      </c>
      <c r="J467">
        <v>0</v>
      </c>
      <c r="L467" s="4">
        <f t="shared" si="445"/>
        <v>0</v>
      </c>
    </row>
    <row r="468" spans="1:12" outlineLevel="1" x14ac:dyDescent="0.25">
      <c r="A468" t="s">
        <v>76</v>
      </c>
      <c r="C468" s="2" t="s">
        <v>133</v>
      </c>
      <c r="D468" t="s">
        <v>83</v>
      </c>
      <c r="F468" t="str">
        <f t="shared" ref="F468" si="450">_xlfn.CONCAT("FretRout",LEFT(C468,3),RIGHT(C468,2),"Euro")</f>
        <v>FretRoutCat45Euro</v>
      </c>
      <c r="G468" t="s">
        <v>36</v>
      </c>
      <c r="H468">
        <v>1</v>
      </c>
      <c r="J468">
        <v>0</v>
      </c>
      <c r="L468" s="4">
        <f t="shared" si="445"/>
        <v>0</v>
      </c>
    </row>
    <row r="469" spans="1:12" outlineLevel="1" x14ac:dyDescent="0.25">
      <c r="A469" t="s">
        <v>76</v>
      </c>
      <c r="C469" s="2" t="s">
        <v>133</v>
      </c>
      <c r="D469" t="s">
        <v>84</v>
      </c>
      <c r="F469" t="str">
        <f t="shared" ref="F469" si="451">_xlfn.CONCAT("FretRout",LEFT(C469,3),RIGHT(C469,2),"CritAir")</f>
        <v>FretRoutCat45CritAir</v>
      </c>
      <c r="G469" t="s">
        <v>36</v>
      </c>
      <c r="H469">
        <v>1</v>
      </c>
      <c r="I469" s="2"/>
      <c r="J469">
        <v>2</v>
      </c>
      <c r="L469" s="4">
        <f t="shared" si="445"/>
        <v>2</v>
      </c>
    </row>
    <row r="470" spans="1:12" outlineLevel="1" x14ac:dyDescent="0.25">
      <c r="A470" t="s">
        <v>76</v>
      </c>
      <c r="C470" s="2" t="s">
        <v>133</v>
      </c>
      <c r="D470" t="s">
        <v>85</v>
      </c>
      <c r="F470" t="str">
        <f t="shared" ref="F470" si="452">_xlfn.CONCAT("FretRout",LEFT(C470,3),RIGHT(C470,2),"Nb")</f>
        <v>FretRoutCat45Nb</v>
      </c>
      <c r="G470" t="s">
        <v>17</v>
      </c>
      <c r="H470">
        <v>1</v>
      </c>
      <c r="K470" t="s">
        <v>86</v>
      </c>
      <c r="L470">
        <v>0</v>
      </c>
    </row>
    <row r="471" spans="1:12" outlineLevel="1" x14ac:dyDescent="0.25">
      <c r="A471" t="s">
        <v>76</v>
      </c>
      <c r="C471" s="2" t="s">
        <v>133</v>
      </c>
      <c r="D471" t="s">
        <v>87</v>
      </c>
      <c r="F471" t="str">
        <f t="shared" ref="F471" si="453">_xlfn.CONCAT("FretRout",LEFT(C471,3),RIGHT(C471,2),"Dist")</f>
        <v>FretRoutCat45Dist</v>
      </c>
      <c r="G471" t="s">
        <v>17</v>
      </c>
      <c r="H471">
        <v>1</v>
      </c>
      <c r="I471" s="2"/>
      <c r="K471" t="s">
        <v>88</v>
      </c>
      <c r="L471">
        <v>46552.613237725091</v>
      </c>
    </row>
    <row r="472" spans="1:12" outlineLevel="1" x14ac:dyDescent="0.25">
      <c r="A472" t="s">
        <v>76</v>
      </c>
      <c r="C472" s="2" t="s">
        <v>133</v>
      </c>
      <c r="D472" s="2" t="s">
        <v>89</v>
      </c>
      <c r="F472" t="str">
        <f t="shared" ref="F472" si="454">_xlfn.CONCAT("FretRout",LEFT(C472,3),RIGHT(C472,2),"Rempl")</f>
        <v>FretRoutCat45Rempl</v>
      </c>
      <c r="G472" t="s">
        <v>17</v>
      </c>
      <c r="H472">
        <v>1</v>
      </c>
      <c r="I472" s="3"/>
      <c r="K472" t="s">
        <v>70</v>
      </c>
      <c r="L472">
        <v>0</v>
      </c>
    </row>
    <row r="473" spans="1:12" s="25" customFormat="1" outlineLevel="1" x14ac:dyDescent="0.25">
      <c r="A473" s="25" t="s">
        <v>134</v>
      </c>
      <c r="B473" s="25">
        <v>0</v>
      </c>
      <c r="C473" s="25" t="str">
        <f>"Catégorie "&amp;INT(B473/11)+1</f>
        <v>Catégorie 1</v>
      </c>
      <c r="D473" s="25" t="s">
        <v>135</v>
      </c>
      <c r="F473" s="25" t="str">
        <f>_xlfn.CONCAT("FretFluv",LEFT(C473,3),IF(INT(B473/11)&lt;8,RIGHT(C473,1),RIGHT(C473,2)),"Nom")</f>
        <v>FretFluvCat1Nom</v>
      </c>
      <c r="G473" s="26" t="s">
        <v>20</v>
      </c>
      <c r="H473" s="25">
        <f>IF($I$15="Oui",1,0)</f>
        <v>1</v>
      </c>
      <c r="J473" s="27" t="str">
        <f>VLOOKUP(C473,'Parcs types'!$B$65:$AA$120,2,FALSE)</f>
        <v>Automoteurs &lt; 400 tonnes CCNR 2 ou inférieur, diesel</v>
      </c>
      <c r="L473" s="25" t="str">
        <f>J473</f>
        <v>Automoteurs &lt; 400 tonnes CCNR 2 ou inférieur, diesel</v>
      </c>
    </row>
    <row r="474" spans="1:12" s="25" customFormat="1" outlineLevel="1" x14ac:dyDescent="0.25">
      <c r="A474" s="25" t="s">
        <v>134</v>
      </c>
      <c r="B474" s="25">
        <v>1</v>
      </c>
      <c r="C474" s="25" t="str">
        <f t="shared" ref="C474:C537" si="455">"Catégorie "&amp;INT(B474/11)+1</f>
        <v>Catégorie 1</v>
      </c>
      <c r="D474" s="25" t="s">
        <v>136</v>
      </c>
      <c r="F474" s="25" t="str">
        <f>_xlfn.CONCAT("FretFluv",LEFT(C474,3),IF(INT(B474/11)&lt;8,RIGHT(C474,1),RIGHT(C474,2)),"Type")</f>
        <v>FretFluvCat1Type</v>
      </c>
      <c r="G474" s="25" t="s">
        <v>20</v>
      </c>
      <c r="H474" s="25">
        <f t="shared" ref="H474:H476" si="456">IF($I$15="Oui",1,0)</f>
        <v>1</v>
      </c>
      <c r="J474" s="27" t="str">
        <f>VLOOKUP(C474,'Parcs types'!$B$65:$AA$120,3,FALSE)</f>
        <v>Automoteurs</v>
      </c>
      <c r="L474" s="25" t="str">
        <f t="shared" ref="L474:L476" si="457">J474</f>
        <v>Automoteurs</v>
      </c>
    </row>
    <row r="475" spans="1:12" s="25" customFormat="1" outlineLevel="1" x14ac:dyDescent="0.25">
      <c r="A475" s="25" t="s">
        <v>134</v>
      </c>
      <c r="B475" s="25">
        <v>2</v>
      </c>
      <c r="C475" s="25" t="str">
        <f t="shared" si="455"/>
        <v>Catégorie 1</v>
      </c>
      <c r="D475" s="26" t="s">
        <v>137</v>
      </c>
      <c r="F475" s="25" t="str">
        <f>_xlfn.CONCAT("FretFluv",LEFT(C475,3),IF(INT(B475/11)&lt;8,RIGHT(C475,1),RIGHT(C475,2)),"Cap")</f>
        <v>FretFluvCat1Cap</v>
      </c>
      <c r="G475" s="26" t="s">
        <v>36</v>
      </c>
      <c r="H475" s="25">
        <f t="shared" si="456"/>
        <v>1</v>
      </c>
      <c r="J475" s="27" t="str">
        <f>VLOOKUP(C475,'Parcs types'!$B$65:$AA$120,4,FALSE)</f>
        <v>&lt; 400 tonnes</v>
      </c>
      <c r="K475" s="25" t="s">
        <v>524</v>
      </c>
      <c r="L475" s="25" t="str">
        <f t="shared" si="457"/>
        <v>&lt; 400 tonnes</v>
      </c>
    </row>
    <row r="476" spans="1:12" s="25" customFormat="1" outlineLevel="1" x14ac:dyDescent="0.25">
      <c r="A476" s="25" t="s">
        <v>134</v>
      </c>
      <c r="B476" s="25">
        <v>3</v>
      </c>
      <c r="C476" s="25" t="str">
        <f t="shared" si="455"/>
        <v>Catégorie 1</v>
      </c>
      <c r="D476" s="26" t="s">
        <v>525</v>
      </c>
      <c r="F476" s="25" t="str">
        <f>_xlfn.CONCAT("FretFluv",LEFT(C476,3),IF(INT(B476/11)&lt;8,RIGHT(C476,1),RIGHT(C476,2)),"Tech")</f>
        <v>FretFluvCat1Tech</v>
      </c>
      <c r="G476" s="26" t="s">
        <v>20</v>
      </c>
      <c r="H476" s="25">
        <f t="shared" si="456"/>
        <v>1</v>
      </c>
      <c r="J476" s="27" t="str">
        <f>VLOOKUP(C476,'Parcs types'!$B$65:$AA$120,5,FALSE)</f>
        <v>CCNR 2 ou inférieur, diesel</v>
      </c>
      <c r="L476" s="25" t="str">
        <f t="shared" si="457"/>
        <v>CCNR 2 ou inférieur, diesel</v>
      </c>
    </row>
    <row r="477" spans="1:12" s="25" customFormat="1" outlineLevel="1" x14ac:dyDescent="0.25">
      <c r="A477" s="25" t="s">
        <v>134</v>
      </c>
      <c r="B477" s="25">
        <v>4</v>
      </c>
      <c r="C477" s="25" t="str">
        <f t="shared" si="455"/>
        <v>Catégorie 1</v>
      </c>
      <c r="D477" s="25" t="s">
        <v>140</v>
      </c>
      <c r="F477" s="25" t="str">
        <f>_xlfn.CONCAT("FretFluv",LEFT(C477,3),IF(INT(B477/11)&lt;8,RIGHT(C477,1),RIGHT(C477,2)),"Request")</f>
        <v>FretFluvCat1Request</v>
      </c>
      <c r="G477" s="26" t="s">
        <v>20</v>
      </c>
      <c r="H477" s="25">
        <f>IF($I$15="Oui",1,0)</f>
        <v>1</v>
      </c>
      <c r="J477" s="27" t="s">
        <v>142</v>
      </c>
      <c r="L477" s="25" t="s">
        <v>143</v>
      </c>
    </row>
    <row r="478" spans="1:12" s="25" customFormat="1" outlineLevel="1" x14ac:dyDescent="0.25">
      <c r="A478" s="25" t="s">
        <v>134</v>
      </c>
      <c r="B478" s="25">
        <v>5</v>
      </c>
      <c r="C478" s="25" t="str">
        <f t="shared" si="455"/>
        <v>Catégorie 1</v>
      </c>
      <c r="D478" s="25" t="s">
        <v>144</v>
      </c>
      <c r="F478" s="25" t="str">
        <f>_xlfn.CONCAT("FretFluv",LEFT(C478,3),IF(INT(B478/11)&lt;8,RIGHT(C478,1),RIGHT(C478,2)),"NbTraj")</f>
        <v>FretFluvCat1NbTraj</v>
      </c>
      <c r="G478" s="25" t="s">
        <v>17</v>
      </c>
      <c r="H478" s="25">
        <f>IF($I$15="Oui",1,0)*IF(ISNUMBER(SEARCH("Une estimation du nombre annuel de trajets pour ce type de barge",I477)),1,0)</f>
        <v>0</v>
      </c>
      <c r="J478" s="27"/>
      <c r="K478" s="25" t="s">
        <v>145</v>
      </c>
    </row>
    <row r="479" spans="1:12" s="25" customFormat="1" outlineLevel="1" x14ac:dyDescent="0.25">
      <c r="A479" s="25" t="s">
        <v>134</v>
      </c>
      <c r="B479" s="25">
        <v>6</v>
      </c>
      <c r="C479" s="25" t="str">
        <f t="shared" si="455"/>
        <v>Catégorie 1</v>
      </c>
      <c r="D479" s="25" t="s">
        <v>146</v>
      </c>
      <c r="F479" s="25" t="str">
        <f>_xlfn.CONCAT("FretFluv",LEFT(C479,3),IF(INT(B479/11)&lt;8,RIGHT(C479,1),RIGHT(C479,2)),"DistMoy")</f>
        <v>FretFluvCat1DistMoy</v>
      </c>
      <c r="G479" s="25" t="s">
        <v>17</v>
      </c>
      <c r="H479" s="25">
        <f>IF($I$15="Oui",1,0)*IF(ISNUMBER(SEARCH("La distance moyenne d'un trajet",I477)),1,0)</f>
        <v>0</v>
      </c>
      <c r="J479" s="27"/>
      <c r="K479" s="25" t="s">
        <v>88</v>
      </c>
    </row>
    <row r="480" spans="1:12" s="25" customFormat="1" outlineLevel="1" x14ac:dyDescent="0.25">
      <c r="A480" s="25" t="s">
        <v>134</v>
      </c>
      <c r="B480" s="25">
        <v>7</v>
      </c>
      <c r="C480" s="25" t="str">
        <f t="shared" si="455"/>
        <v>Catégorie 1</v>
      </c>
      <c r="D480" s="25" t="s">
        <v>147</v>
      </c>
      <c r="F480" s="25" t="str">
        <f>_xlfn.CONCAT("FretFluv",LEFT(C480,3),IF(INT(B480/11)&lt;8,RIGHT(C480,1),RIGHT(C480,2)),"EmportMoy")</f>
        <v>FretFluvCat1EmportMoy</v>
      </c>
      <c r="G480" s="25" t="s">
        <v>17</v>
      </c>
      <c r="H480" s="25">
        <f>IF($I$15="Oui",1,0)*IF(ISNUMBER(SEARCH("La masse moyenne transportée pour un trajet",I477)),1,0)</f>
        <v>0</v>
      </c>
      <c r="J480" s="27"/>
      <c r="K480" s="25" t="s">
        <v>148</v>
      </c>
    </row>
    <row r="481" spans="1:12" s="25" customFormat="1" outlineLevel="1" x14ac:dyDescent="0.25">
      <c r="A481" s="25" t="s">
        <v>134</v>
      </c>
      <c r="B481" s="25">
        <v>8</v>
      </c>
      <c r="C481" s="25" t="str">
        <f t="shared" si="455"/>
        <v>Catégorie 1</v>
      </c>
      <c r="D481" s="25" t="s">
        <v>149</v>
      </c>
      <c r="F481" s="25" t="str">
        <f>_xlfn.CONCAT("FretFluv",LEFT(C481,3),IF(INT(B481/11)&lt;8,RIGHT(C481,1),RIGHT(C481,2)),"DistAn")</f>
        <v>FretFluvCat1DistAn</v>
      </c>
      <c r="G481" s="25" t="s">
        <v>17</v>
      </c>
      <c r="H481" s="25">
        <f>IF($I$15="Oui",1,0)*IF(ISNUMBER(SEARCH("La distance parcourue annuellement pour ce type de barge",I477)),1,0)</f>
        <v>0</v>
      </c>
      <c r="J481" s="27"/>
      <c r="K481" s="25" t="s">
        <v>88</v>
      </c>
      <c r="L481" s="28"/>
    </row>
    <row r="482" spans="1:12" s="25" customFormat="1" outlineLevel="1" x14ac:dyDescent="0.25">
      <c r="A482" s="25" t="s">
        <v>134</v>
      </c>
      <c r="B482" s="25">
        <v>9</v>
      </c>
      <c r="C482" s="25" t="str">
        <f t="shared" si="455"/>
        <v>Catégorie 1</v>
      </c>
      <c r="D482" s="25" t="s">
        <v>150</v>
      </c>
      <c r="F482" s="25" t="str">
        <f>_xlfn.CONCAT("FretFluv",LEFT(C482,3),IF(INT(B482/11)&lt;8,RIGHT(C482,1),RIGHT(C482,2)),"TauxChargeMoy")</f>
        <v>FretFluvCat1TauxChargeMoy</v>
      </c>
      <c r="G482" s="25" t="s">
        <v>17</v>
      </c>
      <c r="H482" s="25">
        <f>IF($I$15="Oui",1,0)*IF(ISNUMBER(SEARCH("Le taux de chargement moyen",I477)),1,0)</f>
        <v>0</v>
      </c>
      <c r="I482" s="29"/>
      <c r="J482" s="27"/>
      <c r="K482" s="25" t="s">
        <v>70</v>
      </c>
      <c r="L482" s="30"/>
    </row>
    <row r="483" spans="1:12" s="25" customFormat="1" outlineLevel="1" x14ac:dyDescent="0.25">
      <c r="A483" s="25" t="s">
        <v>134</v>
      </c>
      <c r="B483" s="25">
        <v>10</v>
      </c>
      <c r="C483" s="25" t="str">
        <f t="shared" si="455"/>
        <v>Catégorie 1</v>
      </c>
      <c r="D483" s="26" t="s">
        <v>526</v>
      </c>
      <c r="F483" s="25" t="str">
        <f>_xlfn.CONCAT("FretFluv",LEFT(C483,3),IF(INT(B483/11)&lt;8,RIGHT(C483,1),RIGHT(C483,2)),"NbBarges")</f>
        <v>FretFluvCat1NbBarges</v>
      </c>
      <c r="G483" s="25" t="s">
        <v>17</v>
      </c>
      <c r="H483" s="25">
        <f>IF($I$15="Oui",1,0)</f>
        <v>1</v>
      </c>
      <c r="I483" s="28"/>
      <c r="J483" s="27"/>
      <c r="K483" s="25" t="s">
        <v>151</v>
      </c>
      <c r="L483" s="28"/>
    </row>
    <row r="484" spans="1:12" s="25" customFormat="1" outlineLevel="1" x14ac:dyDescent="0.25">
      <c r="A484" s="25" t="s">
        <v>134</v>
      </c>
      <c r="B484" s="25">
        <v>11</v>
      </c>
      <c r="C484" s="25" t="str">
        <f t="shared" si="455"/>
        <v>Catégorie 2</v>
      </c>
      <c r="D484" s="25" t="s">
        <v>135</v>
      </c>
      <c r="F484" s="25" t="str">
        <f t="shared" ref="F484" si="458">_xlfn.CONCAT("FretFluv",LEFT(C484,3),IF(INT(B484/11)&lt;8,RIGHT(C484,1),RIGHT(C484,2)),"Nom")</f>
        <v>FretFluvCat2Nom</v>
      </c>
      <c r="G484" s="26" t="s">
        <v>20</v>
      </c>
      <c r="H484" s="25">
        <f>IF($I$15="Oui",1,0)</f>
        <v>1</v>
      </c>
      <c r="J484" s="27" t="str">
        <f>VLOOKUP(C484,'Parcs types'!$B$65:$AA$120,2,FALSE)</f>
        <v>Automoteurs &lt; 400 tonnes CCNR 2 + SCR, diesel</v>
      </c>
      <c r="L484" s="25" t="str">
        <f>J484</f>
        <v>Automoteurs &lt; 400 tonnes CCNR 2 + SCR, diesel</v>
      </c>
    </row>
    <row r="485" spans="1:12" s="25" customFormat="1" outlineLevel="1" x14ac:dyDescent="0.25">
      <c r="A485" s="25" t="s">
        <v>134</v>
      </c>
      <c r="B485" s="25">
        <v>12</v>
      </c>
      <c r="C485" s="25" t="str">
        <f t="shared" si="455"/>
        <v>Catégorie 2</v>
      </c>
      <c r="D485" s="25" t="s">
        <v>136</v>
      </c>
      <c r="F485" s="25" t="str">
        <f t="shared" ref="F485" si="459">_xlfn.CONCAT("FretFluv",LEFT(C485,3),IF(INT(B485/11)&lt;8,RIGHT(C485,1),RIGHT(C485,2)),"Type")</f>
        <v>FretFluvCat2Type</v>
      </c>
      <c r="G485" s="25" t="s">
        <v>20</v>
      </c>
      <c r="H485" s="25">
        <f t="shared" ref="H485:H487" si="460">IF($I$15="Oui",1,0)</f>
        <v>1</v>
      </c>
      <c r="J485" s="27" t="str">
        <f>VLOOKUP(C485,'Parcs types'!$B$65:$AA$120,3,FALSE)</f>
        <v>Automoteurs</v>
      </c>
      <c r="L485" s="25" t="str">
        <f t="shared" ref="L485:L487" si="461">J485</f>
        <v>Automoteurs</v>
      </c>
    </row>
    <row r="486" spans="1:12" s="25" customFormat="1" outlineLevel="1" x14ac:dyDescent="0.25">
      <c r="A486" s="25" t="s">
        <v>134</v>
      </c>
      <c r="B486" s="25">
        <v>13</v>
      </c>
      <c r="C486" s="25" t="str">
        <f t="shared" si="455"/>
        <v>Catégorie 2</v>
      </c>
      <c r="D486" s="26" t="s">
        <v>137</v>
      </c>
      <c r="F486" s="25" t="str">
        <f t="shared" ref="F486" si="462">_xlfn.CONCAT("FretFluv",LEFT(C486,3),IF(INT(B486/11)&lt;8,RIGHT(C486,1),RIGHT(C486,2)),"Cap")</f>
        <v>FretFluvCat2Cap</v>
      </c>
      <c r="G486" s="26" t="s">
        <v>36</v>
      </c>
      <c r="H486" s="25">
        <f t="shared" si="460"/>
        <v>1</v>
      </c>
      <c r="J486" s="27" t="str">
        <f>VLOOKUP(C486,'Parcs types'!$B$65:$AA$120,4,FALSE)</f>
        <v>&lt; 400 tonnes</v>
      </c>
      <c r="K486" s="25" t="s">
        <v>524</v>
      </c>
      <c r="L486" s="25" t="str">
        <f t="shared" si="461"/>
        <v>&lt; 400 tonnes</v>
      </c>
    </row>
    <row r="487" spans="1:12" s="25" customFormat="1" outlineLevel="1" x14ac:dyDescent="0.25">
      <c r="A487" s="25" t="s">
        <v>134</v>
      </c>
      <c r="B487" s="25">
        <v>14</v>
      </c>
      <c r="C487" s="25" t="str">
        <f t="shared" si="455"/>
        <v>Catégorie 2</v>
      </c>
      <c r="D487" s="26" t="s">
        <v>525</v>
      </c>
      <c r="F487" s="25" t="str">
        <f t="shared" ref="F487" si="463">_xlfn.CONCAT("FretFluv",LEFT(C487,3),IF(INT(B487/11)&lt;8,RIGHT(C487,1),RIGHT(C487,2)),"Tech")</f>
        <v>FretFluvCat2Tech</v>
      </c>
      <c r="G487" s="26" t="s">
        <v>20</v>
      </c>
      <c r="H487" s="25">
        <f t="shared" si="460"/>
        <v>1</v>
      </c>
      <c r="J487" s="27" t="str">
        <f>VLOOKUP(C487,'Parcs types'!$B$65:$AA$120,5,FALSE)</f>
        <v>CCNR 2 + SCR, diesel</v>
      </c>
      <c r="L487" s="25" t="str">
        <f t="shared" si="461"/>
        <v>CCNR 2 + SCR, diesel</v>
      </c>
    </row>
    <row r="488" spans="1:12" s="25" customFormat="1" outlineLevel="1" x14ac:dyDescent="0.25">
      <c r="A488" s="25" t="s">
        <v>134</v>
      </c>
      <c r="B488" s="25">
        <v>15</v>
      </c>
      <c r="C488" s="25" t="str">
        <f t="shared" si="455"/>
        <v>Catégorie 2</v>
      </c>
      <c r="D488" s="25" t="s">
        <v>140</v>
      </c>
      <c r="F488" s="25" t="str">
        <f t="shared" ref="F488" si="464">_xlfn.CONCAT("FretFluv",LEFT(C488,3),IF(INT(B488/11)&lt;8,RIGHT(C488,1),RIGHT(C488,2)),"Request")</f>
        <v>FretFluvCat2Request</v>
      </c>
      <c r="G488" s="26" t="s">
        <v>20</v>
      </c>
      <c r="H488" s="25">
        <f>IF($I$15="Oui",1,0)</f>
        <v>1</v>
      </c>
      <c r="J488" s="27" t="s">
        <v>142</v>
      </c>
    </row>
    <row r="489" spans="1:12" s="25" customFormat="1" outlineLevel="1" x14ac:dyDescent="0.25">
      <c r="A489" s="25" t="s">
        <v>134</v>
      </c>
      <c r="B489" s="25">
        <v>16</v>
      </c>
      <c r="C489" s="25" t="str">
        <f t="shared" si="455"/>
        <v>Catégorie 2</v>
      </c>
      <c r="D489" s="25" t="s">
        <v>144</v>
      </c>
      <c r="F489" s="25" t="str">
        <f t="shared" ref="F489" si="465">_xlfn.CONCAT("FretFluv",LEFT(C489,3),IF(INT(B489/11)&lt;8,RIGHT(C489,1),RIGHT(C489,2)),"NbTraj")</f>
        <v>FretFluvCat2NbTraj</v>
      </c>
      <c r="G489" s="25" t="s">
        <v>17</v>
      </c>
      <c r="H489" s="25">
        <f>IF($I$15="Oui",1,0)*IF(ISNUMBER(SEARCH("Une estimation du nombre annuel de trajets pour ce type de barge",I488)),1,0)</f>
        <v>0</v>
      </c>
      <c r="J489" s="27"/>
      <c r="K489" s="25" t="s">
        <v>145</v>
      </c>
    </row>
    <row r="490" spans="1:12" s="25" customFormat="1" outlineLevel="1" x14ac:dyDescent="0.25">
      <c r="A490" s="25" t="s">
        <v>134</v>
      </c>
      <c r="B490" s="25">
        <v>17</v>
      </c>
      <c r="C490" s="25" t="str">
        <f t="shared" si="455"/>
        <v>Catégorie 2</v>
      </c>
      <c r="D490" s="25" t="s">
        <v>146</v>
      </c>
      <c r="F490" s="25" t="str">
        <f t="shared" ref="F490" si="466">_xlfn.CONCAT("FretFluv",LEFT(C490,3),IF(INT(B490/11)&lt;8,RIGHT(C490,1),RIGHT(C490,2)),"DistMoy")</f>
        <v>FretFluvCat2DistMoy</v>
      </c>
      <c r="G490" s="25" t="s">
        <v>17</v>
      </c>
      <c r="H490" s="25">
        <f>IF($I$15="Oui",1,0)*IF(ISNUMBER(SEARCH("La distance moyenne d'un trajet",I488)),1,0)</f>
        <v>0</v>
      </c>
      <c r="J490" s="27"/>
      <c r="K490" s="25" t="s">
        <v>88</v>
      </c>
    </row>
    <row r="491" spans="1:12" s="25" customFormat="1" outlineLevel="1" x14ac:dyDescent="0.25">
      <c r="A491" s="25" t="s">
        <v>134</v>
      </c>
      <c r="B491" s="25">
        <v>18</v>
      </c>
      <c r="C491" s="25" t="str">
        <f t="shared" si="455"/>
        <v>Catégorie 2</v>
      </c>
      <c r="D491" s="25" t="s">
        <v>147</v>
      </c>
      <c r="F491" s="25" t="str">
        <f t="shared" ref="F491" si="467">_xlfn.CONCAT("FretFluv",LEFT(C491,3),IF(INT(B491/11)&lt;8,RIGHT(C491,1),RIGHT(C491,2)),"EmportMoy")</f>
        <v>FretFluvCat2EmportMoy</v>
      </c>
      <c r="G491" s="25" t="s">
        <v>17</v>
      </c>
      <c r="H491" s="25">
        <f>IF($I$15="Oui",1,0)*IF(ISNUMBER(SEARCH("La masse moyenne transportée pour un trajet",I488)),1,0)</f>
        <v>0</v>
      </c>
      <c r="J491" s="27"/>
      <c r="K491" s="25" t="s">
        <v>148</v>
      </c>
    </row>
    <row r="492" spans="1:12" s="25" customFormat="1" outlineLevel="1" x14ac:dyDescent="0.25">
      <c r="A492" s="25" t="s">
        <v>134</v>
      </c>
      <c r="B492" s="25">
        <v>19</v>
      </c>
      <c r="C492" s="25" t="str">
        <f t="shared" si="455"/>
        <v>Catégorie 2</v>
      </c>
      <c r="D492" s="25" t="s">
        <v>149</v>
      </c>
      <c r="F492" s="25" t="str">
        <f t="shared" ref="F492" si="468">_xlfn.CONCAT("FretFluv",LEFT(C492,3),IF(INT(B492/11)&lt;8,RIGHT(C492,1),RIGHT(C492,2)),"DistAn")</f>
        <v>FretFluvCat2DistAn</v>
      </c>
      <c r="G492" s="25" t="s">
        <v>17</v>
      </c>
      <c r="H492" s="25">
        <f>IF($I$15="Oui",1,0)*IF(ISNUMBER(SEARCH("La distance parcourue annuellement pour ce type de barge",I488)),1,0)</f>
        <v>0</v>
      </c>
      <c r="J492" s="27"/>
      <c r="K492" s="25" t="s">
        <v>88</v>
      </c>
      <c r="L492" s="28"/>
    </row>
    <row r="493" spans="1:12" s="25" customFormat="1" outlineLevel="1" x14ac:dyDescent="0.25">
      <c r="A493" s="25" t="s">
        <v>134</v>
      </c>
      <c r="B493" s="25">
        <v>20</v>
      </c>
      <c r="C493" s="25" t="str">
        <f t="shared" si="455"/>
        <v>Catégorie 2</v>
      </c>
      <c r="D493" s="25" t="s">
        <v>150</v>
      </c>
      <c r="F493" s="25" t="str">
        <f t="shared" ref="F493" si="469">_xlfn.CONCAT("FretFluv",LEFT(C493,3),IF(INT(B493/11)&lt;8,RIGHT(C493,1),RIGHT(C493,2)),"TauxChargeMoy")</f>
        <v>FretFluvCat2TauxChargeMoy</v>
      </c>
      <c r="G493" s="25" t="s">
        <v>17</v>
      </c>
      <c r="H493" s="25">
        <f>IF($I$15="Oui",1,0)*IF(ISNUMBER(SEARCH("Le taux de chargement moyen",I488)),1,0)</f>
        <v>0</v>
      </c>
      <c r="I493" s="29"/>
      <c r="J493" s="27"/>
      <c r="K493" s="25" t="s">
        <v>70</v>
      </c>
      <c r="L493" s="30"/>
    </row>
    <row r="494" spans="1:12" s="25" customFormat="1" outlineLevel="1" x14ac:dyDescent="0.25">
      <c r="A494" s="25" t="s">
        <v>134</v>
      </c>
      <c r="B494" s="25">
        <v>21</v>
      </c>
      <c r="C494" s="25" t="str">
        <f t="shared" si="455"/>
        <v>Catégorie 2</v>
      </c>
      <c r="D494" s="26" t="s">
        <v>526</v>
      </c>
      <c r="F494" s="25" t="str">
        <f t="shared" ref="F494" si="470">_xlfn.CONCAT("FretFluv",LEFT(C494,3),IF(INT(B494/11)&lt;8,RIGHT(C494,1),RIGHT(C494,2)),"NbBarges")</f>
        <v>FretFluvCat2NbBarges</v>
      </c>
      <c r="G494" s="25" t="s">
        <v>17</v>
      </c>
      <c r="H494" s="25">
        <f>IF($I$15="Oui",1,0)</f>
        <v>1</v>
      </c>
      <c r="J494" s="27"/>
      <c r="K494" s="25" t="s">
        <v>151</v>
      </c>
    </row>
    <row r="495" spans="1:12" s="25" customFormat="1" outlineLevel="1" x14ac:dyDescent="0.25">
      <c r="A495" s="25" t="s">
        <v>134</v>
      </c>
      <c r="B495" s="25">
        <v>22</v>
      </c>
      <c r="C495" s="25" t="str">
        <f t="shared" si="455"/>
        <v>Catégorie 3</v>
      </c>
      <c r="D495" s="25" t="s">
        <v>135</v>
      </c>
      <c r="F495" s="25" t="str">
        <f t="shared" ref="F495" si="471">_xlfn.CONCAT("FretFluv",LEFT(C495,3),IF(INT(B495/11)&lt;8,RIGHT(C495,1),RIGHT(C495,2)),"Nom")</f>
        <v>FretFluvCat3Nom</v>
      </c>
      <c r="G495" s="26" t="s">
        <v>20</v>
      </c>
      <c r="H495" s="25">
        <f>IF($I$15="Oui",1,0)</f>
        <v>1</v>
      </c>
      <c r="J495" s="27" t="str">
        <f>VLOOKUP(C495,'Parcs types'!$B$65:$AA$120,2,FALSE)</f>
        <v>Automoteurs &lt; 400 tonnes Phase V, diesel</v>
      </c>
      <c r="L495" s="25" t="str">
        <f>J495</f>
        <v>Automoteurs &lt; 400 tonnes Phase V, diesel</v>
      </c>
    </row>
    <row r="496" spans="1:12" s="25" customFormat="1" outlineLevel="1" x14ac:dyDescent="0.25">
      <c r="A496" s="25" t="s">
        <v>134</v>
      </c>
      <c r="B496" s="25">
        <v>23</v>
      </c>
      <c r="C496" s="25" t="str">
        <f t="shared" si="455"/>
        <v>Catégorie 3</v>
      </c>
      <c r="D496" s="25" t="s">
        <v>136</v>
      </c>
      <c r="F496" s="25" t="str">
        <f t="shared" ref="F496" si="472">_xlfn.CONCAT("FretFluv",LEFT(C496,3),IF(INT(B496/11)&lt;8,RIGHT(C496,1),RIGHT(C496,2)),"Type")</f>
        <v>FretFluvCat3Type</v>
      </c>
      <c r="G496" s="25" t="s">
        <v>20</v>
      </c>
      <c r="H496" s="25">
        <f t="shared" ref="H496:H498" si="473">IF($I$15="Oui",1,0)</f>
        <v>1</v>
      </c>
      <c r="J496" s="27" t="str">
        <f>VLOOKUP(C496,'Parcs types'!$B$65:$AA$120,3,FALSE)</f>
        <v>Automoteurs</v>
      </c>
      <c r="L496" s="25" t="str">
        <f t="shared" ref="L496:L498" si="474">J496</f>
        <v>Automoteurs</v>
      </c>
    </row>
    <row r="497" spans="1:12" s="25" customFormat="1" outlineLevel="1" x14ac:dyDescent="0.25">
      <c r="A497" s="25" t="s">
        <v>134</v>
      </c>
      <c r="B497" s="25">
        <v>24</v>
      </c>
      <c r="C497" s="25" t="str">
        <f t="shared" si="455"/>
        <v>Catégorie 3</v>
      </c>
      <c r="D497" s="26" t="s">
        <v>137</v>
      </c>
      <c r="F497" s="25" t="str">
        <f t="shared" ref="F497" si="475">_xlfn.CONCAT("FretFluv",LEFT(C497,3),IF(INT(B497/11)&lt;8,RIGHT(C497,1),RIGHT(C497,2)),"Cap")</f>
        <v>FretFluvCat3Cap</v>
      </c>
      <c r="G497" s="26" t="s">
        <v>36</v>
      </c>
      <c r="H497" s="25">
        <f t="shared" si="473"/>
        <v>1</v>
      </c>
      <c r="J497" s="27" t="str">
        <f>VLOOKUP(C497,'Parcs types'!$B$65:$AA$120,4,FALSE)</f>
        <v>&lt; 400 tonnes</v>
      </c>
      <c r="K497" s="25" t="s">
        <v>524</v>
      </c>
      <c r="L497" s="25" t="str">
        <f t="shared" si="474"/>
        <v>&lt; 400 tonnes</v>
      </c>
    </row>
    <row r="498" spans="1:12" s="25" customFormat="1" outlineLevel="1" x14ac:dyDescent="0.25">
      <c r="A498" s="25" t="s">
        <v>134</v>
      </c>
      <c r="B498" s="25">
        <v>25</v>
      </c>
      <c r="C498" s="25" t="str">
        <f t="shared" si="455"/>
        <v>Catégorie 3</v>
      </c>
      <c r="D498" s="26" t="s">
        <v>525</v>
      </c>
      <c r="F498" s="25" t="str">
        <f t="shared" ref="F498" si="476">_xlfn.CONCAT("FretFluv",LEFT(C498,3),IF(INT(B498/11)&lt;8,RIGHT(C498,1),RIGHT(C498,2)),"Tech")</f>
        <v>FretFluvCat3Tech</v>
      </c>
      <c r="G498" s="26" t="s">
        <v>20</v>
      </c>
      <c r="H498" s="25">
        <f t="shared" si="473"/>
        <v>1</v>
      </c>
      <c r="J498" s="27" t="str">
        <f>VLOOKUP(C498,'Parcs types'!$B$65:$AA$120,5,FALSE)</f>
        <v>Phase V, diesel</v>
      </c>
      <c r="L498" s="25" t="str">
        <f t="shared" si="474"/>
        <v>Phase V, diesel</v>
      </c>
    </row>
    <row r="499" spans="1:12" s="25" customFormat="1" outlineLevel="1" x14ac:dyDescent="0.25">
      <c r="A499" s="25" t="s">
        <v>134</v>
      </c>
      <c r="B499" s="25">
        <v>26</v>
      </c>
      <c r="C499" s="25" t="str">
        <f t="shared" si="455"/>
        <v>Catégorie 3</v>
      </c>
      <c r="D499" s="25" t="s">
        <v>140</v>
      </c>
      <c r="F499" s="25" t="str">
        <f t="shared" ref="F499" si="477">_xlfn.CONCAT("FretFluv",LEFT(C499,3),IF(INT(B499/11)&lt;8,RIGHT(C499,1),RIGHT(C499,2)),"Request")</f>
        <v>FretFluvCat3Request</v>
      </c>
      <c r="G499" s="26" t="s">
        <v>20</v>
      </c>
      <c r="H499" s="25">
        <f>IF($I$15="Oui",1,0)</f>
        <v>1</v>
      </c>
      <c r="J499" s="27" t="s">
        <v>142</v>
      </c>
    </row>
    <row r="500" spans="1:12" s="25" customFormat="1" outlineLevel="1" x14ac:dyDescent="0.25">
      <c r="A500" s="25" t="s">
        <v>134</v>
      </c>
      <c r="B500" s="25">
        <v>27</v>
      </c>
      <c r="C500" s="25" t="str">
        <f t="shared" si="455"/>
        <v>Catégorie 3</v>
      </c>
      <c r="D500" s="25" t="s">
        <v>144</v>
      </c>
      <c r="F500" s="25" t="str">
        <f t="shared" ref="F500" si="478">_xlfn.CONCAT("FretFluv",LEFT(C500,3),IF(INT(B500/11)&lt;8,RIGHT(C500,1),RIGHT(C500,2)),"NbTraj")</f>
        <v>FretFluvCat3NbTraj</v>
      </c>
      <c r="G500" s="25" t="s">
        <v>17</v>
      </c>
      <c r="H500" s="25">
        <f>IF($I$15="Oui",1,0)*IF(ISNUMBER(SEARCH("Une estimation du nombre annuel de trajets pour ce type de barge",I499)),1,0)</f>
        <v>0</v>
      </c>
      <c r="J500" s="27"/>
      <c r="K500" s="25" t="s">
        <v>145</v>
      </c>
    </row>
    <row r="501" spans="1:12" s="25" customFormat="1" outlineLevel="1" x14ac:dyDescent="0.25">
      <c r="A501" s="25" t="s">
        <v>134</v>
      </c>
      <c r="B501" s="25">
        <v>28</v>
      </c>
      <c r="C501" s="25" t="str">
        <f t="shared" si="455"/>
        <v>Catégorie 3</v>
      </c>
      <c r="D501" s="25" t="s">
        <v>146</v>
      </c>
      <c r="F501" s="25" t="str">
        <f t="shared" ref="F501" si="479">_xlfn.CONCAT("FretFluv",LEFT(C501,3),IF(INT(B501/11)&lt;8,RIGHT(C501,1),RIGHT(C501,2)),"DistMoy")</f>
        <v>FretFluvCat3DistMoy</v>
      </c>
      <c r="G501" s="25" t="s">
        <v>17</v>
      </c>
      <c r="H501" s="25">
        <f>IF($I$15="Oui",1,0)*IF(ISNUMBER(SEARCH("La distance moyenne d'un trajet",I499)),1,0)</f>
        <v>0</v>
      </c>
      <c r="J501" s="27"/>
      <c r="K501" s="25" t="s">
        <v>88</v>
      </c>
    </row>
    <row r="502" spans="1:12" s="25" customFormat="1" outlineLevel="1" x14ac:dyDescent="0.25">
      <c r="A502" s="25" t="s">
        <v>134</v>
      </c>
      <c r="B502" s="25">
        <v>29</v>
      </c>
      <c r="C502" s="25" t="str">
        <f t="shared" si="455"/>
        <v>Catégorie 3</v>
      </c>
      <c r="D502" s="25" t="s">
        <v>147</v>
      </c>
      <c r="F502" s="25" t="str">
        <f t="shared" ref="F502" si="480">_xlfn.CONCAT("FretFluv",LEFT(C502,3),IF(INT(B502/11)&lt;8,RIGHT(C502,1),RIGHT(C502,2)),"EmportMoy")</f>
        <v>FretFluvCat3EmportMoy</v>
      </c>
      <c r="G502" s="25" t="s">
        <v>17</v>
      </c>
      <c r="H502" s="25">
        <f>IF($I$15="Oui",1,0)*IF(ISNUMBER(SEARCH("La masse moyenne transportée pour un trajet",I499)),1,0)</f>
        <v>0</v>
      </c>
      <c r="J502" s="27"/>
      <c r="K502" s="25" t="s">
        <v>148</v>
      </c>
      <c r="L502" s="28"/>
    </row>
    <row r="503" spans="1:12" s="25" customFormat="1" outlineLevel="1" x14ac:dyDescent="0.25">
      <c r="A503" s="25" t="s">
        <v>134</v>
      </c>
      <c r="B503" s="25">
        <v>30</v>
      </c>
      <c r="C503" s="25" t="str">
        <f t="shared" si="455"/>
        <v>Catégorie 3</v>
      </c>
      <c r="D503" s="25" t="s">
        <v>149</v>
      </c>
      <c r="F503" s="25" t="str">
        <f t="shared" ref="F503" si="481">_xlfn.CONCAT("FretFluv",LEFT(C503,3),IF(INT(B503/11)&lt;8,RIGHT(C503,1),RIGHT(C503,2)),"DistAn")</f>
        <v>FretFluvCat3DistAn</v>
      </c>
      <c r="G503" s="25" t="s">
        <v>17</v>
      </c>
      <c r="H503" s="25">
        <f>IF($I$15="Oui",1,0)*IF(ISNUMBER(SEARCH("La distance parcourue annuellement pour ce type de barge",I499)),1,0)</f>
        <v>0</v>
      </c>
      <c r="I503" s="29"/>
      <c r="J503" s="27"/>
      <c r="K503" s="25" t="s">
        <v>88</v>
      </c>
      <c r="L503" s="30"/>
    </row>
    <row r="504" spans="1:12" s="25" customFormat="1" outlineLevel="1" x14ac:dyDescent="0.25">
      <c r="A504" s="25" t="s">
        <v>134</v>
      </c>
      <c r="B504" s="25">
        <v>31</v>
      </c>
      <c r="C504" s="25" t="str">
        <f t="shared" si="455"/>
        <v>Catégorie 3</v>
      </c>
      <c r="D504" s="25" t="s">
        <v>150</v>
      </c>
      <c r="F504" s="25" t="str">
        <f t="shared" ref="F504" si="482">_xlfn.CONCAT("FretFluv",LEFT(C504,3),IF(INT(B504/11)&lt;8,RIGHT(C504,1),RIGHT(C504,2)),"TauxChargeMoy")</f>
        <v>FretFluvCat3TauxChargeMoy</v>
      </c>
      <c r="G504" s="25" t="s">
        <v>17</v>
      </c>
      <c r="H504" s="25">
        <f>IF($I$15="Oui",1,0)*IF(ISNUMBER(SEARCH("Le taux de chargement moyen",I499)),1,0)</f>
        <v>0</v>
      </c>
      <c r="J504" s="27"/>
      <c r="K504" s="25" t="s">
        <v>70</v>
      </c>
    </row>
    <row r="505" spans="1:12" s="25" customFormat="1" outlineLevel="1" x14ac:dyDescent="0.25">
      <c r="A505" s="25" t="s">
        <v>134</v>
      </c>
      <c r="B505" s="25">
        <v>32</v>
      </c>
      <c r="C505" s="25" t="str">
        <f t="shared" si="455"/>
        <v>Catégorie 3</v>
      </c>
      <c r="D505" s="26" t="s">
        <v>526</v>
      </c>
      <c r="F505" s="25" t="str">
        <f t="shared" ref="F505" si="483">_xlfn.CONCAT("FretFluv",LEFT(C505,3),IF(INT(B505/11)&lt;8,RIGHT(C505,1),RIGHT(C505,2)),"NbBarges")</f>
        <v>FretFluvCat3NbBarges</v>
      </c>
      <c r="G505" s="25" t="s">
        <v>17</v>
      </c>
      <c r="H505" s="25">
        <f>IF($I$15="Oui",1,0)</f>
        <v>1</v>
      </c>
      <c r="J505" s="27"/>
      <c r="K505" s="25" t="s">
        <v>151</v>
      </c>
    </row>
    <row r="506" spans="1:12" s="25" customFormat="1" outlineLevel="1" x14ac:dyDescent="0.25">
      <c r="A506" s="25" t="s">
        <v>134</v>
      </c>
      <c r="B506" s="25">
        <v>33</v>
      </c>
      <c r="C506" s="25" t="str">
        <f t="shared" si="455"/>
        <v>Catégorie 4</v>
      </c>
      <c r="D506" s="25" t="s">
        <v>135</v>
      </c>
      <c r="F506" s="25" t="str">
        <f t="shared" ref="F506" si="484">_xlfn.CONCAT("FretFluv",LEFT(C506,3),IF(INT(B506/11)&lt;8,RIGHT(C506,1),RIGHT(C506,2)),"Nom")</f>
        <v>FretFluvCat4Nom</v>
      </c>
      <c r="G506" s="26" t="s">
        <v>20</v>
      </c>
      <c r="H506" s="25">
        <f>IF($I$15="Oui",1,0)</f>
        <v>1</v>
      </c>
      <c r="J506" s="27" t="str">
        <f>VLOOKUP(C506,'Parcs types'!$B$65:$AA$120,2,FALSE)</f>
        <v>Automoteurs &lt; 400 tonnes Phase V, HVO</v>
      </c>
      <c r="L506" s="25" t="str">
        <f>J506</f>
        <v>Automoteurs &lt; 400 tonnes Phase V, HVO</v>
      </c>
    </row>
    <row r="507" spans="1:12" s="25" customFormat="1" outlineLevel="1" x14ac:dyDescent="0.25">
      <c r="A507" s="25" t="s">
        <v>134</v>
      </c>
      <c r="B507" s="25">
        <v>34</v>
      </c>
      <c r="C507" s="25" t="str">
        <f t="shared" si="455"/>
        <v>Catégorie 4</v>
      </c>
      <c r="D507" s="25" t="s">
        <v>136</v>
      </c>
      <c r="F507" s="25" t="str">
        <f t="shared" ref="F507" si="485">_xlfn.CONCAT("FretFluv",LEFT(C507,3),IF(INT(B507/11)&lt;8,RIGHT(C507,1),RIGHT(C507,2)),"Type")</f>
        <v>FretFluvCat4Type</v>
      </c>
      <c r="G507" s="25" t="s">
        <v>20</v>
      </c>
      <c r="H507" s="25">
        <f t="shared" ref="H507:H509" si="486">IF($I$15="Oui",1,0)</f>
        <v>1</v>
      </c>
      <c r="J507" s="27" t="str">
        <f>VLOOKUP(C507,'Parcs types'!$B$65:$AA$120,3,FALSE)</f>
        <v>Automoteurs</v>
      </c>
      <c r="L507" s="25" t="str">
        <f t="shared" ref="L507:L509" si="487">J507</f>
        <v>Automoteurs</v>
      </c>
    </row>
    <row r="508" spans="1:12" s="25" customFormat="1" outlineLevel="1" x14ac:dyDescent="0.25">
      <c r="A508" s="25" t="s">
        <v>134</v>
      </c>
      <c r="B508" s="25">
        <v>35</v>
      </c>
      <c r="C508" s="25" t="str">
        <f t="shared" si="455"/>
        <v>Catégorie 4</v>
      </c>
      <c r="D508" s="26" t="s">
        <v>137</v>
      </c>
      <c r="F508" s="25" t="str">
        <f t="shared" ref="F508" si="488">_xlfn.CONCAT("FretFluv",LEFT(C508,3),IF(INT(B508/11)&lt;8,RIGHT(C508,1),RIGHT(C508,2)),"Cap")</f>
        <v>FretFluvCat4Cap</v>
      </c>
      <c r="G508" s="26" t="s">
        <v>36</v>
      </c>
      <c r="H508" s="25">
        <f t="shared" si="486"/>
        <v>1</v>
      </c>
      <c r="J508" s="27" t="str">
        <f>VLOOKUP(C508,'Parcs types'!$B$65:$AA$120,4,FALSE)</f>
        <v>&lt; 400 tonnes</v>
      </c>
      <c r="K508" s="25" t="s">
        <v>524</v>
      </c>
      <c r="L508" s="25" t="str">
        <f t="shared" si="487"/>
        <v>&lt; 400 tonnes</v>
      </c>
    </row>
    <row r="509" spans="1:12" s="25" customFormat="1" outlineLevel="1" x14ac:dyDescent="0.25">
      <c r="A509" s="25" t="s">
        <v>134</v>
      </c>
      <c r="B509" s="25">
        <v>36</v>
      </c>
      <c r="C509" s="25" t="str">
        <f t="shared" si="455"/>
        <v>Catégorie 4</v>
      </c>
      <c r="D509" s="26" t="s">
        <v>525</v>
      </c>
      <c r="F509" s="25" t="str">
        <f t="shared" ref="F509" si="489">_xlfn.CONCAT("FretFluv",LEFT(C509,3),IF(INT(B509/11)&lt;8,RIGHT(C509,1),RIGHT(C509,2)),"Tech")</f>
        <v>FretFluvCat4Tech</v>
      </c>
      <c r="G509" s="26" t="s">
        <v>20</v>
      </c>
      <c r="H509" s="25">
        <f t="shared" si="486"/>
        <v>1</v>
      </c>
      <c r="J509" s="27" t="str">
        <f>VLOOKUP(C509,'Parcs types'!$B$65:$AA$120,5,FALSE)</f>
        <v>Phase V, HVO</v>
      </c>
      <c r="L509" s="25" t="str">
        <f t="shared" si="487"/>
        <v>Phase V, HVO</v>
      </c>
    </row>
    <row r="510" spans="1:12" s="25" customFormat="1" outlineLevel="1" x14ac:dyDescent="0.25">
      <c r="A510" s="25" t="s">
        <v>134</v>
      </c>
      <c r="B510" s="25">
        <v>37</v>
      </c>
      <c r="C510" s="25" t="str">
        <f t="shared" si="455"/>
        <v>Catégorie 4</v>
      </c>
      <c r="D510" s="25" t="s">
        <v>140</v>
      </c>
      <c r="F510" s="25" t="str">
        <f t="shared" ref="F510" si="490">_xlfn.CONCAT("FretFluv",LEFT(C510,3),IF(INT(B510/11)&lt;8,RIGHT(C510,1),RIGHT(C510,2)),"Request")</f>
        <v>FretFluvCat4Request</v>
      </c>
      <c r="G510" s="26" t="s">
        <v>20</v>
      </c>
      <c r="H510" s="25">
        <f>IF($I$15="Oui",1,0)</f>
        <v>1</v>
      </c>
      <c r="J510" s="27" t="s">
        <v>142</v>
      </c>
    </row>
    <row r="511" spans="1:12" s="25" customFormat="1" outlineLevel="1" x14ac:dyDescent="0.25">
      <c r="A511" s="25" t="s">
        <v>134</v>
      </c>
      <c r="B511" s="25">
        <v>38</v>
      </c>
      <c r="C511" s="25" t="str">
        <f t="shared" si="455"/>
        <v>Catégorie 4</v>
      </c>
      <c r="D511" s="25" t="s">
        <v>144</v>
      </c>
      <c r="F511" s="25" t="str">
        <f t="shared" ref="F511" si="491">_xlfn.CONCAT("FretFluv",LEFT(C511,3),IF(INT(B511/11)&lt;8,RIGHT(C511,1),RIGHT(C511,2)),"NbTraj")</f>
        <v>FretFluvCat4NbTraj</v>
      </c>
      <c r="G511" s="25" t="s">
        <v>17</v>
      </c>
      <c r="H511" s="25">
        <f>IF($I$15="Oui",1,0)*IF(ISNUMBER(SEARCH("Une estimation du nombre annuel de trajets pour ce type de barge",I510)),1,0)</f>
        <v>0</v>
      </c>
      <c r="J511" s="27"/>
      <c r="K511" s="25" t="s">
        <v>145</v>
      </c>
    </row>
    <row r="512" spans="1:12" s="25" customFormat="1" outlineLevel="1" x14ac:dyDescent="0.25">
      <c r="A512" s="25" t="s">
        <v>134</v>
      </c>
      <c r="B512" s="25">
        <v>39</v>
      </c>
      <c r="C512" s="25" t="str">
        <f t="shared" si="455"/>
        <v>Catégorie 4</v>
      </c>
      <c r="D512" s="25" t="s">
        <v>146</v>
      </c>
      <c r="F512" s="25" t="str">
        <f t="shared" ref="F512" si="492">_xlfn.CONCAT("FretFluv",LEFT(C512,3),IF(INT(B512/11)&lt;8,RIGHT(C512,1),RIGHT(C512,2)),"DistMoy")</f>
        <v>FretFluvCat4DistMoy</v>
      </c>
      <c r="G512" s="25" t="s">
        <v>17</v>
      </c>
      <c r="H512" s="25">
        <f>IF($I$15="Oui",1,0)*IF(ISNUMBER(SEARCH("La distance moyenne d'un trajet",I510)),1,0)</f>
        <v>0</v>
      </c>
      <c r="J512" s="27"/>
      <c r="K512" s="25" t="s">
        <v>88</v>
      </c>
      <c r="L512" s="28"/>
    </row>
    <row r="513" spans="1:12" s="25" customFormat="1" outlineLevel="1" x14ac:dyDescent="0.25">
      <c r="A513" s="25" t="s">
        <v>134</v>
      </c>
      <c r="B513" s="25">
        <v>40</v>
      </c>
      <c r="C513" s="25" t="str">
        <f t="shared" si="455"/>
        <v>Catégorie 4</v>
      </c>
      <c r="D513" s="25" t="s">
        <v>147</v>
      </c>
      <c r="F513" s="25" t="str">
        <f t="shared" ref="F513" si="493">_xlfn.CONCAT("FretFluv",LEFT(C513,3),IF(INT(B513/11)&lt;8,RIGHT(C513,1),RIGHT(C513,2)),"EmportMoy")</f>
        <v>FretFluvCat4EmportMoy</v>
      </c>
      <c r="G513" s="25" t="s">
        <v>17</v>
      </c>
      <c r="H513" s="25">
        <f>IF($I$15="Oui",1,0)*IF(ISNUMBER(SEARCH("La masse moyenne transportée pour un trajet",I510)),1,0)</f>
        <v>0</v>
      </c>
      <c r="I513" s="29"/>
      <c r="J513" s="27"/>
      <c r="K513" s="25" t="s">
        <v>148</v>
      </c>
      <c r="L513" s="30"/>
    </row>
    <row r="514" spans="1:12" s="25" customFormat="1" outlineLevel="1" x14ac:dyDescent="0.25">
      <c r="A514" s="25" t="s">
        <v>134</v>
      </c>
      <c r="B514" s="25">
        <v>41</v>
      </c>
      <c r="C514" s="25" t="str">
        <f t="shared" si="455"/>
        <v>Catégorie 4</v>
      </c>
      <c r="D514" s="25" t="s">
        <v>149</v>
      </c>
      <c r="F514" s="25" t="str">
        <f t="shared" ref="F514" si="494">_xlfn.CONCAT("FretFluv",LEFT(C514,3),IF(INT(B514/11)&lt;8,RIGHT(C514,1),RIGHT(C514,2)),"DistAn")</f>
        <v>FretFluvCat4DistAn</v>
      </c>
      <c r="G514" s="25" t="s">
        <v>17</v>
      </c>
      <c r="H514" s="25">
        <f>IF($I$15="Oui",1,0)*IF(ISNUMBER(SEARCH("La distance parcourue annuellement pour ce type de barge",I510)),1,0)</f>
        <v>0</v>
      </c>
      <c r="J514" s="27"/>
      <c r="K514" s="25" t="s">
        <v>88</v>
      </c>
    </row>
    <row r="515" spans="1:12" s="25" customFormat="1" outlineLevel="1" x14ac:dyDescent="0.25">
      <c r="A515" s="25" t="s">
        <v>134</v>
      </c>
      <c r="B515" s="25">
        <v>42</v>
      </c>
      <c r="C515" s="25" t="str">
        <f t="shared" si="455"/>
        <v>Catégorie 4</v>
      </c>
      <c r="D515" s="25" t="s">
        <v>150</v>
      </c>
      <c r="F515" s="25" t="str">
        <f t="shared" ref="F515" si="495">_xlfn.CONCAT("FretFluv",LEFT(C515,3),IF(INT(B515/11)&lt;8,RIGHT(C515,1),RIGHT(C515,2)),"TauxChargeMoy")</f>
        <v>FretFluvCat4TauxChargeMoy</v>
      </c>
      <c r="G515" s="25" t="s">
        <v>17</v>
      </c>
      <c r="H515" s="25">
        <f>IF($I$15="Oui",1,0)*IF(ISNUMBER(SEARCH("Le taux de chargement moyen",I510)),1,0)</f>
        <v>0</v>
      </c>
      <c r="J515" s="27"/>
      <c r="K515" s="25" t="s">
        <v>70</v>
      </c>
    </row>
    <row r="516" spans="1:12" s="25" customFormat="1" outlineLevel="1" x14ac:dyDescent="0.25">
      <c r="A516" s="25" t="s">
        <v>134</v>
      </c>
      <c r="B516" s="25">
        <v>43</v>
      </c>
      <c r="C516" s="25" t="str">
        <f t="shared" si="455"/>
        <v>Catégorie 4</v>
      </c>
      <c r="D516" s="26" t="s">
        <v>526</v>
      </c>
      <c r="F516" s="25" t="str">
        <f t="shared" ref="F516" si="496">_xlfn.CONCAT("FretFluv",LEFT(C516,3),IF(INT(B516/11)&lt;8,RIGHT(C516,1),RIGHT(C516,2)),"NbBarges")</f>
        <v>FretFluvCat4NbBarges</v>
      </c>
      <c r="G516" s="25" t="s">
        <v>17</v>
      </c>
      <c r="H516" s="25">
        <f>IF($I$15="Oui",1,0)</f>
        <v>1</v>
      </c>
      <c r="J516" s="27"/>
      <c r="K516" s="25" t="s">
        <v>151</v>
      </c>
      <c r="L516" s="28"/>
    </row>
    <row r="517" spans="1:12" s="25" customFormat="1" outlineLevel="1" x14ac:dyDescent="0.25">
      <c r="A517" s="25" t="s">
        <v>134</v>
      </c>
      <c r="B517" s="25">
        <v>44</v>
      </c>
      <c r="C517" s="25" t="str">
        <f t="shared" si="455"/>
        <v>Catégorie 5</v>
      </c>
      <c r="D517" s="25" t="s">
        <v>135</v>
      </c>
      <c r="F517" s="25" t="str">
        <f t="shared" ref="F517" si="497">_xlfn.CONCAT("FretFluv",LEFT(C517,3),IF(INT(B517/11)&lt;8,RIGHT(C517,1),RIGHT(C517,2)),"Nom")</f>
        <v>FretFluvCat5Nom</v>
      </c>
      <c r="G517" s="26" t="s">
        <v>20</v>
      </c>
      <c r="H517" s="25">
        <f>IF($I$15="Oui",1,0)</f>
        <v>1</v>
      </c>
      <c r="I517" s="29"/>
      <c r="J517" s="27" t="str">
        <f>VLOOKUP(C517,'Parcs types'!$B$65:$AA$120,2,FALSE)</f>
        <v>Automoteurs &lt; 400 tonnes Batterie</v>
      </c>
      <c r="L517" s="25" t="str">
        <f>J517</f>
        <v>Automoteurs &lt; 400 tonnes Batterie</v>
      </c>
    </row>
    <row r="518" spans="1:12" s="25" customFormat="1" outlineLevel="1" x14ac:dyDescent="0.25">
      <c r="A518" s="25" t="s">
        <v>134</v>
      </c>
      <c r="B518" s="25">
        <v>45</v>
      </c>
      <c r="C518" s="25" t="str">
        <f t="shared" si="455"/>
        <v>Catégorie 5</v>
      </c>
      <c r="D518" s="25" t="s">
        <v>136</v>
      </c>
      <c r="F518" s="25" t="str">
        <f t="shared" ref="F518" si="498">_xlfn.CONCAT("FretFluv",LEFT(C518,3),IF(INT(B518/11)&lt;8,RIGHT(C518,1),RIGHT(C518,2)),"Type")</f>
        <v>FretFluvCat5Type</v>
      </c>
      <c r="G518" s="25" t="s">
        <v>20</v>
      </c>
      <c r="H518" s="25">
        <f t="shared" ref="H518:H520" si="499">IF($I$15="Oui",1,0)</f>
        <v>1</v>
      </c>
      <c r="I518" s="28"/>
      <c r="J518" s="27" t="str">
        <f>VLOOKUP(C518,'Parcs types'!$B$65:$AA$120,3,FALSE)</f>
        <v>Automoteurs</v>
      </c>
      <c r="L518" s="25" t="str">
        <f t="shared" ref="L518:L520" si="500">J518</f>
        <v>Automoteurs</v>
      </c>
    </row>
    <row r="519" spans="1:12" s="25" customFormat="1" outlineLevel="1" x14ac:dyDescent="0.25">
      <c r="A519" s="25" t="s">
        <v>134</v>
      </c>
      <c r="B519" s="25">
        <v>46</v>
      </c>
      <c r="C519" s="25" t="str">
        <f t="shared" si="455"/>
        <v>Catégorie 5</v>
      </c>
      <c r="D519" s="26" t="s">
        <v>137</v>
      </c>
      <c r="F519" s="25" t="str">
        <f t="shared" ref="F519" si="501">_xlfn.CONCAT("FretFluv",LEFT(C519,3),IF(INT(B519/11)&lt;8,RIGHT(C519,1),RIGHT(C519,2)),"Cap")</f>
        <v>FretFluvCat5Cap</v>
      </c>
      <c r="G519" s="26" t="s">
        <v>36</v>
      </c>
      <c r="H519" s="25">
        <f t="shared" si="499"/>
        <v>1</v>
      </c>
      <c r="J519" s="27" t="str">
        <f>VLOOKUP(C519,'Parcs types'!$B$65:$AA$120,4,FALSE)</f>
        <v>&lt; 400 tonnes</v>
      </c>
      <c r="K519" s="25" t="s">
        <v>524</v>
      </c>
      <c r="L519" s="25" t="str">
        <f t="shared" si="500"/>
        <v>&lt; 400 tonnes</v>
      </c>
    </row>
    <row r="520" spans="1:12" s="25" customFormat="1" outlineLevel="1" x14ac:dyDescent="0.25">
      <c r="A520" s="25" t="s">
        <v>134</v>
      </c>
      <c r="B520" s="25">
        <v>47</v>
      </c>
      <c r="C520" s="25" t="str">
        <f t="shared" si="455"/>
        <v>Catégorie 5</v>
      </c>
      <c r="D520" s="26" t="s">
        <v>525</v>
      </c>
      <c r="F520" s="25" t="str">
        <f t="shared" ref="F520" si="502">_xlfn.CONCAT("FretFluv",LEFT(C520,3),IF(INT(B520/11)&lt;8,RIGHT(C520,1),RIGHT(C520,2)),"Tech")</f>
        <v>FretFluvCat5Tech</v>
      </c>
      <c r="G520" s="26" t="s">
        <v>20</v>
      </c>
      <c r="H520" s="25">
        <f t="shared" si="499"/>
        <v>1</v>
      </c>
      <c r="J520" s="27" t="str">
        <f>VLOOKUP(C520,'Parcs types'!$B$65:$AA$120,5,FALSE)</f>
        <v>Batterie</v>
      </c>
      <c r="L520" s="25" t="str">
        <f t="shared" si="500"/>
        <v>Batterie</v>
      </c>
    </row>
    <row r="521" spans="1:12" s="25" customFormat="1" outlineLevel="1" x14ac:dyDescent="0.25">
      <c r="A521" s="25" t="s">
        <v>134</v>
      </c>
      <c r="B521" s="25">
        <v>48</v>
      </c>
      <c r="C521" s="25" t="str">
        <f t="shared" si="455"/>
        <v>Catégorie 5</v>
      </c>
      <c r="D521" s="25" t="s">
        <v>140</v>
      </c>
      <c r="F521" s="25" t="str">
        <f t="shared" ref="F521" si="503">_xlfn.CONCAT("FretFluv",LEFT(C521,3),IF(INT(B521/11)&lt;8,RIGHT(C521,1),RIGHT(C521,2)),"Request")</f>
        <v>FretFluvCat5Request</v>
      </c>
      <c r="G521" s="26" t="s">
        <v>20</v>
      </c>
      <c r="H521" s="25">
        <f>IF($I$15="Oui",1,0)</f>
        <v>1</v>
      </c>
      <c r="J521" s="27" t="s">
        <v>142</v>
      </c>
    </row>
    <row r="522" spans="1:12" s="25" customFormat="1" outlineLevel="1" x14ac:dyDescent="0.25">
      <c r="A522" s="25" t="s">
        <v>134</v>
      </c>
      <c r="B522" s="25">
        <v>49</v>
      </c>
      <c r="C522" s="25" t="str">
        <f t="shared" si="455"/>
        <v>Catégorie 5</v>
      </c>
      <c r="D522" s="25" t="s">
        <v>144</v>
      </c>
      <c r="F522" s="25" t="str">
        <f t="shared" ref="F522" si="504">_xlfn.CONCAT("FretFluv",LEFT(C522,3),IF(INT(B522/11)&lt;8,RIGHT(C522,1),RIGHT(C522,2)),"NbTraj")</f>
        <v>FretFluvCat5NbTraj</v>
      </c>
      <c r="G522" s="25" t="s">
        <v>17</v>
      </c>
      <c r="H522" s="25">
        <f>IF($I$15="Oui",1,0)*IF(ISNUMBER(SEARCH("Une estimation du nombre annuel de trajets pour ce type de barge",I521)),1,0)</f>
        <v>0</v>
      </c>
      <c r="J522" s="27"/>
      <c r="K522" s="25" t="s">
        <v>145</v>
      </c>
    </row>
    <row r="523" spans="1:12" s="25" customFormat="1" outlineLevel="1" x14ac:dyDescent="0.25">
      <c r="A523" s="25" t="s">
        <v>134</v>
      </c>
      <c r="B523" s="25">
        <v>50</v>
      </c>
      <c r="C523" s="25" t="str">
        <f t="shared" si="455"/>
        <v>Catégorie 5</v>
      </c>
      <c r="D523" s="25" t="s">
        <v>146</v>
      </c>
      <c r="F523" s="25" t="str">
        <f t="shared" ref="F523" si="505">_xlfn.CONCAT("FretFluv",LEFT(C523,3),IF(INT(B523/11)&lt;8,RIGHT(C523,1),RIGHT(C523,2)),"DistMoy")</f>
        <v>FretFluvCat5DistMoy</v>
      </c>
      <c r="G523" s="25" t="s">
        <v>17</v>
      </c>
      <c r="H523" s="25">
        <f>IF($I$15="Oui",1,0)*IF(ISNUMBER(SEARCH("La distance moyenne d'un trajet",I521)),1,0)</f>
        <v>0</v>
      </c>
      <c r="J523" s="27"/>
      <c r="K523" s="25" t="s">
        <v>88</v>
      </c>
    </row>
    <row r="524" spans="1:12" s="25" customFormat="1" outlineLevel="1" x14ac:dyDescent="0.25">
      <c r="A524" s="25" t="s">
        <v>134</v>
      </c>
      <c r="B524" s="25">
        <v>51</v>
      </c>
      <c r="C524" s="25" t="str">
        <f t="shared" si="455"/>
        <v>Catégorie 5</v>
      </c>
      <c r="D524" s="25" t="s">
        <v>147</v>
      </c>
      <c r="F524" s="25" t="str">
        <f t="shared" ref="F524" si="506">_xlfn.CONCAT("FretFluv",LEFT(C524,3),IF(INT(B524/11)&lt;8,RIGHT(C524,1),RIGHT(C524,2)),"EmportMoy")</f>
        <v>FretFluvCat5EmportMoy</v>
      </c>
      <c r="G524" s="25" t="s">
        <v>17</v>
      </c>
      <c r="H524" s="25">
        <f>IF($I$15="Oui",1,0)*IF(ISNUMBER(SEARCH("La masse moyenne transportée pour un trajet",I521)),1,0)</f>
        <v>0</v>
      </c>
      <c r="J524" s="27"/>
      <c r="K524" s="25" t="s">
        <v>148</v>
      </c>
    </row>
    <row r="525" spans="1:12" s="25" customFormat="1" outlineLevel="1" x14ac:dyDescent="0.25">
      <c r="A525" s="25" t="s">
        <v>134</v>
      </c>
      <c r="B525" s="25">
        <v>52</v>
      </c>
      <c r="C525" s="25" t="str">
        <f t="shared" si="455"/>
        <v>Catégorie 5</v>
      </c>
      <c r="D525" s="25" t="s">
        <v>149</v>
      </c>
      <c r="F525" s="25" t="str">
        <f t="shared" ref="F525" si="507">_xlfn.CONCAT("FretFluv",LEFT(C525,3),IF(INT(B525/11)&lt;8,RIGHT(C525,1),RIGHT(C525,2)),"DistAn")</f>
        <v>FretFluvCat5DistAn</v>
      </c>
      <c r="G525" s="25" t="s">
        <v>17</v>
      </c>
      <c r="H525" s="25">
        <f>IF($I$15="Oui",1,0)*IF(ISNUMBER(SEARCH("La distance parcourue annuellement pour ce type de barge",I521)),1,0)</f>
        <v>0</v>
      </c>
      <c r="J525" s="27"/>
      <c r="K525" s="25" t="s">
        <v>88</v>
      </c>
    </row>
    <row r="526" spans="1:12" s="25" customFormat="1" outlineLevel="1" x14ac:dyDescent="0.25">
      <c r="A526" s="25" t="s">
        <v>134</v>
      </c>
      <c r="B526" s="25">
        <v>53</v>
      </c>
      <c r="C526" s="25" t="str">
        <f t="shared" si="455"/>
        <v>Catégorie 5</v>
      </c>
      <c r="D526" s="25" t="s">
        <v>150</v>
      </c>
      <c r="F526" s="25" t="str">
        <f t="shared" ref="F526" si="508">_xlfn.CONCAT("FretFluv",LEFT(C526,3),IF(INT(B526/11)&lt;8,RIGHT(C526,1),RIGHT(C526,2)),"TauxChargeMoy")</f>
        <v>FretFluvCat5TauxChargeMoy</v>
      </c>
      <c r="G526" s="25" t="s">
        <v>17</v>
      </c>
      <c r="H526" s="25">
        <f>IF($I$15="Oui",1,0)*IF(ISNUMBER(SEARCH("Le taux de chargement moyen",I521)),1,0)</f>
        <v>0</v>
      </c>
      <c r="J526" s="27"/>
      <c r="K526" s="25" t="s">
        <v>70</v>
      </c>
    </row>
    <row r="527" spans="1:12" s="25" customFormat="1" outlineLevel="1" x14ac:dyDescent="0.25">
      <c r="A527" s="25" t="s">
        <v>134</v>
      </c>
      <c r="B527" s="25">
        <v>54</v>
      </c>
      <c r="C527" s="25" t="str">
        <f t="shared" si="455"/>
        <v>Catégorie 5</v>
      </c>
      <c r="D527" s="26" t="s">
        <v>526</v>
      </c>
      <c r="F527" s="25" t="str">
        <f t="shared" ref="F527" si="509">_xlfn.CONCAT("FretFluv",LEFT(C527,3),IF(INT(B527/11)&lt;8,RIGHT(C527,1),RIGHT(C527,2)),"NbBarges")</f>
        <v>FretFluvCat5NbBarges</v>
      </c>
      <c r="G527" s="25" t="s">
        <v>17</v>
      </c>
      <c r="H527" s="25">
        <f>IF($I$15="Oui",1,0)</f>
        <v>1</v>
      </c>
      <c r="J527" s="27"/>
      <c r="K527" s="25" t="s">
        <v>151</v>
      </c>
    </row>
    <row r="528" spans="1:12" s="25" customFormat="1" outlineLevel="1" x14ac:dyDescent="0.25">
      <c r="A528" s="25" t="s">
        <v>134</v>
      </c>
      <c r="B528" s="25">
        <v>55</v>
      </c>
      <c r="C528" s="25" t="str">
        <f t="shared" si="455"/>
        <v>Catégorie 6</v>
      </c>
      <c r="D528" s="25" t="s">
        <v>135</v>
      </c>
      <c r="F528" s="25" t="str">
        <f t="shared" ref="F528" si="510">_xlfn.CONCAT("FretFluv",LEFT(C528,3),IF(INT(B528/11)&lt;8,RIGHT(C528,1),RIGHT(C528,2)),"Nom")</f>
        <v>FretFluvCat6Nom</v>
      </c>
      <c r="G528" s="26" t="s">
        <v>20</v>
      </c>
      <c r="H528" s="25">
        <f>IF($I$15="Oui",1,0)</f>
        <v>1</v>
      </c>
      <c r="J528" s="27" t="str">
        <f>VLOOKUP(C528,'Parcs types'!$B$65:$AA$120,2,FALSE)</f>
        <v>Automoteurs &lt; 400 tonnes H2 , PAC</v>
      </c>
      <c r="L528" s="25" t="str">
        <f>J528</f>
        <v>Automoteurs &lt; 400 tonnes H2 , PAC</v>
      </c>
    </row>
    <row r="529" spans="1:12" s="25" customFormat="1" outlineLevel="1" x14ac:dyDescent="0.25">
      <c r="A529" s="25" t="s">
        <v>134</v>
      </c>
      <c r="B529" s="25">
        <v>56</v>
      </c>
      <c r="C529" s="25" t="str">
        <f t="shared" si="455"/>
        <v>Catégorie 6</v>
      </c>
      <c r="D529" s="25" t="s">
        <v>136</v>
      </c>
      <c r="F529" s="25" t="str">
        <f t="shared" ref="F529" si="511">_xlfn.CONCAT("FretFluv",LEFT(C529,3),IF(INT(B529/11)&lt;8,RIGHT(C529,1),RIGHT(C529,2)),"Type")</f>
        <v>FretFluvCat6Type</v>
      </c>
      <c r="G529" s="25" t="s">
        <v>20</v>
      </c>
      <c r="H529" s="25">
        <f t="shared" ref="H529:H531" si="512">IF($I$15="Oui",1,0)</f>
        <v>1</v>
      </c>
      <c r="I529" s="29"/>
      <c r="J529" s="27" t="str">
        <f>VLOOKUP(C529,'Parcs types'!$B$65:$AA$120,3,FALSE)</f>
        <v>Automoteurs</v>
      </c>
      <c r="L529" s="25" t="str">
        <f t="shared" ref="L529:L531" si="513">J529</f>
        <v>Automoteurs</v>
      </c>
    </row>
    <row r="530" spans="1:12" s="25" customFormat="1" outlineLevel="1" x14ac:dyDescent="0.25">
      <c r="A530" s="25" t="s">
        <v>134</v>
      </c>
      <c r="B530" s="25">
        <v>57</v>
      </c>
      <c r="C530" s="25" t="str">
        <f t="shared" si="455"/>
        <v>Catégorie 6</v>
      </c>
      <c r="D530" s="26" t="s">
        <v>137</v>
      </c>
      <c r="F530" s="25" t="str">
        <f t="shared" ref="F530" si="514">_xlfn.CONCAT("FretFluv",LEFT(C530,3),IF(INT(B530/11)&lt;8,RIGHT(C530,1),RIGHT(C530,2)),"Cap")</f>
        <v>FretFluvCat6Cap</v>
      </c>
      <c r="G530" s="26" t="s">
        <v>36</v>
      </c>
      <c r="H530" s="25">
        <f t="shared" si="512"/>
        <v>1</v>
      </c>
      <c r="I530" s="28"/>
      <c r="J530" s="27" t="str">
        <f>VLOOKUP(C530,'Parcs types'!$B$65:$AA$120,4,FALSE)</f>
        <v>&lt; 400 tonnes</v>
      </c>
      <c r="K530" s="25" t="s">
        <v>524</v>
      </c>
      <c r="L530" s="25" t="str">
        <f t="shared" si="513"/>
        <v>&lt; 400 tonnes</v>
      </c>
    </row>
    <row r="531" spans="1:12" s="25" customFormat="1" outlineLevel="1" x14ac:dyDescent="0.25">
      <c r="A531" s="25" t="s">
        <v>134</v>
      </c>
      <c r="B531" s="25">
        <v>58</v>
      </c>
      <c r="C531" s="25" t="str">
        <f t="shared" si="455"/>
        <v>Catégorie 6</v>
      </c>
      <c r="D531" s="26" t="s">
        <v>525</v>
      </c>
      <c r="F531" s="25" t="str">
        <f t="shared" ref="F531" si="515">_xlfn.CONCAT("FretFluv",LEFT(C531,3),IF(INT(B531/11)&lt;8,RIGHT(C531,1),RIGHT(C531,2)),"Tech")</f>
        <v>FretFluvCat6Tech</v>
      </c>
      <c r="G531" s="26" t="s">
        <v>20</v>
      </c>
      <c r="H531" s="25">
        <f t="shared" si="512"/>
        <v>1</v>
      </c>
      <c r="J531" s="27" t="str">
        <f>VLOOKUP(C531,'Parcs types'!$B$65:$AA$120,5,FALSE)</f>
        <v>H2 , PAC</v>
      </c>
      <c r="L531" s="25" t="str">
        <f t="shared" si="513"/>
        <v>H2 , PAC</v>
      </c>
    </row>
    <row r="532" spans="1:12" s="25" customFormat="1" outlineLevel="1" x14ac:dyDescent="0.25">
      <c r="A532" s="25" t="s">
        <v>134</v>
      </c>
      <c r="B532" s="25">
        <v>59</v>
      </c>
      <c r="C532" s="25" t="str">
        <f t="shared" si="455"/>
        <v>Catégorie 6</v>
      </c>
      <c r="D532" s="25" t="s">
        <v>140</v>
      </c>
      <c r="F532" s="25" t="str">
        <f t="shared" ref="F532" si="516">_xlfn.CONCAT("FretFluv",LEFT(C532,3),IF(INT(B532/11)&lt;8,RIGHT(C532,1),RIGHT(C532,2)),"Request")</f>
        <v>FretFluvCat6Request</v>
      </c>
      <c r="G532" s="26" t="s">
        <v>20</v>
      </c>
      <c r="H532" s="25">
        <f>IF($I$15="Oui",1,0)</f>
        <v>1</v>
      </c>
      <c r="J532" s="27" t="s">
        <v>142</v>
      </c>
    </row>
    <row r="533" spans="1:12" s="25" customFormat="1" outlineLevel="1" x14ac:dyDescent="0.25">
      <c r="A533" s="25" t="s">
        <v>134</v>
      </c>
      <c r="B533" s="25">
        <v>60</v>
      </c>
      <c r="C533" s="25" t="str">
        <f t="shared" si="455"/>
        <v>Catégorie 6</v>
      </c>
      <c r="D533" s="25" t="s">
        <v>144</v>
      </c>
      <c r="F533" s="25" t="str">
        <f t="shared" ref="F533" si="517">_xlfn.CONCAT("FretFluv",LEFT(C533,3),IF(INT(B533/11)&lt;8,RIGHT(C533,1),RIGHT(C533,2)),"NbTraj")</f>
        <v>FretFluvCat6NbTraj</v>
      </c>
      <c r="G533" s="25" t="s">
        <v>17</v>
      </c>
      <c r="H533" s="25">
        <f>IF($I$15="Oui",1,0)*IF(ISNUMBER(SEARCH("Une estimation du nombre annuel de trajets pour ce type de barge",I532)),1,0)</f>
        <v>0</v>
      </c>
      <c r="J533" s="27"/>
      <c r="K533" s="25" t="s">
        <v>145</v>
      </c>
    </row>
    <row r="534" spans="1:12" s="25" customFormat="1" outlineLevel="1" x14ac:dyDescent="0.25">
      <c r="A534" s="25" t="s">
        <v>134</v>
      </c>
      <c r="B534" s="25">
        <v>61</v>
      </c>
      <c r="C534" s="25" t="str">
        <f t="shared" si="455"/>
        <v>Catégorie 6</v>
      </c>
      <c r="D534" s="25" t="s">
        <v>146</v>
      </c>
      <c r="F534" s="25" t="str">
        <f t="shared" ref="F534" si="518">_xlfn.CONCAT("FretFluv",LEFT(C534,3),IF(INT(B534/11)&lt;8,RIGHT(C534,1),RIGHT(C534,2)),"DistMoy")</f>
        <v>FretFluvCat6DistMoy</v>
      </c>
      <c r="G534" s="25" t="s">
        <v>17</v>
      </c>
      <c r="H534" s="25">
        <f>IF($I$15="Oui",1,0)*IF(ISNUMBER(SEARCH("La distance moyenne d'un trajet",I532)),1,0)</f>
        <v>0</v>
      </c>
      <c r="J534" s="27"/>
      <c r="K534" s="25" t="s">
        <v>88</v>
      </c>
    </row>
    <row r="535" spans="1:12" s="25" customFormat="1" outlineLevel="1" x14ac:dyDescent="0.25">
      <c r="A535" s="25" t="s">
        <v>134</v>
      </c>
      <c r="B535" s="25">
        <v>62</v>
      </c>
      <c r="C535" s="25" t="str">
        <f t="shared" si="455"/>
        <v>Catégorie 6</v>
      </c>
      <c r="D535" s="25" t="s">
        <v>147</v>
      </c>
      <c r="F535" s="25" t="str">
        <f t="shared" ref="F535" si="519">_xlfn.CONCAT("FretFluv",LEFT(C535,3),IF(INT(B535/11)&lt;8,RIGHT(C535,1),RIGHT(C535,2)),"EmportMoy")</f>
        <v>FretFluvCat6EmportMoy</v>
      </c>
      <c r="G535" s="25" t="s">
        <v>17</v>
      </c>
      <c r="H535" s="25">
        <f>IF($I$15="Oui",1,0)*IF(ISNUMBER(SEARCH("La masse moyenne transportée pour un trajet",I532)),1,0)</f>
        <v>0</v>
      </c>
      <c r="J535" s="27"/>
      <c r="K535" s="25" t="s">
        <v>148</v>
      </c>
    </row>
    <row r="536" spans="1:12" s="25" customFormat="1" outlineLevel="1" x14ac:dyDescent="0.25">
      <c r="A536" s="25" t="s">
        <v>134</v>
      </c>
      <c r="B536" s="25">
        <v>63</v>
      </c>
      <c r="C536" s="25" t="str">
        <f t="shared" si="455"/>
        <v>Catégorie 6</v>
      </c>
      <c r="D536" s="25" t="s">
        <v>149</v>
      </c>
      <c r="F536" s="25" t="str">
        <f t="shared" ref="F536" si="520">_xlfn.CONCAT("FretFluv",LEFT(C536,3),IF(INT(B536/11)&lt;8,RIGHT(C536,1),RIGHT(C536,2)),"DistAn")</f>
        <v>FretFluvCat6DistAn</v>
      </c>
      <c r="G536" s="25" t="s">
        <v>17</v>
      </c>
      <c r="H536" s="25">
        <f>IF($I$15="Oui",1,0)*IF(ISNUMBER(SEARCH("La distance parcourue annuellement pour ce type de barge",I532)),1,0)</f>
        <v>0</v>
      </c>
      <c r="J536" s="27"/>
      <c r="K536" s="25" t="s">
        <v>88</v>
      </c>
    </row>
    <row r="537" spans="1:12" s="25" customFormat="1" outlineLevel="1" x14ac:dyDescent="0.25">
      <c r="A537" s="25" t="s">
        <v>134</v>
      </c>
      <c r="B537" s="25">
        <v>64</v>
      </c>
      <c r="C537" s="25" t="str">
        <f t="shared" si="455"/>
        <v>Catégorie 6</v>
      </c>
      <c r="D537" s="25" t="s">
        <v>150</v>
      </c>
      <c r="F537" s="25" t="str">
        <f t="shared" ref="F537" si="521">_xlfn.CONCAT("FretFluv",LEFT(C537,3),IF(INT(B537/11)&lt;8,RIGHT(C537,1),RIGHT(C537,2)),"TauxChargeMoy")</f>
        <v>FretFluvCat6TauxChargeMoy</v>
      </c>
      <c r="G537" s="25" t="s">
        <v>17</v>
      </c>
      <c r="H537" s="25">
        <f>IF($I$15="Oui",1,0)*IF(ISNUMBER(SEARCH("Le taux de chargement moyen",I532)),1,0)</f>
        <v>0</v>
      </c>
      <c r="J537" s="27"/>
      <c r="K537" s="25" t="s">
        <v>70</v>
      </c>
    </row>
    <row r="538" spans="1:12" s="25" customFormat="1" outlineLevel="1" x14ac:dyDescent="0.25">
      <c r="A538" s="25" t="s">
        <v>134</v>
      </c>
      <c r="B538" s="25">
        <v>65</v>
      </c>
      <c r="C538" s="25" t="str">
        <f t="shared" ref="C538:C601" si="522">"Catégorie "&amp;INT(B538/11)+1</f>
        <v>Catégorie 6</v>
      </c>
      <c r="D538" s="26" t="s">
        <v>526</v>
      </c>
      <c r="F538" s="25" t="str">
        <f t="shared" ref="F538" si="523">_xlfn.CONCAT("FretFluv",LEFT(C538,3),IF(INT(B538/11)&lt;8,RIGHT(C538,1),RIGHT(C538,2)),"NbBarges")</f>
        <v>FretFluvCat6NbBarges</v>
      </c>
      <c r="G538" s="25" t="s">
        <v>17</v>
      </c>
      <c r="H538" s="25">
        <f>IF($I$15="Oui",1,0)</f>
        <v>1</v>
      </c>
      <c r="J538" s="27"/>
      <c r="K538" s="25" t="s">
        <v>151</v>
      </c>
    </row>
    <row r="539" spans="1:12" s="25" customFormat="1" outlineLevel="1" x14ac:dyDescent="0.25">
      <c r="A539" s="25" t="s">
        <v>134</v>
      </c>
      <c r="B539" s="25">
        <v>66</v>
      </c>
      <c r="C539" s="25" t="str">
        <f t="shared" si="522"/>
        <v>Catégorie 7</v>
      </c>
      <c r="D539" s="25" t="s">
        <v>135</v>
      </c>
      <c r="F539" s="25" t="str">
        <f t="shared" ref="F539" si="524">_xlfn.CONCAT("FretFluv",LEFT(C539,3),IF(INT(B539/11)&lt;8,RIGHT(C539,1),RIGHT(C539,2)),"Nom")</f>
        <v>FretFluvCat7Nom</v>
      </c>
      <c r="G539" s="26" t="s">
        <v>20</v>
      </c>
      <c r="H539" s="25">
        <f>IF($I$15="Oui",1,0)</f>
        <v>1</v>
      </c>
      <c r="J539" s="27" t="str">
        <f>VLOOKUP(C539,'Parcs types'!$B$65:$AA$120,2,FALSE)</f>
        <v>Automoteurs &lt; 400 tonnes H2 , ICE</v>
      </c>
      <c r="L539" s="25" t="str">
        <f>J539</f>
        <v>Automoteurs &lt; 400 tonnes H2 , ICE</v>
      </c>
    </row>
    <row r="540" spans="1:12" s="25" customFormat="1" outlineLevel="1" x14ac:dyDescent="0.25">
      <c r="A540" s="25" t="s">
        <v>134</v>
      </c>
      <c r="B540" s="25">
        <v>67</v>
      </c>
      <c r="C540" s="25" t="str">
        <f t="shared" si="522"/>
        <v>Catégorie 7</v>
      </c>
      <c r="D540" s="25" t="s">
        <v>136</v>
      </c>
      <c r="F540" s="25" t="str">
        <f t="shared" ref="F540" si="525">_xlfn.CONCAT("FretFluv",LEFT(C540,3),IF(INT(B540/11)&lt;8,RIGHT(C540,1),RIGHT(C540,2)),"Type")</f>
        <v>FretFluvCat7Type</v>
      </c>
      <c r="G540" s="25" t="s">
        <v>20</v>
      </c>
      <c r="H540" s="25">
        <f t="shared" ref="H540:H542" si="526">IF($I$15="Oui",1,0)</f>
        <v>1</v>
      </c>
      <c r="I540" s="29"/>
      <c r="J540" s="27" t="str">
        <f>VLOOKUP(C540,'Parcs types'!$B$65:$AA$120,3,FALSE)</f>
        <v>Automoteurs</v>
      </c>
      <c r="L540" s="25" t="str">
        <f t="shared" ref="L540:L542" si="527">J540</f>
        <v>Automoteurs</v>
      </c>
    </row>
    <row r="541" spans="1:12" s="25" customFormat="1" outlineLevel="1" x14ac:dyDescent="0.25">
      <c r="A541" s="25" t="s">
        <v>134</v>
      </c>
      <c r="B541" s="25">
        <v>68</v>
      </c>
      <c r="C541" s="25" t="str">
        <f t="shared" si="522"/>
        <v>Catégorie 7</v>
      </c>
      <c r="D541" s="26" t="s">
        <v>137</v>
      </c>
      <c r="F541" s="25" t="str">
        <f t="shared" ref="F541" si="528">_xlfn.CONCAT("FretFluv",LEFT(C541,3),IF(INT(B541/11)&lt;8,RIGHT(C541,1),RIGHT(C541,2)),"Cap")</f>
        <v>FretFluvCat7Cap</v>
      </c>
      <c r="G541" s="26" t="s">
        <v>36</v>
      </c>
      <c r="H541" s="25">
        <f t="shared" si="526"/>
        <v>1</v>
      </c>
      <c r="I541" s="28"/>
      <c r="J541" s="27" t="str">
        <f>VLOOKUP(C541,'Parcs types'!$B$65:$AA$120,4,FALSE)</f>
        <v>&lt; 400 tonnes</v>
      </c>
      <c r="K541" s="25" t="s">
        <v>524</v>
      </c>
      <c r="L541" s="25" t="str">
        <f t="shared" si="527"/>
        <v>&lt; 400 tonnes</v>
      </c>
    </row>
    <row r="542" spans="1:12" s="25" customFormat="1" outlineLevel="1" x14ac:dyDescent="0.25">
      <c r="A542" s="25" t="s">
        <v>134</v>
      </c>
      <c r="B542" s="25">
        <v>69</v>
      </c>
      <c r="C542" s="25" t="str">
        <f t="shared" si="522"/>
        <v>Catégorie 7</v>
      </c>
      <c r="D542" s="26" t="s">
        <v>525</v>
      </c>
      <c r="F542" s="25" t="str">
        <f t="shared" ref="F542" si="529">_xlfn.CONCAT("FretFluv",LEFT(C542,3),IF(INT(B542/11)&lt;8,RIGHT(C542,1),RIGHT(C542,2)),"Tech")</f>
        <v>FretFluvCat7Tech</v>
      </c>
      <c r="G542" s="26" t="s">
        <v>20</v>
      </c>
      <c r="H542" s="25">
        <f t="shared" si="526"/>
        <v>1</v>
      </c>
      <c r="J542" s="27" t="str">
        <f>VLOOKUP(C542,'Parcs types'!$B$65:$AA$120,5,FALSE)</f>
        <v>H2 , ICE</v>
      </c>
      <c r="L542" s="25" t="str">
        <f t="shared" si="527"/>
        <v>H2 , ICE</v>
      </c>
    </row>
    <row r="543" spans="1:12" s="25" customFormat="1" outlineLevel="1" x14ac:dyDescent="0.25">
      <c r="A543" s="25" t="s">
        <v>134</v>
      </c>
      <c r="B543" s="25">
        <v>70</v>
      </c>
      <c r="C543" s="25" t="str">
        <f t="shared" si="522"/>
        <v>Catégorie 7</v>
      </c>
      <c r="D543" s="25" t="s">
        <v>140</v>
      </c>
      <c r="F543" s="25" t="str">
        <f t="shared" ref="F543" si="530">_xlfn.CONCAT("FretFluv",LEFT(C543,3),IF(INT(B543/11)&lt;8,RIGHT(C543,1),RIGHT(C543,2)),"Request")</f>
        <v>FretFluvCat7Request</v>
      </c>
      <c r="G543" s="26" t="s">
        <v>20</v>
      </c>
      <c r="H543" s="25">
        <f>IF($I$15="Oui",1,0)</f>
        <v>1</v>
      </c>
      <c r="J543" s="27" t="s">
        <v>142</v>
      </c>
    </row>
    <row r="544" spans="1:12" s="25" customFormat="1" outlineLevel="1" x14ac:dyDescent="0.25">
      <c r="A544" s="25" t="s">
        <v>134</v>
      </c>
      <c r="B544" s="25">
        <v>71</v>
      </c>
      <c r="C544" s="25" t="str">
        <f t="shared" si="522"/>
        <v>Catégorie 7</v>
      </c>
      <c r="D544" s="25" t="s">
        <v>144</v>
      </c>
      <c r="F544" s="25" t="str">
        <f t="shared" ref="F544" si="531">_xlfn.CONCAT("FretFluv",LEFT(C544,3),IF(INT(B544/11)&lt;8,RIGHT(C544,1),RIGHT(C544,2)),"NbTraj")</f>
        <v>FretFluvCat7NbTraj</v>
      </c>
      <c r="G544" s="25" t="s">
        <v>17</v>
      </c>
      <c r="H544" s="25">
        <f>IF($I$15="Oui",1,0)*IF(ISNUMBER(SEARCH("Une estimation du nombre annuel de trajets pour ce type de barge",I543)),1,0)</f>
        <v>0</v>
      </c>
      <c r="J544" s="27"/>
      <c r="K544" s="25" t="s">
        <v>145</v>
      </c>
    </row>
    <row r="545" spans="1:12" s="25" customFormat="1" outlineLevel="1" x14ac:dyDescent="0.25">
      <c r="A545" s="25" t="s">
        <v>134</v>
      </c>
      <c r="B545" s="25">
        <v>72</v>
      </c>
      <c r="C545" s="25" t="str">
        <f t="shared" si="522"/>
        <v>Catégorie 7</v>
      </c>
      <c r="D545" s="25" t="s">
        <v>146</v>
      </c>
      <c r="F545" s="25" t="str">
        <f t="shared" ref="F545" si="532">_xlfn.CONCAT("FretFluv",LEFT(C545,3),IF(INT(B545/11)&lt;8,RIGHT(C545,1),RIGHT(C545,2)),"DistMoy")</f>
        <v>FretFluvCat7DistMoy</v>
      </c>
      <c r="G545" s="25" t="s">
        <v>17</v>
      </c>
      <c r="H545" s="25">
        <f>IF($I$15="Oui",1,0)*IF(ISNUMBER(SEARCH("La distance moyenne d'un trajet",I543)),1,0)</f>
        <v>0</v>
      </c>
      <c r="J545" s="27"/>
      <c r="K545" s="25" t="s">
        <v>88</v>
      </c>
    </row>
    <row r="546" spans="1:12" s="25" customFormat="1" outlineLevel="1" x14ac:dyDescent="0.25">
      <c r="A546" s="25" t="s">
        <v>134</v>
      </c>
      <c r="B546" s="25">
        <v>73</v>
      </c>
      <c r="C546" s="25" t="str">
        <f t="shared" si="522"/>
        <v>Catégorie 7</v>
      </c>
      <c r="D546" s="25" t="s">
        <v>147</v>
      </c>
      <c r="F546" s="25" t="str">
        <f t="shared" ref="F546" si="533">_xlfn.CONCAT("FretFluv",LEFT(C546,3),IF(INT(B546/11)&lt;8,RIGHT(C546,1),RIGHT(C546,2)),"EmportMoy")</f>
        <v>FretFluvCat7EmportMoy</v>
      </c>
      <c r="G546" s="25" t="s">
        <v>17</v>
      </c>
      <c r="H546" s="25">
        <f>IF($I$15="Oui",1,0)*IF(ISNUMBER(SEARCH("La masse moyenne transportée pour un trajet",I543)),1,0)</f>
        <v>0</v>
      </c>
      <c r="J546" s="27"/>
      <c r="K546" s="25" t="s">
        <v>148</v>
      </c>
    </row>
    <row r="547" spans="1:12" s="25" customFormat="1" outlineLevel="1" x14ac:dyDescent="0.25">
      <c r="A547" s="25" t="s">
        <v>134</v>
      </c>
      <c r="B547" s="25">
        <v>74</v>
      </c>
      <c r="C547" s="25" t="str">
        <f t="shared" si="522"/>
        <v>Catégorie 7</v>
      </c>
      <c r="D547" s="25" t="s">
        <v>149</v>
      </c>
      <c r="F547" s="25" t="str">
        <f t="shared" ref="F547" si="534">_xlfn.CONCAT("FretFluv",LEFT(C547,3),IF(INT(B547/11)&lt;8,RIGHT(C547,1),RIGHT(C547,2)),"DistAn")</f>
        <v>FretFluvCat7DistAn</v>
      </c>
      <c r="G547" s="25" t="s">
        <v>17</v>
      </c>
      <c r="H547" s="25">
        <f>IF($I$15="Oui",1,0)*IF(ISNUMBER(SEARCH("La distance parcourue annuellement pour ce type de barge",I543)),1,0)</f>
        <v>0</v>
      </c>
      <c r="J547" s="27"/>
      <c r="K547" s="25" t="s">
        <v>88</v>
      </c>
    </row>
    <row r="548" spans="1:12" s="25" customFormat="1" outlineLevel="1" x14ac:dyDescent="0.25">
      <c r="A548" s="25" t="s">
        <v>134</v>
      </c>
      <c r="B548" s="25">
        <v>75</v>
      </c>
      <c r="C548" s="25" t="str">
        <f t="shared" si="522"/>
        <v>Catégorie 7</v>
      </c>
      <c r="D548" s="25" t="s">
        <v>150</v>
      </c>
      <c r="F548" s="25" t="str">
        <f t="shared" ref="F548" si="535">_xlfn.CONCAT("FretFluv",LEFT(C548,3),IF(INT(B548/11)&lt;8,RIGHT(C548,1),RIGHT(C548,2)),"TauxChargeMoy")</f>
        <v>FretFluvCat7TauxChargeMoy</v>
      </c>
      <c r="G548" s="25" t="s">
        <v>17</v>
      </c>
      <c r="H548" s="25">
        <f>IF($I$15="Oui",1,0)*IF(ISNUMBER(SEARCH("Le taux de chargement moyen",I543)),1,0)</f>
        <v>0</v>
      </c>
      <c r="J548" s="27"/>
      <c r="K548" s="25" t="s">
        <v>70</v>
      </c>
    </row>
    <row r="549" spans="1:12" s="25" customFormat="1" outlineLevel="1" x14ac:dyDescent="0.25">
      <c r="A549" s="25" t="s">
        <v>134</v>
      </c>
      <c r="B549" s="25">
        <v>76</v>
      </c>
      <c r="C549" s="25" t="str">
        <f t="shared" si="522"/>
        <v>Catégorie 7</v>
      </c>
      <c r="D549" s="26" t="s">
        <v>526</v>
      </c>
      <c r="F549" s="25" t="str">
        <f t="shared" ref="F549" si="536">_xlfn.CONCAT("FretFluv",LEFT(C549,3),IF(INT(B549/11)&lt;8,RIGHT(C549,1),RIGHT(C549,2)),"NbBarges")</f>
        <v>FretFluvCat7NbBarges</v>
      </c>
      <c r="G549" s="25" t="s">
        <v>17</v>
      </c>
      <c r="H549" s="25">
        <f>IF($I$15="Oui",1,0)</f>
        <v>1</v>
      </c>
      <c r="J549" s="27"/>
      <c r="K549" s="25" t="s">
        <v>151</v>
      </c>
    </row>
    <row r="550" spans="1:12" s="25" customFormat="1" outlineLevel="1" x14ac:dyDescent="0.25">
      <c r="A550" s="25" t="s">
        <v>134</v>
      </c>
      <c r="B550" s="25">
        <v>77</v>
      </c>
      <c r="C550" s="25" t="str">
        <f t="shared" si="522"/>
        <v>Catégorie 8</v>
      </c>
      <c r="D550" s="25" t="s">
        <v>135</v>
      </c>
      <c r="F550" s="25" t="str">
        <f t="shared" ref="F550" si="537">_xlfn.CONCAT("FretFluv",LEFT(C550,3),IF(INT(B550/11)&lt;8,RIGHT(C550,1),RIGHT(C550,2)),"Nom")</f>
        <v>FretFluvCat8Nom</v>
      </c>
      <c r="G550" s="26" t="s">
        <v>20</v>
      </c>
      <c r="H550" s="25">
        <f>IF($I$15="Oui",1,0)</f>
        <v>1</v>
      </c>
      <c r="J550" s="27" t="str">
        <f>VLOOKUP(C550,'Parcs types'!$B$65:$AA$120,2,FALSE)</f>
        <v>Automoteurs 400-649 tonnes CCNR 2 ou inférieur, diesel</v>
      </c>
      <c r="L550" s="25" t="str">
        <f>J550</f>
        <v>Automoteurs 400-649 tonnes CCNR 2 ou inférieur, diesel</v>
      </c>
    </row>
    <row r="551" spans="1:12" s="25" customFormat="1" outlineLevel="1" x14ac:dyDescent="0.25">
      <c r="A551" s="25" t="s">
        <v>134</v>
      </c>
      <c r="B551" s="25">
        <v>78</v>
      </c>
      <c r="C551" s="25" t="str">
        <f t="shared" si="522"/>
        <v>Catégorie 8</v>
      </c>
      <c r="D551" s="25" t="s">
        <v>136</v>
      </c>
      <c r="F551" s="25" t="str">
        <f t="shared" ref="F551" si="538">_xlfn.CONCAT("FretFluv",LEFT(C551,3),IF(INT(B551/11)&lt;8,RIGHT(C551,1),RIGHT(C551,2)),"Type")</f>
        <v>FretFluvCat8Type</v>
      </c>
      <c r="G551" s="25" t="s">
        <v>20</v>
      </c>
      <c r="H551" s="25">
        <f t="shared" ref="H551:H553" si="539">IF($I$15="Oui",1,0)</f>
        <v>1</v>
      </c>
      <c r="I551" s="29"/>
      <c r="J551" s="27" t="str">
        <f>VLOOKUP(C551,'Parcs types'!$B$65:$AA$120,3,FALSE)</f>
        <v>Automoteurs</v>
      </c>
      <c r="L551" s="25" t="str">
        <f t="shared" ref="L551:L553" si="540">J551</f>
        <v>Automoteurs</v>
      </c>
    </row>
    <row r="552" spans="1:12" s="25" customFormat="1" outlineLevel="1" x14ac:dyDescent="0.25">
      <c r="A552" s="25" t="s">
        <v>134</v>
      </c>
      <c r="B552" s="25">
        <v>79</v>
      </c>
      <c r="C552" s="25" t="str">
        <f t="shared" si="522"/>
        <v>Catégorie 8</v>
      </c>
      <c r="D552" s="26" t="s">
        <v>137</v>
      </c>
      <c r="F552" s="25" t="str">
        <f t="shared" ref="F552" si="541">_xlfn.CONCAT("FretFluv",LEFT(C552,3),IF(INT(B552/11)&lt;8,RIGHT(C552,1),RIGHT(C552,2)),"Cap")</f>
        <v>FretFluvCat8Cap</v>
      </c>
      <c r="G552" s="26" t="s">
        <v>36</v>
      </c>
      <c r="H552" s="25">
        <f t="shared" si="539"/>
        <v>1</v>
      </c>
      <c r="I552" s="28"/>
      <c r="J552" s="27" t="str">
        <f>VLOOKUP(C552,'Parcs types'!$B$65:$AA$120,4,FALSE)</f>
        <v>400-649 tonnes</v>
      </c>
      <c r="K552" s="25" t="s">
        <v>524</v>
      </c>
      <c r="L552" s="25" t="str">
        <f t="shared" si="540"/>
        <v>400-649 tonnes</v>
      </c>
    </row>
    <row r="553" spans="1:12" s="25" customFormat="1" outlineLevel="1" x14ac:dyDescent="0.25">
      <c r="A553" s="25" t="s">
        <v>134</v>
      </c>
      <c r="B553" s="25">
        <v>80</v>
      </c>
      <c r="C553" s="25" t="str">
        <f t="shared" si="522"/>
        <v>Catégorie 8</v>
      </c>
      <c r="D553" s="26" t="s">
        <v>525</v>
      </c>
      <c r="F553" s="25" t="str">
        <f t="shared" ref="F553" si="542">_xlfn.CONCAT("FretFluv",LEFT(C553,3),IF(INT(B553/11)&lt;8,RIGHT(C553,1),RIGHT(C553,2)),"Tech")</f>
        <v>FretFluvCat8Tech</v>
      </c>
      <c r="G553" s="26" t="s">
        <v>20</v>
      </c>
      <c r="H553" s="25">
        <f t="shared" si="539"/>
        <v>1</v>
      </c>
      <c r="I553" s="28"/>
      <c r="J553" s="27" t="str">
        <f>VLOOKUP(C553,'Parcs types'!$B$65:$AA$120,5,FALSE)</f>
        <v>CCNR 2 ou inférieur, diesel</v>
      </c>
      <c r="L553" s="25" t="str">
        <f t="shared" si="540"/>
        <v>CCNR 2 ou inférieur, diesel</v>
      </c>
    </row>
    <row r="554" spans="1:12" s="25" customFormat="1" outlineLevel="1" x14ac:dyDescent="0.25">
      <c r="A554" s="25" t="s">
        <v>134</v>
      </c>
      <c r="B554" s="25">
        <v>81</v>
      </c>
      <c r="C554" s="25" t="str">
        <f t="shared" si="522"/>
        <v>Catégorie 8</v>
      </c>
      <c r="D554" s="25" t="s">
        <v>140</v>
      </c>
      <c r="F554" s="25" t="str">
        <f t="shared" ref="F554" si="543">_xlfn.CONCAT("FretFluv",LEFT(C554,3),IF(INT(B554/11)&lt;8,RIGHT(C554,1),RIGHT(C554,2)),"Request")</f>
        <v>FretFluvCat8Request</v>
      </c>
      <c r="G554" s="26" t="s">
        <v>20</v>
      </c>
      <c r="H554" s="25">
        <f>IF($I$15="Oui",1,0)</f>
        <v>1</v>
      </c>
      <c r="J554" s="27" t="s">
        <v>142</v>
      </c>
      <c r="L554" s="28"/>
    </row>
    <row r="555" spans="1:12" s="25" customFormat="1" outlineLevel="1" x14ac:dyDescent="0.25">
      <c r="A555" s="25" t="s">
        <v>134</v>
      </c>
      <c r="B555" s="25">
        <v>82</v>
      </c>
      <c r="C555" s="25" t="str">
        <f t="shared" si="522"/>
        <v>Catégorie 8</v>
      </c>
      <c r="D555" s="25" t="s">
        <v>144</v>
      </c>
      <c r="F555" s="25" t="str">
        <f t="shared" ref="F555" si="544">_xlfn.CONCAT("FretFluv",LEFT(C555,3),IF(INT(B555/11)&lt;8,RIGHT(C555,1),RIGHT(C555,2)),"NbTraj")</f>
        <v>FretFluvCat8NbTraj</v>
      </c>
      <c r="G555" s="25" t="s">
        <v>17</v>
      </c>
      <c r="H555" s="25">
        <f>IF($I$15="Oui",1,0)*IF(ISNUMBER(SEARCH("Une estimation du nombre annuel de trajets pour ce type de barge",I554)),1,0)</f>
        <v>0</v>
      </c>
      <c r="I555" s="28"/>
      <c r="J555" s="27"/>
      <c r="K555" s="25" t="s">
        <v>145</v>
      </c>
      <c r="L555" s="28"/>
    </row>
    <row r="556" spans="1:12" s="25" customFormat="1" outlineLevel="1" x14ac:dyDescent="0.25">
      <c r="A556" s="25" t="s">
        <v>134</v>
      </c>
      <c r="B556" s="25">
        <v>83</v>
      </c>
      <c r="C556" s="25" t="str">
        <f t="shared" si="522"/>
        <v>Catégorie 8</v>
      </c>
      <c r="D556" s="25" t="s">
        <v>146</v>
      </c>
      <c r="F556" s="25" t="str">
        <f t="shared" ref="F556" si="545">_xlfn.CONCAT("FretFluv",LEFT(C556,3),IF(INT(B556/11)&lt;8,RIGHT(C556,1),RIGHT(C556,2)),"DistMoy")</f>
        <v>FretFluvCat8DistMoy</v>
      </c>
      <c r="G556" s="25" t="s">
        <v>17</v>
      </c>
      <c r="H556" s="25">
        <f>IF($I$15="Oui",1,0)*IF(ISNUMBER(SEARCH("La distance moyenne d'un trajet",I554)),1,0)</f>
        <v>0</v>
      </c>
      <c r="I556" s="28"/>
      <c r="J556" s="27"/>
      <c r="K556" s="25" t="s">
        <v>88</v>
      </c>
      <c r="L556" s="28"/>
    </row>
    <row r="557" spans="1:12" s="25" customFormat="1" outlineLevel="1" x14ac:dyDescent="0.25">
      <c r="A557" s="25" t="s">
        <v>134</v>
      </c>
      <c r="B557" s="25">
        <v>84</v>
      </c>
      <c r="C557" s="25" t="str">
        <f t="shared" si="522"/>
        <v>Catégorie 8</v>
      </c>
      <c r="D557" s="25" t="s">
        <v>147</v>
      </c>
      <c r="F557" s="25" t="str">
        <f t="shared" ref="F557" si="546">_xlfn.CONCAT("FretFluv",LEFT(C557,3),IF(INT(B557/11)&lt;8,RIGHT(C557,1),RIGHT(C557,2)),"EmportMoy")</f>
        <v>FretFluvCat8EmportMoy</v>
      </c>
      <c r="G557" s="25" t="s">
        <v>17</v>
      </c>
      <c r="H557" s="25">
        <f>IF($I$15="Oui",1,0)*IF(ISNUMBER(SEARCH("La masse moyenne transportée pour un trajet",I554)),1,0)</f>
        <v>0</v>
      </c>
      <c r="I557" s="28"/>
      <c r="J557" s="27"/>
      <c r="K557" s="25" t="s">
        <v>148</v>
      </c>
      <c r="L557" s="28"/>
    </row>
    <row r="558" spans="1:12" s="25" customFormat="1" outlineLevel="1" x14ac:dyDescent="0.25">
      <c r="A558" s="25" t="s">
        <v>134</v>
      </c>
      <c r="B558" s="25">
        <v>85</v>
      </c>
      <c r="C558" s="25" t="str">
        <f t="shared" si="522"/>
        <v>Catégorie 8</v>
      </c>
      <c r="D558" s="25" t="s">
        <v>149</v>
      </c>
      <c r="F558" s="25" t="str">
        <f t="shared" ref="F558" si="547">_xlfn.CONCAT("FretFluv",LEFT(C558,3),IF(INT(B558/11)&lt;8,RIGHT(C558,1),RIGHT(C558,2)),"DistAn")</f>
        <v>FretFluvCat8DistAn</v>
      </c>
      <c r="G558" s="25" t="s">
        <v>17</v>
      </c>
      <c r="H558" s="25">
        <f>IF($I$15="Oui",1,0)*IF(ISNUMBER(SEARCH("La distance parcourue annuellement pour ce type de barge",I554)),1,0)</f>
        <v>0</v>
      </c>
      <c r="I558" s="28"/>
      <c r="J558" s="27"/>
      <c r="K558" s="25" t="s">
        <v>88</v>
      </c>
      <c r="L558" s="28"/>
    </row>
    <row r="559" spans="1:12" s="25" customFormat="1" outlineLevel="1" x14ac:dyDescent="0.25">
      <c r="A559" s="25" t="s">
        <v>134</v>
      </c>
      <c r="B559" s="25">
        <v>86</v>
      </c>
      <c r="C559" s="25" t="str">
        <f t="shared" si="522"/>
        <v>Catégorie 8</v>
      </c>
      <c r="D559" s="25" t="s">
        <v>150</v>
      </c>
      <c r="F559" s="25" t="str">
        <f t="shared" ref="F559" si="548">_xlfn.CONCAT("FretFluv",LEFT(C559,3),IF(INT(B559/11)&lt;8,RIGHT(C559,1),RIGHT(C559,2)),"TauxChargeMoy")</f>
        <v>FretFluvCat8TauxChargeMoy</v>
      </c>
      <c r="G559" s="25" t="s">
        <v>17</v>
      </c>
      <c r="H559" s="25">
        <f>IF($I$15="Oui",1,0)*IF(ISNUMBER(SEARCH("Le taux de chargement moyen",I554)),1,0)</f>
        <v>0</v>
      </c>
      <c r="I559" s="28"/>
      <c r="J559" s="27"/>
      <c r="K559" s="25" t="s">
        <v>70</v>
      </c>
      <c r="L559" s="28"/>
    </row>
    <row r="560" spans="1:12" s="25" customFormat="1" outlineLevel="1" x14ac:dyDescent="0.25">
      <c r="A560" s="25" t="s">
        <v>134</v>
      </c>
      <c r="B560" s="25">
        <v>87</v>
      </c>
      <c r="C560" s="25" t="str">
        <f t="shared" si="522"/>
        <v>Catégorie 8</v>
      </c>
      <c r="D560" s="26" t="s">
        <v>526</v>
      </c>
      <c r="F560" s="25" t="str">
        <f t="shared" ref="F560" si="549">_xlfn.CONCAT("FretFluv",LEFT(C560,3),IF(INT(B560/11)&lt;8,RIGHT(C560,1),RIGHT(C560,2)),"NbBarges")</f>
        <v>FretFluvCat8NbBarges</v>
      </c>
      <c r="G560" s="25" t="s">
        <v>17</v>
      </c>
      <c r="H560" s="25">
        <f>IF($I$15="Oui",1,0)</f>
        <v>1</v>
      </c>
      <c r="I560" s="28"/>
      <c r="J560" s="27"/>
      <c r="K560" s="25" t="s">
        <v>151</v>
      </c>
      <c r="L560" s="28"/>
    </row>
    <row r="561" spans="1:12" s="25" customFormat="1" outlineLevel="1" x14ac:dyDescent="0.25">
      <c r="A561" s="25" t="s">
        <v>134</v>
      </c>
      <c r="B561" s="25">
        <v>88</v>
      </c>
      <c r="C561" s="25" t="str">
        <f t="shared" si="522"/>
        <v>Catégorie 9</v>
      </c>
      <c r="D561" s="25" t="s">
        <v>135</v>
      </c>
      <c r="F561" s="25" t="str">
        <f t="shared" ref="F561" si="550">_xlfn.CONCAT("FretFluv",LEFT(C561,3),IF(INT(B561/11)&lt;8,RIGHT(C561,1),RIGHT(C561,2)),"Nom")</f>
        <v>FretFluvCat 9Nom</v>
      </c>
      <c r="G561" s="26" t="s">
        <v>20</v>
      </c>
      <c r="H561" s="25">
        <f>IF($I$15="Oui",1,0)</f>
        <v>1</v>
      </c>
      <c r="I561" s="28"/>
      <c r="J561" s="27" t="str">
        <f>VLOOKUP(C561,'Parcs types'!$B$65:$AA$120,2,FALSE)</f>
        <v>Automoteurs 400-649 tonnes CCNR 2 + SCR, diesel</v>
      </c>
      <c r="L561" s="25" t="str">
        <f>J561</f>
        <v>Automoteurs 400-649 tonnes CCNR 2 + SCR, diesel</v>
      </c>
    </row>
    <row r="562" spans="1:12" s="25" customFormat="1" outlineLevel="1" x14ac:dyDescent="0.25">
      <c r="A562" s="25" t="s">
        <v>134</v>
      </c>
      <c r="B562" s="25">
        <v>89</v>
      </c>
      <c r="C562" s="25" t="str">
        <f t="shared" si="522"/>
        <v>Catégorie 9</v>
      </c>
      <c r="D562" s="25" t="s">
        <v>136</v>
      </c>
      <c r="F562" s="25" t="str">
        <f t="shared" ref="F562" si="551">_xlfn.CONCAT("FretFluv",LEFT(C562,3),IF(INT(B562/11)&lt;8,RIGHT(C562,1),RIGHT(C562,2)),"Type")</f>
        <v>FretFluvCat 9Type</v>
      </c>
      <c r="G562" s="25" t="s">
        <v>20</v>
      </c>
      <c r="H562" s="25">
        <f t="shared" ref="H562:H564" si="552">IF($I$15="Oui",1,0)</f>
        <v>1</v>
      </c>
      <c r="I562" s="28"/>
      <c r="J562" s="27" t="str">
        <f>VLOOKUP(C562,'Parcs types'!$B$65:$AA$120,3,FALSE)</f>
        <v>Automoteurs</v>
      </c>
      <c r="L562" s="25" t="str">
        <f t="shared" ref="L562:L564" si="553">J562</f>
        <v>Automoteurs</v>
      </c>
    </row>
    <row r="563" spans="1:12" s="25" customFormat="1" outlineLevel="1" x14ac:dyDescent="0.25">
      <c r="A563" s="25" t="s">
        <v>134</v>
      </c>
      <c r="B563" s="25">
        <v>90</v>
      </c>
      <c r="C563" s="25" t="str">
        <f t="shared" si="522"/>
        <v>Catégorie 9</v>
      </c>
      <c r="D563" s="26" t="s">
        <v>137</v>
      </c>
      <c r="F563" s="25" t="str">
        <f t="shared" ref="F563" si="554">_xlfn.CONCAT("FretFluv",LEFT(C563,3),IF(INT(B563/11)&lt;8,RIGHT(C563,1),RIGHT(C563,2)),"Cap")</f>
        <v>FretFluvCat 9Cap</v>
      </c>
      <c r="G563" s="26" t="s">
        <v>36</v>
      </c>
      <c r="H563" s="25">
        <f t="shared" si="552"/>
        <v>1</v>
      </c>
      <c r="I563" s="28"/>
      <c r="J563" s="27" t="str">
        <f>VLOOKUP(C563,'Parcs types'!$B$65:$AA$120,4,FALSE)</f>
        <v>400-649 tonnes</v>
      </c>
      <c r="K563" s="25" t="s">
        <v>524</v>
      </c>
      <c r="L563" s="25" t="str">
        <f t="shared" si="553"/>
        <v>400-649 tonnes</v>
      </c>
    </row>
    <row r="564" spans="1:12" s="25" customFormat="1" outlineLevel="1" x14ac:dyDescent="0.25">
      <c r="A564" s="25" t="s">
        <v>134</v>
      </c>
      <c r="B564" s="25">
        <v>91</v>
      </c>
      <c r="C564" s="25" t="str">
        <f t="shared" si="522"/>
        <v>Catégorie 9</v>
      </c>
      <c r="D564" s="26" t="s">
        <v>525</v>
      </c>
      <c r="F564" s="25" t="str">
        <f t="shared" ref="F564" si="555">_xlfn.CONCAT("FretFluv",LEFT(C564,3),IF(INT(B564/11)&lt;8,RIGHT(C564,1),RIGHT(C564,2)),"Tech")</f>
        <v>FretFluvCat 9Tech</v>
      </c>
      <c r="G564" s="26" t="s">
        <v>20</v>
      </c>
      <c r="H564" s="25">
        <f t="shared" si="552"/>
        <v>1</v>
      </c>
      <c r="I564" s="28"/>
      <c r="J564" s="27" t="str">
        <f>VLOOKUP(C564,'Parcs types'!$B$65:$AA$120,5,FALSE)</f>
        <v>CCNR 2 + SCR, diesel</v>
      </c>
      <c r="L564" s="25" t="str">
        <f t="shared" si="553"/>
        <v>CCNR 2 + SCR, diesel</v>
      </c>
    </row>
    <row r="565" spans="1:12" s="25" customFormat="1" outlineLevel="1" x14ac:dyDescent="0.25">
      <c r="A565" s="25" t="s">
        <v>134</v>
      </c>
      <c r="B565" s="25">
        <v>92</v>
      </c>
      <c r="C565" s="25" t="str">
        <f t="shared" si="522"/>
        <v>Catégorie 9</v>
      </c>
      <c r="D565" s="25" t="s">
        <v>140</v>
      </c>
      <c r="F565" s="25" t="str">
        <f t="shared" ref="F565" si="556">_xlfn.CONCAT("FretFluv",LEFT(C565,3),IF(INT(B565/11)&lt;8,RIGHT(C565,1),RIGHT(C565,2)),"Request")</f>
        <v>FretFluvCat 9Request</v>
      </c>
      <c r="G565" s="26" t="s">
        <v>20</v>
      </c>
      <c r="H565" s="25">
        <f>IF($I$15="Oui",1,0)</f>
        <v>1</v>
      </c>
      <c r="J565" s="27" t="s">
        <v>142</v>
      </c>
      <c r="L565" s="28"/>
    </row>
    <row r="566" spans="1:12" s="25" customFormat="1" outlineLevel="1" x14ac:dyDescent="0.25">
      <c r="A566" s="25" t="s">
        <v>134</v>
      </c>
      <c r="B566" s="25">
        <v>93</v>
      </c>
      <c r="C566" s="25" t="str">
        <f t="shared" si="522"/>
        <v>Catégorie 9</v>
      </c>
      <c r="D566" s="25" t="s">
        <v>144</v>
      </c>
      <c r="F566" s="25" t="str">
        <f t="shared" ref="F566" si="557">_xlfn.CONCAT("FretFluv",LEFT(C566,3),IF(INT(B566/11)&lt;8,RIGHT(C566,1),RIGHT(C566,2)),"NbTraj")</f>
        <v>FretFluvCat 9NbTraj</v>
      </c>
      <c r="G566" s="25" t="s">
        <v>17</v>
      </c>
      <c r="H566" s="25">
        <f>IF($I$15="Oui",1,0)*IF(ISNUMBER(SEARCH("Une estimation du nombre annuel de trajets pour ce type de barge",I565)),1,0)</f>
        <v>0</v>
      </c>
      <c r="I566" s="28"/>
      <c r="J566" s="27"/>
      <c r="K566" s="25" t="s">
        <v>145</v>
      </c>
      <c r="L566" s="28"/>
    </row>
    <row r="567" spans="1:12" s="25" customFormat="1" outlineLevel="1" x14ac:dyDescent="0.25">
      <c r="A567" s="25" t="s">
        <v>134</v>
      </c>
      <c r="B567" s="25">
        <v>94</v>
      </c>
      <c r="C567" s="25" t="str">
        <f t="shared" si="522"/>
        <v>Catégorie 9</v>
      </c>
      <c r="D567" s="25" t="s">
        <v>146</v>
      </c>
      <c r="F567" s="25" t="str">
        <f t="shared" ref="F567" si="558">_xlfn.CONCAT("FretFluv",LEFT(C567,3),IF(INT(B567/11)&lt;8,RIGHT(C567,1),RIGHT(C567,2)),"DistMoy")</f>
        <v>FretFluvCat 9DistMoy</v>
      </c>
      <c r="G567" s="25" t="s">
        <v>17</v>
      </c>
      <c r="H567" s="25">
        <f>IF($I$15="Oui",1,0)*IF(ISNUMBER(SEARCH("La distance moyenne d'un trajet",I565)),1,0)</f>
        <v>0</v>
      </c>
      <c r="I567" s="28"/>
      <c r="J567" s="27"/>
      <c r="K567" s="25" t="s">
        <v>88</v>
      </c>
      <c r="L567" s="28"/>
    </row>
    <row r="568" spans="1:12" s="25" customFormat="1" outlineLevel="1" x14ac:dyDescent="0.25">
      <c r="A568" s="25" t="s">
        <v>134</v>
      </c>
      <c r="B568" s="25">
        <v>95</v>
      </c>
      <c r="C568" s="25" t="str">
        <f t="shared" si="522"/>
        <v>Catégorie 9</v>
      </c>
      <c r="D568" s="25" t="s">
        <v>147</v>
      </c>
      <c r="F568" s="25" t="str">
        <f t="shared" ref="F568" si="559">_xlfn.CONCAT("FretFluv",LEFT(C568,3),IF(INT(B568/11)&lt;8,RIGHT(C568,1),RIGHT(C568,2)),"EmportMoy")</f>
        <v>FretFluvCat 9EmportMoy</v>
      </c>
      <c r="G568" s="25" t="s">
        <v>17</v>
      </c>
      <c r="H568" s="25">
        <f>IF($I$15="Oui",1,0)*IF(ISNUMBER(SEARCH("La masse moyenne transportée pour un trajet",I565)),1,0)</f>
        <v>0</v>
      </c>
      <c r="I568" s="28"/>
      <c r="J568" s="27"/>
      <c r="K568" s="25" t="s">
        <v>148</v>
      </c>
      <c r="L568" s="28"/>
    </row>
    <row r="569" spans="1:12" s="25" customFormat="1" outlineLevel="1" x14ac:dyDescent="0.25">
      <c r="A569" s="25" t="s">
        <v>134</v>
      </c>
      <c r="B569" s="25">
        <v>96</v>
      </c>
      <c r="C569" s="25" t="str">
        <f t="shared" si="522"/>
        <v>Catégorie 9</v>
      </c>
      <c r="D569" s="25" t="s">
        <v>149</v>
      </c>
      <c r="F569" s="25" t="str">
        <f t="shared" ref="F569" si="560">_xlfn.CONCAT("FretFluv",LEFT(C569,3),IF(INT(B569/11)&lt;8,RIGHT(C569,1),RIGHT(C569,2)),"DistAn")</f>
        <v>FretFluvCat 9DistAn</v>
      </c>
      <c r="G569" s="25" t="s">
        <v>17</v>
      </c>
      <c r="H569" s="25">
        <f>IF($I$15="Oui",1,0)*IF(ISNUMBER(SEARCH("La distance parcourue annuellement pour ce type de barge",I565)),1,0)</f>
        <v>0</v>
      </c>
      <c r="I569" s="28"/>
      <c r="J569" s="27"/>
      <c r="K569" s="25" t="s">
        <v>88</v>
      </c>
      <c r="L569" s="28"/>
    </row>
    <row r="570" spans="1:12" s="25" customFormat="1" outlineLevel="1" x14ac:dyDescent="0.25">
      <c r="A570" s="25" t="s">
        <v>134</v>
      </c>
      <c r="B570" s="25">
        <v>97</v>
      </c>
      <c r="C570" s="25" t="str">
        <f t="shared" si="522"/>
        <v>Catégorie 9</v>
      </c>
      <c r="D570" s="25" t="s">
        <v>150</v>
      </c>
      <c r="F570" s="25" t="str">
        <f t="shared" ref="F570" si="561">_xlfn.CONCAT("FretFluv",LEFT(C570,3),IF(INT(B570/11)&lt;8,RIGHT(C570,1),RIGHT(C570,2)),"TauxChargeMoy")</f>
        <v>FretFluvCat 9TauxChargeMoy</v>
      </c>
      <c r="G570" s="25" t="s">
        <v>17</v>
      </c>
      <c r="H570" s="25">
        <f>IF($I$15="Oui",1,0)*IF(ISNUMBER(SEARCH("Le taux de chargement moyen",I565)),1,0)</f>
        <v>0</v>
      </c>
      <c r="I570" s="28"/>
      <c r="J570" s="27"/>
      <c r="K570" s="25" t="s">
        <v>70</v>
      </c>
      <c r="L570" s="28"/>
    </row>
    <row r="571" spans="1:12" s="25" customFormat="1" outlineLevel="1" x14ac:dyDescent="0.25">
      <c r="A571" s="25" t="s">
        <v>134</v>
      </c>
      <c r="B571" s="25">
        <v>98</v>
      </c>
      <c r="C571" s="25" t="str">
        <f t="shared" si="522"/>
        <v>Catégorie 9</v>
      </c>
      <c r="D571" s="26" t="s">
        <v>526</v>
      </c>
      <c r="F571" s="25" t="str">
        <f t="shared" ref="F571" si="562">_xlfn.CONCAT("FretFluv",LEFT(C571,3),IF(INT(B571/11)&lt;8,RIGHT(C571,1),RIGHT(C571,2)),"NbBarges")</f>
        <v>FretFluvCat 9NbBarges</v>
      </c>
      <c r="G571" s="25" t="s">
        <v>17</v>
      </c>
      <c r="H571" s="25">
        <f>IF($I$15="Oui",1,0)</f>
        <v>1</v>
      </c>
      <c r="I571" s="28"/>
      <c r="J571" s="27"/>
      <c r="K571" s="25" t="s">
        <v>151</v>
      </c>
      <c r="L571" s="28"/>
    </row>
    <row r="572" spans="1:12" s="25" customFormat="1" outlineLevel="1" x14ac:dyDescent="0.25">
      <c r="A572" s="25" t="s">
        <v>134</v>
      </c>
      <c r="B572" s="25">
        <v>99</v>
      </c>
      <c r="C572" s="25" t="str">
        <f t="shared" si="522"/>
        <v>Catégorie 10</v>
      </c>
      <c r="D572" s="25" t="s">
        <v>135</v>
      </c>
      <c r="F572" s="25" t="str">
        <f t="shared" ref="F572" si="563">_xlfn.CONCAT("FretFluv",LEFT(C572,3),IF(INT(B572/11)&lt;8,RIGHT(C572,1),RIGHT(C572,2)),"Nom")</f>
        <v>FretFluvCat10Nom</v>
      </c>
      <c r="G572" s="26" t="s">
        <v>20</v>
      </c>
      <c r="H572" s="25">
        <f>IF($I$15="Oui",1,0)</f>
        <v>1</v>
      </c>
      <c r="I572" s="28"/>
      <c r="J572" s="27" t="str">
        <f>VLOOKUP(C572,'Parcs types'!$B$65:$AA$120,2,FALSE)</f>
        <v>Automoteurs 400-649 tonnes Phase V, diesel</v>
      </c>
      <c r="L572" s="25" t="str">
        <f>J572</f>
        <v>Automoteurs 400-649 tonnes Phase V, diesel</v>
      </c>
    </row>
    <row r="573" spans="1:12" s="25" customFormat="1" outlineLevel="1" x14ac:dyDescent="0.25">
      <c r="A573" s="25" t="s">
        <v>134</v>
      </c>
      <c r="B573" s="25">
        <v>100</v>
      </c>
      <c r="C573" s="25" t="str">
        <f t="shared" si="522"/>
        <v>Catégorie 10</v>
      </c>
      <c r="D573" s="25" t="s">
        <v>136</v>
      </c>
      <c r="F573" s="25" t="str">
        <f t="shared" ref="F573" si="564">_xlfn.CONCAT("FretFluv",LEFT(C573,3),IF(INT(B573/11)&lt;8,RIGHT(C573,1),RIGHT(C573,2)),"Type")</f>
        <v>FretFluvCat10Type</v>
      </c>
      <c r="G573" s="25" t="s">
        <v>20</v>
      </c>
      <c r="H573" s="25">
        <f t="shared" ref="H573:H575" si="565">IF($I$15="Oui",1,0)</f>
        <v>1</v>
      </c>
      <c r="I573" s="28"/>
      <c r="J573" s="27" t="str">
        <f>VLOOKUP(C573,'Parcs types'!$B$65:$AA$120,3,FALSE)</f>
        <v>Automoteurs</v>
      </c>
      <c r="L573" s="25" t="str">
        <f t="shared" ref="L573:L575" si="566">J573</f>
        <v>Automoteurs</v>
      </c>
    </row>
    <row r="574" spans="1:12" s="25" customFormat="1" outlineLevel="1" x14ac:dyDescent="0.25">
      <c r="A574" s="25" t="s">
        <v>134</v>
      </c>
      <c r="B574" s="25">
        <v>101</v>
      </c>
      <c r="C574" s="25" t="str">
        <f t="shared" si="522"/>
        <v>Catégorie 10</v>
      </c>
      <c r="D574" s="26" t="s">
        <v>137</v>
      </c>
      <c r="F574" s="25" t="str">
        <f t="shared" ref="F574" si="567">_xlfn.CONCAT("FretFluv",LEFT(C574,3),IF(INT(B574/11)&lt;8,RIGHT(C574,1),RIGHT(C574,2)),"Cap")</f>
        <v>FretFluvCat10Cap</v>
      </c>
      <c r="G574" s="26" t="s">
        <v>36</v>
      </c>
      <c r="H574" s="25">
        <f t="shared" si="565"/>
        <v>1</v>
      </c>
      <c r="I574" s="28"/>
      <c r="J574" s="27" t="str">
        <f>VLOOKUP(C574,'Parcs types'!$B$65:$AA$120,4,FALSE)</f>
        <v>400-649 tonnes</v>
      </c>
      <c r="K574" s="25" t="s">
        <v>524</v>
      </c>
      <c r="L574" s="25" t="str">
        <f t="shared" si="566"/>
        <v>400-649 tonnes</v>
      </c>
    </row>
    <row r="575" spans="1:12" s="25" customFormat="1" outlineLevel="1" x14ac:dyDescent="0.25">
      <c r="A575" s="25" t="s">
        <v>134</v>
      </c>
      <c r="B575" s="25">
        <v>102</v>
      </c>
      <c r="C575" s="25" t="str">
        <f t="shared" si="522"/>
        <v>Catégorie 10</v>
      </c>
      <c r="D575" s="26" t="s">
        <v>525</v>
      </c>
      <c r="F575" s="25" t="str">
        <f t="shared" ref="F575" si="568">_xlfn.CONCAT("FretFluv",LEFT(C575,3),IF(INT(B575/11)&lt;8,RIGHT(C575,1),RIGHT(C575,2)),"Tech")</f>
        <v>FretFluvCat10Tech</v>
      </c>
      <c r="G575" s="26" t="s">
        <v>20</v>
      </c>
      <c r="H575" s="25">
        <f t="shared" si="565"/>
        <v>1</v>
      </c>
      <c r="I575" s="28"/>
      <c r="J575" s="27" t="str">
        <f>VLOOKUP(C575,'Parcs types'!$B$65:$AA$120,5,FALSE)</f>
        <v>Phase V, diesel</v>
      </c>
      <c r="L575" s="25" t="str">
        <f t="shared" si="566"/>
        <v>Phase V, diesel</v>
      </c>
    </row>
    <row r="576" spans="1:12" s="25" customFormat="1" outlineLevel="1" x14ac:dyDescent="0.25">
      <c r="A576" s="25" t="s">
        <v>134</v>
      </c>
      <c r="B576" s="25">
        <v>103</v>
      </c>
      <c r="C576" s="25" t="str">
        <f t="shared" si="522"/>
        <v>Catégorie 10</v>
      </c>
      <c r="D576" s="25" t="s">
        <v>140</v>
      </c>
      <c r="F576" s="25" t="str">
        <f t="shared" ref="F576" si="569">_xlfn.CONCAT("FretFluv",LEFT(C576,3),IF(INT(B576/11)&lt;8,RIGHT(C576,1),RIGHT(C576,2)),"Request")</f>
        <v>FretFluvCat10Request</v>
      </c>
      <c r="G576" s="26" t="s">
        <v>20</v>
      </c>
      <c r="H576" s="25">
        <f>IF($I$15="Oui",1,0)</f>
        <v>1</v>
      </c>
      <c r="J576" s="27" t="s">
        <v>142</v>
      </c>
      <c r="L576" s="28"/>
    </row>
    <row r="577" spans="1:12" s="25" customFormat="1" outlineLevel="1" x14ac:dyDescent="0.25">
      <c r="A577" s="25" t="s">
        <v>134</v>
      </c>
      <c r="B577" s="25">
        <v>104</v>
      </c>
      <c r="C577" s="25" t="str">
        <f t="shared" si="522"/>
        <v>Catégorie 10</v>
      </c>
      <c r="D577" s="25" t="s">
        <v>144</v>
      </c>
      <c r="F577" s="25" t="str">
        <f t="shared" ref="F577" si="570">_xlfn.CONCAT("FretFluv",LEFT(C577,3),IF(INT(B577/11)&lt;8,RIGHT(C577,1),RIGHT(C577,2)),"NbTraj")</f>
        <v>FretFluvCat10NbTraj</v>
      </c>
      <c r="G577" s="25" t="s">
        <v>17</v>
      </c>
      <c r="H577" s="25">
        <f>IF($I$15="Oui",1,0)*IF(ISNUMBER(SEARCH("Une estimation du nombre annuel de trajets pour ce type de barge",I576)),1,0)</f>
        <v>0</v>
      </c>
      <c r="I577" s="28"/>
      <c r="J577" s="27"/>
      <c r="K577" s="25" t="s">
        <v>145</v>
      </c>
      <c r="L577" s="28"/>
    </row>
    <row r="578" spans="1:12" s="25" customFormat="1" outlineLevel="1" x14ac:dyDescent="0.25">
      <c r="A578" s="25" t="s">
        <v>134</v>
      </c>
      <c r="B578" s="25">
        <v>105</v>
      </c>
      <c r="C578" s="25" t="str">
        <f t="shared" si="522"/>
        <v>Catégorie 10</v>
      </c>
      <c r="D578" s="25" t="s">
        <v>146</v>
      </c>
      <c r="F578" s="25" t="str">
        <f t="shared" ref="F578" si="571">_xlfn.CONCAT("FretFluv",LEFT(C578,3),IF(INT(B578/11)&lt;8,RIGHT(C578,1),RIGHT(C578,2)),"DistMoy")</f>
        <v>FretFluvCat10DistMoy</v>
      </c>
      <c r="G578" s="25" t="s">
        <v>17</v>
      </c>
      <c r="H578" s="25">
        <f>IF($I$15="Oui",1,0)*IF(ISNUMBER(SEARCH("La distance moyenne d'un trajet",I576)),1,0)</f>
        <v>0</v>
      </c>
      <c r="I578" s="28"/>
      <c r="J578" s="27"/>
      <c r="K578" s="25" t="s">
        <v>88</v>
      </c>
      <c r="L578" s="28"/>
    </row>
    <row r="579" spans="1:12" s="25" customFormat="1" outlineLevel="1" x14ac:dyDescent="0.25">
      <c r="A579" s="25" t="s">
        <v>134</v>
      </c>
      <c r="B579" s="25">
        <v>106</v>
      </c>
      <c r="C579" s="25" t="str">
        <f t="shared" si="522"/>
        <v>Catégorie 10</v>
      </c>
      <c r="D579" s="25" t="s">
        <v>147</v>
      </c>
      <c r="F579" s="25" t="str">
        <f t="shared" ref="F579" si="572">_xlfn.CONCAT("FretFluv",LEFT(C579,3),IF(INT(B579/11)&lt;8,RIGHT(C579,1),RIGHT(C579,2)),"EmportMoy")</f>
        <v>FretFluvCat10EmportMoy</v>
      </c>
      <c r="G579" s="25" t="s">
        <v>17</v>
      </c>
      <c r="H579" s="25">
        <f>IF($I$15="Oui",1,0)*IF(ISNUMBER(SEARCH("La masse moyenne transportée pour un trajet",I576)),1,0)</f>
        <v>0</v>
      </c>
      <c r="I579" s="28"/>
      <c r="J579" s="27"/>
      <c r="K579" s="25" t="s">
        <v>148</v>
      </c>
      <c r="L579" s="28"/>
    </row>
    <row r="580" spans="1:12" s="25" customFormat="1" outlineLevel="1" x14ac:dyDescent="0.25">
      <c r="A580" s="25" t="s">
        <v>134</v>
      </c>
      <c r="B580" s="25">
        <v>107</v>
      </c>
      <c r="C580" s="25" t="str">
        <f t="shared" si="522"/>
        <v>Catégorie 10</v>
      </c>
      <c r="D580" s="25" t="s">
        <v>149</v>
      </c>
      <c r="F580" s="25" t="str">
        <f t="shared" ref="F580" si="573">_xlfn.CONCAT("FretFluv",LEFT(C580,3),IF(INT(B580/11)&lt;8,RIGHT(C580,1),RIGHT(C580,2)),"DistAn")</f>
        <v>FretFluvCat10DistAn</v>
      </c>
      <c r="G580" s="25" t="s">
        <v>17</v>
      </c>
      <c r="H580" s="25">
        <f>IF($I$15="Oui",1,0)*IF(ISNUMBER(SEARCH("La distance parcourue annuellement pour ce type de barge",I576)),1,0)</f>
        <v>0</v>
      </c>
      <c r="I580" s="28"/>
      <c r="J580" s="27"/>
      <c r="K580" s="25" t="s">
        <v>88</v>
      </c>
      <c r="L580" s="28"/>
    </row>
    <row r="581" spans="1:12" s="25" customFormat="1" outlineLevel="1" x14ac:dyDescent="0.25">
      <c r="A581" s="25" t="s">
        <v>134</v>
      </c>
      <c r="B581" s="25">
        <v>108</v>
      </c>
      <c r="C581" s="25" t="str">
        <f t="shared" si="522"/>
        <v>Catégorie 10</v>
      </c>
      <c r="D581" s="25" t="s">
        <v>150</v>
      </c>
      <c r="F581" s="25" t="str">
        <f t="shared" ref="F581" si="574">_xlfn.CONCAT("FretFluv",LEFT(C581,3),IF(INT(B581/11)&lt;8,RIGHT(C581,1),RIGHT(C581,2)),"TauxChargeMoy")</f>
        <v>FretFluvCat10TauxChargeMoy</v>
      </c>
      <c r="G581" s="25" t="s">
        <v>17</v>
      </c>
      <c r="H581" s="25">
        <f>IF($I$15="Oui",1,0)*IF(ISNUMBER(SEARCH("Le taux de chargement moyen",I576)),1,0)</f>
        <v>0</v>
      </c>
      <c r="I581" s="28"/>
      <c r="J581" s="27"/>
      <c r="K581" s="25" t="s">
        <v>70</v>
      </c>
      <c r="L581" s="28"/>
    </row>
    <row r="582" spans="1:12" s="25" customFormat="1" outlineLevel="1" x14ac:dyDescent="0.25">
      <c r="A582" s="25" t="s">
        <v>134</v>
      </c>
      <c r="B582" s="25">
        <v>109</v>
      </c>
      <c r="C582" s="25" t="str">
        <f t="shared" si="522"/>
        <v>Catégorie 10</v>
      </c>
      <c r="D582" s="26" t="s">
        <v>526</v>
      </c>
      <c r="F582" s="25" t="str">
        <f t="shared" ref="F582" si="575">_xlfn.CONCAT("FretFluv",LEFT(C582,3),IF(INT(B582/11)&lt;8,RIGHT(C582,1),RIGHT(C582,2)),"NbBarges")</f>
        <v>FretFluvCat10NbBarges</v>
      </c>
      <c r="G582" s="25" t="s">
        <v>17</v>
      </c>
      <c r="H582" s="25">
        <f>IF($I$15="Oui",1,0)</f>
        <v>1</v>
      </c>
      <c r="I582" s="28"/>
      <c r="J582" s="27"/>
      <c r="K582" s="25" t="s">
        <v>151</v>
      </c>
      <c r="L582" s="28"/>
    </row>
    <row r="583" spans="1:12" s="25" customFormat="1" outlineLevel="1" x14ac:dyDescent="0.25">
      <c r="A583" s="25" t="s">
        <v>134</v>
      </c>
      <c r="B583" s="25">
        <v>110</v>
      </c>
      <c r="C583" s="25" t="str">
        <f t="shared" si="522"/>
        <v>Catégorie 11</v>
      </c>
      <c r="D583" s="25" t="s">
        <v>135</v>
      </c>
      <c r="F583" s="25" t="str">
        <f t="shared" ref="F583" si="576">_xlfn.CONCAT("FretFluv",LEFT(C583,3),IF(INT(B583/11)&lt;8,RIGHT(C583,1),RIGHT(C583,2)),"Nom")</f>
        <v>FretFluvCat11Nom</v>
      </c>
      <c r="G583" s="26" t="s">
        <v>20</v>
      </c>
      <c r="H583" s="25">
        <f>IF($I$15="Oui",1,0)</f>
        <v>1</v>
      </c>
      <c r="I583" s="28"/>
      <c r="J583" s="27" t="str">
        <f>VLOOKUP(C583,'Parcs types'!$B$65:$AA$120,2,FALSE)</f>
        <v>Automoteurs 400-649 tonnes Phase V, HVO</v>
      </c>
      <c r="L583" s="25" t="str">
        <f>J583</f>
        <v>Automoteurs 400-649 tonnes Phase V, HVO</v>
      </c>
    </row>
    <row r="584" spans="1:12" s="25" customFormat="1" outlineLevel="1" x14ac:dyDescent="0.25">
      <c r="A584" s="25" t="s">
        <v>134</v>
      </c>
      <c r="B584" s="25">
        <v>111</v>
      </c>
      <c r="C584" s="25" t="str">
        <f t="shared" si="522"/>
        <v>Catégorie 11</v>
      </c>
      <c r="D584" s="25" t="s">
        <v>136</v>
      </c>
      <c r="F584" s="25" t="str">
        <f t="shared" ref="F584" si="577">_xlfn.CONCAT("FretFluv",LEFT(C584,3),IF(INT(B584/11)&lt;8,RIGHT(C584,1),RIGHT(C584,2)),"Type")</f>
        <v>FretFluvCat11Type</v>
      </c>
      <c r="G584" s="25" t="s">
        <v>20</v>
      </c>
      <c r="H584" s="25">
        <f t="shared" ref="H584:H586" si="578">IF($I$15="Oui",1,0)</f>
        <v>1</v>
      </c>
      <c r="I584" s="28"/>
      <c r="J584" s="27" t="str">
        <f>VLOOKUP(C584,'Parcs types'!$B$65:$AA$120,3,FALSE)</f>
        <v>Automoteurs</v>
      </c>
      <c r="L584" s="25" t="str">
        <f t="shared" ref="L584:L586" si="579">J584</f>
        <v>Automoteurs</v>
      </c>
    </row>
    <row r="585" spans="1:12" s="25" customFormat="1" outlineLevel="1" x14ac:dyDescent="0.25">
      <c r="A585" s="25" t="s">
        <v>134</v>
      </c>
      <c r="B585" s="25">
        <v>112</v>
      </c>
      <c r="C585" s="25" t="str">
        <f t="shared" si="522"/>
        <v>Catégorie 11</v>
      </c>
      <c r="D585" s="26" t="s">
        <v>137</v>
      </c>
      <c r="F585" s="25" t="str">
        <f t="shared" ref="F585" si="580">_xlfn.CONCAT("FretFluv",LEFT(C585,3),IF(INT(B585/11)&lt;8,RIGHT(C585,1),RIGHT(C585,2)),"Cap")</f>
        <v>FretFluvCat11Cap</v>
      </c>
      <c r="G585" s="26" t="s">
        <v>36</v>
      </c>
      <c r="H585" s="25">
        <f t="shared" si="578"/>
        <v>1</v>
      </c>
      <c r="I585" s="28"/>
      <c r="J585" s="27" t="str">
        <f>VLOOKUP(C585,'Parcs types'!$B$65:$AA$120,4,FALSE)</f>
        <v>400-649 tonnes</v>
      </c>
      <c r="K585" s="25" t="s">
        <v>524</v>
      </c>
      <c r="L585" s="25" t="str">
        <f t="shared" si="579"/>
        <v>400-649 tonnes</v>
      </c>
    </row>
    <row r="586" spans="1:12" s="25" customFormat="1" outlineLevel="1" x14ac:dyDescent="0.25">
      <c r="A586" s="25" t="s">
        <v>134</v>
      </c>
      <c r="B586" s="25">
        <v>113</v>
      </c>
      <c r="C586" s="25" t="str">
        <f t="shared" si="522"/>
        <v>Catégorie 11</v>
      </c>
      <c r="D586" s="26" t="s">
        <v>525</v>
      </c>
      <c r="F586" s="25" t="str">
        <f t="shared" ref="F586" si="581">_xlfn.CONCAT("FretFluv",LEFT(C586,3),IF(INT(B586/11)&lt;8,RIGHT(C586,1),RIGHT(C586,2)),"Tech")</f>
        <v>FretFluvCat11Tech</v>
      </c>
      <c r="G586" s="26" t="s">
        <v>20</v>
      </c>
      <c r="H586" s="25">
        <f t="shared" si="578"/>
        <v>1</v>
      </c>
      <c r="I586" s="28"/>
      <c r="J586" s="27" t="str">
        <f>VLOOKUP(C586,'Parcs types'!$B$65:$AA$120,5,FALSE)</f>
        <v>Phase V, HVO</v>
      </c>
      <c r="L586" s="25" t="str">
        <f t="shared" si="579"/>
        <v>Phase V, HVO</v>
      </c>
    </row>
    <row r="587" spans="1:12" s="25" customFormat="1" outlineLevel="1" x14ac:dyDescent="0.25">
      <c r="A587" s="25" t="s">
        <v>134</v>
      </c>
      <c r="B587" s="25">
        <v>114</v>
      </c>
      <c r="C587" s="25" t="str">
        <f t="shared" si="522"/>
        <v>Catégorie 11</v>
      </c>
      <c r="D587" s="25" t="s">
        <v>140</v>
      </c>
      <c r="F587" s="25" t="str">
        <f t="shared" ref="F587" si="582">_xlfn.CONCAT("FretFluv",LEFT(C587,3),IF(INT(B587/11)&lt;8,RIGHT(C587,1),RIGHT(C587,2)),"Request")</f>
        <v>FretFluvCat11Request</v>
      </c>
      <c r="G587" s="26" t="s">
        <v>20</v>
      </c>
      <c r="H587" s="25">
        <f>IF($I$15="Oui",1,0)</f>
        <v>1</v>
      </c>
      <c r="J587" s="27" t="s">
        <v>142</v>
      </c>
      <c r="L587" s="28"/>
    </row>
    <row r="588" spans="1:12" s="25" customFormat="1" outlineLevel="1" x14ac:dyDescent="0.25">
      <c r="A588" s="25" t="s">
        <v>134</v>
      </c>
      <c r="B588" s="25">
        <v>115</v>
      </c>
      <c r="C588" s="25" t="str">
        <f t="shared" si="522"/>
        <v>Catégorie 11</v>
      </c>
      <c r="D588" s="25" t="s">
        <v>144</v>
      </c>
      <c r="F588" s="25" t="str">
        <f t="shared" ref="F588" si="583">_xlfn.CONCAT("FretFluv",LEFT(C588,3),IF(INT(B588/11)&lt;8,RIGHT(C588,1),RIGHT(C588,2)),"NbTraj")</f>
        <v>FretFluvCat11NbTraj</v>
      </c>
      <c r="G588" s="25" t="s">
        <v>17</v>
      </c>
      <c r="H588" s="25">
        <f>IF($I$15="Oui",1,0)*IF(ISNUMBER(SEARCH("Une estimation du nombre annuel de trajets pour ce type de barge",I587)),1,0)</f>
        <v>0</v>
      </c>
      <c r="I588" s="28"/>
      <c r="J588" s="27"/>
      <c r="K588" s="25" t="s">
        <v>145</v>
      </c>
      <c r="L588" s="28"/>
    </row>
    <row r="589" spans="1:12" s="25" customFormat="1" outlineLevel="1" x14ac:dyDescent="0.25">
      <c r="A589" s="25" t="s">
        <v>134</v>
      </c>
      <c r="B589" s="25">
        <v>116</v>
      </c>
      <c r="C589" s="25" t="str">
        <f t="shared" si="522"/>
        <v>Catégorie 11</v>
      </c>
      <c r="D589" s="25" t="s">
        <v>146</v>
      </c>
      <c r="F589" s="25" t="str">
        <f t="shared" ref="F589" si="584">_xlfn.CONCAT("FretFluv",LEFT(C589,3),IF(INT(B589/11)&lt;8,RIGHT(C589,1),RIGHT(C589,2)),"DistMoy")</f>
        <v>FretFluvCat11DistMoy</v>
      </c>
      <c r="G589" s="25" t="s">
        <v>17</v>
      </c>
      <c r="H589" s="25">
        <f>IF($I$15="Oui",1,0)*IF(ISNUMBER(SEARCH("La distance moyenne d'un trajet",I587)),1,0)</f>
        <v>0</v>
      </c>
      <c r="I589" s="28"/>
      <c r="J589" s="27"/>
      <c r="K589" s="25" t="s">
        <v>88</v>
      </c>
      <c r="L589" s="28"/>
    </row>
    <row r="590" spans="1:12" s="25" customFormat="1" outlineLevel="1" x14ac:dyDescent="0.25">
      <c r="A590" s="25" t="s">
        <v>134</v>
      </c>
      <c r="B590" s="25">
        <v>117</v>
      </c>
      <c r="C590" s="25" t="str">
        <f t="shared" si="522"/>
        <v>Catégorie 11</v>
      </c>
      <c r="D590" s="25" t="s">
        <v>147</v>
      </c>
      <c r="F590" s="25" t="str">
        <f t="shared" ref="F590" si="585">_xlfn.CONCAT("FretFluv",LEFT(C590,3),IF(INT(B590/11)&lt;8,RIGHT(C590,1),RIGHT(C590,2)),"EmportMoy")</f>
        <v>FretFluvCat11EmportMoy</v>
      </c>
      <c r="G590" s="25" t="s">
        <v>17</v>
      </c>
      <c r="H590" s="25">
        <f>IF($I$15="Oui",1,0)*IF(ISNUMBER(SEARCH("La masse moyenne transportée pour un trajet",I587)),1,0)</f>
        <v>0</v>
      </c>
      <c r="I590" s="28"/>
      <c r="J590" s="27"/>
      <c r="K590" s="25" t="s">
        <v>148</v>
      </c>
      <c r="L590" s="28"/>
    </row>
    <row r="591" spans="1:12" s="25" customFormat="1" outlineLevel="1" x14ac:dyDescent="0.25">
      <c r="A591" s="25" t="s">
        <v>134</v>
      </c>
      <c r="B591" s="25">
        <v>118</v>
      </c>
      <c r="C591" s="25" t="str">
        <f t="shared" si="522"/>
        <v>Catégorie 11</v>
      </c>
      <c r="D591" s="25" t="s">
        <v>149</v>
      </c>
      <c r="F591" s="25" t="str">
        <f t="shared" ref="F591" si="586">_xlfn.CONCAT("FretFluv",LEFT(C591,3),IF(INT(B591/11)&lt;8,RIGHT(C591,1),RIGHT(C591,2)),"DistAn")</f>
        <v>FretFluvCat11DistAn</v>
      </c>
      <c r="G591" s="25" t="s">
        <v>17</v>
      </c>
      <c r="H591" s="25">
        <f>IF($I$15="Oui",1,0)*IF(ISNUMBER(SEARCH("La distance parcourue annuellement pour ce type de barge",I587)),1,0)</f>
        <v>0</v>
      </c>
      <c r="I591" s="28"/>
      <c r="J591" s="27"/>
      <c r="K591" s="25" t="s">
        <v>88</v>
      </c>
      <c r="L591" s="28"/>
    </row>
    <row r="592" spans="1:12" s="25" customFormat="1" outlineLevel="1" x14ac:dyDescent="0.25">
      <c r="A592" s="25" t="s">
        <v>134</v>
      </c>
      <c r="B592" s="25">
        <v>119</v>
      </c>
      <c r="C592" s="25" t="str">
        <f t="shared" si="522"/>
        <v>Catégorie 11</v>
      </c>
      <c r="D592" s="25" t="s">
        <v>150</v>
      </c>
      <c r="F592" s="25" t="str">
        <f t="shared" ref="F592" si="587">_xlfn.CONCAT("FretFluv",LEFT(C592,3),IF(INT(B592/11)&lt;8,RIGHT(C592,1),RIGHT(C592,2)),"TauxChargeMoy")</f>
        <v>FretFluvCat11TauxChargeMoy</v>
      </c>
      <c r="G592" s="25" t="s">
        <v>17</v>
      </c>
      <c r="H592" s="25">
        <f>IF($I$15="Oui",1,0)*IF(ISNUMBER(SEARCH("Le taux de chargement moyen",I587)),1,0)</f>
        <v>0</v>
      </c>
      <c r="I592" s="28"/>
      <c r="J592" s="27"/>
      <c r="K592" s="25" t="s">
        <v>70</v>
      </c>
      <c r="L592" s="28"/>
    </row>
    <row r="593" spans="1:12" s="25" customFormat="1" outlineLevel="1" x14ac:dyDescent="0.25">
      <c r="A593" s="25" t="s">
        <v>134</v>
      </c>
      <c r="B593" s="25">
        <v>120</v>
      </c>
      <c r="C593" s="25" t="str">
        <f t="shared" si="522"/>
        <v>Catégorie 11</v>
      </c>
      <c r="D593" s="26" t="s">
        <v>526</v>
      </c>
      <c r="F593" s="25" t="str">
        <f t="shared" ref="F593" si="588">_xlfn.CONCAT("FretFluv",LEFT(C593,3),IF(INT(B593/11)&lt;8,RIGHT(C593,1),RIGHT(C593,2)),"NbBarges")</f>
        <v>FretFluvCat11NbBarges</v>
      </c>
      <c r="G593" s="25" t="s">
        <v>17</v>
      </c>
      <c r="H593" s="25">
        <f>IF($I$15="Oui",1,0)</f>
        <v>1</v>
      </c>
      <c r="I593" s="28"/>
      <c r="J593" s="27"/>
      <c r="K593" s="25" t="s">
        <v>151</v>
      </c>
      <c r="L593" s="28"/>
    </row>
    <row r="594" spans="1:12" s="25" customFormat="1" outlineLevel="1" x14ac:dyDescent="0.25">
      <c r="A594" s="25" t="s">
        <v>134</v>
      </c>
      <c r="B594" s="25">
        <v>121</v>
      </c>
      <c r="C594" s="25" t="str">
        <f t="shared" si="522"/>
        <v>Catégorie 12</v>
      </c>
      <c r="D594" s="25" t="s">
        <v>135</v>
      </c>
      <c r="F594" s="25" t="str">
        <f t="shared" ref="F594" si="589">_xlfn.CONCAT("FretFluv",LEFT(C594,3),IF(INT(B594/11)&lt;8,RIGHT(C594,1),RIGHT(C594,2)),"Nom")</f>
        <v>FretFluvCat12Nom</v>
      </c>
      <c r="G594" s="26" t="s">
        <v>20</v>
      </c>
      <c r="H594" s="25">
        <f>IF($I$15="Oui",1,0)</f>
        <v>1</v>
      </c>
      <c r="I594" s="28"/>
      <c r="J594" s="27" t="str">
        <f>VLOOKUP(C594,'Parcs types'!$B$65:$AA$120,2,FALSE)</f>
        <v>Automoteurs 400-649 tonnes Batterie</v>
      </c>
      <c r="L594" s="25" t="str">
        <f>J594</f>
        <v>Automoteurs 400-649 tonnes Batterie</v>
      </c>
    </row>
    <row r="595" spans="1:12" s="25" customFormat="1" outlineLevel="1" x14ac:dyDescent="0.25">
      <c r="A595" s="25" t="s">
        <v>134</v>
      </c>
      <c r="B595" s="25">
        <v>122</v>
      </c>
      <c r="C595" s="25" t="str">
        <f t="shared" si="522"/>
        <v>Catégorie 12</v>
      </c>
      <c r="D595" s="25" t="s">
        <v>136</v>
      </c>
      <c r="F595" s="25" t="str">
        <f t="shared" ref="F595" si="590">_xlfn.CONCAT("FretFluv",LEFT(C595,3),IF(INT(B595/11)&lt;8,RIGHT(C595,1),RIGHT(C595,2)),"Type")</f>
        <v>FretFluvCat12Type</v>
      </c>
      <c r="G595" s="25" t="s">
        <v>20</v>
      </c>
      <c r="H595" s="25">
        <f t="shared" ref="H595:H597" si="591">IF($I$15="Oui",1,0)</f>
        <v>1</v>
      </c>
      <c r="I595" s="28"/>
      <c r="J595" s="27" t="str">
        <f>VLOOKUP(C595,'Parcs types'!$B$65:$AA$120,3,FALSE)</f>
        <v>Automoteurs</v>
      </c>
      <c r="L595" s="25" t="str">
        <f t="shared" ref="L595:L597" si="592">J595</f>
        <v>Automoteurs</v>
      </c>
    </row>
    <row r="596" spans="1:12" s="25" customFormat="1" outlineLevel="1" x14ac:dyDescent="0.25">
      <c r="A596" s="25" t="s">
        <v>134</v>
      </c>
      <c r="B596" s="25">
        <v>123</v>
      </c>
      <c r="C596" s="25" t="str">
        <f t="shared" si="522"/>
        <v>Catégorie 12</v>
      </c>
      <c r="D596" s="26" t="s">
        <v>137</v>
      </c>
      <c r="F596" s="25" t="str">
        <f t="shared" ref="F596" si="593">_xlfn.CONCAT("FretFluv",LEFT(C596,3),IF(INT(B596/11)&lt;8,RIGHT(C596,1),RIGHT(C596,2)),"Cap")</f>
        <v>FretFluvCat12Cap</v>
      </c>
      <c r="G596" s="26" t="s">
        <v>36</v>
      </c>
      <c r="H596" s="25">
        <f t="shared" si="591"/>
        <v>1</v>
      </c>
      <c r="I596" s="28"/>
      <c r="J596" s="27" t="str">
        <f>VLOOKUP(C596,'Parcs types'!$B$65:$AA$120,4,FALSE)</f>
        <v>400-649 tonnes</v>
      </c>
      <c r="K596" s="25" t="s">
        <v>524</v>
      </c>
      <c r="L596" s="25" t="str">
        <f t="shared" si="592"/>
        <v>400-649 tonnes</v>
      </c>
    </row>
    <row r="597" spans="1:12" s="25" customFormat="1" outlineLevel="1" x14ac:dyDescent="0.25">
      <c r="A597" s="25" t="s">
        <v>134</v>
      </c>
      <c r="B597" s="25">
        <v>124</v>
      </c>
      <c r="C597" s="25" t="str">
        <f t="shared" si="522"/>
        <v>Catégorie 12</v>
      </c>
      <c r="D597" s="26" t="s">
        <v>525</v>
      </c>
      <c r="F597" s="25" t="str">
        <f t="shared" ref="F597" si="594">_xlfn.CONCAT("FretFluv",LEFT(C597,3),IF(INT(B597/11)&lt;8,RIGHT(C597,1),RIGHT(C597,2)),"Tech")</f>
        <v>FretFluvCat12Tech</v>
      </c>
      <c r="G597" s="26" t="s">
        <v>20</v>
      </c>
      <c r="H597" s="25">
        <f t="shared" si="591"/>
        <v>1</v>
      </c>
      <c r="I597" s="28"/>
      <c r="J597" s="27" t="str">
        <f>VLOOKUP(C597,'Parcs types'!$B$65:$AA$120,5,FALSE)</f>
        <v>Batterie</v>
      </c>
      <c r="L597" s="25" t="str">
        <f t="shared" si="592"/>
        <v>Batterie</v>
      </c>
    </row>
    <row r="598" spans="1:12" s="25" customFormat="1" outlineLevel="1" x14ac:dyDescent="0.25">
      <c r="A598" s="25" t="s">
        <v>134</v>
      </c>
      <c r="B598" s="25">
        <v>125</v>
      </c>
      <c r="C598" s="25" t="str">
        <f t="shared" si="522"/>
        <v>Catégorie 12</v>
      </c>
      <c r="D598" s="25" t="s">
        <v>140</v>
      </c>
      <c r="F598" s="25" t="str">
        <f t="shared" ref="F598" si="595">_xlfn.CONCAT("FretFluv",LEFT(C598,3),IF(INT(B598/11)&lt;8,RIGHT(C598,1),RIGHT(C598,2)),"Request")</f>
        <v>FretFluvCat12Request</v>
      </c>
      <c r="G598" s="26" t="s">
        <v>20</v>
      </c>
      <c r="H598" s="25">
        <f>IF($I$15="Oui",1,0)</f>
        <v>1</v>
      </c>
      <c r="J598" s="27" t="s">
        <v>142</v>
      </c>
      <c r="L598" s="28"/>
    </row>
    <row r="599" spans="1:12" s="25" customFormat="1" outlineLevel="1" x14ac:dyDescent="0.25">
      <c r="A599" s="25" t="s">
        <v>134</v>
      </c>
      <c r="B599" s="25">
        <v>126</v>
      </c>
      <c r="C599" s="25" t="str">
        <f t="shared" si="522"/>
        <v>Catégorie 12</v>
      </c>
      <c r="D599" s="25" t="s">
        <v>144</v>
      </c>
      <c r="F599" s="25" t="str">
        <f t="shared" ref="F599" si="596">_xlfn.CONCAT("FretFluv",LEFT(C599,3),IF(INT(B599/11)&lt;8,RIGHT(C599,1),RIGHT(C599,2)),"NbTraj")</f>
        <v>FretFluvCat12NbTraj</v>
      </c>
      <c r="G599" s="25" t="s">
        <v>17</v>
      </c>
      <c r="H599" s="25">
        <f>IF($I$15="Oui",1,0)*IF(ISNUMBER(SEARCH("Une estimation du nombre annuel de trajets pour ce type de barge",I598)),1,0)</f>
        <v>0</v>
      </c>
      <c r="I599" s="28"/>
      <c r="J599" s="27"/>
      <c r="K599" s="25" t="s">
        <v>145</v>
      </c>
      <c r="L599" s="28"/>
    </row>
    <row r="600" spans="1:12" s="25" customFormat="1" outlineLevel="1" x14ac:dyDescent="0.25">
      <c r="A600" s="25" t="s">
        <v>134</v>
      </c>
      <c r="B600" s="25">
        <v>127</v>
      </c>
      <c r="C600" s="25" t="str">
        <f t="shared" si="522"/>
        <v>Catégorie 12</v>
      </c>
      <c r="D600" s="25" t="s">
        <v>146</v>
      </c>
      <c r="F600" s="25" t="str">
        <f t="shared" ref="F600" si="597">_xlfn.CONCAT("FretFluv",LEFT(C600,3),IF(INT(B600/11)&lt;8,RIGHT(C600,1),RIGHT(C600,2)),"DistMoy")</f>
        <v>FretFluvCat12DistMoy</v>
      </c>
      <c r="G600" s="25" t="s">
        <v>17</v>
      </c>
      <c r="H600" s="25">
        <f>IF($I$15="Oui",1,0)*IF(ISNUMBER(SEARCH("La distance moyenne d'un trajet",I598)),1,0)</f>
        <v>0</v>
      </c>
      <c r="I600" s="28"/>
      <c r="J600" s="27"/>
      <c r="K600" s="25" t="s">
        <v>88</v>
      </c>
      <c r="L600" s="28"/>
    </row>
    <row r="601" spans="1:12" s="25" customFormat="1" outlineLevel="1" x14ac:dyDescent="0.25">
      <c r="A601" s="25" t="s">
        <v>134</v>
      </c>
      <c r="B601" s="25">
        <v>128</v>
      </c>
      <c r="C601" s="25" t="str">
        <f t="shared" si="522"/>
        <v>Catégorie 12</v>
      </c>
      <c r="D601" s="25" t="s">
        <v>147</v>
      </c>
      <c r="F601" s="25" t="str">
        <f t="shared" ref="F601" si="598">_xlfn.CONCAT("FretFluv",LEFT(C601,3),IF(INT(B601/11)&lt;8,RIGHT(C601,1),RIGHT(C601,2)),"EmportMoy")</f>
        <v>FretFluvCat12EmportMoy</v>
      </c>
      <c r="G601" s="25" t="s">
        <v>17</v>
      </c>
      <c r="H601" s="25">
        <f>IF($I$15="Oui",1,0)*IF(ISNUMBER(SEARCH("La masse moyenne transportée pour un trajet",I598)),1,0)</f>
        <v>0</v>
      </c>
      <c r="I601" s="28"/>
      <c r="J601" s="27"/>
      <c r="K601" s="25" t="s">
        <v>148</v>
      </c>
      <c r="L601" s="28"/>
    </row>
    <row r="602" spans="1:12" s="25" customFormat="1" outlineLevel="1" x14ac:dyDescent="0.25">
      <c r="A602" s="25" t="s">
        <v>134</v>
      </c>
      <c r="B602" s="25">
        <v>129</v>
      </c>
      <c r="C602" s="25" t="str">
        <f t="shared" ref="C602:C665" si="599">"Catégorie "&amp;INT(B602/11)+1</f>
        <v>Catégorie 12</v>
      </c>
      <c r="D602" s="25" t="s">
        <v>149</v>
      </c>
      <c r="F602" s="25" t="str">
        <f t="shared" ref="F602" si="600">_xlfn.CONCAT("FretFluv",LEFT(C602,3),IF(INT(B602/11)&lt;8,RIGHT(C602,1),RIGHT(C602,2)),"DistAn")</f>
        <v>FretFluvCat12DistAn</v>
      </c>
      <c r="G602" s="25" t="s">
        <v>17</v>
      </c>
      <c r="H602" s="25">
        <f>IF($I$15="Oui",1,0)*IF(ISNUMBER(SEARCH("La distance parcourue annuellement pour ce type de barge",I598)),1,0)</f>
        <v>0</v>
      </c>
      <c r="I602" s="28"/>
      <c r="J602" s="27"/>
      <c r="K602" s="25" t="s">
        <v>88</v>
      </c>
      <c r="L602" s="28"/>
    </row>
    <row r="603" spans="1:12" s="25" customFormat="1" outlineLevel="1" x14ac:dyDescent="0.25">
      <c r="A603" s="25" t="s">
        <v>134</v>
      </c>
      <c r="B603" s="25">
        <v>130</v>
      </c>
      <c r="C603" s="25" t="str">
        <f t="shared" si="599"/>
        <v>Catégorie 12</v>
      </c>
      <c r="D603" s="25" t="s">
        <v>150</v>
      </c>
      <c r="F603" s="25" t="str">
        <f t="shared" ref="F603" si="601">_xlfn.CONCAT("FretFluv",LEFT(C603,3),IF(INT(B603/11)&lt;8,RIGHT(C603,1),RIGHT(C603,2)),"TauxChargeMoy")</f>
        <v>FretFluvCat12TauxChargeMoy</v>
      </c>
      <c r="G603" s="25" t="s">
        <v>17</v>
      </c>
      <c r="H603" s="25">
        <f>IF($I$15="Oui",1,0)*IF(ISNUMBER(SEARCH("Le taux de chargement moyen",I598)),1,0)</f>
        <v>0</v>
      </c>
      <c r="I603" s="28"/>
      <c r="J603" s="27"/>
      <c r="K603" s="25" t="s">
        <v>70</v>
      </c>
      <c r="L603" s="28"/>
    </row>
    <row r="604" spans="1:12" s="25" customFormat="1" outlineLevel="1" x14ac:dyDescent="0.25">
      <c r="A604" s="25" t="s">
        <v>134</v>
      </c>
      <c r="B604" s="25">
        <v>131</v>
      </c>
      <c r="C604" s="25" t="str">
        <f t="shared" si="599"/>
        <v>Catégorie 12</v>
      </c>
      <c r="D604" s="26" t="s">
        <v>526</v>
      </c>
      <c r="F604" s="25" t="str">
        <f t="shared" ref="F604" si="602">_xlfn.CONCAT("FretFluv",LEFT(C604,3),IF(INT(B604/11)&lt;8,RIGHT(C604,1),RIGHT(C604,2)),"NbBarges")</f>
        <v>FretFluvCat12NbBarges</v>
      </c>
      <c r="G604" s="25" t="s">
        <v>17</v>
      </c>
      <c r="H604" s="25">
        <f>IF($I$15="Oui",1,0)</f>
        <v>1</v>
      </c>
      <c r="I604" s="28"/>
      <c r="J604" s="27"/>
      <c r="K604" s="25" t="s">
        <v>151</v>
      </c>
      <c r="L604" s="28"/>
    </row>
    <row r="605" spans="1:12" s="25" customFormat="1" outlineLevel="1" x14ac:dyDescent="0.25">
      <c r="A605" s="25" t="s">
        <v>134</v>
      </c>
      <c r="B605" s="25">
        <v>132</v>
      </c>
      <c r="C605" s="25" t="str">
        <f t="shared" si="599"/>
        <v>Catégorie 13</v>
      </c>
      <c r="D605" s="25" t="s">
        <v>135</v>
      </c>
      <c r="F605" s="25" t="str">
        <f t="shared" ref="F605" si="603">_xlfn.CONCAT("FretFluv",LEFT(C605,3),IF(INT(B605/11)&lt;8,RIGHT(C605,1),RIGHT(C605,2)),"Nom")</f>
        <v>FretFluvCat13Nom</v>
      </c>
      <c r="G605" s="26" t="s">
        <v>20</v>
      </c>
      <c r="H605" s="25">
        <f>IF($I$15="Oui",1,0)</f>
        <v>1</v>
      </c>
      <c r="I605" s="28"/>
      <c r="J605" s="27" t="str">
        <f>VLOOKUP(C605,'Parcs types'!$B$65:$AA$120,2,FALSE)</f>
        <v>Automoteurs 400-649 tonnes H2 , PAC</v>
      </c>
      <c r="L605" s="25" t="str">
        <f>J605</f>
        <v>Automoteurs 400-649 tonnes H2 , PAC</v>
      </c>
    </row>
    <row r="606" spans="1:12" s="25" customFormat="1" outlineLevel="1" x14ac:dyDescent="0.25">
      <c r="A606" s="25" t="s">
        <v>134</v>
      </c>
      <c r="B606" s="25">
        <v>133</v>
      </c>
      <c r="C606" s="25" t="str">
        <f t="shared" si="599"/>
        <v>Catégorie 13</v>
      </c>
      <c r="D606" s="25" t="s">
        <v>136</v>
      </c>
      <c r="F606" s="25" t="str">
        <f t="shared" ref="F606" si="604">_xlfn.CONCAT("FretFluv",LEFT(C606,3),IF(INT(B606/11)&lt;8,RIGHT(C606,1),RIGHT(C606,2)),"Type")</f>
        <v>FretFluvCat13Type</v>
      </c>
      <c r="G606" s="25" t="s">
        <v>20</v>
      </c>
      <c r="H606" s="25">
        <f t="shared" ref="H606:H608" si="605">IF($I$15="Oui",1,0)</f>
        <v>1</v>
      </c>
      <c r="I606" s="28"/>
      <c r="J606" s="27" t="str">
        <f>VLOOKUP(C606,'Parcs types'!$B$65:$AA$120,3,FALSE)</f>
        <v>Automoteurs</v>
      </c>
      <c r="L606" s="25" t="str">
        <f t="shared" ref="L606:L608" si="606">J606</f>
        <v>Automoteurs</v>
      </c>
    </row>
    <row r="607" spans="1:12" s="25" customFormat="1" outlineLevel="1" x14ac:dyDescent="0.25">
      <c r="A607" s="25" t="s">
        <v>134</v>
      </c>
      <c r="B607" s="25">
        <v>134</v>
      </c>
      <c r="C607" s="25" t="str">
        <f t="shared" si="599"/>
        <v>Catégorie 13</v>
      </c>
      <c r="D607" s="26" t="s">
        <v>137</v>
      </c>
      <c r="F607" s="25" t="str">
        <f t="shared" ref="F607" si="607">_xlfn.CONCAT("FretFluv",LEFT(C607,3),IF(INT(B607/11)&lt;8,RIGHT(C607,1),RIGHT(C607,2)),"Cap")</f>
        <v>FretFluvCat13Cap</v>
      </c>
      <c r="G607" s="26" t="s">
        <v>36</v>
      </c>
      <c r="H607" s="25">
        <f t="shared" si="605"/>
        <v>1</v>
      </c>
      <c r="I607" s="28"/>
      <c r="J607" s="27" t="str">
        <f>VLOOKUP(C607,'Parcs types'!$B$65:$AA$120,4,FALSE)</f>
        <v>400-649 tonnes</v>
      </c>
      <c r="K607" s="25" t="s">
        <v>524</v>
      </c>
      <c r="L607" s="25" t="str">
        <f t="shared" si="606"/>
        <v>400-649 tonnes</v>
      </c>
    </row>
    <row r="608" spans="1:12" s="25" customFormat="1" outlineLevel="1" x14ac:dyDescent="0.25">
      <c r="A608" s="25" t="s">
        <v>134</v>
      </c>
      <c r="B608" s="25">
        <v>135</v>
      </c>
      <c r="C608" s="25" t="str">
        <f t="shared" si="599"/>
        <v>Catégorie 13</v>
      </c>
      <c r="D608" s="26" t="s">
        <v>525</v>
      </c>
      <c r="F608" s="25" t="str">
        <f t="shared" ref="F608" si="608">_xlfn.CONCAT("FretFluv",LEFT(C608,3),IF(INT(B608/11)&lt;8,RIGHT(C608,1),RIGHT(C608,2)),"Tech")</f>
        <v>FretFluvCat13Tech</v>
      </c>
      <c r="G608" s="26" t="s">
        <v>20</v>
      </c>
      <c r="H608" s="25">
        <f t="shared" si="605"/>
        <v>1</v>
      </c>
      <c r="I608" s="28"/>
      <c r="J608" s="27" t="str">
        <f>VLOOKUP(C608,'Parcs types'!$B$65:$AA$120,5,FALSE)</f>
        <v>H2 , PAC</v>
      </c>
      <c r="L608" s="25" t="str">
        <f t="shared" si="606"/>
        <v>H2 , PAC</v>
      </c>
    </row>
    <row r="609" spans="1:12" s="25" customFormat="1" outlineLevel="1" x14ac:dyDescent="0.25">
      <c r="A609" s="25" t="s">
        <v>134</v>
      </c>
      <c r="B609" s="25">
        <v>136</v>
      </c>
      <c r="C609" s="25" t="str">
        <f t="shared" si="599"/>
        <v>Catégorie 13</v>
      </c>
      <c r="D609" s="25" t="s">
        <v>140</v>
      </c>
      <c r="F609" s="25" t="str">
        <f t="shared" ref="F609" si="609">_xlfn.CONCAT("FretFluv",LEFT(C609,3),IF(INT(B609/11)&lt;8,RIGHT(C609,1),RIGHT(C609,2)),"Request")</f>
        <v>FretFluvCat13Request</v>
      </c>
      <c r="G609" s="26" t="s">
        <v>20</v>
      </c>
      <c r="H609" s="25">
        <f>IF($I$15="Oui",1,0)</f>
        <v>1</v>
      </c>
      <c r="J609" s="27" t="s">
        <v>142</v>
      </c>
      <c r="L609" s="28"/>
    </row>
    <row r="610" spans="1:12" s="25" customFormat="1" outlineLevel="1" x14ac:dyDescent="0.25">
      <c r="A610" s="25" t="s">
        <v>134</v>
      </c>
      <c r="B610" s="25">
        <v>137</v>
      </c>
      <c r="C610" s="25" t="str">
        <f t="shared" si="599"/>
        <v>Catégorie 13</v>
      </c>
      <c r="D610" s="25" t="s">
        <v>144</v>
      </c>
      <c r="F610" s="25" t="str">
        <f>_xlfn.CONCAT("FretFluv",LEFT(C610,3),IF(INT(B610/11)&lt;8,RIGHT(C610,1),RIGHT(C610,2)),"NbTraj")</f>
        <v>FretFluvCat13NbTraj</v>
      </c>
      <c r="G610" s="25" t="s">
        <v>17</v>
      </c>
      <c r="H610" s="25">
        <f>IF($I$15="Oui",1,0)*IF(ISNUMBER(SEARCH("Une estimation du nombre annuel de trajets pour ce type de barge",I609)),1,0)</f>
        <v>0</v>
      </c>
      <c r="I610" s="28"/>
      <c r="J610" s="27"/>
      <c r="K610" s="25" t="s">
        <v>145</v>
      </c>
      <c r="L610" s="28"/>
    </row>
    <row r="611" spans="1:12" s="25" customFormat="1" outlineLevel="1" x14ac:dyDescent="0.25">
      <c r="A611" s="25" t="s">
        <v>134</v>
      </c>
      <c r="B611" s="25">
        <v>138</v>
      </c>
      <c r="C611" s="25" t="str">
        <f t="shared" si="599"/>
        <v>Catégorie 13</v>
      </c>
      <c r="D611" s="25" t="s">
        <v>146</v>
      </c>
      <c r="F611" s="25" t="str">
        <f t="shared" ref="F611" si="610">_xlfn.CONCAT("FretFluv",LEFT(C611,3),IF(INT(B611/11)&lt;8,RIGHT(C611,1),RIGHT(C611,2)),"DistMoy")</f>
        <v>FretFluvCat13DistMoy</v>
      </c>
      <c r="G611" s="25" t="s">
        <v>17</v>
      </c>
      <c r="H611" s="25">
        <f>IF($I$15="Oui",1,0)*IF(ISNUMBER(SEARCH("La distance moyenne d'un trajet",I609)),1,0)</f>
        <v>0</v>
      </c>
      <c r="I611" s="28"/>
      <c r="J611" s="27"/>
      <c r="K611" s="25" t="s">
        <v>88</v>
      </c>
      <c r="L611" s="28"/>
    </row>
    <row r="612" spans="1:12" s="25" customFormat="1" outlineLevel="1" x14ac:dyDescent="0.25">
      <c r="A612" s="25" t="s">
        <v>134</v>
      </c>
      <c r="B612" s="25">
        <v>139</v>
      </c>
      <c r="C612" s="25" t="str">
        <f t="shared" si="599"/>
        <v>Catégorie 13</v>
      </c>
      <c r="D612" s="25" t="s">
        <v>147</v>
      </c>
      <c r="F612" s="25" t="str">
        <f t="shared" ref="F612" si="611">_xlfn.CONCAT("FretFluv",LEFT(C612,3),IF(INT(B612/11)&lt;8,RIGHT(C612,1),RIGHT(C612,2)),"EmportMoy")</f>
        <v>FretFluvCat13EmportMoy</v>
      </c>
      <c r="G612" s="25" t="s">
        <v>17</v>
      </c>
      <c r="H612" s="25">
        <f>IF($I$15="Oui",1,0)*IF(ISNUMBER(SEARCH("La masse moyenne transportée pour un trajet",I609)),1,0)</f>
        <v>0</v>
      </c>
      <c r="I612" s="28"/>
      <c r="J612" s="27"/>
      <c r="K612" s="25" t="s">
        <v>148</v>
      </c>
      <c r="L612" s="28"/>
    </row>
    <row r="613" spans="1:12" s="25" customFormat="1" outlineLevel="1" x14ac:dyDescent="0.25">
      <c r="A613" s="25" t="s">
        <v>134</v>
      </c>
      <c r="B613" s="25">
        <v>140</v>
      </c>
      <c r="C613" s="25" t="str">
        <f t="shared" si="599"/>
        <v>Catégorie 13</v>
      </c>
      <c r="D613" s="25" t="s">
        <v>149</v>
      </c>
      <c r="F613" s="25" t="str">
        <f t="shared" ref="F613" si="612">_xlfn.CONCAT("FretFluv",LEFT(C613,3),IF(INT(B613/11)&lt;8,RIGHT(C613,1),RIGHT(C613,2)),"DistAn")</f>
        <v>FretFluvCat13DistAn</v>
      </c>
      <c r="G613" s="25" t="s">
        <v>17</v>
      </c>
      <c r="H613" s="25">
        <f>IF($I$15="Oui",1,0)*IF(ISNUMBER(SEARCH("La distance parcourue annuellement pour ce type de barge",I609)),1,0)</f>
        <v>0</v>
      </c>
      <c r="J613" s="27"/>
      <c r="K613" s="25" t="s">
        <v>88</v>
      </c>
    </row>
    <row r="614" spans="1:12" s="25" customFormat="1" outlineLevel="1" x14ac:dyDescent="0.25">
      <c r="A614" s="25" t="s">
        <v>134</v>
      </c>
      <c r="B614" s="25">
        <v>141</v>
      </c>
      <c r="C614" s="25" t="str">
        <f t="shared" si="599"/>
        <v>Catégorie 13</v>
      </c>
      <c r="D614" s="25" t="s">
        <v>150</v>
      </c>
      <c r="F614" s="25" t="str">
        <f t="shared" ref="F614" si="613">_xlfn.CONCAT("FretFluv",LEFT(C614,3),IF(INT(B614/11)&lt;8,RIGHT(C614,1),RIGHT(C614,2)),"TauxChargeMoy")</f>
        <v>FretFluvCat13TauxChargeMoy</v>
      </c>
      <c r="G614" s="25" t="s">
        <v>17</v>
      </c>
      <c r="H614" s="25">
        <f>IF($I$15="Oui",1,0)*IF(ISNUMBER(SEARCH("Le taux de chargement moyen",I609)),1,0)</f>
        <v>0</v>
      </c>
      <c r="J614" s="27"/>
      <c r="K614" s="25" t="s">
        <v>70</v>
      </c>
    </row>
    <row r="615" spans="1:12" s="25" customFormat="1" outlineLevel="1" x14ac:dyDescent="0.25">
      <c r="A615" s="25" t="s">
        <v>134</v>
      </c>
      <c r="B615" s="25">
        <v>142</v>
      </c>
      <c r="C615" s="25" t="str">
        <f t="shared" si="599"/>
        <v>Catégorie 13</v>
      </c>
      <c r="D615" s="26" t="s">
        <v>526</v>
      </c>
      <c r="F615" s="25" t="str">
        <f t="shared" ref="F615" si="614">_xlfn.CONCAT("FretFluv",LEFT(C615,3),IF(INT(B615/11)&lt;8,RIGHT(C615,1),RIGHT(C615,2)),"NbBarges")</f>
        <v>FretFluvCat13NbBarges</v>
      </c>
      <c r="G615" s="25" t="s">
        <v>17</v>
      </c>
      <c r="H615" s="25">
        <f>IF($I$15="Oui",1,0)</f>
        <v>1</v>
      </c>
      <c r="J615" s="27"/>
      <c r="K615" s="25" t="s">
        <v>151</v>
      </c>
    </row>
    <row r="616" spans="1:12" s="25" customFormat="1" outlineLevel="1" x14ac:dyDescent="0.25">
      <c r="A616" s="25" t="s">
        <v>134</v>
      </c>
      <c r="B616" s="25">
        <v>143</v>
      </c>
      <c r="C616" s="25" t="str">
        <f t="shared" si="599"/>
        <v>Catégorie 14</v>
      </c>
      <c r="D616" s="25" t="s">
        <v>135</v>
      </c>
      <c r="F616" s="25" t="str">
        <f t="shared" ref="F616" si="615">_xlfn.CONCAT("FretFluv",LEFT(C616,3),IF(INT(B616/11)&lt;8,RIGHT(C616,1),RIGHT(C616,2)),"Nom")</f>
        <v>FretFluvCat14Nom</v>
      </c>
      <c r="G616" s="26" t="s">
        <v>20</v>
      </c>
      <c r="H616" s="25">
        <f>IF($I$15="Oui",1,0)</f>
        <v>1</v>
      </c>
      <c r="J616" s="27" t="str">
        <f>VLOOKUP(C616,'Parcs types'!$B$65:$AA$120,2,FALSE)</f>
        <v>Automoteurs 400-649 tonnes H2 , ICE</v>
      </c>
      <c r="L616" s="25" t="str">
        <f>J616</f>
        <v>Automoteurs 400-649 tonnes H2 , ICE</v>
      </c>
    </row>
    <row r="617" spans="1:12" s="25" customFormat="1" outlineLevel="1" x14ac:dyDescent="0.25">
      <c r="A617" s="25" t="s">
        <v>134</v>
      </c>
      <c r="B617" s="25">
        <v>144</v>
      </c>
      <c r="C617" s="25" t="str">
        <f t="shared" si="599"/>
        <v>Catégorie 14</v>
      </c>
      <c r="D617" s="25" t="s">
        <v>136</v>
      </c>
      <c r="F617" s="25" t="str">
        <f t="shared" ref="F617" si="616">_xlfn.CONCAT("FretFluv",LEFT(C617,3),IF(INT(B617/11)&lt;8,RIGHT(C617,1),RIGHT(C617,2)),"Type")</f>
        <v>FretFluvCat14Type</v>
      </c>
      <c r="G617" s="25" t="s">
        <v>20</v>
      </c>
      <c r="H617" s="25">
        <f t="shared" ref="H617:H619" si="617">IF($I$15="Oui",1,0)</f>
        <v>1</v>
      </c>
      <c r="J617" s="27" t="str">
        <f>VLOOKUP(C617,'Parcs types'!$B$65:$AA$120,3,FALSE)</f>
        <v>Automoteurs</v>
      </c>
      <c r="L617" s="25" t="str">
        <f t="shared" ref="L617:L619" si="618">J617</f>
        <v>Automoteurs</v>
      </c>
    </row>
    <row r="618" spans="1:12" s="25" customFormat="1" outlineLevel="1" x14ac:dyDescent="0.25">
      <c r="A618" s="25" t="s">
        <v>134</v>
      </c>
      <c r="B618" s="25">
        <v>145</v>
      </c>
      <c r="C618" s="25" t="str">
        <f t="shared" si="599"/>
        <v>Catégorie 14</v>
      </c>
      <c r="D618" s="26" t="s">
        <v>137</v>
      </c>
      <c r="F618" s="25" t="str">
        <f t="shared" ref="F618" si="619">_xlfn.CONCAT("FretFluv",LEFT(C618,3),IF(INT(B618/11)&lt;8,RIGHT(C618,1),RIGHT(C618,2)),"Cap")</f>
        <v>FretFluvCat14Cap</v>
      </c>
      <c r="G618" s="26" t="s">
        <v>36</v>
      </c>
      <c r="H618" s="25">
        <f t="shared" si="617"/>
        <v>1</v>
      </c>
      <c r="J618" s="27" t="str">
        <f>VLOOKUP(C618,'Parcs types'!$B$65:$AA$120,4,FALSE)</f>
        <v>400-649 tonnes</v>
      </c>
      <c r="K618" s="25" t="s">
        <v>524</v>
      </c>
      <c r="L618" s="25" t="str">
        <f t="shared" si="618"/>
        <v>400-649 tonnes</v>
      </c>
    </row>
    <row r="619" spans="1:12" s="25" customFormat="1" outlineLevel="1" x14ac:dyDescent="0.25">
      <c r="A619" s="25" t="s">
        <v>134</v>
      </c>
      <c r="B619" s="25">
        <v>146</v>
      </c>
      <c r="C619" s="25" t="str">
        <f t="shared" si="599"/>
        <v>Catégorie 14</v>
      </c>
      <c r="D619" s="26" t="s">
        <v>525</v>
      </c>
      <c r="F619" s="25" t="str">
        <f t="shared" ref="F619" si="620">_xlfn.CONCAT("FretFluv",LEFT(C619,3),IF(INT(B619/11)&lt;8,RIGHT(C619,1),RIGHT(C619,2)),"Tech")</f>
        <v>FretFluvCat14Tech</v>
      </c>
      <c r="G619" s="26" t="s">
        <v>20</v>
      </c>
      <c r="H619" s="25">
        <f t="shared" si="617"/>
        <v>1</v>
      </c>
      <c r="J619" s="27" t="str">
        <f>VLOOKUP(C619,'Parcs types'!$B$65:$AA$120,5,FALSE)</f>
        <v>H2 , ICE</v>
      </c>
      <c r="L619" s="25" t="str">
        <f t="shared" si="618"/>
        <v>H2 , ICE</v>
      </c>
    </row>
    <row r="620" spans="1:12" s="25" customFormat="1" outlineLevel="1" x14ac:dyDescent="0.25">
      <c r="A620" s="25" t="s">
        <v>134</v>
      </c>
      <c r="B620" s="25">
        <v>147</v>
      </c>
      <c r="C620" s="25" t="str">
        <f t="shared" si="599"/>
        <v>Catégorie 14</v>
      </c>
      <c r="D620" s="25" t="s">
        <v>140</v>
      </c>
      <c r="F620" s="25" t="str">
        <f t="shared" ref="F620" si="621">_xlfn.CONCAT("FretFluv",LEFT(C620,3),IF(INT(B620/11)&lt;8,RIGHT(C620,1),RIGHT(C620,2)),"Request")</f>
        <v>FretFluvCat14Request</v>
      </c>
      <c r="G620" s="26" t="s">
        <v>20</v>
      </c>
      <c r="H620" s="25">
        <f>IF($I$15="Oui",1,0)</f>
        <v>1</v>
      </c>
      <c r="J620" s="27" t="s">
        <v>142</v>
      </c>
    </row>
    <row r="621" spans="1:12" s="25" customFormat="1" outlineLevel="1" x14ac:dyDescent="0.25">
      <c r="A621" s="25" t="s">
        <v>134</v>
      </c>
      <c r="B621" s="25">
        <v>148</v>
      </c>
      <c r="C621" s="25" t="str">
        <f t="shared" si="599"/>
        <v>Catégorie 14</v>
      </c>
      <c r="D621" s="25" t="s">
        <v>144</v>
      </c>
      <c r="F621" s="25" t="str">
        <f t="shared" ref="F621" si="622">_xlfn.CONCAT("FretFluv",LEFT(C621,3),IF(INT(B621/11)&lt;8,RIGHT(C621,1),RIGHT(C621,2)),"NbTraj")</f>
        <v>FretFluvCat14NbTraj</v>
      </c>
      <c r="G621" s="25" t="s">
        <v>17</v>
      </c>
      <c r="H621" s="25">
        <f>IF($I$15="Oui",1,0)*IF(ISNUMBER(SEARCH("Une estimation du nombre annuel de trajets pour ce type de barge",I620)),1,0)</f>
        <v>0</v>
      </c>
      <c r="J621" s="27"/>
      <c r="K621" s="25" t="s">
        <v>145</v>
      </c>
      <c r="L621" s="28"/>
    </row>
    <row r="622" spans="1:12" s="25" customFormat="1" outlineLevel="1" x14ac:dyDescent="0.25">
      <c r="A622" s="25" t="s">
        <v>134</v>
      </c>
      <c r="B622" s="25">
        <v>149</v>
      </c>
      <c r="C622" s="25" t="str">
        <f t="shared" si="599"/>
        <v>Catégorie 14</v>
      </c>
      <c r="D622" s="25" t="s">
        <v>146</v>
      </c>
      <c r="F622" s="25" t="str">
        <f t="shared" ref="F622" si="623">_xlfn.CONCAT("FretFluv",LEFT(C622,3),IF(INT(B622/11)&lt;8,RIGHT(C622,1),RIGHT(C622,2)),"DistMoy")</f>
        <v>FretFluvCat14DistMoy</v>
      </c>
      <c r="G622" s="25" t="s">
        <v>17</v>
      </c>
      <c r="H622" s="25">
        <f>IF($I$15="Oui",1,0)*IF(ISNUMBER(SEARCH("La distance moyenne d'un trajet",I620)),1,0)</f>
        <v>0</v>
      </c>
      <c r="I622" s="29"/>
      <c r="J622" s="27"/>
      <c r="K622" s="25" t="s">
        <v>88</v>
      </c>
      <c r="L622" s="30"/>
    </row>
    <row r="623" spans="1:12" s="25" customFormat="1" outlineLevel="1" x14ac:dyDescent="0.25">
      <c r="A623" s="25" t="s">
        <v>134</v>
      </c>
      <c r="B623" s="25">
        <v>150</v>
      </c>
      <c r="C623" s="25" t="str">
        <f t="shared" si="599"/>
        <v>Catégorie 14</v>
      </c>
      <c r="D623" s="25" t="s">
        <v>147</v>
      </c>
      <c r="F623" s="25" t="str">
        <f t="shared" ref="F623" si="624">_xlfn.CONCAT("FretFluv",LEFT(C623,3),IF(INT(B623/11)&lt;8,RIGHT(C623,1),RIGHT(C623,2)),"EmportMoy")</f>
        <v>FretFluvCat14EmportMoy</v>
      </c>
      <c r="G623" s="25" t="s">
        <v>17</v>
      </c>
      <c r="H623" s="25">
        <f>IF($I$15="Oui",1,0)*IF(ISNUMBER(SEARCH("La masse moyenne transportée pour un trajet",I620)),1,0)</f>
        <v>0</v>
      </c>
      <c r="I623" s="28"/>
      <c r="J623" s="27"/>
      <c r="K623" s="25" t="s">
        <v>148</v>
      </c>
      <c r="L623" s="28"/>
    </row>
    <row r="624" spans="1:12" s="25" customFormat="1" outlineLevel="1" x14ac:dyDescent="0.25">
      <c r="A624" s="25" t="s">
        <v>134</v>
      </c>
      <c r="B624" s="25">
        <v>151</v>
      </c>
      <c r="C624" s="25" t="str">
        <f t="shared" si="599"/>
        <v>Catégorie 14</v>
      </c>
      <c r="D624" s="25" t="s">
        <v>149</v>
      </c>
      <c r="F624" s="25" t="str">
        <f t="shared" ref="F624" si="625">_xlfn.CONCAT("FretFluv",LEFT(C624,3),IF(INT(B624/11)&lt;8,RIGHT(C624,1),RIGHT(C624,2)),"DistAn")</f>
        <v>FretFluvCat14DistAn</v>
      </c>
      <c r="G624" s="25" t="s">
        <v>17</v>
      </c>
      <c r="H624" s="25">
        <f>IF($I$15="Oui",1,0)*IF(ISNUMBER(SEARCH("La distance parcourue annuellement pour ce type de barge",I620)),1,0)</f>
        <v>0</v>
      </c>
      <c r="J624" s="27"/>
      <c r="K624" s="25" t="s">
        <v>88</v>
      </c>
    </row>
    <row r="625" spans="1:12" s="25" customFormat="1" outlineLevel="1" x14ac:dyDescent="0.25">
      <c r="A625" s="25" t="s">
        <v>134</v>
      </c>
      <c r="B625" s="25">
        <v>152</v>
      </c>
      <c r="C625" s="25" t="str">
        <f t="shared" si="599"/>
        <v>Catégorie 14</v>
      </c>
      <c r="D625" s="25" t="s">
        <v>150</v>
      </c>
      <c r="F625" s="25" t="str">
        <f t="shared" ref="F625" si="626">_xlfn.CONCAT("FretFluv",LEFT(C625,3),IF(INT(B625/11)&lt;8,RIGHT(C625,1),RIGHT(C625,2)),"TauxChargeMoy")</f>
        <v>FretFluvCat14TauxChargeMoy</v>
      </c>
      <c r="G625" s="25" t="s">
        <v>17</v>
      </c>
      <c r="H625" s="25">
        <f>IF($I$15="Oui",1,0)*IF(ISNUMBER(SEARCH("Le taux de chargement moyen",I620)),1,0)</f>
        <v>0</v>
      </c>
      <c r="J625" s="27"/>
      <c r="K625" s="25" t="s">
        <v>70</v>
      </c>
    </row>
    <row r="626" spans="1:12" s="25" customFormat="1" outlineLevel="1" x14ac:dyDescent="0.25">
      <c r="A626" s="25" t="s">
        <v>134</v>
      </c>
      <c r="B626" s="25">
        <v>153</v>
      </c>
      <c r="C626" s="25" t="str">
        <f t="shared" si="599"/>
        <v>Catégorie 14</v>
      </c>
      <c r="D626" s="26" t="s">
        <v>526</v>
      </c>
      <c r="F626" s="25" t="str">
        <f t="shared" ref="F626" si="627">_xlfn.CONCAT("FretFluv",LEFT(C626,3),IF(INT(B626/11)&lt;8,RIGHT(C626,1),RIGHT(C626,2)),"NbBarges")</f>
        <v>FretFluvCat14NbBarges</v>
      </c>
      <c r="G626" s="25" t="s">
        <v>17</v>
      </c>
      <c r="H626" s="25">
        <f>IF($I$15="Oui",1,0)</f>
        <v>1</v>
      </c>
      <c r="J626" s="27"/>
      <c r="K626" s="25" t="s">
        <v>151</v>
      </c>
    </row>
    <row r="627" spans="1:12" s="25" customFormat="1" outlineLevel="1" x14ac:dyDescent="0.25">
      <c r="A627" s="25" t="s">
        <v>134</v>
      </c>
      <c r="B627" s="25">
        <v>154</v>
      </c>
      <c r="C627" s="25" t="str">
        <f t="shared" si="599"/>
        <v>Catégorie 15</v>
      </c>
      <c r="D627" s="25" t="s">
        <v>135</v>
      </c>
      <c r="F627" s="25" t="str">
        <f t="shared" ref="F627" si="628">_xlfn.CONCAT("FretFluv",LEFT(C627,3),IF(INT(B627/11)&lt;8,RIGHT(C627,1),RIGHT(C627,2)),"Nom")</f>
        <v>FretFluvCat15Nom</v>
      </c>
      <c r="G627" s="26" t="s">
        <v>20</v>
      </c>
      <c r="H627" s="25">
        <f>IF($I$15="Oui",1,0)</f>
        <v>1</v>
      </c>
      <c r="J627" s="27" t="str">
        <f>VLOOKUP(C627,'Parcs types'!$B$65:$AA$120,2,FALSE)</f>
        <v>Automoteurs 650-999 tonnes CCNR 2 ou inférieur, diesel</v>
      </c>
      <c r="L627" s="25" t="str">
        <f>J627</f>
        <v>Automoteurs 650-999 tonnes CCNR 2 ou inférieur, diesel</v>
      </c>
    </row>
    <row r="628" spans="1:12" s="25" customFormat="1" outlineLevel="1" x14ac:dyDescent="0.25">
      <c r="A628" s="25" t="s">
        <v>134</v>
      </c>
      <c r="B628" s="25">
        <v>155</v>
      </c>
      <c r="C628" s="25" t="str">
        <f t="shared" si="599"/>
        <v>Catégorie 15</v>
      </c>
      <c r="D628" s="25" t="s">
        <v>136</v>
      </c>
      <c r="F628" s="25" t="str">
        <f t="shared" ref="F628" si="629">_xlfn.CONCAT("FretFluv",LEFT(C628,3),IF(INT(B628/11)&lt;8,RIGHT(C628,1),RIGHT(C628,2)),"Type")</f>
        <v>FretFluvCat15Type</v>
      </c>
      <c r="G628" s="25" t="s">
        <v>20</v>
      </c>
      <c r="H628" s="25">
        <f t="shared" ref="H628:H630" si="630">IF($I$15="Oui",1,0)</f>
        <v>1</v>
      </c>
      <c r="J628" s="27" t="str">
        <f>VLOOKUP(C628,'Parcs types'!$B$65:$AA$120,3,FALSE)</f>
        <v>Automoteurs</v>
      </c>
      <c r="L628" s="25" t="str">
        <f t="shared" ref="L628:L630" si="631">J628</f>
        <v>Automoteurs</v>
      </c>
    </row>
    <row r="629" spans="1:12" s="25" customFormat="1" outlineLevel="1" x14ac:dyDescent="0.25">
      <c r="A629" s="25" t="s">
        <v>134</v>
      </c>
      <c r="B629" s="25">
        <v>156</v>
      </c>
      <c r="C629" s="25" t="str">
        <f t="shared" si="599"/>
        <v>Catégorie 15</v>
      </c>
      <c r="D629" s="26" t="s">
        <v>137</v>
      </c>
      <c r="F629" s="25" t="str">
        <f t="shared" ref="F629" si="632">_xlfn.CONCAT("FretFluv",LEFT(C629,3),IF(INT(B629/11)&lt;8,RIGHT(C629,1),RIGHT(C629,2)),"Cap")</f>
        <v>FretFluvCat15Cap</v>
      </c>
      <c r="G629" s="26" t="s">
        <v>36</v>
      </c>
      <c r="H629" s="25">
        <f t="shared" si="630"/>
        <v>1</v>
      </c>
      <c r="J629" s="27" t="str">
        <f>VLOOKUP(C629,'Parcs types'!$B$65:$AA$120,4,FALSE)</f>
        <v>650-999 tonnes</v>
      </c>
      <c r="K629" s="25" t="s">
        <v>524</v>
      </c>
      <c r="L629" s="25" t="str">
        <f t="shared" si="631"/>
        <v>650-999 tonnes</v>
      </c>
    </row>
    <row r="630" spans="1:12" s="25" customFormat="1" outlineLevel="1" x14ac:dyDescent="0.25">
      <c r="A630" s="25" t="s">
        <v>134</v>
      </c>
      <c r="B630" s="25">
        <v>157</v>
      </c>
      <c r="C630" s="25" t="str">
        <f t="shared" si="599"/>
        <v>Catégorie 15</v>
      </c>
      <c r="D630" s="26" t="s">
        <v>525</v>
      </c>
      <c r="F630" s="25" t="str">
        <f t="shared" ref="F630" si="633">_xlfn.CONCAT("FretFluv",LEFT(C630,3),IF(INT(B630/11)&lt;8,RIGHT(C630,1),RIGHT(C630,2)),"Tech")</f>
        <v>FretFluvCat15Tech</v>
      </c>
      <c r="G630" s="26" t="s">
        <v>20</v>
      </c>
      <c r="H630" s="25">
        <f t="shared" si="630"/>
        <v>1</v>
      </c>
      <c r="J630" s="27" t="str">
        <f>VLOOKUP(C630,'Parcs types'!$B$65:$AA$120,5,FALSE)</f>
        <v>CCNR 2 ou inférieur, diesel</v>
      </c>
      <c r="L630" s="25" t="str">
        <f t="shared" si="631"/>
        <v>CCNR 2 ou inférieur, diesel</v>
      </c>
    </row>
    <row r="631" spans="1:12" s="25" customFormat="1" outlineLevel="1" x14ac:dyDescent="0.25">
      <c r="A631" s="25" t="s">
        <v>134</v>
      </c>
      <c r="B631" s="25">
        <v>158</v>
      </c>
      <c r="C631" s="25" t="str">
        <f t="shared" si="599"/>
        <v>Catégorie 15</v>
      </c>
      <c r="D631" s="25" t="s">
        <v>140</v>
      </c>
      <c r="F631" s="25" t="str">
        <f t="shared" ref="F631" si="634">_xlfn.CONCAT("FretFluv",LEFT(C631,3),IF(INT(B631/11)&lt;8,RIGHT(C631,1),RIGHT(C631,2)),"Request")</f>
        <v>FretFluvCat15Request</v>
      </c>
      <c r="G631" s="26" t="s">
        <v>20</v>
      </c>
      <c r="H631" s="25">
        <f>IF($I$15="Oui",1,0)</f>
        <v>1</v>
      </c>
      <c r="J631" s="27" t="s">
        <v>142</v>
      </c>
      <c r="L631" s="28"/>
    </row>
    <row r="632" spans="1:12" s="25" customFormat="1" outlineLevel="1" x14ac:dyDescent="0.25">
      <c r="A632" s="25" t="s">
        <v>134</v>
      </c>
      <c r="B632" s="25">
        <v>159</v>
      </c>
      <c r="C632" s="25" t="str">
        <f t="shared" si="599"/>
        <v>Catégorie 15</v>
      </c>
      <c r="D632" s="25" t="s">
        <v>144</v>
      </c>
      <c r="F632" s="25" t="str">
        <f t="shared" ref="F632" si="635">_xlfn.CONCAT("FretFluv",LEFT(C632,3),IF(INT(B632/11)&lt;8,RIGHT(C632,1),RIGHT(C632,2)),"NbTraj")</f>
        <v>FretFluvCat15NbTraj</v>
      </c>
      <c r="G632" s="25" t="s">
        <v>17</v>
      </c>
      <c r="H632" s="25">
        <f>IF($I$15="Oui",1,0)*IF(ISNUMBER(SEARCH("Une estimation du nombre annuel de trajets pour ce type de barge",I631)),1,0)</f>
        <v>0</v>
      </c>
      <c r="J632" s="27"/>
      <c r="K632" s="25" t="s">
        <v>145</v>
      </c>
      <c r="L632" s="28"/>
    </row>
    <row r="633" spans="1:12" s="25" customFormat="1" outlineLevel="1" x14ac:dyDescent="0.25">
      <c r="A633" s="25" t="s">
        <v>134</v>
      </c>
      <c r="B633" s="25">
        <v>160</v>
      </c>
      <c r="C633" s="25" t="str">
        <f t="shared" si="599"/>
        <v>Catégorie 15</v>
      </c>
      <c r="D633" s="25" t="s">
        <v>146</v>
      </c>
      <c r="F633" s="25" t="str">
        <f t="shared" ref="F633" si="636">_xlfn.CONCAT("FretFluv",LEFT(C633,3),IF(INT(B633/11)&lt;8,RIGHT(C633,1),RIGHT(C633,2)),"DistMoy")</f>
        <v>FretFluvCat15DistMoy</v>
      </c>
      <c r="G633" s="25" t="s">
        <v>17</v>
      </c>
      <c r="H633" s="25">
        <f>IF($I$15="Oui",1,0)*IF(ISNUMBER(SEARCH("La distance moyenne d'un trajet",I631)),1,0)</f>
        <v>0</v>
      </c>
      <c r="I633" s="29"/>
      <c r="J633" s="27"/>
      <c r="K633" s="25" t="s">
        <v>88</v>
      </c>
      <c r="L633" s="28"/>
    </row>
    <row r="634" spans="1:12" s="25" customFormat="1" outlineLevel="1" x14ac:dyDescent="0.25">
      <c r="A634" s="25" t="s">
        <v>134</v>
      </c>
      <c r="B634" s="25">
        <v>161</v>
      </c>
      <c r="C634" s="25" t="str">
        <f t="shared" si="599"/>
        <v>Catégorie 15</v>
      </c>
      <c r="D634" s="25" t="s">
        <v>147</v>
      </c>
      <c r="F634" s="25" t="str">
        <f t="shared" ref="F634" si="637">_xlfn.CONCAT("FretFluv",LEFT(C634,3),IF(INT(B634/11)&lt;8,RIGHT(C634,1),RIGHT(C634,2)),"EmportMoy")</f>
        <v>FretFluvCat15EmportMoy</v>
      </c>
      <c r="G634" s="25" t="s">
        <v>17</v>
      </c>
      <c r="H634" s="25">
        <f>IF($I$15="Oui",1,0)*IF(ISNUMBER(SEARCH("La masse moyenne transportée pour un trajet",I631)),1,0)</f>
        <v>0</v>
      </c>
      <c r="I634" s="28"/>
      <c r="J634" s="27"/>
      <c r="K634" s="25" t="s">
        <v>148</v>
      </c>
      <c r="L634" s="28"/>
    </row>
    <row r="635" spans="1:12" s="25" customFormat="1" outlineLevel="1" x14ac:dyDescent="0.25">
      <c r="A635" s="25" t="s">
        <v>134</v>
      </c>
      <c r="B635" s="25">
        <v>162</v>
      </c>
      <c r="C635" s="25" t="str">
        <f t="shared" si="599"/>
        <v>Catégorie 15</v>
      </c>
      <c r="D635" s="25" t="s">
        <v>149</v>
      </c>
      <c r="F635" s="25" t="str">
        <f t="shared" ref="F635" si="638">_xlfn.CONCAT("FretFluv",LEFT(C635,3),IF(INT(B635/11)&lt;8,RIGHT(C635,1),RIGHT(C635,2)),"DistAn")</f>
        <v>FretFluvCat15DistAn</v>
      </c>
      <c r="G635" s="25" t="s">
        <v>17</v>
      </c>
      <c r="H635" s="25">
        <f>IF($I$15="Oui",1,0)*IF(ISNUMBER(SEARCH("La distance parcourue annuellement pour ce type de barge",I631)),1,0)</f>
        <v>0</v>
      </c>
      <c r="J635" s="27"/>
      <c r="K635" s="25" t="s">
        <v>88</v>
      </c>
    </row>
    <row r="636" spans="1:12" s="25" customFormat="1" outlineLevel="1" x14ac:dyDescent="0.25">
      <c r="A636" s="25" t="s">
        <v>134</v>
      </c>
      <c r="B636" s="25">
        <v>163</v>
      </c>
      <c r="C636" s="25" t="str">
        <f t="shared" si="599"/>
        <v>Catégorie 15</v>
      </c>
      <c r="D636" s="25" t="s">
        <v>150</v>
      </c>
      <c r="F636" s="25" t="str">
        <f t="shared" ref="F636" si="639">_xlfn.CONCAT("FretFluv",LEFT(C636,3),IF(INT(B636/11)&lt;8,RIGHT(C636,1),RIGHT(C636,2)),"TauxChargeMoy")</f>
        <v>FretFluvCat15TauxChargeMoy</v>
      </c>
      <c r="G636" s="25" t="s">
        <v>17</v>
      </c>
      <c r="H636" s="25">
        <f>IF($I$15="Oui",1,0)*IF(ISNUMBER(SEARCH("Le taux de chargement moyen",I631)),1,0)</f>
        <v>0</v>
      </c>
      <c r="J636" s="27"/>
      <c r="K636" s="25" t="s">
        <v>70</v>
      </c>
    </row>
    <row r="637" spans="1:12" s="25" customFormat="1" outlineLevel="1" x14ac:dyDescent="0.25">
      <c r="A637" s="25" t="s">
        <v>134</v>
      </c>
      <c r="B637" s="25">
        <v>164</v>
      </c>
      <c r="C637" s="25" t="str">
        <f t="shared" si="599"/>
        <v>Catégorie 15</v>
      </c>
      <c r="D637" s="26" t="s">
        <v>526</v>
      </c>
      <c r="F637" s="25" t="str">
        <f t="shared" ref="F637" si="640">_xlfn.CONCAT("FretFluv",LEFT(C637,3),IF(INT(B637/11)&lt;8,RIGHT(C637,1),RIGHT(C637,2)),"NbBarges")</f>
        <v>FretFluvCat15NbBarges</v>
      </c>
      <c r="G637" s="25" t="s">
        <v>17</v>
      </c>
      <c r="H637" s="25">
        <f>IF($I$15="Oui",1,0)</f>
        <v>1</v>
      </c>
      <c r="J637" s="27"/>
      <c r="K637" s="25" t="s">
        <v>151</v>
      </c>
    </row>
    <row r="638" spans="1:12" s="25" customFormat="1" outlineLevel="1" x14ac:dyDescent="0.25">
      <c r="A638" s="25" t="s">
        <v>134</v>
      </c>
      <c r="B638" s="25">
        <v>165</v>
      </c>
      <c r="C638" s="25" t="str">
        <f t="shared" si="599"/>
        <v>Catégorie 16</v>
      </c>
      <c r="D638" s="25" t="s">
        <v>135</v>
      </c>
      <c r="F638" s="25" t="str">
        <f t="shared" ref="F638" si="641">_xlfn.CONCAT("FretFluv",LEFT(C638,3),IF(INT(B638/11)&lt;8,RIGHT(C638,1),RIGHT(C638,2)),"Nom")</f>
        <v>FretFluvCat16Nom</v>
      </c>
      <c r="G638" s="26" t="s">
        <v>20</v>
      </c>
      <c r="H638" s="25">
        <f>IF($I$15="Oui",1,0)</f>
        <v>1</v>
      </c>
      <c r="J638" s="27" t="str">
        <f>VLOOKUP(C638,'Parcs types'!$B$65:$AA$120,2,FALSE)</f>
        <v>Automoteurs 650-999 tonnes CCNR 2 + SCR, diesel</v>
      </c>
      <c r="L638" s="25" t="str">
        <f>J638</f>
        <v>Automoteurs 650-999 tonnes CCNR 2 + SCR, diesel</v>
      </c>
    </row>
    <row r="639" spans="1:12" s="25" customFormat="1" outlineLevel="1" x14ac:dyDescent="0.25">
      <c r="A639" s="25" t="s">
        <v>134</v>
      </c>
      <c r="B639" s="25">
        <v>166</v>
      </c>
      <c r="C639" s="25" t="str">
        <f t="shared" si="599"/>
        <v>Catégorie 16</v>
      </c>
      <c r="D639" s="25" t="s">
        <v>136</v>
      </c>
      <c r="F639" s="25" t="str">
        <f t="shared" ref="F639" si="642">_xlfn.CONCAT("FretFluv",LEFT(C639,3),IF(INT(B639/11)&lt;8,RIGHT(C639,1),RIGHT(C639,2)),"Type")</f>
        <v>FretFluvCat16Type</v>
      </c>
      <c r="G639" s="25" t="s">
        <v>20</v>
      </c>
      <c r="H639" s="25">
        <f t="shared" ref="H639:H641" si="643">IF($I$15="Oui",1,0)</f>
        <v>1</v>
      </c>
      <c r="J639" s="27" t="str">
        <f>VLOOKUP(C639,'Parcs types'!$B$65:$AA$120,3,FALSE)</f>
        <v>Automoteurs</v>
      </c>
      <c r="L639" s="25" t="str">
        <f t="shared" ref="L639:L641" si="644">J639</f>
        <v>Automoteurs</v>
      </c>
    </row>
    <row r="640" spans="1:12" s="25" customFormat="1" outlineLevel="1" x14ac:dyDescent="0.25">
      <c r="A640" s="25" t="s">
        <v>134</v>
      </c>
      <c r="B640" s="25">
        <v>167</v>
      </c>
      <c r="C640" s="25" t="str">
        <f t="shared" si="599"/>
        <v>Catégorie 16</v>
      </c>
      <c r="D640" s="26" t="s">
        <v>137</v>
      </c>
      <c r="F640" s="25" t="str">
        <f t="shared" ref="F640" si="645">_xlfn.CONCAT("FretFluv",LEFT(C640,3),IF(INT(B640/11)&lt;8,RIGHT(C640,1),RIGHT(C640,2)),"Cap")</f>
        <v>FretFluvCat16Cap</v>
      </c>
      <c r="G640" s="26" t="s">
        <v>36</v>
      </c>
      <c r="H640" s="25">
        <f t="shared" si="643"/>
        <v>1</v>
      </c>
      <c r="J640" s="27" t="str">
        <f>VLOOKUP(C640,'Parcs types'!$B$65:$AA$120,4,FALSE)</f>
        <v>650-999 tonnes</v>
      </c>
      <c r="K640" s="25" t="s">
        <v>524</v>
      </c>
      <c r="L640" s="25" t="str">
        <f t="shared" si="644"/>
        <v>650-999 tonnes</v>
      </c>
    </row>
    <row r="641" spans="1:12" s="25" customFormat="1" outlineLevel="1" x14ac:dyDescent="0.25">
      <c r="A641" s="25" t="s">
        <v>134</v>
      </c>
      <c r="B641" s="25">
        <v>168</v>
      </c>
      <c r="C641" s="25" t="str">
        <f t="shared" si="599"/>
        <v>Catégorie 16</v>
      </c>
      <c r="D641" s="26" t="s">
        <v>525</v>
      </c>
      <c r="F641" s="25" t="str">
        <f t="shared" ref="F641" si="646">_xlfn.CONCAT("FretFluv",LEFT(C641,3),IF(INT(B641/11)&lt;8,RIGHT(C641,1),RIGHT(C641,2)),"Tech")</f>
        <v>FretFluvCat16Tech</v>
      </c>
      <c r="G641" s="26" t="s">
        <v>20</v>
      </c>
      <c r="H641" s="25">
        <f t="shared" si="643"/>
        <v>1</v>
      </c>
      <c r="J641" s="27" t="str">
        <f>VLOOKUP(C641,'Parcs types'!$B$65:$AA$120,5,FALSE)</f>
        <v>CCNR 2 + SCR, diesel</v>
      </c>
      <c r="L641" s="25" t="str">
        <f t="shared" si="644"/>
        <v>CCNR 2 + SCR, diesel</v>
      </c>
    </row>
    <row r="642" spans="1:12" s="25" customFormat="1" outlineLevel="1" x14ac:dyDescent="0.25">
      <c r="A642" s="25" t="s">
        <v>134</v>
      </c>
      <c r="B642" s="25">
        <v>169</v>
      </c>
      <c r="C642" s="25" t="str">
        <f t="shared" si="599"/>
        <v>Catégorie 16</v>
      </c>
      <c r="D642" s="25" t="s">
        <v>140</v>
      </c>
      <c r="F642" s="25" t="str">
        <f t="shared" ref="F642" si="647">_xlfn.CONCAT("FretFluv",LEFT(C642,3),IF(INT(B642/11)&lt;8,RIGHT(C642,1),RIGHT(C642,2)),"Request")</f>
        <v>FretFluvCat16Request</v>
      </c>
      <c r="G642" s="26" t="s">
        <v>20</v>
      </c>
      <c r="H642" s="25">
        <f>IF($I$15="Oui",1,0)</f>
        <v>1</v>
      </c>
      <c r="J642" s="27" t="s">
        <v>142</v>
      </c>
    </row>
    <row r="643" spans="1:12" s="25" customFormat="1" outlineLevel="1" x14ac:dyDescent="0.25">
      <c r="A643" s="25" t="s">
        <v>134</v>
      </c>
      <c r="B643" s="25">
        <v>170</v>
      </c>
      <c r="C643" s="25" t="str">
        <f t="shared" si="599"/>
        <v>Catégorie 16</v>
      </c>
      <c r="D643" s="25" t="s">
        <v>144</v>
      </c>
      <c r="F643" s="25" t="str">
        <f t="shared" ref="F643" si="648">_xlfn.CONCAT("FretFluv",LEFT(C643,3),IF(INT(B643/11)&lt;8,RIGHT(C643,1),RIGHT(C643,2)),"NbTraj")</f>
        <v>FretFluvCat16NbTraj</v>
      </c>
      <c r="G643" s="25" t="s">
        <v>17</v>
      </c>
      <c r="H643" s="25">
        <f>IF($I$15="Oui",1,0)*IF(ISNUMBER(SEARCH("Une estimation du nombre annuel de trajets pour ce type de barge",I642)),1,0)</f>
        <v>0</v>
      </c>
      <c r="J643" s="27"/>
      <c r="K643" s="25" t="s">
        <v>145</v>
      </c>
      <c r="L643" s="28"/>
    </row>
    <row r="644" spans="1:12" s="25" customFormat="1" outlineLevel="1" x14ac:dyDescent="0.25">
      <c r="A644" s="25" t="s">
        <v>134</v>
      </c>
      <c r="B644" s="25">
        <v>171</v>
      </c>
      <c r="C644" s="25" t="str">
        <f t="shared" si="599"/>
        <v>Catégorie 16</v>
      </c>
      <c r="D644" s="25" t="s">
        <v>146</v>
      </c>
      <c r="F644" s="25" t="str">
        <f t="shared" ref="F644" si="649">_xlfn.CONCAT("FretFluv",LEFT(C644,3),IF(INT(B644/11)&lt;8,RIGHT(C644,1),RIGHT(C644,2)),"DistMoy")</f>
        <v>FretFluvCat16DistMoy</v>
      </c>
      <c r="G644" s="25" t="s">
        <v>17</v>
      </c>
      <c r="H644" s="25">
        <f>IF($I$15="Oui",1,0)*IF(ISNUMBER(SEARCH("La distance moyenne d'un trajet",I642)),1,0)</f>
        <v>0</v>
      </c>
      <c r="I644" s="29"/>
      <c r="J644" s="27"/>
      <c r="K644" s="25" t="s">
        <v>88</v>
      </c>
      <c r="L644" s="30"/>
    </row>
    <row r="645" spans="1:12" s="25" customFormat="1" outlineLevel="1" x14ac:dyDescent="0.25">
      <c r="A645" s="25" t="s">
        <v>134</v>
      </c>
      <c r="B645" s="25">
        <v>172</v>
      </c>
      <c r="C645" s="25" t="str">
        <f t="shared" si="599"/>
        <v>Catégorie 16</v>
      </c>
      <c r="D645" s="25" t="s">
        <v>147</v>
      </c>
      <c r="F645" s="25" t="str">
        <f t="shared" ref="F645" si="650">_xlfn.CONCAT("FretFluv",LEFT(C645,3),IF(INT(B645/11)&lt;8,RIGHT(C645,1),RIGHT(C645,2)),"EmportMoy")</f>
        <v>FretFluvCat16EmportMoy</v>
      </c>
      <c r="G645" s="25" t="s">
        <v>17</v>
      </c>
      <c r="H645" s="25">
        <f>IF($I$15="Oui",1,0)*IF(ISNUMBER(SEARCH("La masse moyenne transportée pour un trajet",I642)),1,0)</f>
        <v>0</v>
      </c>
      <c r="I645" s="28"/>
      <c r="J645" s="27"/>
      <c r="K645" s="25" t="s">
        <v>148</v>
      </c>
      <c r="L645" s="28"/>
    </row>
    <row r="646" spans="1:12" s="25" customFormat="1" outlineLevel="1" x14ac:dyDescent="0.25">
      <c r="A646" s="25" t="s">
        <v>134</v>
      </c>
      <c r="B646" s="25">
        <v>173</v>
      </c>
      <c r="C646" s="25" t="str">
        <f t="shared" si="599"/>
        <v>Catégorie 16</v>
      </c>
      <c r="D646" s="25" t="s">
        <v>149</v>
      </c>
      <c r="F646" s="25" t="str">
        <f t="shared" ref="F646" si="651">_xlfn.CONCAT("FretFluv",LEFT(C646,3),IF(INT(B646/11)&lt;8,RIGHT(C646,1),RIGHT(C646,2)),"DistAn")</f>
        <v>FretFluvCat16DistAn</v>
      </c>
      <c r="G646" s="25" t="s">
        <v>17</v>
      </c>
      <c r="H646" s="25">
        <f>IF($I$15="Oui",1,0)*IF(ISNUMBER(SEARCH("La distance parcourue annuellement pour ce type de barge",I642)),1,0)</f>
        <v>0</v>
      </c>
      <c r="I646" s="28"/>
      <c r="J646" s="27"/>
      <c r="K646" s="25" t="s">
        <v>88</v>
      </c>
      <c r="L646" s="28"/>
    </row>
    <row r="647" spans="1:12" s="25" customFormat="1" outlineLevel="1" x14ac:dyDescent="0.25">
      <c r="A647" s="25" t="s">
        <v>134</v>
      </c>
      <c r="B647" s="25">
        <v>174</v>
      </c>
      <c r="C647" s="25" t="str">
        <f t="shared" si="599"/>
        <v>Catégorie 16</v>
      </c>
      <c r="D647" s="25" t="s">
        <v>150</v>
      </c>
      <c r="F647" s="25" t="str">
        <f t="shared" ref="F647" si="652">_xlfn.CONCAT("FretFluv",LEFT(C647,3),IF(INT(B647/11)&lt;8,RIGHT(C647,1),RIGHT(C647,2)),"TauxChargeMoy")</f>
        <v>FretFluvCat16TauxChargeMoy</v>
      </c>
      <c r="G647" s="25" t="s">
        <v>17</v>
      </c>
      <c r="H647" s="25">
        <f>IF($I$15="Oui",1,0)*IF(ISNUMBER(SEARCH("Le taux de chargement moyen",I642)),1,0)</f>
        <v>0</v>
      </c>
      <c r="I647" s="28"/>
      <c r="J647" s="27"/>
      <c r="K647" s="25" t="s">
        <v>70</v>
      </c>
      <c r="L647" s="28"/>
    </row>
    <row r="648" spans="1:12" s="25" customFormat="1" outlineLevel="1" x14ac:dyDescent="0.25">
      <c r="A648" s="25" t="s">
        <v>134</v>
      </c>
      <c r="B648" s="25">
        <v>175</v>
      </c>
      <c r="C648" s="25" t="str">
        <f t="shared" si="599"/>
        <v>Catégorie 16</v>
      </c>
      <c r="D648" s="26" t="s">
        <v>526</v>
      </c>
      <c r="F648" s="25" t="str">
        <f t="shared" ref="F648" si="653">_xlfn.CONCAT("FretFluv",LEFT(C648,3),IF(INT(B648/11)&lt;8,RIGHT(C648,1),RIGHT(C648,2)),"NbBarges")</f>
        <v>FretFluvCat16NbBarges</v>
      </c>
      <c r="G648" s="25" t="s">
        <v>17</v>
      </c>
      <c r="H648" s="25">
        <f>IF($I$15="Oui",1,0)</f>
        <v>1</v>
      </c>
      <c r="I648" s="28"/>
      <c r="J648" s="27"/>
      <c r="K648" s="25" t="s">
        <v>151</v>
      </c>
      <c r="L648" s="28"/>
    </row>
    <row r="649" spans="1:12" s="25" customFormat="1" outlineLevel="1" x14ac:dyDescent="0.25">
      <c r="A649" s="25" t="s">
        <v>134</v>
      </c>
      <c r="B649" s="25">
        <v>176</v>
      </c>
      <c r="C649" s="25" t="str">
        <f t="shared" si="599"/>
        <v>Catégorie 17</v>
      </c>
      <c r="D649" s="25" t="s">
        <v>135</v>
      </c>
      <c r="F649" s="25" t="str">
        <f t="shared" ref="F649" si="654">_xlfn.CONCAT("FretFluv",LEFT(C649,3),IF(INT(B649/11)&lt;8,RIGHT(C649,1),RIGHT(C649,2)),"Nom")</f>
        <v>FretFluvCat17Nom</v>
      </c>
      <c r="G649" s="26" t="s">
        <v>20</v>
      </c>
      <c r="H649" s="25">
        <f>IF($I$15="Oui",1,0)</f>
        <v>1</v>
      </c>
      <c r="I649" s="28"/>
      <c r="J649" s="27" t="str">
        <f>VLOOKUP(C649,'Parcs types'!$B$65:$AA$120,2,FALSE)</f>
        <v>Automoteurs 650-999 tonnes Phase V, diesel</v>
      </c>
      <c r="L649" s="25" t="str">
        <f>J649</f>
        <v>Automoteurs 650-999 tonnes Phase V, diesel</v>
      </c>
    </row>
    <row r="650" spans="1:12" s="25" customFormat="1" outlineLevel="1" x14ac:dyDescent="0.25">
      <c r="A650" s="25" t="s">
        <v>134</v>
      </c>
      <c r="B650" s="25">
        <v>177</v>
      </c>
      <c r="C650" s="25" t="str">
        <f t="shared" si="599"/>
        <v>Catégorie 17</v>
      </c>
      <c r="D650" s="25" t="s">
        <v>136</v>
      </c>
      <c r="F650" s="25" t="str">
        <f t="shared" ref="F650" si="655">_xlfn.CONCAT("FretFluv",LEFT(C650,3),IF(INT(B650/11)&lt;8,RIGHT(C650,1),RIGHT(C650,2)),"Type")</f>
        <v>FretFluvCat17Type</v>
      </c>
      <c r="G650" s="25" t="s">
        <v>20</v>
      </c>
      <c r="H650" s="25">
        <f t="shared" ref="H650:H652" si="656">IF($I$15="Oui",1,0)</f>
        <v>1</v>
      </c>
      <c r="I650" s="28"/>
      <c r="J650" s="27" t="str">
        <f>VLOOKUP(C650,'Parcs types'!$B$65:$AA$120,3,FALSE)</f>
        <v>Automoteurs</v>
      </c>
      <c r="L650" s="25" t="str">
        <f t="shared" ref="L650:L652" si="657">J650</f>
        <v>Automoteurs</v>
      </c>
    </row>
    <row r="651" spans="1:12" s="25" customFormat="1" outlineLevel="1" x14ac:dyDescent="0.25">
      <c r="A651" s="25" t="s">
        <v>134</v>
      </c>
      <c r="B651" s="25">
        <v>178</v>
      </c>
      <c r="C651" s="25" t="str">
        <f t="shared" si="599"/>
        <v>Catégorie 17</v>
      </c>
      <c r="D651" s="26" t="s">
        <v>137</v>
      </c>
      <c r="F651" s="25" t="str">
        <f t="shared" ref="F651" si="658">_xlfn.CONCAT("FretFluv",LEFT(C651,3),IF(INT(B651/11)&lt;8,RIGHT(C651,1),RIGHT(C651,2)),"Cap")</f>
        <v>FretFluvCat17Cap</v>
      </c>
      <c r="G651" s="26" t="s">
        <v>36</v>
      </c>
      <c r="H651" s="25">
        <f t="shared" si="656"/>
        <v>1</v>
      </c>
      <c r="I651" s="28"/>
      <c r="J651" s="27" t="str">
        <f>VLOOKUP(C651,'Parcs types'!$B$65:$AA$120,4,FALSE)</f>
        <v>650-999 tonnes</v>
      </c>
      <c r="K651" s="25" t="s">
        <v>524</v>
      </c>
      <c r="L651" s="25" t="str">
        <f t="shared" si="657"/>
        <v>650-999 tonnes</v>
      </c>
    </row>
    <row r="652" spans="1:12" s="25" customFormat="1" outlineLevel="1" x14ac:dyDescent="0.25">
      <c r="A652" s="25" t="s">
        <v>134</v>
      </c>
      <c r="B652" s="25">
        <v>179</v>
      </c>
      <c r="C652" s="25" t="str">
        <f t="shared" si="599"/>
        <v>Catégorie 17</v>
      </c>
      <c r="D652" s="26" t="s">
        <v>525</v>
      </c>
      <c r="F652" s="25" t="str">
        <f t="shared" ref="F652" si="659">_xlfn.CONCAT("FretFluv",LEFT(C652,3),IF(INT(B652/11)&lt;8,RIGHT(C652,1),RIGHT(C652,2)),"Tech")</f>
        <v>FretFluvCat17Tech</v>
      </c>
      <c r="G652" s="26" t="s">
        <v>20</v>
      </c>
      <c r="H652" s="25">
        <f t="shared" si="656"/>
        <v>1</v>
      </c>
      <c r="I652" s="28"/>
      <c r="J652" s="27" t="str">
        <f>VLOOKUP(C652,'Parcs types'!$B$65:$AA$120,5,FALSE)</f>
        <v>Phase V, diesel</v>
      </c>
      <c r="L652" s="25" t="str">
        <f t="shared" si="657"/>
        <v>Phase V, diesel</v>
      </c>
    </row>
    <row r="653" spans="1:12" s="25" customFormat="1" outlineLevel="1" x14ac:dyDescent="0.25">
      <c r="A653" s="25" t="s">
        <v>134</v>
      </c>
      <c r="B653" s="25">
        <v>180</v>
      </c>
      <c r="C653" s="25" t="str">
        <f t="shared" si="599"/>
        <v>Catégorie 17</v>
      </c>
      <c r="D653" s="25" t="s">
        <v>140</v>
      </c>
      <c r="F653" s="25" t="str">
        <f t="shared" ref="F653" si="660">_xlfn.CONCAT("FretFluv",LEFT(C653,3),IF(INT(B653/11)&lt;8,RIGHT(C653,1),RIGHT(C653,2)),"Request")</f>
        <v>FretFluvCat17Request</v>
      </c>
      <c r="G653" s="26" t="s">
        <v>20</v>
      </c>
      <c r="H653" s="25">
        <f>IF($I$15="Oui",1,0)</f>
        <v>1</v>
      </c>
      <c r="J653" s="27" t="s">
        <v>142</v>
      </c>
      <c r="L653" s="28"/>
    </row>
    <row r="654" spans="1:12" s="25" customFormat="1" outlineLevel="1" x14ac:dyDescent="0.25">
      <c r="A654" s="25" t="s">
        <v>134</v>
      </c>
      <c r="B654" s="25">
        <v>181</v>
      </c>
      <c r="C654" s="25" t="str">
        <f t="shared" si="599"/>
        <v>Catégorie 17</v>
      </c>
      <c r="D654" s="25" t="s">
        <v>144</v>
      </c>
      <c r="F654" s="25" t="str">
        <f t="shared" ref="F654" si="661">_xlfn.CONCAT("FretFluv",LEFT(C654,3),IF(INT(B654/11)&lt;8,RIGHT(C654,1),RIGHT(C654,2)),"NbTraj")</f>
        <v>FretFluvCat17NbTraj</v>
      </c>
      <c r="G654" s="25" t="s">
        <v>17</v>
      </c>
      <c r="H654" s="25">
        <f>IF($I$15="Oui",1,0)*IF(ISNUMBER(SEARCH("Une estimation du nombre annuel de trajets pour ce type de barge",I653)),1,0)</f>
        <v>0</v>
      </c>
      <c r="I654" s="28"/>
      <c r="J654" s="27"/>
      <c r="K654" s="25" t="s">
        <v>145</v>
      </c>
      <c r="L654" s="28"/>
    </row>
    <row r="655" spans="1:12" s="25" customFormat="1" outlineLevel="1" x14ac:dyDescent="0.25">
      <c r="A655" s="25" t="s">
        <v>134</v>
      </c>
      <c r="B655" s="25">
        <v>182</v>
      </c>
      <c r="C655" s="25" t="str">
        <f t="shared" si="599"/>
        <v>Catégorie 17</v>
      </c>
      <c r="D655" s="25" t="s">
        <v>146</v>
      </c>
      <c r="F655" s="25" t="str">
        <f t="shared" ref="F655" si="662">_xlfn.CONCAT("FretFluv",LEFT(C655,3),IF(INT(B655/11)&lt;8,RIGHT(C655,1),RIGHT(C655,2)),"DistMoy")</f>
        <v>FretFluvCat17DistMoy</v>
      </c>
      <c r="G655" s="25" t="s">
        <v>17</v>
      </c>
      <c r="H655" s="25">
        <f>IF($I$15="Oui",1,0)*IF(ISNUMBER(SEARCH("La distance moyenne d'un trajet",I653)),1,0)</f>
        <v>0</v>
      </c>
      <c r="I655" s="28"/>
      <c r="J655" s="27"/>
      <c r="K655" s="25" t="s">
        <v>88</v>
      </c>
      <c r="L655" s="28"/>
    </row>
    <row r="656" spans="1:12" s="25" customFormat="1" outlineLevel="1" x14ac:dyDescent="0.25">
      <c r="A656" s="25" t="s">
        <v>134</v>
      </c>
      <c r="B656" s="25">
        <v>183</v>
      </c>
      <c r="C656" s="25" t="str">
        <f t="shared" si="599"/>
        <v>Catégorie 17</v>
      </c>
      <c r="D656" s="25" t="s">
        <v>147</v>
      </c>
      <c r="F656" s="25" t="str">
        <f t="shared" ref="F656" si="663">_xlfn.CONCAT("FretFluv",LEFT(C656,3),IF(INT(B656/11)&lt;8,RIGHT(C656,1),RIGHT(C656,2)),"EmportMoy")</f>
        <v>FretFluvCat17EmportMoy</v>
      </c>
      <c r="G656" s="25" t="s">
        <v>17</v>
      </c>
      <c r="H656" s="25">
        <f>IF($I$15="Oui",1,0)*IF(ISNUMBER(SEARCH("La masse moyenne transportée pour un trajet",I653)),1,0)</f>
        <v>0</v>
      </c>
      <c r="I656" s="28"/>
      <c r="J656" s="27"/>
      <c r="K656" s="25" t="s">
        <v>148</v>
      </c>
      <c r="L656" s="28"/>
    </row>
    <row r="657" spans="1:12" s="25" customFormat="1" outlineLevel="1" x14ac:dyDescent="0.25">
      <c r="A657" s="25" t="s">
        <v>134</v>
      </c>
      <c r="B657" s="25">
        <v>184</v>
      </c>
      <c r="C657" s="25" t="str">
        <f t="shared" si="599"/>
        <v>Catégorie 17</v>
      </c>
      <c r="D657" s="25" t="s">
        <v>149</v>
      </c>
      <c r="F657" s="25" t="str">
        <f t="shared" ref="F657" si="664">_xlfn.CONCAT("FretFluv",LEFT(C657,3),IF(INT(B657/11)&lt;8,RIGHT(C657,1),RIGHT(C657,2)),"DistAn")</f>
        <v>FretFluvCat17DistAn</v>
      </c>
      <c r="G657" s="25" t="s">
        <v>17</v>
      </c>
      <c r="H657" s="25">
        <f>IF($I$15="Oui",1,0)*IF(ISNUMBER(SEARCH("La distance parcourue annuellement pour ce type de barge",I653)),1,0)</f>
        <v>0</v>
      </c>
      <c r="I657" s="28"/>
      <c r="J657" s="27"/>
      <c r="K657" s="25" t="s">
        <v>88</v>
      </c>
    </row>
    <row r="658" spans="1:12" s="25" customFormat="1" outlineLevel="1" x14ac:dyDescent="0.25">
      <c r="A658" s="25" t="s">
        <v>134</v>
      </c>
      <c r="B658" s="25">
        <v>185</v>
      </c>
      <c r="C658" s="25" t="str">
        <f t="shared" si="599"/>
        <v>Catégorie 17</v>
      </c>
      <c r="D658" s="25" t="s">
        <v>150</v>
      </c>
      <c r="F658" s="25" t="str">
        <f t="shared" ref="F658" si="665">_xlfn.CONCAT("FretFluv",LEFT(C658,3),IF(INT(B658/11)&lt;8,RIGHT(C658,1),RIGHT(C658,2)),"TauxChargeMoy")</f>
        <v>FretFluvCat17TauxChargeMoy</v>
      </c>
      <c r="G658" s="25" t="s">
        <v>17</v>
      </c>
      <c r="H658" s="25">
        <f>IF($I$15="Oui",1,0)*IF(ISNUMBER(SEARCH("Le taux de chargement moyen",I653)),1,0)</f>
        <v>0</v>
      </c>
      <c r="I658" s="28"/>
      <c r="J658" s="27"/>
      <c r="K658" s="25" t="s">
        <v>70</v>
      </c>
    </row>
    <row r="659" spans="1:12" s="25" customFormat="1" outlineLevel="1" x14ac:dyDescent="0.25">
      <c r="A659" s="25" t="s">
        <v>134</v>
      </c>
      <c r="B659" s="25">
        <v>186</v>
      </c>
      <c r="C659" s="25" t="str">
        <f t="shared" si="599"/>
        <v>Catégorie 17</v>
      </c>
      <c r="D659" s="26" t="s">
        <v>526</v>
      </c>
      <c r="F659" s="25" t="str">
        <f t="shared" ref="F659" si="666">_xlfn.CONCAT("FretFluv",LEFT(C659,3),IF(INT(B659/11)&lt;8,RIGHT(C659,1),RIGHT(C659,2)),"NbBarges")</f>
        <v>FretFluvCat17NbBarges</v>
      </c>
      <c r="G659" s="25" t="s">
        <v>17</v>
      </c>
      <c r="H659" s="25">
        <f>IF($I$15="Oui",1,0)</f>
        <v>1</v>
      </c>
      <c r="I659" s="28"/>
      <c r="J659" s="27"/>
      <c r="K659" s="25" t="s">
        <v>151</v>
      </c>
    </row>
    <row r="660" spans="1:12" s="25" customFormat="1" outlineLevel="1" x14ac:dyDescent="0.25">
      <c r="A660" s="25" t="s">
        <v>134</v>
      </c>
      <c r="B660" s="25">
        <v>187</v>
      </c>
      <c r="C660" s="25" t="str">
        <f t="shared" si="599"/>
        <v>Catégorie 18</v>
      </c>
      <c r="D660" s="25" t="s">
        <v>135</v>
      </c>
      <c r="F660" s="25" t="str">
        <f t="shared" ref="F660" si="667">_xlfn.CONCAT("FretFluv",LEFT(C660,3),IF(INT(B660/11)&lt;8,RIGHT(C660,1),RIGHT(C660,2)),"Nom")</f>
        <v>FretFluvCat18Nom</v>
      </c>
      <c r="G660" s="26" t="s">
        <v>20</v>
      </c>
      <c r="H660" s="25">
        <f>IF($I$15="Oui",1,0)</f>
        <v>1</v>
      </c>
      <c r="I660" s="28"/>
      <c r="J660" s="27" t="str">
        <f>VLOOKUP(C660,'Parcs types'!$B$65:$AA$120,2,FALSE)</f>
        <v>Automoteurs 650-999 tonnes Phase V, HVO</v>
      </c>
      <c r="L660" s="25" t="str">
        <f>J660</f>
        <v>Automoteurs 650-999 tonnes Phase V, HVO</v>
      </c>
    </row>
    <row r="661" spans="1:12" s="25" customFormat="1" outlineLevel="1" x14ac:dyDescent="0.25">
      <c r="A661" s="25" t="s">
        <v>134</v>
      </c>
      <c r="B661" s="25">
        <v>188</v>
      </c>
      <c r="C661" s="25" t="str">
        <f t="shared" si="599"/>
        <v>Catégorie 18</v>
      </c>
      <c r="D661" s="25" t="s">
        <v>136</v>
      </c>
      <c r="F661" s="25" t="str">
        <f t="shared" ref="F661" si="668">_xlfn.CONCAT("FretFluv",LEFT(C661,3),IF(INT(B661/11)&lt;8,RIGHT(C661,1),RIGHT(C661,2)),"Type")</f>
        <v>FretFluvCat18Type</v>
      </c>
      <c r="G661" s="25" t="s">
        <v>20</v>
      </c>
      <c r="H661" s="25">
        <f t="shared" ref="H661:H663" si="669">IF($I$15="Oui",1,0)</f>
        <v>1</v>
      </c>
      <c r="I661" s="28"/>
      <c r="J661" s="27" t="str">
        <f>VLOOKUP(C661,'Parcs types'!$B$65:$AA$120,3,FALSE)</f>
        <v>Automoteurs</v>
      </c>
      <c r="L661" s="25" t="str">
        <f t="shared" ref="L661:L663" si="670">J661</f>
        <v>Automoteurs</v>
      </c>
    </row>
    <row r="662" spans="1:12" s="25" customFormat="1" outlineLevel="1" x14ac:dyDescent="0.25">
      <c r="A662" s="25" t="s">
        <v>134</v>
      </c>
      <c r="B662" s="25">
        <v>189</v>
      </c>
      <c r="C662" s="25" t="str">
        <f t="shared" si="599"/>
        <v>Catégorie 18</v>
      </c>
      <c r="D662" s="26" t="s">
        <v>137</v>
      </c>
      <c r="F662" s="25" t="str">
        <f t="shared" ref="F662" si="671">_xlfn.CONCAT("FretFluv",LEFT(C662,3),IF(INT(B662/11)&lt;8,RIGHT(C662,1),RIGHT(C662,2)),"Cap")</f>
        <v>FretFluvCat18Cap</v>
      </c>
      <c r="G662" s="26" t="s">
        <v>36</v>
      </c>
      <c r="H662" s="25">
        <f t="shared" si="669"/>
        <v>1</v>
      </c>
      <c r="I662" s="28"/>
      <c r="J662" s="27" t="str">
        <f>VLOOKUP(C662,'Parcs types'!$B$65:$AA$120,4,FALSE)</f>
        <v>650-999 tonnes</v>
      </c>
      <c r="K662" s="25" t="s">
        <v>524</v>
      </c>
      <c r="L662" s="25" t="str">
        <f t="shared" si="670"/>
        <v>650-999 tonnes</v>
      </c>
    </row>
    <row r="663" spans="1:12" s="25" customFormat="1" outlineLevel="1" x14ac:dyDescent="0.25">
      <c r="A663" s="25" t="s">
        <v>134</v>
      </c>
      <c r="B663" s="25">
        <v>190</v>
      </c>
      <c r="C663" s="25" t="str">
        <f t="shared" si="599"/>
        <v>Catégorie 18</v>
      </c>
      <c r="D663" s="26" t="s">
        <v>525</v>
      </c>
      <c r="F663" s="25" t="str">
        <f t="shared" ref="F663" si="672">_xlfn.CONCAT("FretFluv",LEFT(C663,3),IF(INT(B663/11)&lt;8,RIGHT(C663,1),RIGHT(C663,2)),"Tech")</f>
        <v>FretFluvCat18Tech</v>
      </c>
      <c r="G663" s="26" t="s">
        <v>20</v>
      </c>
      <c r="H663" s="25">
        <f t="shared" si="669"/>
        <v>1</v>
      </c>
      <c r="I663" s="28"/>
      <c r="J663" s="27" t="str">
        <f>VLOOKUP(C663,'Parcs types'!$B$65:$AA$120,5,FALSE)</f>
        <v>Phase V, HVO</v>
      </c>
      <c r="L663" s="25" t="str">
        <f t="shared" si="670"/>
        <v>Phase V, HVO</v>
      </c>
    </row>
    <row r="664" spans="1:12" s="25" customFormat="1" outlineLevel="1" x14ac:dyDescent="0.25">
      <c r="A664" s="25" t="s">
        <v>134</v>
      </c>
      <c r="B664" s="25">
        <v>191</v>
      </c>
      <c r="C664" s="25" t="str">
        <f t="shared" si="599"/>
        <v>Catégorie 18</v>
      </c>
      <c r="D664" s="25" t="s">
        <v>140</v>
      </c>
      <c r="F664" s="25" t="str">
        <f t="shared" ref="F664" si="673">_xlfn.CONCAT("FretFluv",LEFT(C664,3),IF(INT(B664/11)&lt;8,RIGHT(C664,1),RIGHT(C664,2)),"Request")</f>
        <v>FretFluvCat18Request</v>
      </c>
      <c r="G664" s="26" t="s">
        <v>20</v>
      </c>
      <c r="H664" s="25">
        <f>IF($I$15="Oui",1,0)</f>
        <v>1</v>
      </c>
      <c r="J664" s="27" t="s">
        <v>142</v>
      </c>
      <c r="L664" s="28"/>
    </row>
    <row r="665" spans="1:12" s="25" customFormat="1" outlineLevel="1" x14ac:dyDescent="0.25">
      <c r="A665" s="25" t="s">
        <v>134</v>
      </c>
      <c r="B665" s="25">
        <v>192</v>
      </c>
      <c r="C665" s="25" t="str">
        <f t="shared" si="599"/>
        <v>Catégorie 18</v>
      </c>
      <c r="D665" s="25" t="s">
        <v>144</v>
      </c>
      <c r="F665" s="25" t="str">
        <f t="shared" ref="F665" si="674">_xlfn.CONCAT("FretFluv",LEFT(C665,3),IF(INT(B665/11)&lt;8,RIGHT(C665,1),RIGHT(C665,2)),"NbTraj")</f>
        <v>FretFluvCat18NbTraj</v>
      </c>
      <c r="G665" s="25" t="s">
        <v>17</v>
      </c>
      <c r="H665" s="25">
        <f>IF($I$15="Oui",1,0)*IF(ISNUMBER(SEARCH("Une estimation du nombre annuel de trajets pour ce type de barge",I664)),1,0)</f>
        <v>0</v>
      </c>
      <c r="I665" s="28"/>
      <c r="J665" s="27"/>
      <c r="K665" s="25" t="s">
        <v>145</v>
      </c>
      <c r="L665" s="28"/>
    </row>
    <row r="666" spans="1:12" s="25" customFormat="1" outlineLevel="1" x14ac:dyDescent="0.25">
      <c r="A666" s="25" t="s">
        <v>134</v>
      </c>
      <c r="B666" s="25">
        <v>193</v>
      </c>
      <c r="C666" s="25" t="str">
        <f t="shared" ref="C666:C729" si="675">"Catégorie "&amp;INT(B666/11)+1</f>
        <v>Catégorie 18</v>
      </c>
      <c r="D666" s="25" t="s">
        <v>146</v>
      </c>
      <c r="F666" s="25" t="str">
        <f t="shared" ref="F666" si="676">_xlfn.CONCAT("FretFluv",LEFT(C666,3),IF(INT(B666/11)&lt;8,RIGHT(C666,1),RIGHT(C666,2)),"DistMoy")</f>
        <v>FretFluvCat18DistMoy</v>
      </c>
      <c r="G666" s="25" t="s">
        <v>17</v>
      </c>
      <c r="H666" s="25">
        <f>IF($I$15="Oui",1,0)*IF(ISNUMBER(SEARCH("La distance moyenne d'un trajet",I664)),1,0)</f>
        <v>0</v>
      </c>
      <c r="I666" s="28"/>
      <c r="J666" s="27"/>
      <c r="K666" s="25" t="s">
        <v>88</v>
      </c>
      <c r="L666" s="28"/>
    </row>
    <row r="667" spans="1:12" s="25" customFormat="1" outlineLevel="1" x14ac:dyDescent="0.25">
      <c r="A667" s="25" t="s">
        <v>134</v>
      </c>
      <c r="B667" s="25">
        <v>194</v>
      </c>
      <c r="C667" s="25" t="str">
        <f t="shared" si="675"/>
        <v>Catégorie 18</v>
      </c>
      <c r="D667" s="25" t="s">
        <v>147</v>
      </c>
      <c r="F667" s="25" t="str">
        <f t="shared" ref="F667" si="677">_xlfn.CONCAT("FretFluv",LEFT(C667,3),IF(INT(B667/11)&lt;8,RIGHT(C667,1),RIGHT(C667,2)),"EmportMoy")</f>
        <v>FretFluvCat18EmportMoy</v>
      </c>
      <c r="G667" s="25" t="s">
        <v>17</v>
      </c>
      <c r="H667" s="25">
        <f>IF($I$15="Oui",1,0)*IF(ISNUMBER(SEARCH("La masse moyenne transportée pour un trajet",I664)),1,0)</f>
        <v>0</v>
      </c>
      <c r="I667" s="28"/>
      <c r="J667" s="27"/>
      <c r="K667" s="25" t="s">
        <v>148</v>
      </c>
      <c r="L667" s="28"/>
    </row>
    <row r="668" spans="1:12" s="25" customFormat="1" outlineLevel="1" x14ac:dyDescent="0.25">
      <c r="A668" s="25" t="s">
        <v>134</v>
      </c>
      <c r="B668" s="25">
        <v>195</v>
      </c>
      <c r="C668" s="25" t="str">
        <f t="shared" si="675"/>
        <v>Catégorie 18</v>
      </c>
      <c r="D668" s="25" t="s">
        <v>149</v>
      </c>
      <c r="F668" s="25" t="str">
        <f t="shared" ref="F668" si="678">_xlfn.CONCAT("FretFluv",LEFT(C668,3),IF(INT(B668/11)&lt;8,RIGHT(C668,1),RIGHT(C668,2)),"DistAn")</f>
        <v>FretFluvCat18DistAn</v>
      </c>
      <c r="G668" s="25" t="s">
        <v>17</v>
      </c>
      <c r="H668" s="25">
        <f>IF($I$15="Oui",1,0)*IF(ISNUMBER(SEARCH("La distance parcourue annuellement pour ce type de barge",I664)),1,0)</f>
        <v>0</v>
      </c>
      <c r="I668" s="28"/>
      <c r="J668" s="27"/>
      <c r="K668" s="25" t="s">
        <v>88</v>
      </c>
      <c r="L668" s="28"/>
    </row>
    <row r="669" spans="1:12" s="25" customFormat="1" outlineLevel="1" x14ac:dyDescent="0.25">
      <c r="A669" s="25" t="s">
        <v>134</v>
      </c>
      <c r="B669" s="25">
        <v>196</v>
      </c>
      <c r="C669" s="25" t="str">
        <f t="shared" si="675"/>
        <v>Catégorie 18</v>
      </c>
      <c r="D669" s="25" t="s">
        <v>150</v>
      </c>
      <c r="F669" s="25" t="str">
        <f t="shared" ref="F669" si="679">_xlfn.CONCAT("FretFluv",LEFT(C669,3),IF(INT(B669/11)&lt;8,RIGHT(C669,1),RIGHT(C669,2)),"TauxChargeMoy")</f>
        <v>FretFluvCat18TauxChargeMoy</v>
      </c>
      <c r="G669" s="25" t="s">
        <v>17</v>
      </c>
      <c r="H669" s="25">
        <f>IF($I$15="Oui",1,0)*IF(ISNUMBER(SEARCH("Le taux de chargement moyen",I664)),1,0)</f>
        <v>0</v>
      </c>
      <c r="I669" s="28"/>
      <c r="J669" s="27"/>
      <c r="K669" s="25" t="s">
        <v>70</v>
      </c>
      <c r="L669" s="28"/>
    </row>
    <row r="670" spans="1:12" s="25" customFormat="1" outlineLevel="1" x14ac:dyDescent="0.25">
      <c r="A670" s="25" t="s">
        <v>134</v>
      </c>
      <c r="B670" s="25">
        <v>197</v>
      </c>
      <c r="C670" s="25" t="str">
        <f t="shared" si="675"/>
        <v>Catégorie 18</v>
      </c>
      <c r="D670" s="26" t="s">
        <v>526</v>
      </c>
      <c r="F670" s="25" t="str">
        <f t="shared" ref="F670" si="680">_xlfn.CONCAT("FretFluv",LEFT(C670,3),IF(INT(B670/11)&lt;8,RIGHT(C670,1),RIGHT(C670,2)),"NbBarges")</f>
        <v>FretFluvCat18NbBarges</v>
      </c>
      <c r="G670" s="25" t="s">
        <v>17</v>
      </c>
      <c r="H670" s="25">
        <f>IF($I$15="Oui",1,0)</f>
        <v>1</v>
      </c>
      <c r="I670" s="28"/>
      <c r="J670" s="27"/>
      <c r="K670" s="25" t="s">
        <v>151</v>
      </c>
      <c r="L670" s="28"/>
    </row>
    <row r="671" spans="1:12" s="25" customFormat="1" outlineLevel="1" x14ac:dyDescent="0.25">
      <c r="A671" s="25" t="s">
        <v>134</v>
      </c>
      <c r="B671" s="25">
        <v>198</v>
      </c>
      <c r="C671" s="25" t="str">
        <f t="shared" si="675"/>
        <v>Catégorie 19</v>
      </c>
      <c r="D671" s="25" t="s">
        <v>135</v>
      </c>
      <c r="F671" s="25" t="str">
        <f t="shared" ref="F671" si="681">_xlfn.CONCAT("FretFluv",LEFT(C671,3),IF(INT(B671/11)&lt;8,RIGHT(C671,1),RIGHT(C671,2)),"Nom")</f>
        <v>FretFluvCat19Nom</v>
      </c>
      <c r="G671" s="26" t="s">
        <v>20</v>
      </c>
      <c r="H671" s="25">
        <f>IF($I$15="Oui",1,0)</f>
        <v>1</v>
      </c>
      <c r="I671" s="28"/>
      <c r="J671" s="27" t="str">
        <f>VLOOKUP(C671,'Parcs types'!$B$65:$AA$120,2,FALSE)</f>
        <v>Automoteurs 650-999 tonnes Batterie</v>
      </c>
      <c r="L671" s="25" t="str">
        <f>J671</f>
        <v>Automoteurs 650-999 tonnes Batterie</v>
      </c>
    </row>
    <row r="672" spans="1:12" s="25" customFormat="1" outlineLevel="1" x14ac:dyDescent="0.25">
      <c r="A672" s="25" t="s">
        <v>134</v>
      </c>
      <c r="B672" s="25">
        <v>199</v>
      </c>
      <c r="C672" s="25" t="str">
        <f t="shared" si="675"/>
        <v>Catégorie 19</v>
      </c>
      <c r="D672" s="25" t="s">
        <v>136</v>
      </c>
      <c r="F672" s="25" t="str">
        <f t="shared" ref="F672" si="682">_xlfn.CONCAT("FretFluv",LEFT(C672,3),IF(INT(B672/11)&lt;8,RIGHT(C672,1),RIGHT(C672,2)),"Type")</f>
        <v>FretFluvCat19Type</v>
      </c>
      <c r="G672" s="25" t="s">
        <v>20</v>
      </c>
      <c r="H672" s="25">
        <f t="shared" ref="H672:H674" si="683">IF($I$15="Oui",1,0)</f>
        <v>1</v>
      </c>
      <c r="I672" s="28"/>
      <c r="J672" s="27" t="str">
        <f>VLOOKUP(C672,'Parcs types'!$B$65:$AA$120,3,FALSE)</f>
        <v>Automoteurs</v>
      </c>
      <c r="L672" s="25" t="str">
        <f t="shared" ref="L672:L674" si="684">J672</f>
        <v>Automoteurs</v>
      </c>
    </row>
    <row r="673" spans="1:12" s="25" customFormat="1" outlineLevel="1" x14ac:dyDescent="0.25">
      <c r="A673" s="25" t="s">
        <v>134</v>
      </c>
      <c r="B673" s="25">
        <v>200</v>
      </c>
      <c r="C673" s="25" t="str">
        <f t="shared" si="675"/>
        <v>Catégorie 19</v>
      </c>
      <c r="D673" s="26" t="s">
        <v>137</v>
      </c>
      <c r="F673" s="25" t="str">
        <f t="shared" ref="F673" si="685">_xlfn.CONCAT("FretFluv",LEFT(C673,3),IF(INT(B673/11)&lt;8,RIGHT(C673,1),RIGHT(C673,2)),"Cap")</f>
        <v>FretFluvCat19Cap</v>
      </c>
      <c r="G673" s="26" t="s">
        <v>36</v>
      </c>
      <c r="H673" s="25">
        <f t="shared" si="683"/>
        <v>1</v>
      </c>
      <c r="I673" s="28"/>
      <c r="J673" s="27" t="str">
        <f>VLOOKUP(C673,'Parcs types'!$B$65:$AA$120,4,FALSE)</f>
        <v>650-999 tonnes</v>
      </c>
      <c r="K673" s="25" t="s">
        <v>524</v>
      </c>
      <c r="L673" s="25" t="str">
        <f t="shared" si="684"/>
        <v>650-999 tonnes</v>
      </c>
    </row>
    <row r="674" spans="1:12" s="25" customFormat="1" outlineLevel="1" x14ac:dyDescent="0.25">
      <c r="A674" s="25" t="s">
        <v>134</v>
      </c>
      <c r="B674" s="25">
        <v>201</v>
      </c>
      <c r="C674" s="25" t="str">
        <f t="shared" si="675"/>
        <v>Catégorie 19</v>
      </c>
      <c r="D674" s="26" t="s">
        <v>525</v>
      </c>
      <c r="F674" s="25" t="str">
        <f t="shared" ref="F674" si="686">_xlfn.CONCAT("FretFluv",LEFT(C674,3),IF(INT(B674/11)&lt;8,RIGHT(C674,1),RIGHT(C674,2)),"Tech")</f>
        <v>FretFluvCat19Tech</v>
      </c>
      <c r="G674" s="26" t="s">
        <v>20</v>
      </c>
      <c r="H674" s="25">
        <f t="shared" si="683"/>
        <v>1</v>
      </c>
      <c r="I674" s="28"/>
      <c r="J674" s="27" t="str">
        <f>VLOOKUP(C674,'Parcs types'!$B$65:$AA$120,5,FALSE)</f>
        <v>Batterie</v>
      </c>
      <c r="L674" s="25" t="str">
        <f t="shared" si="684"/>
        <v>Batterie</v>
      </c>
    </row>
    <row r="675" spans="1:12" s="25" customFormat="1" outlineLevel="1" x14ac:dyDescent="0.25">
      <c r="A675" s="25" t="s">
        <v>134</v>
      </c>
      <c r="B675" s="25">
        <v>202</v>
      </c>
      <c r="C675" s="25" t="str">
        <f t="shared" si="675"/>
        <v>Catégorie 19</v>
      </c>
      <c r="D675" s="25" t="s">
        <v>140</v>
      </c>
      <c r="F675" s="25" t="str">
        <f t="shared" ref="F675" si="687">_xlfn.CONCAT("FretFluv",LEFT(C675,3),IF(INT(B675/11)&lt;8,RIGHT(C675,1),RIGHT(C675,2)),"Request")</f>
        <v>FretFluvCat19Request</v>
      </c>
      <c r="G675" s="26" t="s">
        <v>20</v>
      </c>
      <c r="H675" s="25">
        <f>IF($I$15="Oui",1,0)</f>
        <v>1</v>
      </c>
      <c r="J675" s="27" t="s">
        <v>142</v>
      </c>
      <c r="L675" s="28"/>
    </row>
    <row r="676" spans="1:12" s="25" customFormat="1" outlineLevel="1" x14ac:dyDescent="0.25">
      <c r="A676" s="25" t="s">
        <v>134</v>
      </c>
      <c r="B676" s="25">
        <v>203</v>
      </c>
      <c r="C676" s="25" t="str">
        <f t="shared" si="675"/>
        <v>Catégorie 19</v>
      </c>
      <c r="D676" s="25" t="s">
        <v>144</v>
      </c>
      <c r="F676" s="25" t="str">
        <f t="shared" ref="F676" si="688">_xlfn.CONCAT("FretFluv",LEFT(C676,3),IF(INT(B676/11)&lt;8,RIGHT(C676,1),RIGHT(C676,2)),"NbTraj")</f>
        <v>FretFluvCat19NbTraj</v>
      </c>
      <c r="G676" s="25" t="s">
        <v>17</v>
      </c>
      <c r="H676" s="25">
        <f>IF($I$15="Oui",1,0)*IF(ISNUMBER(SEARCH("Une estimation du nombre annuel de trajets pour ce type de barge",I675)),1,0)</f>
        <v>0</v>
      </c>
      <c r="I676" s="28"/>
      <c r="J676" s="27"/>
      <c r="K676" s="25" t="s">
        <v>145</v>
      </c>
      <c r="L676" s="28"/>
    </row>
    <row r="677" spans="1:12" s="25" customFormat="1" outlineLevel="1" x14ac:dyDescent="0.25">
      <c r="A677" s="25" t="s">
        <v>134</v>
      </c>
      <c r="B677" s="25">
        <v>204</v>
      </c>
      <c r="C677" s="25" t="str">
        <f t="shared" si="675"/>
        <v>Catégorie 19</v>
      </c>
      <c r="D677" s="25" t="s">
        <v>146</v>
      </c>
      <c r="F677" s="25" t="str">
        <f t="shared" ref="F677" si="689">_xlfn.CONCAT("FretFluv",LEFT(C677,3),IF(INT(B677/11)&lt;8,RIGHT(C677,1),RIGHT(C677,2)),"DistMoy")</f>
        <v>FretFluvCat19DistMoy</v>
      </c>
      <c r="G677" s="25" t="s">
        <v>17</v>
      </c>
      <c r="H677" s="25">
        <f>IF($I$15="Oui",1,0)*IF(ISNUMBER(SEARCH("La distance moyenne d'un trajet",I675)),1,0)</f>
        <v>0</v>
      </c>
      <c r="I677" s="28"/>
      <c r="J677" s="27"/>
      <c r="K677" s="25" t="s">
        <v>88</v>
      </c>
      <c r="L677" s="28"/>
    </row>
    <row r="678" spans="1:12" s="25" customFormat="1" outlineLevel="1" x14ac:dyDescent="0.25">
      <c r="A678" s="25" t="s">
        <v>134</v>
      </c>
      <c r="B678" s="25">
        <v>205</v>
      </c>
      <c r="C678" s="25" t="str">
        <f t="shared" si="675"/>
        <v>Catégorie 19</v>
      </c>
      <c r="D678" s="25" t="s">
        <v>147</v>
      </c>
      <c r="F678" s="25" t="str">
        <f t="shared" ref="F678" si="690">_xlfn.CONCAT("FretFluv",LEFT(C678,3),IF(INT(B678/11)&lt;8,RIGHT(C678,1),RIGHT(C678,2)),"EmportMoy")</f>
        <v>FretFluvCat19EmportMoy</v>
      </c>
      <c r="G678" s="25" t="s">
        <v>17</v>
      </c>
      <c r="H678" s="25">
        <f>IF($I$15="Oui",1,0)*IF(ISNUMBER(SEARCH("La masse moyenne transportée pour un trajet",I675)),1,0)</f>
        <v>0</v>
      </c>
      <c r="I678" s="28"/>
      <c r="J678" s="27"/>
      <c r="K678" s="25" t="s">
        <v>148</v>
      </c>
      <c r="L678" s="28"/>
    </row>
    <row r="679" spans="1:12" s="25" customFormat="1" outlineLevel="1" x14ac:dyDescent="0.25">
      <c r="A679" s="25" t="s">
        <v>134</v>
      </c>
      <c r="B679" s="25">
        <v>206</v>
      </c>
      <c r="C679" s="25" t="str">
        <f t="shared" si="675"/>
        <v>Catégorie 19</v>
      </c>
      <c r="D679" s="25" t="s">
        <v>149</v>
      </c>
      <c r="F679" s="25" t="str">
        <f t="shared" ref="F679" si="691">_xlfn.CONCAT("FretFluv",LEFT(C679,3),IF(INT(B679/11)&lt;8,RIGHT(C679,1),RIGHT(C679,2)),"DistAn")</f>
        <v>FretFluvCat19DistAn</v>
      </c>
      <c r="G679" s="25" t="s">
        <v>17</v>
      </c>
      <c r="H679" s="25">
        <f>IF($I$15="Oui",1,0)*IF(ISNUMBER(SEARCH("La distance parcourue annuellement pour ce type de barge",I675)),1,0)</f>
        <v>0</v>
      </c>
      <c r="I679" s="28"/>
      <c r="J679" s="27"/>
      <c r="K679" s="25" t="s">
        <v>88</v>
      </c>
    </row>
    <row r="680" spans="1:12" s="25" customFormat="1" outlineLevel="1" x14ac:dyDescent="0.25">
      <c r="A680" s="25" t="s">
        <v>134</v>
      </c>
      <c r="B680" s="25">
        <v>207</v>
      </c>
      <c r="C680" s="25" t="str">
        <f t="shared" si="675"/>
        <v>Catégorie 19</v>
      </c>
      <c r="D680" s="25" t="s">
        <v>150</v>
      </c>
      <c r="F680" s="25" t="str">
        <f t="shared" ref="F680" si="692">_xlfn.CONCAT("FretFluv",LEFT(C680,3),IF(INT(B680/11)&lt;8,RIGHT(C680,1),RIGHT(C680,2)),"TauxChargeMoy")</f>
        <v>FretFluvCat19TauxChargeMoy</v>
      </c>
      <c r="G680" s="25" t="s">
        <v>17</v>
      </c>
      <c r="H680" s="25">
        <f>IF($I$15="Oui",1,0)*IF(ISNUMBER(SEARCH("Le taux de chargement moyen",I675)),1,0)</f>
        <v>0</v>
      </c>
      <c r="I680" s="28"/>
      <c r="J680" s="27"/>
      <c r="K680" s="25" t="s">
        <v>70</v>
      </c>
    </row>
    <row r="681" spans="1:12" s="25" customFormat="1" outlineLevel="1" x14ac:dyDescent="0.25">
      <c r="A681" s="25" t="s">
        <v>134</v>
      </c>
      <c r="B681" s="25">
        <v>208</v>
      </c>
      <c r="C681" s="25" t="str">
        <f t="shared" si="675"/>
        <v>Catégorie 19</v>
      </c>
      <c r="D681" s="26" t="s">
        <v>526</v>
      </c>
      <c r="F681" s="25" t="str">
        <f t="shared" ref="F681" si="693">_xlfn.CONCAT("FretFluv",LEFT(C681,3),IF(INT(B681/11)&lt;8,RIGHT(C681,1),RIGHT(C681,2)),"NbBarges")</f>
        <v>FretFluvCat19NbBarges</v>
      </c>
      <c r="G681" s="25" t="s">
        <v>17</v>
      </c>
      <c r="H681" s="25">
        <f>IF($I$15="Oui",1,0)</f>
        <v>1</v>
      </c>
      <c r="I681" s="28"/>
      <c r="J681" s="27"/>
      <c r="K681" s="25" t="s">
        <v>151</v>
      </c>
    </row>
    <row r="682" spans="1:12" s="25" customFormat="1" outlineLevel="1" x14ac:dyDescent="0.25">
      <c r="A682" s="25" t="s">
        <v>134</v>
      </c>
      <c r="B682" s="25">
        <v>209</v>
      </c>
      <c r="C682" s="25" t="str">
        <f t="shared" si="675"/>
        <v>Catégorie 20</v>
      </c>
      <c r="D682" s="25" t="s">
        <v>135</v>
      </c>
      <c r="F682" s="25" t="str">
        <f t="shared" ref="F682" si="694">_xlfn.CONCAT("FretFluv",LEFT(C682,3),IF(INT(B682/11)&lt;8,RIGHT(C682,1),RIGHT(C682,2)),"Nom")</f>
        <v>FretFluvCat20Nom</v>
      </c>
      <c r="G682" s="26" t="s">
        <v>20</v>
      </c>
      <c r="H682" s="25">
        <f>IF($I$15="Oui",1,0)</f>
        <v>1</v>
      </c>
      <c r="I682" s="28"/>
      <c r="J682" s="27" t="str">
        <f>VLOOKUP(C682,'Parcs types'!$B$65:$AA$120,2,FALSE)</f>
        <v>Automoteurs 650-999 tonnes H2 , PAC</v>
      </c>
      <c r="L682" s="25" t="str">
        <f>J682</f>
        <v>Automoteurs 650-999 tonnes H2 , PAC</v>
      </c>
    </row>
    <row r="683" spans="1:12" s="25" customFormat="1" outlineLevel="1" x14ac:dyDescent="0.25">
      <c r="A683" s="25" t="s">
        <v>134</v>
      </c>
      <c r="B683" s="25">
        <v>210</v>
      </c>
      <c r="C683" s="25" t="str">
        <f t="shared" si="675"/>
        <v>Catégorie 20</v>
      </c>
      <c r="D683" s="25" t="s">
        <v>136</v>
      </c>
      <c r="F683" s="25" t="str">
        <f t="shared" ref="F683" si="695">_xlfn.CONCAT("FretFluv",LEFT(C683,3),IF(INT(B683/11)&lt;8,RIGHT(C683,1),RIGHT(C683,2)),"Type")</f>
        <v>FretFluvCat20Type</v>
      </c>
      <c r="G683" s="25" t="s">
        <v>20</v>
      </c>
      <c r="H683" s="25">
        <f t="shared" ref="H683:H685" si="696">IF($I$15="Oui",1,0)</f>
        <v>1</v>
      </c>
      <c r="I683" s="28"/>
      <c r="J683" s="27" t="str">
        <f>VLOOKUP(C683,'Parcs types'!$B$65:$AA$120,3,FALSE)</f>
        <v>Automoteurs</v>
      </c>
      <c r="L683" s="25" t="str">
        <f t="shared" ref="L683:L685" si="697">J683</f>
        <v>Automoteurs</v>
      </c>
    </row>
    <row r="684" spans="1:12" s="25" customFormat="1" outlineLevel="1" x14ac:dyDescent="0.25">
      <c r="A684" s="25" t="s">
        <v>134</v>
      </c>
      <c r="B684" s="25">
        <v>211</v>
      </c>
      <c r="C684" s="25" t="str">
        <f t="shared" si="675"/>
        <v>Catégorie 20</v>
      </c>
      <c r="D684" s="26" t="s">
        <v>137</v>
      </c>
      <c r="F684" s="25" t="str">
        <f t="shared" ref="F684" si="698">_xlfn.CONCAT("FretFluv",LEFT(C684,3),IF(INT(B684/11)&lt;8,RIGHT(C684,1),RIGHT(C684,2)),"Cap")</f>
        <v>FretFluvCat20Cap</v>
      </c>
      <c r="G684" s="26" t="s">
        <v>36</v>
      </c>
      <c r="H684" s="25">
        <f t="shared" si="696"/>
        <v>1</v>
      </c>
      <c r="I684" s="28"/>
      <c r="J684" s="27" t="str">
        <f>VLOOKUP(C684,'Parcs types'!$B$65:$AA$120,4,FALSE)</f>
        <v>650-999 tonnes</v>
      </c>
      <c r="K684" s="25" t="s">
        <v>524</v>
      </c>
      <c r="L684" s="25" t="str">
        <f t="shared" si="697"/>
        <v>650-999 tonnes</v>
      </c>
    </row>
    <row r="685" spans="1:12" s="25" customFormat="1" outlineLevel="1" x14ac:dyDescent="0.25">
      <c r="A685" s="25" t="s">
        <v>134</v>
      </c>
      <c r="B685" s="25">
        <v>212</v>
      </c>
      <c r="C685" s="25" t="str">
        <f t="shared" si="675"/>
        <v>Catégorie 20</v>
      </c>
      <c r="D685" s="26" t="s">
        <v>525</v>
      </c>
      <c r="F685" s="25" t="str">
        <f t="shared" ref="F685" si="699">_xlfn.CONCAT("FretFluv",LEFT(C685,3),IF(INT(B685/11)&lt;8,RIGHT(C685,1),RIGHT(C685,2)),"Tech")</f>
        <v>FretFluvCat20Tech</v>
      </c>
      <c r="G685" s="26" t="s">
        <v>20</v>
      </c>
      <c r="H685" s="25">
        <f t="shared" si="696"/>
        <v>1</v>
      </c>
      <c r="I685" s="28"/>
      <c r="J685" s="27" t="str">
        <f>VLOOKUP(C685,'Parcs types'!$B$65:$AA$120,5,FALSE)</f>
        <v>H2 , PAC</v>
      </c>
      <c r="L685" s="25" t="str">
        <f t="shared" si="697"/>
        <v>H2 , PAC</v>
      </c>
    </row>
    <row r="686" spans="1:12" s="25" customFormat="1" outlineLevel="1" x14ac:dyDescent="0.25">
      <c r="A686" s="25" t="s">
        <v>134</v>
      </c>
      <c r="B686" s="25">
        <v>213</v>
      </c>
      <c r="C686" s="25" t="str">
        <f t="shared" si="675"/>
        <v>Catégorie 20</v>
      </c>
      <c r="D686" s="25" t="s">
        <v>140</v>
      </c>
      <c r="F686" s="25" t="str">
        <f t="shared" ref="F686" si="700">_xlfn.CONCAT("FretFluv",LEFT(C686,3),IF(INT(B686/11)&lt;8,RIGHT(C686,1),RIGHT(C686,2)),"Request")</f>
        <v>FretFluvCat20Request</v>
      </c>
      <c r="G686" s="26" t="s">
        <v>20</v>
      </c>
      <c r="H686" s="25">
        <f>IF($I$15="Oui",1,0)</f>
        <v>1</v>
      </c>
      <c r="J686" s="27" t="s">
        <v>142</v>
      </c>
      <c r="L686" s="28"/>
    </row>
    <row r="687" spans="1:12" s="25" customFormat="1" outlineLevel="1" x14ac:dyDescent="0.25">
      <c r="A687" s="25" t="s">
        <v>134</v>
      </c>
      <c r="B687" s="25">
        <v>214</v>
      </c>
      <c r="C687" s="25" t="str">
        <f t="shared" si="675"/>
        <v>Catégorie 20</v>
      </c>
      <c r="D687" s="25" t="s">
        <v>144</v>
      </c>
      <c r="F687" s="25" t="str">
        <f t="shared" ref="F687" si="701">_xlfn.CONCAT("FretFluv",LEFT(C687,3),IF(INT(B687/11)&lt;8,RIGHT(C687,1),RIGHT(C687,2)),"NbTraj")</f>
        <v>FretFluvCat20NbTraj</v>
      </c>
      <c r="G687" s="25" t="s">
        <v>17</v>
      </c>
      <c r="H687" s="25">
        <f>IF($I$15="Oui",1,0)*IF(ISNUMBER(SEARCH("Une estimation du nombre annuel de trajets pour ce type de barge",I686)),1,0)</f>
        <v>0</v>
      </c>
      <c r="I687" s="28"/>
      <c r="J687" s="27"/>
      <c r="K687" s="25" t="s">
        <v>145</v>
      </c>
      <c r="L687" s="28"/>
    </row>
    <row r="688" spans="1:12" s="25" customFormat="1" outlineLevel="1" x14ac:dyDescent="0.25">
      <c r="A688" s="25" t="s">
        <v>134</v>
      </c>
      <c r="B688" s="25">
        <v>215</v>
      </c>
      <c r="C688" s="25" t="str">
        <f t="shared" si="675"/>
        <v>Catégorie 20</v>
      </c>
      <c r="D688" s="25" t="s">
        <v>146</v>
      </c>
      <c r="F688" s="25" t="str">
        <f t="shared" ref="F688" si="702">_xlfn.CONCAT("FretFluv",LEFT(C688,3),IF(INT(B688/11)&lt;8,RIGHT(C688,1),RIGHT(C688,2)),"DistMoy")</f>
        <v>FretFluvCat20DistMoy</v>
      </c>
      <c r="G688" s="25" t="s">
        <v>17</v>
      </c>
      <c r="H688" s="25">
        <f>IF($I$15="Oui",1,0)*IF(ISNUMBER(SEARCH("La distance moyenne d'un trajet",I686)),1,0)</f>
        <v>0</v>
      </c>
      <c r="I688" s="28"/>
      <c r="J688" s="27"/>
      <c r="K688" s="25" t="s">
        <v>88</v>
      </c>
      <c r="L688" s="28"/>
    </row>
    <row r="689" spans="1:12" s="25" customFormat="1" outlineLevel="1" x14ac:dyDescent="0.25">
      <c r="A689" s="25" t="s">
        <v>134</v>
      </c>
      <c r="B689" s="25">
        <v>216</v>
      </c>
      <c r="C689" s="25" t="str">
        <f t="shared" si="675"/>
        <v>Catégorie 20</v>
      </c>
      <c r="D689" s="25" t="s">
        <v>147</v>
      </c>
      <c r="F689" s="25" t="str">
        <f t="shared" ref="F689" si="703">_xlfn.CONCAT("FretFluv",LEFT(C689,3),IF(INT(B689/11)&lt;8,RIGHT(C689,1),RIGHT(C689,2)),"EmportMoy")</f>
        <v>FretFluvCat20EmportMoy</v>
      </c>
      <c r="G689" s="25" t="s">
        <v>17</v>
      </c>
      <c r="H689" s="25">
        <f>IF($I$15="Oui",1,0)*IF(ISNUMBER(SEARCH("La masse moyenne transportée pour un trajet",I686)),1,0)</f>
        <v>0</v>
      </c>
      <c r="I689" s="28"/>
      <c r="J689" s="27"/>
      <c r="K689" s="25" t="s">
        <v>148</v>
      </c>
      <c r="L689" s="28"/>
    </row>
    <row r="690" spans="1:12" s="25" customFormat="1" outlineLevel="1" x14ac:dyDescent="0.25">
      <c r="A690" s="25" t="s">
        <v>134</v>
      </c>
      <c r="B690" s="25">
        <v>217</v>
      </c>
      <c r="C690" s="25" t="str">
        <f t="shared" si="675"/>
        <v>Catégorie 20</v>
      </c>
      <c r="D690" s="25" t="s">
        <v>149</v>
      </c>
      <c r="F690" s="25" t="str">
        <f t="shared" ref="F690" si="704">_xlfn.CONCAT("FretFluv",LEFT(C690,3),IF(INT(B690/11)&lt;8,RIGHT(C690,1),RIGHT(C690,2)),"DistAn")</f>
        <v>FretFluvCat20DistAn</v>
      </c>
      <c r="G690" s="25" t="s">
        <v>17</v>
      </c>
      <c r="H690" s="25">
        <f>IF($I$15="Oui",1,0)*IF(ISNUMBER(SEARCH("La distance parcourue annuellement pour ce type de barge",I686)),1,0)</f>
        <v>0</v>
      </c>
      <c r="I690" s="28"/>
      <c r="J690" s="27"/>
      <c r="K690" s="25" t="s">
        <v>88</v>
      </c>
      <c r="L690" s="28"/>
    </row>
    <row r="691" spans="1:12" s="25" customFormat="1" outlineLevel="1" x14ac:dyDescent="0.25">
      <c r="A691" s="25" t="s">
        <v>134</v>
      </c>
      <c r="B691" s="25">
        <v>218</v>
      </c>
      <c r="C691" s="25" t="str">
        <f t="shared" si="675"/>
        <v>Catégorie 20</v>
      </c>
      <c r="D691" s="25" t="s">
        <v>150</v>
      </c>
      <c r="F691" s="25" t="str">
        <f t="shared" ref="F691" si="705">_xlfn.CONCAT("FretFluv",LEFT(C691,3),IF(INT(B691/11)&lt;8,RIGHT(C691,1),RIGHT(C691,2)),"TauxChargeMoy")</f>
        <v>FretFluvCat20TauxChargeMoy</v>
      </c>
      <c r="G691" s="25" t="s">
        <v>17</v>
      </c>
      <c r="H691" s="25">
        <f>IF($I$15="Oui",1,0)*IF(ISNUMBER(SEARCH("Le taux de chargement moyen",I686)),1,0)</f>
        <v>0</v>
      </c>
      <c r="I691" s="28"/>
      <c r="J691" s="27"/>
      <c r="K691" s="25" t="s">
        <v>70</v>
      </c>
      <c r="L691" s="28"/>
    </row>
    <row r="692" spans="1:12" s="25" customFormat="1" outlineLevel="1" x14ac:dyDescent="0.25">
      <c r="A692" s="25" t="s">
        <v>134</v>
      </c>
      <c r="B692" s="25">
        <v>219</v>
      </c>
      <c r="C692" s="25" t="str">
        <f t="shared" si="675"/>
        <v>Catégorie 20</v>
      </c>
      <c r="D692" s="26" t="s">
        <v>526</v>
      </c>
      <c r="F692" s="25" t="str">
        <f t="shared" ref="F692" si="706">_xlfn.CONCAT("FretFluv",LEFT(C692,3),IF(INT(B692/11)&lt;8,RIGHT(C692,1),RIGHT(C692,2)),"NbBarges")</f>
        <v>FretFluvCat20NbBarges</v>
      </c>
      <c r="G692" s="25" t="s">
        <v>17</v>
      </c>
      <c r="H692" s="25">
        <f>IF($I$15="Oui",1,0)</f>
        <v>1</v>
      </c>
      <c r="I692" s="28"/>
      <c r="J692" s="27"/>
      <c r="K692" s="25" t="s">
        <v>151</v>
      </c>
      <c r="L692" s="28"/>
    </row>
    <row r="693" spans="1:12" s="25" customFormat="1" outlineLevel="1" x14ac:dyDescent="0.25">
      <c r="A693" s="25" t="s">
        <v>134</v>
      </c>
      <c r="B693" s="25">
        <v>220</v>
      </c>
      <c r="C693" s="25" t="str">
        <f t="shared" si="675"/>
        <v>Catégorie 21</v>
      </c>
      <c r="D693" s="25" t="s">
        <v>135</v>
      </c>
      <c r="F693" s="25" t="str">
        <f t="shared" ref="F693" si="707">_xlfn.CONCAT("FretFluv",LEFT(C693,3),IF(INT(B693/11)&lt;8,RIGHT(C693,1),RIGHT(C693,2)),"Nom")</f>
        <v>FretFluvCat21Nom</v>
      </c>
      <c r="G693" s="26" t="s">
        <v>20</v>
      </c>
      <c r="H693" s="25">
        <f>IF($I$15="Oui",1,0)</f>
        <v>1</v>
      </c>
      <c r="I693" s="28"/>
      <c r="J693" s="27" t="str">
        <f>VLOOKUP(C693,'Parcs types'!$B$65:$AA$120,2,FALSE)</f>
        <v>Automoteurs 650-999 tonnes H2 , ICE</v>
      </c>
      <c r="L693" s="25" t="str">
        <f>J693</f>
        <v>Automoteurs 650-999 tonnes H2 , ICE</v>
      </c>
    </row>
    <row r="694" spans="1:12" s="25" customFormat="1" outlineLevel="1" x14ac:dyDescent="0.25">
      <c r="A694" s="25" t="s">
        <v>134</v>
      </c>
      <c r="B694" s="25">
        <v>221</v>
      </c>
      <c r="C694" s="25" t="str">
        <f t="shared" si="675"/>
        <v>Catégorie 21</v>
      </c>
      <c r="D694" s="25" t="s">
        <v>136</v>
      </c>
      <c r="F694" s="25" t="str">
        <f t="shared" ref="F694" si="708">_xlfn.CONCAT("FretFluv",LEFT(C694,3),IF(INT(B694/11)&lt;8,RIGHT(C694,1),RIGHT(C694,2)),"Type")</f>
        <v>FretFluvCat21Type</v>
      </c>
      <c r="G694" s="25" t="s">
        <v>20</v>
      </c>
      <c r="H694" s="25">
        <f t="shared" ref="H694:H696" si="709">IF($I$15="Oui",1,0)</f>
        <v>1</v>
      </c>
      <c r="I694" s="28"/>
      <c r="J694" s="27" t="str">
        <f>VLOOKUP(C694,'Parcs types'!$B$65:$AA$120,3,FALSE)</f>
        <v>Automoteurs</v>
      </c>
      <c r="L694" s="25" t="str">
        <f t="shared" ref="L694:L696" si="710">J694</f>
        <v>Automoteurs</v>
      </c>
    </row>
    <row r="695" spans="1:12" s="25" customFormat="1" outlineLevel="1" x14ac:dyDescent="0.25">
      <c r="A695" s="25" t="s">
        <v>134</v>
      </c>
      <c r="B695" s="25">
        <v>222</v>
      </c>
      <c r="C695" s="25" t="str">
        <f t="shared" si="675"/>
        <v>Catégorie 21</v>
      </c>
      <c r="D695" s="26" t="s">
        <v>137</v>
      </c>
      <c r="F695" s="25" t="str">
        <f t="shared" ref="F695" si="711">_xlfn.CONCAT("FretFluv",LEFT(C695,3),IF(INT(B695/11)&lt;8,RIGHT(C695,1),RIGHT(C695,2)),"Cap")</f>
        <v>FretFluvCat21Cap</v>
      </c>
      <c r="G695" s="26" t="s">
        <v>36</v>
      </c>
      <c r="H695" s="25">
        <f t="shared" si="709"/>
        <v>1</v>
      </c>
      <c r="I695" s="28"/>
      <c r="J695" s="27" t="str">
        <f>VLOOKUP(C695,'Parcs types'!$B$65:$AA$120,4,FALSE)</f>
        <v>650-999 tonnes</v>
      </c>
      <c r="K695" s="25" t="s">
        <v>524</v>
      </c>
      <c r="L695" s="25" t="str">
        <f t="shared" si="710"/>
        <v>650-999 tonnes</v>
      </c>
    </row>
    <row r="696" spans="1:12" s="25" customFormat="1" outlineLevel="1" x14ac:dyDescent="0.25">
      <c r="A696" s="25" t="s">
        <v>134</v>
      </c>
      <c r="B696" s="25">
        <v>223</v>
      </c>
      <c r="C696" s="25" t="str">
        <f t="shared" si="675"/>
        <v>Catégorie 21</v>
      </c>
      <c r="D696" s="26" t="s">
        <v>525</v>
      </c>
      <c r="F696" s="25" t="str">
        <f t="shared" ref="F696" si="712">_xlfn.CONCAT("FretFluv",LEFT(C696,3),IF(INT(B696/11)&lt;8,RIGHT(C696,1),RIGHT(C696,2)),"Tech")</f>
        <v>FretFluvCat21Tech</v>
      </c>
      <c r="G696" s="26" t="s">
        <v>20</v>
      </c>
      <c r="H696" s="25">
        <f t="shared" si="709"/>
        <v>1</v>
      </c>
      <c r="I696" s="28"/>
      <c r="J696" s="27" t="str">
        <f>VLOOKUP(C696,'Parcs types'!$B$65:$AA$120,5,FALSE)</f>
        <v>H2 , ICE</v>
      </c>
      <c r="L696" s="25" t="str">
        <f t="shared" si="710"/>
        <v>H2 , ICE</v>
      </c>
    </row>
    <row r="697" spans="1:12" s="25" customFormat="1" outlineLevel="1" x14ac:dyDescent="0.25">
      <c r="A697" s="25" t="s">
        <v>134</v>
      </c>
      <c r="B697" s="25">
        <v>224</v>
      </c>
      <c r="C697" s="25" t="str">
        <f t="shared" si="675"/>
        <v>Catégorie 21</v>
      </c>
      <c r="D697" s="25" t="s">
        <v>140</v>
      </c>
      <c r="F697" s="25" t="str">
        <f t="shared" ref="F697" si="713">_xlfn.CONCAT("FretFluv",LEFT(C697,3),IF(INT(B697/11)&lt;8,RIGHT(C697,1),RIGHT(C697,2)),"Request")</f>
        <v>FretFluvCat21Request</v>
      </c>
      <c r="G697" s="26" t="s">
        <v>20</v>
      </c>
      <c r="H697" s="25">
        <f>IF($I$15="Oui",1,0)</f>
        <v>1</v>
      </c>
      <c r="J697" s="27" t="s">
        <v>142</v>
      </c>
      <c r="L697" s="28"/>
    </row>
    <row r="698" spans="1:12" s="25" customFormat="1" outlineLevel="1" x14ac:dyDescent="0.25">
      <c r="A698" s="25" t="s">
        <v>134</v>
      </c>
      <c r="B698" s="25">
        <v>225</v>
      </c>
      <c r="C698" s="25" t="str">
        <f t="shared" si="675"/>
        <v>Catégorie 21</v>
      </c>
      <c r="D698" s="25" t="s">
        <v>144</v>
      </c>
      <c r="F698" s="25" t="str">
        <f t="shared" ref="F698" si="714">_xlfn.CONCAT("FretFluv",LEFT(C698,3),IF(INT(B698/11)&lt;8,RIGHT(C698,1),RIGHT(C698,2)),"NbTraj")</f>
        <v>FretFluvCat21NbTraj</v>
      </c>
      <c r="G698" s="25" t="s">
        <v>17</v>
      </c>
      <c r="H698" s="25">
        <f>IF($I$15="Oui",1,0)*IF(ISNUMBER(SEARCH("Une estimation du nombre annuel de trajets pour ce type de barge",I697)),1,0)</f>
        <v>0</v>
      </c>
      <c r="I698" s="28"/>
      <c r="J698" s="27"/>
      <c r="K698" s="25" t="s">
        <v>145</v>
      </c>
      <c r="L698" s="28"/>
    </row>
    <row r="699" spans="1:12" s="25" customFormat="1" outlineLevel="1" x14ac:dyDescent="0.25">
      <c r="A699" s="25" t="s">
        <v>134</v>
      </c>
      <c r="B699" s="25">
        <v>226</v>
      </c>
      <c r="C699" s="25" t="str">
        <f t="shared" si="675"/>
        <v>Catégorie 21</v>
      </c>
      <c r="D699" s="25" t="s">
        <v>146</v>
      </c>
      <c r="F699" s="25" t="str">
        <f t="shared" ref="F699" si="715">_xlfn.CONCAT("FretFluv",LEFT(C699,3),IF(INT(B699/11)&lt;8,RIGHT(C699,1),RIGHT(C699,2)),"DistMoy")</f>
        <v>FretFluvCat21DistMoy</v>
      </c>
      <c r="G699" s="25" t="s">
        <v>17</v>
      </c>
      <c r="H699" s="25">
        <f>IF($I$15="Oui",1,0)*IF(ISNUMBER(SEARCH("La distance moyenne d'un trajet",I697)),1,0)</f>
        <v>0</v>
      </c>
      <c r="I699" s="28"/>
      <c r="J699" s="27"/>
      <c r="K699" s="25" t="s">
        <v>88</v>
      </c>
      <c r="L699" s="28"/>
    </row>
    <row r="700" spans="1:12" s="25" customFormat="1" outlineLevel="1" x14ac:dyDescent="0.25">
      <c r="A700" s="25" t="s">
        <v>134</v>
      </c>
      <c r="B700" s="25">
        <v>227</v>
      </c>
      <c r="C700" s="25" t="str">
        <f t="shared" si="675"/>
        <v>Catégorie 21</v>
      </c>
      <c r="D700" s="25" t="s">
        <v>147</v>
      </c>
      <c r="F700" s="25" t="str">
        <f t="shared" ref="F700" si="716">_xlfn.CONCAT("FretFluv",LEFT(C700,3),IF(INT(B700/11)&lt;8,RIGHT(C700,1),RIGHT(C700,2)),"EmportMoy")</f>
        <v>FretFluvCat21EmportMoy</v>
      </c>
      <c r="G700" s="25" t="s">
        <v>17</v>
      </c>
      <c r="H700" s="25">
        <f>IF($I$15="Oui",1,0)*IF(ISNUMBER(SEARCH("La masse moyenne transportée pour un trajet",I697)),1,0)</f>
        <v>0</v>
      </c>
      <c r="I700" s="28"/>
      <c r="J700" s="27"/>
      <c r="K700" s="25" t="s">
        <v>148</v>
      </c>
      <c r="L700" s="28"/>
    </row>
    <row r="701" spans="1:12" s="25" customFormat="1" outlineLevel="1" x14ac:dyDescent="0.25">
      <c r="A701" s="25" t="s">
        <v>134</v>
      </c>
      <c r="B701" s="25">
        <v>228</v>
      </c>
      <c r="C701" s="25" t="str">
        <f t="shared" si="675"/>
        <v>Catégorie 21</v>
      </c>
      <c r="D701" s="25" t="s">
        <v>149</v>
      </c>
      <c r="F701" s="25" t="str">
        <f t="shared" ref="F701" si="717">_xlfn.CONCAT("FretFluv",LEFT(C701,3),IF(INT(B701/11)&lt;8,RIGHT(C701,1),RIGHT(C701,2)),"DistAn")</f>
        <v>FretFluvCat21DistAn</v>
      </c>
      <c r="G701" s="25" t="s">
        <v>17</v>
      </c>
      <c r="H701" s="25">
        <f>IF($I$15="Oui",1,0)*IF(ISNUMBER(SEARCH("La distance parcourue annuellement pour ce type de barge",I697)),1,0)</f>
        <v>0</v>
      </c>
      <c r="I701" s="28"/>
      <c r="J701" s="27"/>
      <c r="K701" s="25" t="s">
        <v>88</v>
      </c>
    </row>
    <row r="702" spans="1:12" s="25" customFormat="1" outlineLevel="1" x14ac:dyDescent="0.25">
      <c r="A702" s="25" t="s">
        <v>134</v>
      </c>
      <c r="B702" s="25">
        <v>229</v>
      </c>
      <c r="C702" s="25" t="str">
        <f t="shared" si="675"/>
        <v>Catégorie 21</v>
      </c>
      <c r="D702" s="25" t="s">
        <v>150</v>
      </c>
      <c r="F702" s="25" t="str">
        <f t="shared" ref="F702" si="718">_xlfn.CONCAT("FretFluv",LEFT(C702,3),IF(INT(B702/11)&lt;8,RIGHT(C702,1),RIGHT(C702,2)),"TauxChargeMoy")</f>
        <v>FretFluvCat21TauxChargeMoy</v>
      </c>
      <c r="G702" s="25" t="s">
        <v>17</v>
      </c>
      <c r="H702" s="25">
        <f>IF($I$15="Oui",1,0)*IF(ISNUMBER(SEARCH("Le taux de chargement moyen",I697)),1,0)</f>
        <v>0</v>
      </c>
      <c r="I702" s="28"/>
      <c r="J702" s="27"/>
      <c r="K702" s="25" t="s">
        <v>70</v>
      </c>
    </row>
    <row r="703" spans="1:12" s="25" customFormat="1" outlineLevel="1" x14ac:dyDescent="0.25">
      <c r="A703" s="25" t="s">
        <v>134</v>
      </c>
      <c r="B703" s="25">
        <v>230</v>
      </c>
      <c r="C703" s="25" t="str">
        <f t="shared" si="675"/>
        <v>Catégorie 21</v>
      </c>
      <c r="D703" s="26" t="s">
        <v>526</v>
      </c>
      <c r="F703" s="25" t="str">
        <f t="shared" ref="F703" si="719">_xlfn.CONCAT("FretFluv",LEFT(C703,3),IF(INT(B703/11)&lt;8,RIGHT(C703,1),RIGHT(C703,2)),"NbBarges")</f>
        <v>FretFluvCat21NbBarges</v>
      </c>
      <c r="G703" s="25" t="s">
        <v>17</v>
      </c>
      <c r="H703" s="25">
        <f>IF($I$15="Oui",1,0)</f>
        <v>1</v>
      </c>
      <c r="I703" s="28"/>
      <c r="J703" s="27"/>
      <c r="K703" s="25" t="s">
        <v>151</v>
      </c>
    </row>
    <row r="704" spans="1:12" s="25" customFormat="1" outlineLevel="1" x14ac:dyDescent="0.25">
      <c r="A704" s="25" t="s">
        <v>134</v>
      </c>
      <c r="B704" s="25">
        <v>231</v>
      </c>
      <c r="C704" s="25" t="str">
        <f t="shared" si="675"/>
        <v>Catégorie 22</v>
      </c>
      <c r="D704" s="25" t="s">
        <v>135</v>
      </c>
      <c r="F704" s="25" t="str">
        <f t="shared" ref="F704" si="720">_xlfn.CONCAT("FretFluv",LEFT(C704,3),IF(INT(B704/11)&lt;8,RIGHT(C704,1),RIGHT(C704,2)),"Nom")</f>
        <v>FretFluvCat22Nom</v>
      </c>
      <c r="G704" s="26" t="s">
        <v>20</v>
      </c>
      <c r="H704" s="25">
        <f>IF($I$15="Oui",1,0)</f>
        <v>1</v>
      </c>
      <c r="I704" s="28"/>
      <c r="J704" s="27" t="str">
        <f>VLOOKUP(C704,'Parcs types'!$B$65:$AA$120,2,FALSE)</f>
        <v>Automoteurs 1000-1499 tonnes CCNR 2 ou inférieur, diesel</v>
      </c>
      <c r="L704" s="25" t="str">
        <f>J704</f>
        <v>Automoteurs 1000-1499 tonnes CCNR 2 ou inférieur, diesel</v>
      </c>
    </row>
    <row r="705" spans="1:12" s="25" customFormat="1" outlineLevel="1" x14ac:dyDescent="0.25">
      <c r="A705" s="25" t="s">
        <v>134</v>
      </c>
      <c r="B705" s="25">
        <v>232</v>
      </c>
      <c r="C705" s="25" t="str">
        <f t="shared" si="675"/>
        <v>Catégorie 22</v>
      </c>
      <c r="D705" s="25" t="s">
        <v>136</v>
      </c>
      <c r="F705" s="25" t="str">
        <f t="shared" ref="F705" si="721">_xlfn.CONCAT("FretFluv",LEFT(C705,3),IF(INT(B705/11)&lt;8,RIGHT(C705,1),RIGHT(C705,2)),"Type")</f>
        <v>FretFluvCat22Type</v>
      </c>
      <c r="G705" s="25" t="s">
        <v>20</v>
      </c>
      <c r="H705" s="25">
        <f t="shared" ref="H705:H707" si="722">IF($I$15="Oui",1,0)</f>
        <v>1</v>
      </c>
      <c r="I705" s="28"/>
      <c r="J705" s="27" t="str">
        <f>VLOOKUP(C705,'Parcs types'!$B$65:$AA$120,3,FALSE)</f>
        <v>Automoteurs</v>
      </c>
      <c r="L705" s="25" t="str">
        <f t="shared" ref="L705:L707" si="723">J705</f>
        <v>Automoteurs</v>
      </c>
    </row>
    <row r="706" spans="1:12" s="25" customFormat="1" outlineLevel="1" x14ac:dyDescent="0.25">
      <c r="A706" s="25" t="s">
        <v>134</v>
      </c>
      <c r="B706" s="25">
        <v>233</v>
      </c>
      <c r="C706" s="25" t="str">
        <f t="shared" si="675"/>
        <v>Catégorie 22</v>
      </c>
      <c r="D706" s="26" t="s">
        <v>137</v>
      </c>
      <c r="F706" s="25" t="str">
        <f t="shared" ref="F706" si="724">_xlfn.CONCAT("FretFluv",LEFT(C706,3),IF(INT(B706/11)&lt;8,RIGHT(C706,1),RIGHT(C706,2)),"Cap")</f>
        <v>FretFluvCat22Cap</v>
      </c>
      <c r="G706" s="26" t="s">
        <v>36</v>
      </c>
      <c r="H706" s="25">
        <f t="shared" si="722"/>
        <v>1</v>
      </c>
      <c r="J706" s="27" t="str">
        <f>VLOOKUP(C706,'Parcs types'!$B$65:$AA$120,4,FALSE)</f>
        <v>1000-1499 tonnes</v>
      </c>
      <c r="K706" s="25" t="s">
        <v>524</v>
      </c>
      <c r="L706" s="25" t="str">
        <f t="shared" si="723"/>
        <v>1000-1499 tonnes</v>
      </c>
    </row>
    <row r="707" spans="1:12" s="25" customFormat="1" outlineLevel="1" x14ac:dyDescent="0.25">
      <c r="A707" s="25" t="s">
        <v>134</v>
      </c>
      <c r="B707" s="25">
        <v>234</v>
      </c>
      <c r="C707" s="25" t="str">
        <f t="shared" si="675"/>
        <v>Catégorie 22</v>
      </c>
      <c r="D707" s="26" t="s">
        <v>525</v>
      </c>
      <c r="F707" s="25" t="str">
        <f t="shared" ref="F707" si="725">_xlfn.CONCAT("FretFluv",LEFT(C707,3),IF(INT(B707/11)&lt;8,RIGHT(C707,1),RIGHT(C707,2)),"Tech")</f>
        <v>FretFluvCat22Tech</v>
      </c>
      <c r="G707" s="26" t="s">
        <v>20</v>
      </c>
      <c r="H707" s="25">
        <f t="shared" si="722"/>
        <v>1</v>
      </c>
      <c r="J707" s="27" t="str">
        <f>VLOOKUP(C707,'Parcs types'!$B$65:$AA$120,5,FALSE)</f>
        <v>CCNR 2 ou inférieur, diesel</v>
      </c>
      <c r="L707" s="25" t="str">
        <f t="shared" si="723"/>
        <v>CCNR 2 ou inférieur, diesel</v>
      </c>
    </row>
    <row r="708" spans="1:12" s="25" customFormat="1" outlineLevel="1" x14ac:dyDescent="0.25">
      <c r="A708" s="25" t="s">
        <v>134</v>
      </c>
      <c r="B708" s="25">
        <v>235</v>
      </c>
      <c r="C708" s="25" t="str">
        <f t="shared" si="675"/>
        <v>Catégorie 22</v>
      </c>
      <c r="D708" s="25" t="s">
        <v>140</v>
      </c>
      <c r="F708" s="25" t="str">
        <f t="shared" ref="F708" si="726">_xlfn.CONCAT("FretFluv",LEFT(C708,3),IF(INT(B708/11)&lt;8,RIGHT(C708,1),RIGHT(C708,2)),"Request")</f>
        <v>FretFluvCat22Request</v>
      </c>
      <c r="G708" s="26" t="s">
        <v>20</v>
      </c>
      <c r="H708" s="25">
        <f>IF($I$15="Oui",1,0)</f>
        <v>1</v>
      </c>
      <c r="J708" s="27" t="s">
        <v>142</v>
      </c>
    </row>
    <row r="709" spans="1:12" s="25" customFormat="1" outlineLevel="1" x14ac:dyDescent="0.25">
      <c r="A709" s="25" t="s">
        <v>134</v>
      </c>
      <c r="B709" s="25">
        <v>236</v>
      </c>
      <c r="C709" s="25" t="str">
        <f t="shared" si="675"/>
        <v>Catégorie 22</v>
      </c>
      <c r="D709" s="25" t="s">
        <v>144</v>
      </c>
      <c r="F709" s="25" t="str">
        <f t="shared" ref="F709" si="727">_xlfn.CONCAT("FretFluv",LEFT(C709,3),IF(INT(B709/11)&lt;8,RIGHT(C709,1),RIGHT(C709,2)),"NbTraj")</f>
        <v>FretFluvCat22NbTraj</v>
      </c>
      <c r="G709" s="25" t="s">
        <v>17</v>
      </c>
      <c r="H709" s="25">
        <f>IF($I$15="Oui",1,0)*IF(ISNUMBER(SEARCH("Une estimation du nombre annuel de trajets pour ce type de barge",I708)),1,0)</f>
        <v>0</v>
      </c>
      <c r="J709" s="27"/>
      <c r="K709" s="25" t="s">
        <v>145</v>
      </c>
    </row>
    <row r="710" spans="1:12" s="25" customFormat="1" outlineLevel="1" x14ac:dyDescent="0.25">
      <c r="A710" s="25" t="s">
        <v>134</v>
      </c>
      <c r="B710" s="25">
        <v>237</v>
      </c>
      <c r="C710" s="25" t="str">
        <f t="shared" si="675"/>
        <v>Catégorie 22</v>
      </c>
      <c r="D710" s="25" t="s">
        <v>146</v>
      </c>
      <c r="F710" s="25" t="str">
        <f t="shared" ref="F710" si="728">_xlfn.CONCAT("FretFluv",LEFT(C710,3),IF(INT(B710/11)&lt;8,RIGHT(C710,1),RIGHT(C710,2)),"DistMoy")</f>
        <v>FretFluvCat22DistMoy</v>
      </c>
      <c r="G710" s="25" t="s">
        <v>17</v>
      </c>
      <c r="H710" s="25">
        <f>IF($I$15="Oui",1,0)*IF(ISNUMBER(SEARCH("La distance moyenne d'un trajet",I708)),1,0)</f>
        <v>0</v>
      </c>
      <c r="J710" s="27"/>
      <c r="K710" s="25" t="s">
        <v>88</v>
      </c>
    </row>
    <row r="711" spans="1:12" s="25" customFormat="1" outlineLevel="1" x14ac:dyDescent="0.25">
      <c r="A711" s="25" t="s">
        <v>134</v>
      </c>
      <c r="B711" s="25">
        <v>238</v>
      </c>
      <c r="C711" s="25" t="str">
        <f t="shared" si="675"/>
        <v>Catégorie 22</v>
      </c>
      <c r="D711" s="25" t="s">
        <v>147</v>
      </c>
      <c r="F711" s="25" t="str">
        <f t="shared" ref="F711" si="729">_xlfn.CONCAT("FretFluv",LEFT(C711,3),IF(INT(B711/11)&lt;8,RIGHT(C711,1),RIGHT(C711,2)),"EmportMoy")</f>
        <v>FretFluvCat22EmportMoy</v>
      </c>
      <c r="G711" s="25" t="s">
        <v>17</v>
      </c>
      <c r="H711" s="25">
        <f>IF($I$15="Oui",1,0)*IF(ISNUMBER(SEARCH("La masse moyenne transportée pour un trajet",I708)),1,0)</f>
        <v>0</v>
      </c>
      <c r="J711" s="27"/>
      <c r="K711" s="25" t="s">
        <v>148</v>
      </c>
    </row>
    <row r="712" spans="1:12" s="25" customFormat="1" outlineLevel="1" x14ac:dyDescent="0.25">
      <c r="A712" s="25" t="s">
        <v>134</v>
      </c>
      <c r="B712" s="25">
        <v>239</v>
      </c>
      <c r="C712" s="25" t="str">
        <f t="shared" si="675"/>
        <v>Catégorie 22</v>
      </c>
      <c r="D712" s="25" t="s">
        <v>149</v>
      </c>
      <c r="F712" s="25" t="str">
        <f t="shared" ref="F712" si="730">_xlfn.CONCAT("FretFluv",LEFT(C712,3),IF(INT(B712/11)&lt;8,RIGHT(C712,1),RIGHT(C712,2)),"DistAn")</f>
        <v>FretFluvCat22DistAn</v>
      </c>
      <c r="G712" s="25" t="s">
        <v>17</v>
      </c>
      <c r="H712" s="25">
        <f>IF($I$15="Oui",1,0)*IF(ISNUMBER(SEARCH("La distance parcourue annuellement pour ce type de barge",I708)),1,0)</f>
        <v>0</v>
      </c>
      <c r="J712" s="27"/>
      <c r="K712" s="25" t="s">
        <v>88</v>
      </c>
    </row>
    <row r="713" spans="1:12" s="25" customFormat="1" outlineLevel="1" x14ac:dyDescent="0.25">
      <c r="A713" s="25" t="s">
        <v>134</v>
      </c>
      <c r="B713" s="25">
        <v>240</v>
      </c>
      <c r="C713" s="25" t="str">
        <f t="shared" si="675"/>
        <v>Catégorie 22</v>
      </c>
      <c r="D713" s="25" t="s">
        <v>150</v>
      </c>
      <c r="F713" s="25" t="str">
        <f t="shared" ref="F713" si="731">_xlfn.CONCAT("FretFluv",LEFT(C713,3),IF(INT(B713/11)&lt;8,RIGHT(C713,1),RIGHT(C713,2)),"TauxChargeMoy")</f>
        <v>FretFluvCat22TauxChargeMoy</v>
      </c>
      <c r="G713" s="25" t="s">
        <v>17</v>
      </c>
      <c r="H713" s="25">
        <f>IF($I$15="Oui",1,0)*IF(ISNUMBER(SEARCH("Le taux de chargement moyen",I708)),1,0)</f>
        <v>0</v>
      </c>
      <c r="J713" s="27"/>
      <c r="K713" s="25" t="s">
        <v>70</v>
      </c>
    </row>
    <row r="714" spans="1:12" s="25" customFormat="1" outlineLevel="1" x14ac:dyDescent="0.25">
      <c r="A714" s="25" t="s">
        <v>134</v>
      </c>
      <c r="B714" s="25">
        <v>241</v>
      </c>
      <c r="C714" s="25" t="str">
        <f t="shared" si="675"/>
        <v>Catégorie 22</v>
      </c>
      <c r="D714" s="26" t="s">
        <v>526</v>
      </c>
      <c r="F714" s="25" t="str">
        <f t="shared" ref="F714" si="732">_xlfn.CONCAT("FretFluv",LEFT(C714,3),IF(INT(B714/11)&lt;8,RIGHT(C714,1),RIGHT(C714,2)),"NbBarges")</f>
        <v>FretFluvCat22NbBarges</v>
      </c>
      <c r="G714" s="25" t="s">
        <v>17</v>
      </c>
      <c r="H714" s="25">
        <f>IF($I$15="Oui",1,0)</f>
        <v>1</v>
      </c>
      <c r="J714" s="27"/>
      <c r="K714" s="25" t="s">
        <v>151</v>
      </c>
      <c r="L714" s="28"/>
    </row>
    <row r="715" spans="1:12" s="25" customFormat="1" outlineLevel="1" x14ac:dyDescent="0.25">
      <c r="A715" s="25" t="s">
        <v>134</v>
      </c>
      <c r="B715" s="25">
        <v>242</v>
      </c>
      <c r="C715" s="25" t="str">
        <f t="shared" si="675"/>
        <v>Catégorie 23</v>
      </c>
      <c r="D715" s="25" t="s">
        <v>135</v>
      </c>
      <c r="F715" s="25" t="str">
        <f t="shared" ref="F715" si="733">_xlfn.CONCAT("FretFluv",LEFT(C715,3),IF(INT(B715/11)&lt;8,RIGHT(C715,1),RIGHT(C715,2)),"Nom")</f>
        <v>FretFluvCat23Nom</v>
      </c>
      <c r="G715" s="26" t="s">
        <v>20</v>
      </c>
      <c r="H715" s="25">
        <f>IF($I$15="Oui",1,0)</f>
        <v>1</v>
      </c>
      <c r="I715" s="29"/>
      <c r="J715" s="27" t="str">
        <f>VLOOKUP(C715,'Parcs types'!$B$65:$AA$120,2,FALSE)</f>
        <v>Automoteurs 1000-1499 tonnes CCNR 2 + SCR, diesel</v>
      </c>
      <c r="L715" s="25" t="str">
        <f>J715</f>
        <v>Automoteurs 1000-1499 tonnes CCNR 2 + SCR, diesel</v>
      </c>
    </row>
    <row r="716" spans="1:12" s="25" customFormat="1" outlineLevel="1" x14ac:dyDescent="0.25">
      <c r="A716" s="25" t="s">
        <v>134</v>
      </c>
      <c r="B716" s="25">
        <v>243</v>
      </c>
      <c r="C716" s="25" t="str">
        <f t="shared" si="675"/>
        <v>Catégorie 23</v>
      </c>
      <c r="D716" s="25" t="s">
        <v>136</v>
      </c>
      <c r="F716" s="25" t="str">
        <f t="shared" ref="F716" si="734">_xlfn.CONCAT("FretFluv",LEFT(C716,3),IF(INT(B716/11)&lt;8,RIGHT(C716,1),RIGHT(C716,2)),"Type")</f>
        <v>FretFluvCat23Type</v>
      </c>
      <c r="G716" s="25" t="s">
        <v>20</v>
      </c>
      <c r="H716" s="25">
        <f t="shared" ref="H716:H718" si="735">IF($I$15="Oui",1,0)</f>
        <v>1</v>
      </c>
      <c r="I716" s="28"/>
      <c r="J716" s="27" t="str">
        <f>VLOOKUP(C716,'Parcs types'!$B$65:$AA$120,3,FALSE)</f>
        <v>Automoteurs</v>
      </c>
      <c r="L716" s="25" t="str">
        <f t="shared" ref="L716:L718" si="736">J716</f>
        <v>Automoteurs</v>
      </c>
    </row>
    <row r="717" spans="1:12" s="25" customFormat="1" outlineLevel="1" x14ac:dyDescent="0.25">
      <c r="A717" s="25" t="s">
        <v>134</v>
      </c>
      <c r="B717" s="25">
        <v>244</v>
      </c>
      <c r="C717" s="25" t="str">
        <f t="shared" si="675"/>
        <v>Catégorie 23</v>
      </c>
      <c r="D717" s="26" t="s">
        <v>137</v>
      </c>
      <c r="F717" s="25" t="str">
        <f t="shared" ref="F717" si="737">_xlfn.CONCAT("FretFluv",LEFT(C717,3),IF(INT(B717/11)&lt;8,RIGHT(C717,1),RIGHT(C717,2)),"Cap")</f>
        <v>FretFluvCat23Cap</v>
      </c>
      <c r="G717" s="26" t="s">
        <v>36</v>
      </c>
      <c r="H717" s="25">
        <f t="shared" si="735"/>
        <v>1</v>
      </c>
      <c r="J717" s="27" t="str">
        <f>VLOOKUP(C717,'Parcs types'!$B$65:$AA$120,4,FALSE)</f>
        <v>1000-1499 tonnes</v>
      </c>
      <c r="K717" s="25" t="s">
        <v>524</v>
      </c>
      <c r="L717" s="25" t="str">
        <f t="shared" si="736"/>
        <v>1000-1499 tonnes</v>
      </c>
    </row>
    <row r="718" spans="1:12" s="25" customFormat="1" outlineLevel="1" x14ac:dyDescent="0.25">
      <c r="A718" s="25" t="s">
        <v>134</v>
      </c>
      <c r="B718" s="25">
        <v>245</v>
      </c>
      <c r="C718" s="25" t="str">
        <f t="shared" si="675"/>
        <v>Catégorie 23</v>
      </c>
      <c r="D718" s="26" t="s">
        <v>525</v>
      </c>
      <c r="F718" s="25" t="str">
        <f t="shared" ref="F718" si="738">_xlfn.CONCAT("FretFluv",LEFT(C718,3),IF(INT(B718/11)&lt;8,RIGHT(C718,1),RIGHT(C718,2)),"Tech")</f>
        <v>FretFluvCat23Tech</v>
      </c>
      <c r="G718" s="26" t="s">
        <v>20</v>
      </c>
      <c r="H718" s="25">
        <f t="shared" si="735"/>
        <v>1</v>
      </c>
      <c r="J718" s="27" t="str">
        <f>VLOOKUP(C718,'Parcs types'!$B$65:$AA$120,5,FALSE)</f>
        <v>CCNR 2 + SCR, diesel</v>
      </c>
      <c r="L718" s="25" t="str">
        <f t="shared" si="736"/>
        <v>CCNR 2 + SCR, diesel</v>
      </c>
    </row>
    <row r="719" spans="1:12" s="25" customFormat="1" outlineLevel="1" x14ac:dyDescent="0.25">
      <c r="A719" s="25" t="s">
        <v>134</v>
      </c>
      <c r="B719" s="25">
        <v>246</v>
      </c>
      <c r="C719" s="25" t="str">
        <f t="shared" si="675"/>
        <v>Catégorie 23</v>
      </c>
      <c r="D719" s="25" t="s">
        <v>140</v>
      </c>
      <c r="F719" s="25" t="str">
        <f t="shared" ref="F719" si="739">_xlfn.CONCAT("FretFluv",LEFT(C719,3),IF(INT(B719/11)&lt;8,RIGHT(C719,1),RIGHT(C719,2)),"Request")</f>
        <v>FretFluvCat23Request</v>
      </c>
      <c r="G719" s="26" t="s">
        <v>20</v>
      </c>
      <c r="H719" s="25">
        <f>IF($I$15="Oui",1,0)</f>
        <v>1</v>
      </c>
      <c r="J719" s="27" t="s">
        <v>142</v>
      </c>
      <c r="L719" s="28"/>
    </row>
    <row r="720" spans="1:12" s="25" customFormat="1" outlineLevel="1" x14ac:dyDescent="0.25">
      <c r="A720" s="25" t="s">
        <v>134</v>
      </c>
      <c r="B720" s="25">
        <v>247</v>
      </c>
      <c r="C720" s="25" t="str">
        <f t="shared" si="675"/>
        <v>Catégorie 23</v>
      </c>
      <c r="D720" s="25" t="s">
        <v>144</v>
      </c>
      <c r="F720" s="25" t="str">
        <f t="shared" ref="F720" si="740">_xlfn.CONCAT("FretFluv",LEFT(C720,3),IF(INT(B720/11)&lt;8,RIGHT(C720,1),RIGHT(C720,2)),"NbTraj")</f>
        <v>FretFluvCat23NbTraj</v>
      </c>
      <c r="G720" s="25" t="s">
        <v>17</v>
      </c>
      <c r="H720" s="25">
        <f>IF($I$15="Oui",1,0)*IF(ISNUMBER(SEARCH("Une estimation du nombre annuel de trajets pour ce type de barge",I719)),1,0)</f>
        <v>0</v>
      </c>
      <c r="J720" s="27"/>
      <c r="K720" s="25" t="s">
        <v>145</v>
      </c>
      <c r="L720" s="28"/>
    </row>
    <row r="721" spans="1:12" s="25" customFormat="1" outlineLevel="1" x14ac:dyDescent="0.25">
      <c r="A721" s="25" t="s">
        <v>134</v>
      </c>
      <c r="B721" s="25">
        <v>248</v>
      </c>
      <c r="C721" s="25" t="str">
        <f t="shared" si="675"/>
        <v>Catégorie 23</v>
      </c>
      <c r="D721" s="25" t="s">
        <v>146</v>
      </c>
      <c r="F721" s="25" t="str">
        <f t="shared" ref="F721" si="741">_xlfn.CONCAT("FretFluv",LEFT(C721,3),IF(INT(B721/11)&lt;8,RIGHT(C721,1),RIGHT(C721,2)),"DistMoy")</f>
        <v>FretFluvCat23DistMoy</v>
      </c>
      <c r="G721" s="25" t="s">
        <v>17</v>
      </c>
      <c r="H721" s="25">
        <f>IF($I$15="Oui",1,0)*IF(ISNUMBER(SEARCH("La distance moyenne d'un trajet",I719)),1,0)</f>
        <v>0</v>
      </c>
      <c r="J721" s="27"/>
      <c r="K721" s="25" t="s">
        <v>88</v>
      </c>
      <c r="L721" s="28"/>
    </row>
    <row r="722" spans="1:12" s="25" customFormat="1" outlineLevel="1" x14ac:dyDescent="0.25">
      <c r="A722" s="25" t="s">
        <v>134</v>
      </c>
      <c r="B722" s="25">
        <v>249</v>
      </c>
      <c r="C722" s="25" t="str">
        <f t="shared" si="675"/>
        <v>Catégorie 23</v>
      </c>
      <c r="D722" s="25" t="s">
        <v>147</v>
      </c>
      <c r="F722" s="25" t="str">
        <f t="shared" ref="F722" si="742">_xlfn.CONCAT("FretFluv",LEFT(C722,3),IF(INT(B722/11)&lt;8,RIGHT(C722,1),RIGHT(C722,2)),"EmportMoy")</f>
        <v>FretFluvCat23EmportMoy</v>
      </c>
      <c r="G722" s="25" t="s">
        <v>17</v>
      </c>
      <c r="H722" s="25">
        <f>IF($I$15="Oui",1,0)*IF(ISNUMBER(SEARCH("La masse moyenne transportée pour un trajet",I719)),1,0)</f>
        <v>0</v>
      </c>
      <c r="J722" s="27"/>
      <c r="K722" s="25" t="s">
        <v>148</v>
      </c>
      <c r="L722" s="28"/>
    </row>
    <row r="723" spans="1:12" s="25" customFormat="1" outlineLevel="1" x14ac:dyDescent="0.25">
      <c r="A723" s="25" t="s">
        <v>134</v>
      </c>
      <c r="B723" s="25">
        <v>250</v>
      </c>
      <c r="C723" s="25" t="str">
        <f t="shared" si="675"/>
        <v>Catégorie 23</v>
      </c>
      <c r="D723" s="25" t="s">
        <v>149</v>
      </c>
      <c r="F723" s="25" t="str">
        <f t="shared" ref="F723" si="743">_xlfn.CONCAT("FretFluv",LEFT(C723,3),IF(INT(B723/11)&lt;8,RIGHT(C723,1),RIGHT(C723,2)),"DistAn")</f>
        <v>FretFluvCat23DistAn</v>
      </c>
      <c r="G723" s="25" t="s">
        <v>17</v>
      </c>
      <c r="H723" s="25">
        <f>IF($I$15="Oui",1,0)*IF(ISNUMBER(SEARCH("La distance parcourue annuellement pour ce type de barge",I719)),1,0)</f>
        <v>0</v>
      </c>
      <c r="J723" s="27"/>
      <c r="K723" s="25" t="s">
        <v>88</v>
      </c>
    </row>
    <row r="724" spans="1:12" s="25" customFormat="1" outlineLevel="1" x14ac:dyDescent="0.25">
      <c r="A724" s="25" t="s">
        <v>134</v>
      </c>
      <c r="B724" s="25">
        <v>251</v>
      </c>
      <c r="C724" s="25" t="str">
        <f t="shared" si="675"/>
        <v>Catégorie 23</v>
      </c>
      <c r="D724" s="25" t="s">
        <v>150</v>
      </c>
      <c r="F724" s="25" t="str">
        <f t="shared" ref="F724" si="744">_xlfn.CONCAT("FretFluv",LEFT(C724,3),IF(INT(B724/11)&lt;8,RIGHT(C724,1),RIGHT(C724,2)),"TauxChargeMoy")</f>
        <v>FretFluvCat23TauxChargeMoy</v>
      </c>
      <c r="G724" s="25" t="s">
        <v>17</v>
      </c>
      <c r="H724" s="25">
        <f>IF($I$15="Oui",1,0)*IF(ISNUMBER(SEARCH("Le taux de chargement moyen",I719)),1,0)</f>
        <v>0</v>
      </c>
      <c r="J724" s="27"/>
      <c r="K724" s="25" t="s">
        <v>70</v>
      </c>
    </row>
    <row r="725" spans="1:12" s="25" customFormat="1" outlineLevel="1" x14ac:dyDescent="0.25">
      <c r="A725" s="25" t="s">
        <v>134</v>
      </c>
      <c r="B725" s="25">
        <v>252</v>
      </c>
      <c r="C725" s="25" t="str">
        <f t="shared" si="675"/>
        <v>Catégorie 23</v>
      </c>
      <c r="D725" s="26" t="s">
        <v>526</v>
      </c>
      <c r="F725" s="25" t="str">
        <f t="shared" ref="F725" si="745">_xlfn.CONCAT("FretFluv",LEFT(C725,3),IF(INT(B725/11)&lt;8,RIGHT(C725,1),RIGHT(C725,2)),"NbBarges")</f>
        <v>FretFluvCat23NbBarges</v>
      </c>
      <c r="G725" s="25" t="s">
        <v>17</v>
      </c>
      <c r="H725" s="25">
        <f>IF($I$15="Oui",1,0)</f>
        <v>1</v>
      </c>
      <c r="J725" s="27"/>
      <c r="K725" s="25" t="s">
        <v>151</v>
      </c>
    </row>
    <row r="726" spans="1:12" s="25" customFormat="1" outlineLevel="1" x14ac:dyDescent="0.25">
      <c r="A726" s="25" t="s">
        <v>134</v>
      </c>
      <c r="B726" s="25">
        <v>253</v>
      </c>
      <c r="C726" s="25" t="str">
        <f t="shared" si="675"/>
        <v>Catégorie 24</v>
      </c>
      <c r="D726" s="25" t="s">
        <v>135</v>
      </c>
      <c r="F726" s="25" t="str">
        <f t="shared" ref="F726" si="746">_xlfn.CONCAT("FretFluv",LEFT(C726,3),IF(INT(B726/11)&lt;8,RIGHT(C726,1),RIGHT(C726,2)),"Nom")</f>
        <v>FretFluvCat24Nom</v>
      </c>
      <c r="G726" s="26" t="s">
        <v>20</v>
      </c>
      <c r="H726" s="25">
        <f>IF($I$15="Oui",1,0)</f>
        <v>1</v>
      </c>
      <c r="I726" s="29"/>
      <c r="J726" s="27" t="str">
        <f>VLOOKUP(C726,'Parcs types'!$B$65:$AA$120,2,FALSE)</f>
        <v>Automoteurs 1000-1499 tonnes Phase V, diesel</v>
      </c>
      <c r="L726" s="25" t="str">
        <f>J726</f>
        <v>Automoteurs 1000-1499 tonnes Phase V, diesel</v>
      </c>
    </row>
    <row r="727" spans="1:12" s="25" customFormat="1" outlineLevel="1" x14ac:dyDescent="0.25">
      <c r="A727" s="25" t="s">
        <v>134</v>
      </c>
      <c r="B727" s="25">
        <v>254</v>
      </c>
      <c r="C727" s="25" t="str">
        <f t="shared" si="675"/>
        <v>Catégorie 24</v>
      </c>
      <c r="D727" s="25" t="s">
        <v>136</v>
      </c>
      <c r="F727" s="25" t="str">
        <f t="shared" ref="F727" si="747">_xlfn.CONCAT("FretFluv",LEFT(C727,3),IF(INT(B727/11)&lt;8,RIGHT(C727,1),RIGHT(C727,2)),"Type")</f>
        <v>FretFluvCat24Type</v>
      </c>
      <c r="G727" s="25" t="s">
        <v>20</v>
      </c>
      <c r="H727" s="25">
        <f t="shared" ref="H727:H729" si="748">IF($I$15="Oui",1,0)</f>
        <v>1</v>
      </c>
      <c r="I727" s="28"/>
      <c r="J727" s="27" t="str">
        <f>VLOOKUP(C727,'Parcs types'!$B$65:$AA$120,3,FALSE)</f>
        <v>Automoteurs</v>
      </c>
      <c r="L727" s="25" t="str">
        <f t="shared" ref="L727:L729" si="749">J727</f>
        <v>Automoteurs</v>
      </c>
    </row>
    <row r="728" spans="1:12" s="25" customFormat="1" outlineLevel="1" x14ac:dyDescent="0.25">
      <c r="A728" s="25" t="s">
        <v>134</v>
      </c>
      <c r="B728" s="25">
        <v>255</v>
      </c>
      <c r="C728" s="25" t="str">
        <f t="shared" si="675"/>
        <v>Catégorie 24</v>
      </c>
      <c r="D728" s="26" t="s">
        <v>137</v>
      </c>
      <c r="F728" s="25" t="str">
        <f t="shared" ref="F728" si="750">_xlfn.CONCAT("FretFluv",LEFT(C728,3),IF(INT(B728/11)&lt;8,RIGHT(C728,1),RIGHT(C728,2)),"Cap")</f>
        <v>FretFluvCat24Cap</v>
      </c>
      <c r="G728" s="26" t="s">
        <v>36</v>
      </c>
      <c r="H728" s="25">
        <f t="shared" si="748"/>
        <v>1</v>
      </c>
      <c r="J728" s="27" t="str">
        <f>VLOOKUP(C728,'Parcs types'!$B$65:$AA$120,4,FALSE)</f>
        <v>1000-1499 tonnes</v>
      </c>
      <c r="K728" s="25" t="s">
        <v>524</v>
      </c>
      <c r="L728" s="25" t="str">
        <f t="shared" si="749"/>
        <v>1000-1499 tonnes</v>
      </c>
    </row>
    <row r="729" spans="1:12" s="25" customFormat="1" outlineLevel="1" x14ac:dyDescent="0.25">
      <c r="A729" s="25" t="s">
        <v>134</v>
      </c>
      <c r="B729" s="25">
        <v>256</v>
      </c>
      <c r="C729" s="25" t="str">
        <f t="shared" si="675"/>
        <v>Catégorie 24</v>
      </c>
      <c r="D729" s="26" t="s">
        <v>525</v>
      </c>
      <c r="F729" s="25" t="str">
        <f t="shared" ref="F729" si="751">_xlfn.CONCAT("FretFluv",LEFT(C729,3),IF(INT(B729/11)&lt;8,RIGHT(C729,1),RIGHT(C729,2)),"Tech")</f>
        <v>FretFluvCat24Tech</v>
      </c>
      <c r="G729" s="26" t="s">
        <v>20</v>
      </c>
      <c r="H729" s="25">
        <f t="shared" si="748"/>
        <v>1</v>
      </c>
      <c r="J729" s="27" t="str">
        <f>VLOOKUP(C729,'Parcs types'!$B$65:$AA$120,5,FALSE)</f>
        <v>Phase V, diesel</v>
      </c>
      <c r="L729" s="25" t="str">
        <f t="shared" si="749"/>
        <v>Phase V, diesel</v>
      </c>
    </row>
    <row r="730" spans="1:12" s="25" customFormat="1" outlineLevel="1" x14ac:dyDescent="0.25">
      <c r="A730" s="25" t="s">
        <v>134</v>
      </c>
      <c r="B730" s="25">
        <v>257</v>
      </c>
      <c r="C730" s="25" t="str">
        <f t="shared" ref="C730:C793" si="752">"Catégorie "&amp;INT(B730/11)+1</f>
        <v>Catégorie 24</v>
      </c>
      <c r="D730" s="25" t="s">
        <v>140</v>
      </c>
      <c r="F730" s="25" t="str">
        <f t="shared" ref="F730" si="753">_xlfn.CONCAT("FretFluv",LEFT(C730,3),IF(INT(B730/11)&lt;8,RIGHT(C730,1),RIGHT(C730,2)),"Request")</f>
        <v>FretFluvCat24Request</v>
      </c>
      <c r="G730" s="26" t="s">
        <v>20</v>
      </c>
      <c r="H730" s="25">
        <f>IF($I$15="Oui",1,0)</f>
        <v>1</v>
      </c>
      <c r="J730" s="27" t="s">
        <v>142</v>
      </c>
    </row>
    <row r="731" spans="1:12" s="25" customFormat="1" outlineLevel="1" x14ac:dyDescent="0.25">
      <c r="A731" s="25" t="s">
        <v>134</v>
      </c>
      <c r="B731" s="25">
        <v>258</v>
      </c>
      <c r="C731" s="25" t="str">
        <f t="shared" si="752"/>
        <v>Catégorie 24</v>
      </c>
      <c r="D731" s="25" t="s">
        <v>144</v>
      </c>
      <c r="F731" s="25" t="str">
        <f t="shared" ref="F731" si="754">_xlfn.CONCAT("FretFluv",LEFT(C731,3),IF(INT(B731/11)&lt;8,RIGHT(C731,1),RIGHT(C731,2)),"NbTraj")</f>
        <v>FretFluvCat24NbTraj</v>
      </c>
      <c r="G731" s="25" t="s">
        <v>17</v>
      </c>
      <c r="H731" s="25">
        <f>IF($I$15="Oui",1,0)*IF(ISNUMBER(SEARCH("Une estimation du nombre annuel de trajets pour ce type de barge",I730)),1,0)</f>
        <v>0</v>
      </c>
      <c r="J731" s="27"/>
      <c r="K731" s="25" t="s">
        <v>145</v>
      </c>
    </row>
    <row r="732" spans="1:12" s="25" customFormat="1" outlineLevel="1" x14ac:dyDescent="0.25">
      <c r="A732" s="25" t="s">
        <v>134</v>
      </c>
      <c r="B732" s="25">
        <v>259</v>
      </c>
      <c r="C732" s="25" t="str">
        <f t="shared" si="752"/>
        <v>Catégorie 24</v>
      </c>
      <c r="D732" s="25" t="s">
        <v>146</v>
      </c>
      <c r="F732" s="25" t="str">
        <f t="shared" ref="F732" si="755">_xlfn.CONCAT("FretFluv",LEFT(C732,3),IF(INT(B732/11)&lt;8,RIGHT(C732,1),RIGHT(C732,2)),"DistMoy")</f>
        <v>FretFluvCat24DistMoy</v>
      </c>
      <c r="G732" s="25" t="s">
        <v>17</v>
      </c>
      <c r="H732" s="25">
        <f>IF($I$15="Oui",1,0)*IF(ISNUMBER(SEARCH("La distance moyenne d'un trajet",I730)),1,0)</f>
        <v>0</v>
      </c>
      <c r="J732" s="27"/>
      <c r="K732" s="25" t="s">
        <v>88</v>
      </c>
    </row>
    <row r="733" spans="1:12" s="25" customFormat="1" outlineLevel="1" x14ac:dyDescent="0.25">
      <c r="A733" s="25" t="s">
        <v>134</v>
      </c>
      <c r="B733" s="25">
        <v>260</v>
      </c>
      <c r="C733" s="25" t="str">
        <f t="shared" si="752"/>
        <v>Catégorie 24</v>
      </c>
      <c r="D733" s="25" t="s">
        <v>147</v>
      </c>
      <c r="F733" s="25" t="str">
        <f t="shared" ref="F733" si="756">_xlfn.CONCAT("FretFluv",LEFT(C733,3),IF(INT(B733/11)&lt;8,RIGHT(C733,1),RIGHT(C733,2)),"EmportMoy")</f>
        <v>FretFluvCat24EmportMoy</v>
      </c>
      <c r="G733" s="25" t="s">
        <v>17</v>
      </c>
      <c r="H733" s="25">
        <f>IF($I$15="Oui",1,0)*IF(ISNUMBER(SEARCH("La masse moyenne transportée pour un trajet",I730)),1,0)</f>
        <v>0</v>
      </c>
      <c r="J733" s="27"/>
      <c r="K733" s="25" t="s">
        <v>148</v>
      </c>
    </row>
    <row r="734" spans="1:12" s="25" customFormat="1" outlineLevel="1" x14ac:dyDescent="0.25">
      <c r="A734" s="25" t="s">
        <v>134</v>
      </c>
      <c r="B734" s="25">
        <v>261</v>
      </c>
      <c r="C734" s="25" t="str">
        <f t="shared" si="752"/>
        <v>Catégorie 24</v>
      </c>
      <c r="D734" s="25" t="s">
        <v>149</v>
      </c>
      <c r="F734" s="25" t="str">
        <f t="shared" ref="F734" si="757">_xlfn.CONCAT("FretFluv",LEFT(C734,3),IF(INT(B734/11)&lt;8,RIGHT(C734,1),RIGHT(C734,2)),"DistAn")</f>
        <v>FretFluvCat24DistAn</v>
      </c>
      <c r="G734" s="25" t="s">
        <v>17</v>
      </c>
      <c r="H734" s="25">
        <f>IF($I$15="Oui",1,0)*IF(ISNUMBER(SEARCH("La distance parcourue annuellement pour ce type de barge",I730)),1,0)</f>
        <v>0</v>
      </c>
      <c r="J734" s="27"/>
      <c r="K734" s="25" t="s">
        <v>88</v>
      </c>
    </row>
    <row r="735" spans="1:12" s="25" customFormat="1" outlineLevel="1" x14ac:dyDescent="0.25">
      <c r="A735" s="25" t="s">
        <v>134</v>
      </c>
      <c r="B735" s="25">
        <v>262</v>
      </c>
      <c r="C735" s="25" t="str">
        <f t="shared" si="752"/>
        <v>Catégorie 24</v>
      </c>
      <c r="D735" s="25" t="s">
        <v>150</v>
      </c>
      <c r="F735" s="25" t="str">
        <f t="shared" ref="F735" si="758">_xlfn.CONCAT("FretFluv",LEFT(C735,3),IF(INT(B735/11)&lt;8,RIGHT(C735,1),RIGHT(C735,2)),"TauxChargeMoy")</f>
        <v>FretFluvCat24TauxChargeMoy</v>
      </c>
      <c r="G735" s="25" t="s">
        <v>17</v>
      </c>
      <c r="H735" s="25">
        <f>IF($I$15="Oui",1,0)*IF(ISNUMBER(SEARCH("Le taux de chargement moyen",I730)),1,0)</f>
        <v>0</v>
      </c>
      <c r="J735" s="27"/>
      <c r="K735" s="25" t="s">
        <v>70</v>
      </c>
    </row>
    <row r="736" spans="1:12" s="25" customFormat="1" outlineLevel="1" x14ac:dyDescent="0.25">
      <c r="A736" s="25" t="s">
        <v>134</v>
      </c>
      <c r="B736" s="25">
        <v>263</v>
      </c>
      <c r="C736" s="25" t="str">
        <f t="shared" si="752"/>
        <v>Catégorie 24</v>
      </c>
      <c r="D736" s="26" t="s">
        <v>526</v>
      </c>
      <c r="F736" s="25" t="str">
        <f t="shared" ref="F736" si="759">_xlfn.CONCAT("FretFluv",LEFT(C736,3),IF(INT(B736/11)&lt;8,RIGHT(C736,1),RIGHT(C736,2)),"NbBarges")</f>
        <v>FretFluvCat24NbBarges</v>
      </c>
      <c r="G736" s="25" t="s">
        <v>17</v>
      </c>
      <c r="H736" s="25">
        <f>IF($I$15="Oui",1,0)</f>
        <v>1</v>
      </c>
      <c r="J736" s="27"/>
      <c r="K736" s="25" t="s">
        <v>151</v>
      </c>
      <c r="L736" s="28"/>
    </row>
    <row r="737" spans="1:12" s="25" customFormat="1" outlineLevel="1" x14ac:dyDescent="0.25">
      <c r="A737" s="25" t="s">
        <v>134</v>
      </c>
      <c r="B737" s="25">
        <v>264</v>
      </c>
      <c r="C737" s="25" t="str">
        <f t="shared" si="752"/>
        <v>Catégorie 25</v>
      </c>
      <c r="D737" s="25" t="s">
        <v>135</v>
      </c>
      <c r="F737" s="25" t="str">
        <f t="shared" ref="F737" si="760">_xlfn.CONCAT("FretFluv",LEFT(C737,3),IF(INT(B737/11)&lt;8,RIGHT(C737,1),RIGHT(C737,2)),"Nom")</f>
        <v>FretFluvCat25Nom</v>
      </c>
      <c r="G737" s="26" t="s">
        <v>20</v>
      </c>
      <c r="H737" s="25">
        <f>IF($I$15="Oui",1,0)</f>
        <v>1</v>
      </c>
      <c r="I737" s="29"/>
      <c r="J737" s="27" t="str">
        <f>VLOOKUP(C737,'Parcs types'!$B$65:$AA$120,2,FALSE)</f>
        <v>Automoteurs 1000-1499 tonnes Phase V, HVO</v>
      </c>
      <c r="L737" s="25" t="str">
        <f>J737</f>
        <v>Automoteurs 1000-1499 tonnes Phase V, HVO</v>
      </c>
    </row>
    <row r="738" spans="1:12" s="25" customFormat="1" outlineLevel="1" x14ac:dyDescent="0.25">
      <c r="A738" s="25" t="s">
        <v>134</v>
      </c>
      <c r="B738" s="25">
        <v>265</v>
      </c>
      <c r="C738" s="25" t="str">
        <f t="shared" si="752"/>
        <v>Catégorie 25</v>
      </c>
      <c r="D738" s="25" t="s">
        <v>136</v>
      </c>
      <c r="F738" s="25" t="str">
        <f t="shared" ref="F738" si="761">_xlfn.CONCAT("FretFluv",LEFT(C738,3),IF(INT(B738/11)&lt;8,RIGHT(C738,1),RIGHT(C738,2)),"Type")</f>
        <v>FretFluvCat25Type</v>
      </c>
      <c r="G738" s="25" t="s">
        <v>20</v>
      </c>
      <c r="H738" s="25">
        <f t="shared" ref="H738:H740" si="762">IF($I$15="Oui",1,0)</f>
        <v>1</v>
      </c>
      <c r="I738" s="28"/>
      <c r="J738" s="27" t="str">
        <f>VLOOKUP(C738,'Parcs types'!$B$65:$AA$120,3,FALSE)</f>
        <v>Automoteurs</v>
      </c>
      <c r="L738" s="25" t="str">
        <f t="shared" ref="L738:L740" si="763">J738</f>
        <v>Automoteurs</v>
      </c>
    </row>
    <row r="739" spans="1:12" s="25" customFormat="1" outlineLevel="1" x14ac:dyDescent="0.25">
      <c r="A739" s="25" t="s">
        <v>134</v>
      </c>
      <c r="B739" s="25">
        <v>266</v>
      </c>
      <c r="C739" s="25" t="str">
        <f t="shared" si="752"/>
        <v>Catégorie 25</v>
      </c>
      <c r="D739" s="26" t="s">
        <v>137</v>
      </c>
      <c r="F739" s="25" t="str">
        <f t="shared" ref="F739" si="764">_xlfn.CONCAT("FretFluv",LEFT(C739,3),IF(INT(B739/11)&lt;8,RIGHT(C739,1),RIGHT(C739,2)),"Cap")</f>
        <v>FretFluvCat25Cap</v>
      </c>
      <c r="G739" s="26" t="s">
        <v>36</v>
      </c>
      <c r="H739" s="25">
        <f t="shared" si="762"/>
        <v>1</v>
      </c>
      <c r="I739" s="28"/>
      <c r="J739" s="27" t="str">
        <f>VLOOKUP(C739,'Parcs types'!$B$65:$AA$120,4,FALSE)</f>
        <v>1000-1499 tonnes</v>
      </c>
      <c r="K739" s="25" t="s">
        <v>524</v>
      </c>
      <c r="L739" s="25" t="str">
        <f t="shared" si="763"/>
        <v>1000-1499 tonnes</v>
      </c>
    </row>
    <row r="740" spans="1:12" s="25" customFormat="1" outlineLevel="1" x14ac:dyDescent="0.25">
      <c r="A740" s="25" t="s">
        <v>134</v>
      </c>
      <c r="B740" s="25">
        <v>267</v>
      </c>
      <c r="C740" s="25" t="str">
        <f t="shared" si="752"/>
        <v>Catégorie 25</v>
      </c>
      <c r="D740" s="26" t="s">
        <v>525</v>
      </c>
      <c r="F740" s="25" t="str">
        <f t="shared" ref="F740" si="765">_xlfn.CONCAT("FretFluv",LEFT(C740,3),IF(INT(B740/11)&lt;8,RIGHT(C740,1),RIGHT(C740,2)),"Tech")</f>
        <v>FretFluvCat25Tech</v>
      </c>
      <c r="G740" s="26" t="s">
        <v>20</v>
      </c>
      <c r="H740" s="25">
        <f t="shared" si="762"/>
        <v>1</v>
      </c>
      <c r="I740" s="28"/>
      <c r="J740" s="27" t="str">
        <f>VLOOKUP(C740,'Parcs types'!$B$65:$AA$120,5,FALSE)</f>
        <v>Phase V, HVO</v>
      </c>
      <c r="L740" s="25" t="str">
        <f t="shared" si="763"/>
        <v>Phase V, HVO</v>
      </c>
    </row>
    <row r="741" spans="1:12" s="25" customFormat="1" outlineLevel="1" x14ac:dyDescent="0.25">
      <c r="A741" s="25" t="s">
        <v>134</v>
      </c>
      <c r="B741" s="25">
        <v>268</v>
      </c>
      <c r="C741" s="25" t="str">
        <f t="shared" si="752"/>
        <v>Catégorie 25</v>
      </c>
      <c r="D741" s="25" t="s">
        <v>140</v>
      </c>
      <c r="F741" s="25" t="str">
        <f t="shared" ref="F741" si="766">_xlfn.CONCAT("FretFluv",LEFT(C741,3),IF(INT(B741/11)&lt;8,RIGHT(C741,1),RIGHT(C741,2)),"Request")</f>
        <v>FretFluvCat25Request</v>
      </c>
      <c r="G741" s="26" t="s">
        <v>20</v>
      </c>
      <c r="H741" s="25">
        <f>IF($I$15="Oui",1,0)</f>
        <v>1</v>
      </c>
      <c r="J741" s="27" t="s">
        <v>142</v>
      </c>
      <c r="L741" s="28"/>
    </row>
    <row r="742" spans="1:12" s="25" customFormat="1" outlineLevel="1" x14ac:dyDescent="0.25">
      <c r="A742" s="25" t="s">
        <v>134</v>
      </c>
      <c r="B742" s="25">
        <v>269</v>
      </c>
      <c r="C742" s="25" t="str">
        <f t="shared" si="752"/>
        <v>Catégorie 25</v>
      </c>
      <c r="D742" s="25" t="s">
        <v>144</v>
      </c>
      <c r="F742" s="25" t="str">
        <f t="shared" ref="F742" si="767">_xlfn.CONCAT("FretFluv",LEFT(C742,3),IF(INT(B742/11)&lt;8,RIGHT(C742,1),RIGHT(C742,2)),"NbTraj")</f>
        <v>FretFluvCat25NbTraj</v>
      </c>
      <c r="G742" s="25" t="s">
        <v>17</v>
      </c>
      <c r="H742" s="25">
        <f>IF($I$15="Oui",1,0)*IF(ISNUMBER(SEARCH("Une estimation du nombre annuel de trajets pour ce type de barge",I741)),1,0)</f>
        <v>0</v>
      </c>
      <c r="I742" s="28"/>
      <c r="J742" s="27"/>
      <c r="K742" s="25" t="s">
        <v>145</v>
      </c>
      <c r="L742" s="28"/>
    </row>
    <row r="743" spans="1:12" s="25" customFormat="1" outlineLevel="1" x14ac:dyDescent="0.25">
      <c r="A743" s="25" t="s">
        <v>134</v>
      </c>
      <c r="B743" s="25">
        <v>270</v>
      </c>
      <c r="C743" s="25" t="str">
        <f t="shared" si="752"/>
        <v>Catégorie 25</v>
      </c>
      <c r="D743" s="25" t="s">
        <v>146</v>
      </c>
      <c r="F743" s="25" t="str">
        <f t="shared" ref="F743" si="768">_xlfn.CONCAT("FretFluv",LEFT(C743,3),IF(INT(B743/11)&lt;8,RIGHT(C743,1),RIGHT(C743,2)),"DistMoy")</f>
        <v>FretFluvCat25DistMoy</v>
      </c>
      <c r="G743" s="25" t="s">
        <v>17</v>
      </c>
      <c r="H743" s="25">
        <f>IF($I$15="Oui",1,0)*IF(ISNUMBER(SEARCH("La distance moyenne d'un trajet",I741)),1,0)</f>
        <v>0</v>
      </c>
      <c r="I743" s="28"/>
      <c r="J743" s="27"/>
      <c r="K743" s="25" t="s">
        <v>88</v>
      </c>
      <c r="L743" s="28"/>
    </row>
    <row r="744" spans="1:12" s="25" customFormat="1" outlineLevel="1" x14ac:dyDescent="0.25">
      <c r="A744" s="25" t="s">
        <v>134</v>
      </c>
      <c r="B744" s="25">
        <v>271</v>
      </c>
      <c r="C744" s="25" t="str">
        <f t="shared" si="752"/>
        <v>Catégorie 25</v>
      </c>
      <c r="D744" s="25" t="s">
        <v>147</v>
      </c>
      <c r="F744" s="25" t="str">
        <f t="shared" ref="F744" si="769">_xlfn.CONCAT("FretFluv",LEFT(C744,3),IF(INT(B744/11)&lt;8,RIGHT(C744,1),RIGHT(C744,2)),"EmportMoy")</f>
        <v>FretFluvCat25EmportMoy</v>
      </c>
      <c r="G744" s="25" t="s">
        <v>17</v>
      </c>
      <c r="H744" s="25">
        <f>IF($I$15="Oui",1,0)*IF(ISNUMBER(SEARCH("La masse moyenne transportée pour un trajet",I741)),1,0)</f>
        <v>0</v>
      </c>
      <c r="I744" s="28"/>
      <c r="J744" s="27"/>
      <c r="K744" s="25" t="s">
        <v>148</v>
      </c>
      <c r="L744" s="28"/>
    </row>
    <row r="745" spans="1:12" s="25" customFormat="1" outlineLevel="1" x14ac:dyDescent="0.25">
      <c r="A745" s="25" t="s">
        <v>134</v>
      </c>
      <c r="B745" s="25">
        <v>272</v>
      </c>
      <c r="C745" s="25" t="str">
        <f t="shared" si="752"/>
        <v>Catégorie 25</v>
      </c>
      <c r="D745" s="25" t="s">
        <v>149</v>
      </c>
      <c r="F745" s="25" t="str">
        <f t="shared" ref="F745" si="770">_xlfn.CONCAT("FretFluv",LEFT(C745,3),IF(INT(B745/11)&lt;8,RIGHT(C745,1),RIGHT(C745,2)),"DistAn")</f>
        <v>FretFluvCat25DistAn</v>
      </c>
      <c r="G745" s="25" t="s">
        <v>17</v>
      </c>
      <c r="H745" s="25">
        <f>IF($I$15="Oui",1,0)*IF(ISNUMBER(SEARCH("La distance parcourue annuellement pour ce type de barge",I741)),1,0)</f>
        <v>0</v>
      </c>
      <c r="I745" s="28"/>
      <c r="J745" s="27"/>
      <c r="K745" s="25" t="s">
        <v>88</v>
      </c>
    </row>
    <row r="746" spans="1:12" s="25" customFormat="1" outlineLevel="1" x14ac:dyDescent="0.25">
      <c r="A746" s="25" t="s">
        <v>134</v>
      </c>
      <c r="B746" s="25">
        <v>273</v>
      </c>
      <c r="C746" s="25" t="str">
        <f t="shared" si="752"/>
        <v>Catégorie 25</v>
      </c>
      <c r="D746" s="25" t="s">
        <v>150</v>
      </c>
      <c r="F746" s="25" t="str">
        <f t="shared" ref="F746" si="771">_xlfn.CONCAT("FretFluv",LEFT(C746,3),IF(INT(B746/11)&lt;8,RIGHT(C746,1),RIGHT(C746,2)),"TauxChargeMoy")</f>
        <v>FretFluvCat25TauxChargeMoy</v>
      </c>
      <c r="G746" s="25" t="s">
        <v>17</v>
      </c>
      <c r="H746" s="25">
        <f>IF($I$15="Oui",1,0)*IF(ISNUMBER(SEARCH("Le taux de chargement moyen",I741)),1,0)</f>
        <v>0</v>
      </c>
      <c r="I746" s="28"/>
      <c r="J746" s="27"/>
      <c r="K746" s="25" t="s">
        <v>70</v>
      </c>
    </row>
    <row r="747" spans="1:12" s="25" customFormat="1" outlineLevel="1" x14ac:dyDescent="0.25">
      <c r="A747" s="25" t="s">
        <v>134</v>
      </c>
      <c r="B747" s="25">
        <v>274</v>
      </c>
      <c r="C747" s="25" t="str">
        <f t="shared" si="752"/>
        <v>Catégorie 25</v>
      </c>
      <c r="D747" s="26" t="s">
        <v>526</v>
      </c>
      <c r="F747" s="25" t="str">
        <f t="shared" ref="F747" si="772">_xlfn.CONCAT("FretFluv",LEFT(C747,3),IF(INT(B747/11)&lt;8,RIGHT(C747,1),RIGHT(C747,2)),"NbBarges")</f>
        <v>FretFluvCat25NbBarges</v>
      </c>
      <c r="G747" s="25" t="s">
        <v>17</v>
      </c>
      <c r="H747" s="25">
        <f>IF($I$15="Oui",1,0)</f>
        <v>1</v>
      </c>
      <c r="I747" s="28"/>
      <c r="J747" s="27"/>
      <c r="K747" s="25" t="s">
        <v>151</v>
      </c>
    </row>
    <row r="748" spans="1:12" s="25" customFormat="1" outlineLevel="1" x14ac:dyDescent="0.25">
      <c r="A748" s="25" t="s">
        <v>134</v>
      </c>
      <c r="B748" s="25">
        <v>275</v>
      </c>
      <c r="C748" s="25" t="str">
        <f t="shared" si="752"/>
        <v>Catégorie 26</v>
      </c>
      <c r="D748" s="25" t="s">
        <v>135</v>
      </c>
      <c r="F748" s="25" t="str">
        <f t="shared" ref="F748" si="773">_xlfn.CONCAT("FretFluv",LEFT(C748,3),IF(INT(B748/11)&lt;8,RIGHT(C748,1),RIGHT(C748,2)),"Nom")</f>
        <v>FretFluvCat26Nom</v>
      </c>
      <c r="G748" s="26" t="s">
        <v>20</v>
      </c>
      <c r="H748" s="25">
        <f>IF($I$15="Oui",1,0)</f>
        <v>1</v>
      </c>
      <c r="I748" s="28"/>
      <c r="J748" s="27" t="str">
        <f>VLOOKUP(C748,'Parcs types'!$B$65:$AA$120,2,FALSE)</f>
        <v>Automoteurs 1000-1499 tonnes Batterie</v>
      </c>
      <c r="L748" s="25" t="str">
        <f>J748</f>
        <v>Automoteurs 1000-1499 tonnes Batterie</v>
      </c>
    </row>
    <row r="749" spans="1:12" s="25" customFormat="1" outlineLevel="1" x14ac:dyDescent="0.25">
      <c r="A749" s="25" t="s">
        <v>134</v>
      </c>
      <c r="B749" s="25">
        <v>276</v>
      </c>
      <c r="C749" s="25" t="str">
        <f t="shared" si="752"/>
        <v>Catégorie 26</v>
      </c>
      <c r="D749" s="25" t="s">
        <v>136</v>
      </c>
      <c r="F749" s="25" t="str">
        <f t="shared" ref="F749" si="774">_xlfn.CONCAT("FretFluv",LEFT(C749,3),IF(INT(B749/11)&lt;8,RIGHT(C749,1),RIGHT(C749,2)),"Type")</f>
        <v>FretFluvCat26Type</v>
      </c>
      <c r="G749" s="25" t="s">
        <v>20</v>
      </c>
      <c r="H749" s="25">
        <f t="shared" ref="H749:H751" si="775">IF($I$15="Oui",1,0)</f>
        <v>1</v>
      </c>
      <c r="I749" s="28"/>
      <c r="J749" s="27" t="str">
        <f>VLOOKUP(C749,'Parcs types'!$B$65:$AA$120,3,FALSE)</f>
        <v>Automoteurs</v>
      </c>
      <c r="L749" s="25" t="str">
        <f t="shared" ref="L749:L751" si="776">J749</f>
        <v>Automoteurs</v>
      </c>
    </row>
    <row r="750" spans="1:12" s="25" customFormat="1" outlineLevel="1" x14ac:dyDescent="0.25">
      <c r="A750" s="25" t="s">
        <v>134</v>
      </c>
      <c r="B750" s="25">
        <v>277</v>
      </c>
      <c r="C750" s="25" t="str">
        <f t="shared" si="752"/>
        <v>Catégorie 26</v>
      </c>
      <c r="D750" s="26" t="s">
        <v>137</v>
      </c>
      <c r="F750" s="25" t="str">
        <f t="shared" ref="F750" si="777">_xlfn.CONCAT("FretFluv",LEFT(C750,3),IF(INT(B750/11)&lt;8,RIGHT(C750,1),RIGHT(C750,2)),"Cap")</f>
        <v>FretFluvCat26Cap</v>
      </c>
      <c r="G750" s="26" t="s">
        <v>36</v>
      </c>
      <c r="H750" s="25">
        <f t="shared" si="775"/>
        <v>1</v>
      </c>
      <c r="I750" s="28"/>
      <c r="J750" s="27" t="str">
        <f>VLOOKUP(C750,'Parcs types'!$B$65:$AA$120,4,FALSE)</f>
        <v>1000-1499 tonnes</v>
      </c>
      <c r="K750" s="25" t="s">
        <v>524</v>
      </c>
      <c r="L750" s="25" t="str">
        <f t="shared" si="776"/>
        <v>1000-1499 tonnes</v>
      </c>
    </row>
    <row r="751" spans="1:12" s="25" customFormat="1" outlineLevel="1" x14ac:dyDescent="0.25">
      <c r="A751" s="25" t="s">
        <v>134</v>
      </c>
      <c r="B751" s="25">
        <v>278</v>
      </c>
      <c r="C751" s="25" t="str">
        <f t="shared" si="752"/>
        <v>Catégorie 26</v>
      </c>
      <c r="D751" s="26" t="s">
        <v>525</v>
      </c>
      <c r="F751" s="25" t="str">
        <f t="shared" ref="F751" si="778">_xlfn.CONCAT("FretFluv",LEFT(C751,3),IF(INT(B751/11)&lt;8,RIGHT(C751,1),RIGHT(C751,2)),"Tech")</f>
        <v>FretFluvCat26Tech</v>
      </c>
      <c r="G751" s="26" t="s">
        <v>20</v>
      </c>
      <c r="H751" s="25">
        <f t="shared" si="775"/>
        <v>1</v>
      </c>
      <c r="I751" s="28"/>
      <c r="J751" s="27" t="str">
        <f>VLOOKUP(C751,'Parcs types'!$B$65:$AA$120,5,FALSE)</f>
        <v>Batterie</v>
      </c>
      <c r="L751" s="25" t="str">
        <f t="shared" si="776"/>
        <v>Batterie</v>
      </c>
    </row>
    <row r="752" spans="1:12" s="25" customFormat="1" outlineLevel="1" x14ac:dyDescent="0.25">
      <c r="A752" s="25" t="s">
        <v>134</v>
      </c>
      <c r="B752" s="25">
        <v>279</v>
      </c>
      <c r="C752" s="25" t="str">
        <f t="shared" si="752"/>
        <v>Catégorie 26</v>
      </c>
      <c r="D752" s="25" t="s">
        <v>140</v>
      </c>
      <c r="F752" s="25" t="str">
        <f t="shared" ref="F752" si="779">_xlfn.CONCAT("FretFluv",LEFT(C752,3),IF(INT(B752/11)&lt;8,RIGHT(C752,1),RIGHT(C752,2)),"Request")</f>
        <v>FretFluvCat26Request</v>
      </c>
      <c r="G752" s="26" t="s">
        <v>20</v>
      </c>
      <c r="H752" s="25">
        <f>IF($I$15="Oui",1,0)</f>
        <v>1</v>
      </c>
      <c r="J752" s="27" t="s">
        <v>142</v>
      </c>
      <c r="L752" s="28"/>
    </row>
    <row r="753" spans="1:12" s="25" customFormat="1" outlineLevel="1" x14ac:dyDescent="0.25">
      <c r="A753" s="25" t="s">
        <v>134</v>
      </c>
      <c r="B753" s="25">
        <v>280</v>
      </c>
      <c r="C753" s="25" t="str">
        <f t="shared" si="752"/>
        <v>Catégorie 26</v>
      </c>
      <c r="D753" s="25" t="s">
        <v>144</v>
      </c>
      <c r="F753" s="25" t="str">
        <f t="shared" ref="F753" si="780">_xlfn.CONCAT("FretFluv",LEFT(C753,3),IF(INT(B753/11)&lt;8,RIGHT(C753,1),RIGHT(C753,2)),"NbTraj")</f>
        <v>FretFluvCat26NbTraj</v>
      </c>
      <c r="G753" s="25" t="s">
        <v>17</v>
      </c>
      <c r="H753" s="25">
        <f>IF($I$15="Oui",1,0)*IF(ISNUMBER(SEARCH("Une estimation du nombre annuel de trajets pour ce type de barge",I752)),1,0)</f>
        <v>0</v>
      </c>
      <c r="I753" s="28"/>
      <c r="J753" s="27"/>
      <c r="K753" s="25" t="s">
        <v>145</v>
      </c>
      <c r="L753" s="28"/>
    </row>
    <row r="754" spans="1:12" s="25" customFormat="1" outlineLevel="1" x14ac:dyDescent="0.25">
      <c r="A754" s="25" t="s">
        <v>134</v>
      </c>
      <c r="B754" s="25">
        <v>281</v>
      </c>
      <c r="C754" s="25" t="str">
        <f t="shared" si="752"/>
        <v>Catégorie 26</v>
      </c>
      <c r="D754" s="25" t="s">
        <v>146</v>
      </c>
      <c r="F754" s="25" t="str">
        <f t="shared" ref="F754" si="781">_xlfn.CONCAT("FretFluv",LEFT(C754,3),IF(INT(B754/11)&lt;8,RIGHT(C754,1),RIGHT(C754,2)),"DistMoy")</f>
        <v>FretFluvCat26DistMoy</v>
      </c>
      <c r="G754" s="25" t="s">
        <v>17</v>
      </c>
      <c r="H754" s="25">
        <f>IF($I$15="Oui",1,0)*IF(ISNUMBER(SEARCH("La distance moyenne d'un trajet",I752)),1,0)</f>
        <v>0</v>
      </c>
      <c r="I754" s="28"/>
      <c r="J754" s="27"/>
      <c r="K754" s="25" t="s">
        <v>88</v>
      </c>
      <c r="L754" s="28"/>
    </row>
    <row r="755" spans="1:12" s="25" customFormat="1" outlineLevel="1" x14ac:dyDescent="0.25">
      <c r="A755" s="25" t="s">
        <v>134</v>
      </c>
      <c r="B755" s="25">
        <v>282</v>
      </c>
      <c r="C755" s="25" t="str">
        <f t="shared" si="752"/>
        <v>Catégorie 26</v>
      </c>
      <c r="D755" s="25" t="s">
        <v>147</v>
      </c>
      <c r="F755" s="25" t="str">
        <f t="shared" ref="F755" si="782">_xlfn.CONCAT("FretFluv",LEFT(C755,3),IF(INT(B755/11)&lt;8,RIGHT(C755,1),RIGHT(C755,2)),"EmportMoy")</f>
        <v>FretFluvCat26EmportMoy</v>
      </c>
      <c r="G755" s="25" t="s">
        <v>17</v>
      </c>
      <c r="H755" s="25">
        <f>IF($I$15="Oui",1,0)*IF(ISNUMBER(SEARCH("La masse moyenne transportée pour un trajet",I752)),1,0)</f>
        <v>0</v>
      </c>
      <c r="I755" s="28"/>
      <c r="J755" s="27"/>
      <c r="K755" s="25" t="s">
        <v>148</v>
      </c>
      <c r="L755" s="28"/>
    </row>
    <row r="756" spans="1:12" s="25" customFormat="1" outlineLevel="1" x14ac:dyDescent="0.25">
      <c r="A756" s="25" t="s">
        <v>134</v>
      </c>
      <c r="B756" s="25">
        <v>283</v>
      </c>
      <c r="C756" s="25" t="str">
        <f t="shared" si="752"/>
        <v>Catégorie 26</v>
      </c>
      <c r="D756" s="25" t="s">
        <v>149</v>
      </c>
      <c r="F756" s="25" t="str">
        <f t="shared" ref="F756" si="783">_xlfn.CONCAT("FretFluv",LEFT(C756,3),IF(INT(B756/11)&lt;8,RIGHT(C756,1),RIGHT(C756,2)),"DistAn")</f>
        <v>FretFluvCat26DistAn</v>
      </c>
      <c r="G756" s="25" t="s">
        <v>17</v>
      </c>
      <c r="H756" s="25">
        <f>IF($I$15="Oui",1,0)*IF(ISNUMBER(SEARCH("La distance parcourue annuellement pour ce type de barge",I752)),1,0)</f>
        <v>0</v>
      </c>
      <c r="I756" s="28"/>
      <c r="J756" s="27"/>
      <c r="K756" s="25" t="s">
        <v>88</v>
      </c>
      <c r="L756" s="28"/>
    </row>
    <row r="757" spans="1:12" s="25" customFormat="1" outlineLevel="1" x14ac:dyDescent="0.25">
      <c r="A757" s="25" t="s">
        <v>134</v>
      </c>
      <c r="B757" s="25">
        <v>284</v>
      </c>
      <c r="C757" s="25" t="str">
        <f t="shared" si="752"/>
        <v>Catégorie 26</v>
      </c>
      <c r="D757" s="25" t="s">
        <v>150</v>
      </c>
      <c r="F757" s="25" t="str">
        <f t="shared" ref="F757" si="784">_xlfn.CONCAT("FretFluv",LEFT(C757,3),IF(INT(B757/11)&lt;8,RIGHT(C757,1),RIGHT(C757,2)),"TauxChargeMoy")</f>
        <v>FretFluvCat26TauxChargeMoy</v>
      </c>
      <c r="G757" s="25" t="s">
        <v>17</v>
      </c>
      <c r="H757" s="25">
        <f>IF($I$15="Oui",1,0)*IF(ISNUMBER(SEARCH("Le taux de chargement moyen",I752)),1,0)</f>
        <v>0</v>
      </c>
      <c r="I757" s="28"/>
      <c r="J757" s="27"/>
      <c r="K757" s="25" t="s">
        <v>70</v>
      </c>
      <c r="L757" s="28"/>
    </row>
    <row r="758" spans="1:12" s="25" customFormat="1" outlineLevel="1" x14ac:dyDescent="0.25">
      <c r="A758" s="25" t="s">
        <v>134</v>
      </c>
      <c r="B758" s="25">
        <v>285</v>
      </c>
      <c r="C758" s="25" t="str">
        <f t="shared" si="752"/>
        <v>Catégorie 26</v>
      </c>
      <c r="D758" s="26" t="s">
        <v>526</v>
      </c>
      <c r="F758" s="25" t="str">
        <f t="shared" ref="F758" si="785">_xlfn.CONCAT("FretFluv",LEFT(C758,3),IF(INT(B758/11)&lt;8,RIGHT(C758,1),RIGHT(C758,2)),"NbBarges")</f>
        <v>FretFluvCat26NbBarges</v>
      </c>
      <c r="G758" s="25" t="s">
        <v>17</v>
      </c>
      <c r="H758" s="25">
        <f>IF($I$15="Oui",1,0)</f>
        <v>1</v>
      </c>
      <c r="I758" s="28"/>
      <c r="J758" s="27"/>
      <c r="K758" s="25" t="s">
        <v>151</v>
      </c>
      <c r="L758" s="28"/>
    </row>
    <row r="759" spans="1:12" s="25" customFormat="1" outlineLevel="1" x14ac:dyDescent="0.25">
      <c r="A759" s="25" t="s">
        <v>134</v>
      </c>
      <c r="B759" s="25">
        <v>286</v>
      </c>
      <c r="C759" s="25" t="str">
        <f t="shared" si="752"/>
        <v>Catégorie 27</v>
      </c>
      <c r="D759" s="25" t="s">
        <v>135</v>
      </c>
      <c r="F759" s="25" t="str">
        <f t="shared" ref="F759" si="786">_xlfn.CONCAT("FretFluv",LEFT(C759,3),IF(INT(B759/11)&lt;8,RIGHT(C759,1),RIGHT(C759,2)),"Nom")</f>
        <v>FretFluvCat27Nom</v>
      </c>
      <c r="G759" s="26" t="s">
        <v>20</v>
      </c>
      <c r="H759" s="25">
        <f>IF($I$15="Oui",1,0)</f>
        <v>1</v>
      </c>
      <c r="I759" s="28"/>
      <c r="J759" s="27" t="str">
        <f>VLOOKUP(C759,'Parcs types'!$B$65:$AA$120,2,FALSE)</f>
        <v>Automoteurs 1000-1499 tonnes H2 , PAC</v>
      </c>
      <c r="L759" s="25" t="str">
        <f>J759</f>
        <v>Automoteurs 1000-1499 tonnes H2 , PAC</v>
      </c>
    </row>
    <row r="760" spans="1:12" s="25" customFormat="1" outlineLevel="1" x14ac:dyDescent="0.25">
      <c r="A760" s="25" t="s">
        <v>134</v>
      </c>
      <c r="B760" s="25">
        <v>287</v>
      </c>
      <c r="C760" s="25" t="str">
        <f t="shared" si="752"/>
        <v>Catégorie 27</v>
      </c>
      <c r="D760" s="25" t="s">
        <v>136</v>
      </c>
      <c r="F760" s="25" t="str">
        <f t="shared" ref="F760" si="787">_xlfn.CONCAT("FretFluv",LEFT(C760,3),IF(INT(B760/11)&lt;8,RIGHT(C760,1),RIGHT(C760,2)),"Type")</f>
        <v>FretFluvCat27Type</v>
      </c>
      <c r="G760" s="25" t="s">
        <v>20</v>
      </c>
      <c r="H760" s="25">
        <f t="shared" ref="H760:H762" si="788">IF($I$15="Oui",1,0)</f>
        <v>1</v>
      </c>
      <c r="I760" s="28"/>
      <c r="J760" s="27" t="str">
        <f>VLOOKUP(C760,'Parcs types'!$B$65:$AA$120,3,FALSE)</f>
        <v>Automoteurs</v>
      </c>
      <c r="L760" s="25" t="str">
        <f t="shared" ref="L760:L762" si="789">J760</f>
        <v>Automoteurs</v>
      </c>
    </row>
    <row r="761" spans="1:12" s="25" customFormat="1" outlineLevel="1" x14ac:dyDescent="0.25">
      <c r="A761" s="25" t="s">
        <v>134</v>
      </c>
      <c r="B761" s="25">
        <v>288</v>
      </c>
      <c r="C761" s="25" t="str">
        <f t="shared" si="752"/>
        <v>Catégorie 27</v>
      </c>
      <c r="D761" s="26" t="s">
        <v>137</v>
      </c>
      <c r="F761" s="25" t="str">
        <f t="shared" ref="F761" si="790">_xlfn.CONCAT("FretFluv",LEFT(C761,3),IF(INT(B761/11)&lt;8,RIGHT(C761,1),RIGHT(C761,2)),"Cap")</f>
        <v>FretFluvCat27Cap</v>
      </c>
      <c r="G761" s="26" t="s">
        <v>36</v>
      </c>
      <c r="H761" s="25">
        <f t="shared" si="788"/>
        <v>1</v>
      </c>
      <c r="I761" s="28"/>
      <c r="J761" s="27" t="str">
        <f>VLOOKUP(C761,'Parcs types'!$B$65:$AA$120,4,FALSE)</f>
        <v>1000-1499 tonnes</v>
      </c>
      <c r="K761" s="25" t="s">
        <v>524</v>
      </c>
      <c r="L761" s="25" t="str">
        <f t="shared" si="789"/>
        <v>1000-1499 tonnes</v>
      </c>
    </row>
    <row r="762" spans="1:12" s="25" customFormat="1" outlineLevel="1" x14ac:dyDescent="0.25">
      <c r="A762" s="25" t="s">
        <v>134</v>
      </c>
      <c r="B762" s="25">
        <v>289</v>
      </c>
      <c r="C762" s="25" t="str">
        <f t="shared" si="752"/>
        <v>Catégorie 27</v>
      </c>
      <c r="D762" s="26" t="s">
        <v>525</v>
      </c>
      <c r="F762" s="25" t="str">
        <f t="shared" ref="F762" si="791">_xlfn.CONCAT("FretFluv",LEFT(C762,3),IF(INT(B762/11)&lt;8,RIGHT(C762,1),RIGHT(C762,2)),"Tech")</f>
        <v>FretFluvCat27Tech</v>
      </c>
      <c r="G762" s="26" t="s">
        <v>20</v>
      </c>
      <c r="H762" s="25">
        <f t="shared" si="788"/>
        <v>1</v>
      </c>
      <c r="I762" s="28"/>
      <c r="J762" s="27" t="str">
        <f>VLOOKUP(C762,'Parcs types'!$B$65:$AA$120,5,FALSE)</f>
        <v>H2 , PAC</v>
      </c>
      <c r="L762" s="25" t="str">
        <f t="shared" si="789"/>
        <v>H2 , PAC</v>
      </c>
    </row>
    <row r="763" spans="1:12" s="25" customFormat="1" outlineLevel="1" x14ac:dyDescent="0.25">
      <c r="A763" s="25" t="s">
        <v>134</v>
      </c>
      <c r="B763" s="25">
        <v>290</v>
      </c>
      <c r="C763" s="25" t="str">
        <f t="shared" si="752"/>
        <v>Catégorie 27</v>
      </c>
      <c r="D763" s="25" t="s">
        <v>140</v>
      </c>
      <c r="F763" s="25" t="str">
        <f t="shared" ref="F763" si="792">_xlfn.CONCAT("FretFluv",LEFT(C763,3),IF(INT(B763/11)&lt;8,RIGHT(C763,1),RIGHT(C763,2)),"Request")</f>
        <v>FretFluvCat27Request</v>
      </c>
      <c r="G763" s="26" t="s">
        <v>20</v>
      </c>
      <c r="H763" s="25">
        <f>IF($I$15="Oui",1,0)</f>
        <v>1</v>
      </c>
      <c r="J763" s="27" t="s">
        <v>142</v>
      </c>
      <c r="L763" s="28"/>
    </row>
    <row r="764" spans="1:12" s="25" customFormat="1" outlineLevel="1" x14ac:dyDescent="0.25">
      <c r="A764" s="25" t="s">
        <v>134</v>
      </c>
      <c r="B764" s="25">
        <v>291</v>
      </c>
      <c r="C764" s="25" t="str">
        <f t="shared" si="752"/>
        <v>Catégorie 27</v>
      </c>
      <c r="D764" s="25" t="s">
        <v>144</v>
      </c>
      <c r="F764" s="25" t="str">
        <f t="shared" ref="F764" si="793">_xlfn.CONCAT("FretFluv",LEFT(C764,3),IF(INT(B764/11)&lt;8,RIGHT(C764,1),RIGHT(C764,2)),"NbTraj")</f>
        <v>FretFluvCat27NbTraj</v>
      </c>
      <c r="G764" s="25" t="s">
        <v>17</v>
      </c>
      <c r="H764" s="25">
        <f>IF($I$15="Oui",1,0)*IF(ISNUMBER(SEARCH("Une estimation du nombre annuel de trajets pour ce type de barge",I763)),1,0)</f>
        <v>0</v>
      </c>
      <c r="I764" s="28"/>
      <c r="J764" s="27"/>
      <c r="K764" s="25" t="s">
        <v>145</v>
      </c>
      <c r="L764" s="28"/>
    </row>
    <row r="765" spans="1:12" s="25" customFormat="1" outlineLevel="1" x14ac:dyDescent="0.25">
      <c r="A765" s="25" t="s">
        <v>134</v>
      </c>
      <c r="B765" s="25">
        <v>292</v>
      </c>
      <c r="C765" s="25" t="str">
        <f t="shared" si="752"/>
        <v>Catégorie 27</v>
      </c>
      <c r="D765" s="25" t="s">
        <v>146</v>
      </c>
      <c r="F765" s="25" t="str">
        <f t="shared" ref="F765" si="794">_xlfn.CONCAT("FretFluv",LEFT(C765,3),IF(INT(B765/11)&lt;8,RIGHT(C765,1),RIGHT(C765,2)),"DistMoy")</f>
        <v>FretFluvCat27DistMoy</v>
      </c>
      <c r="G765" s="25" t="s">
        <v>17</v>
      </c>
      <c r="H765" s="25">
        <f>IF($I$15="Oui",1,0)*IF(ISNUMBER(SEARCH("La distance moyenne d'un trajet",I763)),1,0)</f>
        <v>0</v>
      </c>
      <c r="I765" s="28"/>
      <c r="J765" s="113"/>
      <c r="K765" s="25" t="s">
        <v>88</v>
      </c>
      <c r="L765" s="28"/>
    </row>
    <row r="766" spans="1:12" s="25" customFormat="1" outlineLevel="1" x14ac:dyDescent="0.25">
      <c r="A766" s="25" t="s">
        <v>134</v>
      </c>
      <c r="B766" s="25">
        <v>293</v>
      </c>
      <c r="C766" s="25" t="str">
        <f t="shared" si="752"/>
        <v>Catégorie 27</v>
      </c>
      <c r="D766" s="25" t="s">
        <v>147</v>
      </c>
      <c r="F766" s="25" t="str">
        <f t="shared" ref="F766" si="795">_xlfn.CONCAT("FretFluv",LEFT(C766,3),IF(INT(B766/11)&lt;8,RIGHT(C766,1),RIGHT(C766,2)),"EmportMoy")</f>
        <v>FretFluvCat27EmportMoy</v>
      </c>
      <c r="G766" s="25" t="s">
        <v>17</v>
      </c>
      <c r="H766" s="25">
        <f>IF($I$15="Oui",1,0)*IF(ISNUMBER(SEARCH("La masse moyenne transportée pour un trajet",I763)),1,0)</f>
        <v>0</v>
      </c>
      <c r="I766" s="28"/>
      <c r="J766" s="27"/>
      <c r="K766" s="25" t="s">
        <v>148</v>
      </c>
      <c r="L766" s="28"/>
    </row>
    <row r="767" spans="1:12" s="25" customFormat="1" outlineLevel="1" x14ac:dyDescent="0.25">
      <c r="A767" s="25" t="s">
        <v>134</v>
      </c>
      <c r="B767" s="25">
        <v>294</v>
      </c>
      <c r="C767" s="25" t="str">
        <f t="shared" si="752"/>
        <v>Catégorie 27</v>
      </c>
      <c r="D767" s="25" t="s">
        <v>149</v>
      </c>
      <c r="F767" s="25" t="str">
        <f t="shared" ref="F767" si="796">_xlfn.CONCAT("FretFluv",LEFT(C767,3),IF(INT(B767/11)&lt;8,RIGHT(C767,1),RIGHT(C767,2)),"DistAn")</f>
        <v>FretFluvCat27DistAn</v>
      </c>
      <c r="G767" s="25" t="s">
        <v>17</v>
      </c>
      <c r="H767" s="25">
        <f>IF($I$15="Oui",1,0)*IF(ISNUMBER(SEARCH("La distance parcourue annuellement pour ce type de barge",I763)),1,0)</f>
        <v>0</v>
      </c>
      <c r="I767" s="28"/>
      <c r="J767" s="27"/>
      <c r="K767" s="25" t="s">
        <v>88</v>
      </c>
    </row>
    <row r="768" spans="1:12" s="25" customFormat="1" outlineLevel="1" x14ac:dyDescent="0.25">
      <c r="A768" s="25" t="s">
        <v>134</v>
      </c>
      <c r="B768" s="25">
        <v>295</v>
      </c>
      <c r="C768" s="25" t="str">
        <f t="shared" si="752"/>
        <v>Catégorie 27</v>
      </c>
      <c r="D768" s="25" t="s">
        <v>150</v>
      </c>
      <c r="F768" s="25" t="str">
        <f t="shared" ref="F768" si="797">_xlfn.CONCAT("FretFluv",LEFT(C768,3),IF(INT(B768/11)&lt;8,RIGHT(C768,1),RIGHT(C768,2)),"TauxChargeMoy")</f>
        <v>FretFluvCat27TauxChargeMoy</v>
      </c>
      <c r="G768" s="25" t="s">
        <v>17</v>
      </c>
      <c r="H768" s="25">
        <f>IF($I$15="Oui",1,0)*IF(ISNUMBER(SEARCH("Le taux de chargement moyen",I763)),1,0)</f>
        <v>0</v>
      </c>
      <c r="I768" s="28"/>
      <c r="J768" s="27"/>
      <c r="K768" s="25" t="s">
        <v>70</v>
      </c>
    </row>
    <row r="769" spans="1:12" s="25" customFormat="1" outlineLevel="1" x14ac:dyDescent="0.25">
      <c r="A769" s="25" t="s">
        <v>134</v>
      </c>
      <c r="B769" s="25">
        <v>296</v>
      </c>
      <c r="C769" s="25" t="str">
        <f t="shared" si="752"/>
        <v>Catégorie 27</v>
      </c>
      <c r="D769" s="26" t="s">
        <v>526</v>
      </c>
      <c r="F769" s="25" t="str">
        <f t="shared" ref="F769" si="798">_xlfn.CONCAT("FretFluv",LEFT(C769,3),IF(INT(B769/11)&lt;8,RIGHT(C769,1),RIGHT(C769,2)),"NbBarges")</f>
        <v>FretFluvCat27NbBarges</v>
      </c>
      <c r="G769" s="25" t="s">
        <v>17</v>
      </c>
      <c r="H769" s="25">
        <f>IF($I$15="Oui",1,0)</f>
        <v>1</v>
      </c>
      <c r="I769" s="28"/>
      <c r="J769" s="27"/>
      <c r="K769" s="25" t="s">
        <v>151</v>
      </c>
    </row>
    <row r="770" spans="1:12" s="25" customFormat="1" outlineLevel="1" x14ac:dyDescent="0.25">
      <c r="A770" s="25" t="s">
        <v>134</v>
      </c>
      <c r="B770" s="25">
        <v>297</v>
      </c>
      <c r="C770" s="25" t="str">
        <f t="shared" si="752"/>
        <v>Catégorie 28</v>
      </c>
      <c r="D770" s="25" t="s">
        <v>135</v>
      </c>
      <c r="F770" s="25" t="str">
        <f t="shared" ref="F770" si="799">_xlfn.CONCAT("FretFluv",LEFT(C770,3),IF(INT(B770/11)&lt;8,RIGHT(C770,1),RIGHT(C770,2)),"Nom")</f>
        <v>FretFluvCat28Nom</v>
      </c>
      <c r="G770" s="26" t="s">
        <v>20</v>
      </c>
      <c r="H770" s="25">
        <f>IF($I$15="Oui",1,0)</f>
        <v>1</v>
      </c>
      <c r="I770" s="28"/>
      <c r="J770" s="27" t="str">
        <f>VLOOKUP(C770,'Parcs types'!$B$65:$AA$120,2,FALSE)</f>
        <v>Automoteurs 1000-1499 tonnes H2 , ICE</v>
      </c>
      <c r="L770" s="25" t="str">
        <f>J770</f>
        <v>Automoteurs 1000-1499 tonnes H2 , ICE</v>
      </c>
    </row>
    <row r="771" spans="1:12" s="25" customFormat="1" outlineLevel="1" x14ac:dyDescent="0.25">
      <c r="A771" s="25" t="s">
        <v>134</v>
      </c>
      <c r="B771" s="25">
        <v>298</v>
      </c>
      <c r="C771" s="25" t="str">
        <f t="shared" si="752"/>
        <v>Catégorie 28</v>
      </c>
      <c r="D771" s="25" t="s">
        <v>136</v>
      </c>
      <c r="F771" s="25" t="str">
        <f t="shared" ref="F771" si="800">_xlfn.CONCAT("FretFluv",LEFT(C771,3),IF(INT(B771/11)&lt;8,RIGHT(C771,1),RIGHT(C771,2)),"Type")</f>
        <v>FretFluvCat28Type</v>
      </c>
      <c r="G771" s="25" t="s">
        <v>20</v>
      </c>
      <c r="H771" s="25">
        <f t="shared" ref="H771:H773" si="801">IF($I$15="Oui",1,0)</f>
        <v>1</v>
      </c>
      <c r="I771" s="28"/>
      <c r="J771" s="27" t="str">
        <f>VLOOKUP(C771,'Parcs types'!$B$65:$AA$120,3,FALSE)</f>
        <v>Automoteurs</v>
      </c>
      <c r="L771" s="25" t="str">
        <f t="shared" ref="L771:L773" si="802">J771</f>
        <v>Automoteurs</v>
      </c>
    </row>
    <row r="772" spans="1:12" s="25" customFormat="1" outlineLevel="1" x14ac:dyDescent="0.25">
      <c r="A772" s="25" t="s">
        <v>134</v>
      </c>
      <c r="B772" s="25">
        <v>299</v>
      </c>
      <c r="C772" s="25" t="str">
        <f t="shared" si="752"/>
        <v>Catégorie 28</v>
      </c>
      <c r="D772" s="26" t="s">
        <v>137</v>
      </c>
      <c r="F772" s="25" t="str">
        <f t="shared" ref="F772" si="803">_xlfn.CONCAT("FretFluv",LEFT(C772,3),IF(INT(B772/11)&lt;8,RIGHT(C772,1),RIGHT(C772,2)),"Cap")</f>
        <v>FretFluvCat28Cap</v>
      </c>
      <c r="G772" s="26" t="s">
        <v>36</v>
      </c>
      <c r="H772" s="25">
        <f t="shared" si="801"/>
        <v>1</v>
      </c>
      <c r="I772" s="28"/>
      <c r="J772" s="27" t="str">
        <f>VLOOKUP(C772,'Parcs types'!$B$65:$AA$120,4,FALSE)</f>
        <v>1000-1499 tonnes</v>
      </c>
      <c r="K772" s="25" t="s">
        <v>524</v>
      </c>
      <c r="L772" s="25" t="str">
        <f t="shared" si="802"/>
        <v>1000-1499 tonnes</v>
      </c>
    </row>
    <row r="773" spans="1:12" s="25" customFormat="1" outlineLevel="1" x14ac:dyDescent="0.25">
      <c r="A773" s="25" t="s">
        <v>134</v>
      </c>
      <c r="B773" s="25">
        <v>300</v>
      </c>
      <c r="C773" s="25" t="str">
        <f t="shared" si="752"/>
        <v>Catégorie 28</v>
      </c>
      <c r="D773" s="26" t="s">
        <v>525</v>
      </c>
      <c r="F773" s="25" t="str">
        <f t="shared" ref="F773" si="804">_xlfn.CONCAT("FretFluv",LEFT(C773,3),IF(INT(B773/11)&lt;8,RIGHT(C773,1),RIGHT(C773,2)),"Tech")</f>
        <v>FretFluvCat28Tech</v>
      </c>
      <c r="G773" s="26" t="s">
        <v>20</v>
      </c>
      <c r="H773" s="25">
        <f t="shared" si="801"/>
        <v>1</v>
      </c>
      <c r="I773" s="28"/>
      <c r="J773" s="27" t="str">
        <f>VLOOKUP(C773,'Parcs types'!$B$65:$AA$120,5,FALSE)</f>
        <v>H2 , ICE</v>
      </c>
      <c r="L773" s="25" t="str">
        <f t="shared" si="802"/>
        <v>H2 , ICE</v>
      </c>
    </row>
    <row r="774" spans="1:12" s="25" customFormat="1" outlineLevel="1" x14ac:dyDescent="0.25">
      <c r="A774" s="25" t="s">
        <v>134</v>
      </c>
      <c r="B774" s="25">
        <v>301</v>
      </c>
      <c r="C774" s="25" t="str">
        <f t="shared" si="752"/>
        <v>Catégorie 28</v>
      </c>
      <c r="D774" s="25" t="s">
        <v>140</v>
      </c>
      <c r="F774" s="25" t="str">
        <f t="shared" ref="F774" si="805">_xlfn.CONCAT("FretFluv",LEFT(C774,3),IF(INT(B774/11)&lt;8,RIGHT(C774,1),RIGHT(C774,2)),"Request")</f>
        <v>FretFluvCat28Request</v>
      </c>
      <c r="G774" s="26" t="s">
        <v>20</v>
      </c>
      <c r="H774" s="25">
        <f>IF($I$15="Oui",1,0)</f>
        <v>1</v>
      </c>
      <c r="J774" s="27" t="s">
        <v>142</v>
      </c>
      <c r="L774" s="28"/>
    </row>
    <row r="775" spans="1:12" s="25" customFormat="1" outlineLevel="1" x14ac:dyDescent="0.25">
      <c r="A775" s="25" t="s">
        <v>134</v>
      </c>
      <c r="B775" s="25">
        <v>302</v>
      </c>
      <c r="C775" s="25" t="str">
        <f t="shared" si="752"/>
        <v>Catégorie 28</v>
      </c>
      <c r="D775" s="25" t="s">
        <v>144</v>
      </c>
      <c r="F775" s="25" t="str">
        <f t="shared" ref="F775" si="806">_xlfn.CONCAT("FretFluv",LEFT(C775,3),IF(INT(B775/11)&lt;8,RIGHT(C775,1),RIGHT(C775,2)),"NbTraj")</f>
        <v>FretFluvCat28NbTraj</v>
      </c>
      <c r="G775" s="25" t="s">
        <v>17</v>
      </c>
      <c r="H775" s="25">
        <f>IF($I$15="Oui",1,0)*IF(ISNUMBER(SEARCH("Une estimation du nombre annuel de trajets pour ce type de barge",I774)),1,0)</f>
        <v>0</v>
      </c>
      <c r="I775" s="28"/>
      <c r="J775" s="27"/>
      <c r="K775" s="25" t="s">
        <v>145</v>
      </c>
      <c r="L775" s="28"/>
    </row>
    <row r="776" spans="1:12" s="25" customFormat="1" outlineLevel="1" x14ac:dyDescent="0.25">
      <c r="A776" s="25" t="s">
        <v>134</v>
      </c>
      <c r="B776" s="25">
        <v>303</v>
      </c>
      <c r="C776" s="25" t="str">
        <f t="shared" si="752"/>
        <v>Catégorie 28</v>
      </c>
      <c r="D776" s="25" t="s">
        <v>146</v>
      </c>
      <c r="F776" s="25" t="str">
        <f t="shared" ref="F776" si="807">_xlfn.CONCAT("FretFluv",LEFT(C776,3),IF(INT(B776/11)&lt;8,RIGHT(C776,1),RIGHT(C776,2)),"DistMoy")</f>
        <v>FretFluvCat28DistMoy</v>
      </c>
      <c r="G776" s="25" t="s">
        <v>17</v>
      </c>
      <c r="H776" s="25">
        <f>IF($I$15="Oui",1,0)*IF(ISNUMBER(SEARCH("La distance moyenne d'un trajet",I774)),1,0)</f>
        <v>0</v>
      </c>
      <c r="I776" s="28"/>
      <c r="J776" s="27"/>
      <c r="K776" s="25" t="s">
        <v>88</v>
      </c>
      <c r="L776" s="28"/>
    </row>
    <row r="777" spans="1:12" s="25" customFormat="1" outlineLevel="1" x14ac:dyDescent="0.25">
      <c r="A777" s="25" t="s">
        <v>134</v>
      </c>
      <c r="B777" s="25">
        <v>304</v>
      </c>
      <c r="C777" s="25" t="str">
        <f t="shared" si="752"/>
        <v>Catégorie 28</v>
      </c>
      <c r="D777" s="25" t="s">
        <v>147</v>
      </c>
      <c r="F777" s="25" t="str">
        <f t="shared" ref="F777" si="808">_xlfn.CONCAT("FretFluv",LEFT(C777,3),IF(INT(B777/11)&lt;8,RIGHT(C777,1),RIGHT(C777,2)),"EmportMoy")</f>
        <v>FretFluvCat28EmportMoy</v>
      </c>
      <c r="G777" s="25" t="s">
        <v>17</v>
      </c>
      <c r="H777" s="25">
        <f>IF($I$15="Oui",1,0)*IF(ISNUMBER(SEARCH("La masse moyenne transportée pour un trajet",I774)),1,0)</f>
        <v>0</v>
      </c>
      <c r="I777" s="28"/>
      <c r="J777" s="27"/>
      <c r="K777" s="25" t="s">
        <v>148</v>
      </c>
      <c r="L777" s="28"/>
    </row>
    <row r="778" spans="1:12" s="25" customFormat="1" outlineLevel="1" x14ac:dyDescent="0.25">
      <c r="A778" s="25" t="s">
        <v>134</v>
      </c>
      <c r="B778" s="25">
        <v>305</v>
      </c>
      <c r="C778" s="25" t="str">
        <f t="shared" si="752"/>
        <v>Catégorie 28</v>
      </c>
      <c r="D778" s="25" t="s">
        <v>149</v>
      </c>
      <c r="F778" s="25" t="str">
        <f t="shared" ref="F778" si="809">_xlfn.CONCAT("FretFluv",LEFT(C778,3),IF(INT(B778/11)&lt;8,RIGHT(C778,1),RIGHT(C778,2)),"DistAn")</f>
        <v>FretFluvCat28DistAn</v>
      </c>
      <c r="G778" s="25" t="s">
        <v>17</v>
      </c>
      <c r="H778" s="25">
        <f>IF($I$15="Oui",1,0)*IF(ISNUMBER(SEARCH("La distance parcourue annuellement pour ce type de barge",I774)),1,0)</f>
        <v>0</v>
      </c>
      <c r="I778" s="28"/>
      <c r="J778" s="27"/>
      <c r="K778" s="25" t="s">
        <v>88</v>
      </c>
      <c r="L778" s="28"/>
    </row>
    <row r="779" spans="1:12" s="25" customFormat="1" outlineLevel="1" x14ac:dyDescent="0.25">
      <c r="A779" s="25" t="s">
        <v>134</v>
      </c>
      <c r="B779" s="25">
        <v>306</v>
      </c>
      <c r="C779" s="25" t="str">
        <f t="shared" si="752"/>
        <v>Catégorie 28</v>
      </c>
      <c r="D779" s="25" t="s">
        <v>150</v>
      </c>
      <c r="F779" s="25" t="str">
        <f t="shared" ref="F779" si="810">_xlfn.CONCAT("FretFluv",LEFT(C779,3),IF(INT(B779/11)&lt;8,RIGHT(C779,1),RIGHT(C779,2)),"TauxChargeMoy")</f>
        <v>FretFluvCat28TauxChargeMoy</v>
      </c>
      <c r="G779" s="25" t="s">
        <v>17</v>
      </c>
      <c r="H779" s="25">
        <f>IF($I$15="Oui",1,0)*IF(ISNUMBER(SEARCH("Le taux de chargement moyen",I774)),1,0)</f>
        <v>0</v>
      </c>
      <c r="I779" s="28"/>
      <c r="J779" s="27"/>
      <c r="K779" s="25" t="s">
        <v>70</v>
      </c>
      <c r="L779" s="28"/>
    </row>
    <row r="780" spans="1:12" s="25" customFormat="1" outlineLevel="1" x14ac:dyDescent="0.25">
      <c r="A780" s="25" t="s">
        <v>134</v>
      </c>
      <c r="B780" s="25">
        <v>307</v>
      </c>
      <c r="C780" s="25" t="str">
        <f t="shared" si="752"/>
        <v>Catégorie 28</v>
      </c>
      <c r="D780" s="26" t="s">
        <v>526</v>
      </c>
      <c r="F780" s="25" t="str">
        <f t="shared" ref="F780" si="811">_xlfn.CONCAT("FretFluv",LEFT(C780,3),IF(INT(B780/11)&lt;8,RIGHT(C780,1),RIGHT(C780,2)),"NbBarges")</f>
        <v>FretFluvCat28NbBarges</v>
      </c>
      <c r="G780" s="25" t="s">
        <v>17</v>
      </c>
      <c r="H780" s="25">
        <f>IF($I$15="Oui",1,0)</f>
        <v>1</v>
      </c>
      <c r="I780" s="28"/>
      <c r="J780" s="27"/>
      <c r="K780" s="25" t="s">
        <v>151</v>
      </c>
      <c r="L780" s="28"/>
    </row>
    <row r="781" spans="1:12" s="25" customFormat="1" outlineLevel="1" x14ac:dyDescent="0.25">
      <c r="A781" s="25" t="s">
        <v>134</v>
      </c>
      <c r="B781" s="25">
        <v>308</v>
      </c>
      <c r="C781" s="25" t="str">
        <f t="shared" si="752"/>
        <v>Catégorie 29</v>
      </c>
      <c r="D781" s="25" t="s">
        <v>135</v>
      </c>
      <c r="F781" s="25" t="str">
        <f t="shared" ref="F781" si="812">_xlfn.CONCAT("FretFluv",LEFT(C781,3),IF(INT(B781/11)&lt;8,RIGHT(C781,1),RIGHT(C781,2)),"Nom")</f>
        <v>FretFluvCat29Nom</v>
      </c>
      <c r="G781" s="26" t="s">
        <v>20</v>
      </c>
      <c r="H781" s="25">
        <f>IF($I$15="Oui",1,0)</f>
        <v>1</v>
      </c>
      <c r="I781" s="28"/>
      <c r="J781" s="27" t="str">
        <f>VLOOKUP(C781,'Parcs types'!$B$65:$AA$120,2,FALSE)</f>
        <v>Automoteurs 1500-3000 tonnes CCNR 2 ou inférieur, diesel</v>
      </c>
      <c r="L781" s="25" t="str">
        <f>J781</f>
        <v>Automoteurs 1500-3000 tonnes CCNR 2 ou inférieur, diesel</v>
      </c>
    </row>
    <row r="782" spans="1:12" s="25" customFormat="1" outlineLevel="1" x14ac:dyDescent="0.25">
      <c r="A782" s="25" t="s">
        <v>134</v>
      </c>
      <c r="B782" s="25">
        <v>309</v>
      </c>
      <c r="C782" s="25" t="str">
        <f t="shared" si="752"/>
        <v>Catégorie 29</v>
      </c>
      <c r="D782" s="25" t="s">
        <v>136</v>
      </c>
      <c r="F782" s="25" t="str">
        <f t="shared" ref="F782" si="813">_xlfn.CONCAT("FretFluv",LEFT(C782,3),IF(INT(B782/11)&lt;8,RIGHT(C782,1),RIGHT(C782,2)),"Type")</f>
        <v>FretFluvCat29Type</v>
      </c>
      <c r="G782" s="25" t="s">
        <v>20</v>
      </c>
      <c r="H782" s="25">
        <f t="shared" ref="H782:H784" si="814">IF($I$15="Oui",1,0)</f>
        <v>1</v>
      </c>
      <c r="I782" s="28"/>
      <c r="J782" s="27" t="str">
        <f>VLOOKUP(C782,'Parcs types'!$B$65:$AA$120,3,FALSE)</f>
        <v>Automoteurs</v>
      </c>
      <c r="L782" s="25" t="str">
        <f t="shared" ref="L782:L784" si="815">J782</f>
        <v>Automoteurs</v>
      </c>
    </row>
    <row r="783" spans="1:12" s="25" customFormat="1" outlineLevel="1" x14ac:dyDescent="0.25">
      <c r="A783" s="25" t="s">
        <v>134</v>
      </c>
      <c r="B783" s="25">
        <v>310</v>
      </c>
      <c r="C783" s="25" t="str">
        <f t="shared" si="752"/>
        <v>Catégorie 29</v>
      </c>
      <c r="D783" s="26" t="s">
        <v>137</v>
      </c>
      <c r="F783" s="25" t="str">
        <f t="shared" ref="F783" si="816">_xlfn.CONCAT("FretFluv",LEFT(C783,3),IF(INT(B783/11)&lt;8,RIGHT(C783,1),RIGHT(C783,2)),"Cap")</f>
        <v>FretFluvCat29Cap</v>
      </c>
      <c r="G783" s="26" t="s">
        <v>36</v>
      </c>
      <c r="H783" s="25">
        <f t="shared" si="814"/>
        <v>1</v>
      </c>
      <c r="I783" s="28"/>
      <c r="J783" s="27" t="str">
        <f>VLOOKUP(C783,'Parcs types'!$B$65:$AA$120,4,FALSE)</f>
        <v>1500-3000 tonnes</v>
      </c>
      <c r="K783" s="25" t="s">
        <v>524</v>
      </c>
      <c r="L783" s="25" t="str">
        <f t="shared" si="815"/>
        <v>1500-3000 tonnes</v>
      </c>
    </row>
    <row r="784" spans="1:12" s="25" customFormat="1" outlineLevel="1" x14ac:dyDescent="0.25">
      <c r="A784" s="25" t="s">
        <v>134</v>
      </c>
      <c r="B784" s="25">
        <v>311</v>
      </c>
      <c r="C784" s="25" t="str">
        <f t="shared" si="752"/>
        <v>Catégorie 29</v>
      </c>
      <c r="D784" s="26" t="s">
        <v>525</v>
      </c>
      <c r="F784" s="25" t="str">
        <f t="shared" ref="F784" si="817">_xlfn.CONCAT("FretFluv",LEFT(C784,3),IF(INT(B784/11)&lt;8,RIGHT(C784,1),RIGHT(C784,2)),"Tech")</f>
        <v>FretFluvCat29Tech</v>
      </c>
      <c r="G784" s="26" t="s">
        <v>20</v>
      </c>
      <c r="H784" s="25">
        <f t="shared" si="814"/>
        <v>1</v>
      </c>
      <c r="I784" s="28"/>
      <c r="J784" s="27" t="str">
        <f>VLOOKUP(C784,'Parcs types'!$B$65:$AA$120,5,FALSE)</f>
        <v>CCNR 2 ou inférieur, diesel</v>
      </c>
      <c r="L784" s="25" t="str">
        <f t="shared" si="815"/>
        <v>CCNR 2 ou inférieur, diesel</v>
      </c>
    </row>
    <row r="785" spans="1:12" s="25" customFormat="1" outlineLevel="1" x14ac:dyDescent="0.25">
      <c r="A785" s="25" t="s">
        <v>134</v>
      </c>
      <c r="B785" s="25">
        <v>312</v>
      </c>
      <c r="C785" s="25" t="str">
        <f t="shared" si="752"/>
        <v>Catégorie 29</v>
      </c>
      <c r="D785" s="25" t="s">
        <v>140</v>
      </c>
      <c r="F785" s="25" t="str">
        <f t="shared" ref="F785" si="818">_xlfn.CONCAT("FretFluv",LEFT(C785,3),IF(INT(B785/11)&lt;8,RIGHT(C785,1),RIGHT(C785,2)),"Request")</f>
        <v>FretFluvCat29Request</v>
      </c>
      <c r="G785" s="26" t="s">
        <v>20</v>
      </c>
      <c r="H785" s="25">
        <f>IF($I$15="Oui",1,0)</f>
        <v>1</v>
      </c>
      <c r="J785" s="27" t="s">
        <v>142</v>
      </c>
      <c r="L785" s="28"/>
    </row>
    <row r="786" spans="1:12" s="25" customFormat="1" outlineLevel="1" x14ac:dyDescent="0.25">
      <c r="A786" s="25" t="s">
        <v>134</v>
      </c>
      <c r="B786" s="25">
        <v>313</v>
      </c>
      <c r="C786" s="25" t="str">
        <f t="shared" si="752"/>
        <v>Catégorie 29</v>
      </c>
      <c r="D786" s="25" t="s">
        <v>144</v>
      </c>
      <c r="F786" s="25" t="str">
        <f t="shared" ref="F786" si="819">_xlfn.CONCAT("FretFluv",LEFT(C786,3),IF(INT(B786/11)&lt;8,RIGHT(C786,1),RIGHT(C786,2)),"NbTraj")</f>
        <v>FretFluvCat29NbTraj</v>
      </c>
      <c r="G786" s="25" t="s">
        <v>17</v>
      </c>
      <c r="H786" s="25">
        <f>IF($I$15="Oui",1,0)*IF(ISNUMBER(SEARCH("Une estimation du nombre annuel de trajets pour ce type de barge",I785)),1,0)</f>
        <v>0</v>
      </c>
      <c r="I786" s="28"/>
      <c r="J786" s="27"/>
      <c r="K786" s="25" t="s">
        <v>145</v>
      </c>
      <c r="L786" s="28"/>
    </row>
    <row r="787" spans="1:12" s="25" customFormat="1" outlineLevel="1" x14ac:dyDescent="0.25">
      <c r="A787" s="25" t="s">
        <v>134</v>
      </c>
      <c r="B787" s="25">
        <v>314</v>
      </c>
      <c r="C787" s="25" t="str">
        <f t="shared" si="752"/>
        <v>Catégorie 29</v>
      </c>
      <c r="D787" s="25" t="s">
        <v>146</v>
      </c>
      <c r="F787" s="25" t="str">
        <f t="shared" ref="F787" si="820">_xlfn.CONCAT("FretFluv",LEFT(C787,3),IF(INT(B787/11)&lt;8,RIGHT(C787,1),RIGHT(C787,2)),"DistMoy")</f>
        <v>FretFluvCat29DistMoy</v>
      </c>
      <c r="G787" s="25" t="s">
        <v>17</v>
      </c>
      <c r="H787" s="25">
        <f>IF($I$15="Oui",1,0)*IF(ISNUMBER(SEARCH("La distance moyenne d'un trajet",I785)),1,0)</f>
        <v>0</v>
      </c>
      <c r="I787" s="28"/>
      <c r="J787" s="27"/>
      <c r="K787" s="25" t="s">
        <v>88</v>
      </c>
      <c r="L787" s="28"/>
    </row>
    <row r="788" spans="1:12" s="25" customFormat="1" outlineLevel="1" x14ac:dyDescent="0.25">
      <c r="A788" s="25" t="s">
        <v>134</v>
      </c>
      <c r="B788" s="25">
        <v>315</v>
      </c>
      <c r="C788" s="25" t="str">
        <f t="shared" si="752"/>
        <v>Catégorie 29</v>
      </c>
      <c r="D788" s="25" t="s">
        <v>147</v>
      </c>
      <c r="F788" s="25" t="str">
        <f t="shared" ref="F788" si="821">_xlfn.CONCAT("FretFluv",LEFT(C788,3),IF(INT(B788/11)&lt;8,RIGHT(C788,1),RIGHT(C788,2)),"EmportMoy")</f>
        <v>FretFluvCat29EmportMoy</v>
      </c>
      <c r="G788" s="25" t="s">
        <v>17</v>
      </c>
      <c r="H788" s="25">
        <f>IF($I$15="Oui",1,0)*IF(ISNUMBER(SEARCH("La masse moyenne transportée pour un trajet",I785)),1,0)</f>
        <v>0</v>
      </c>
      <c r="I788" s="28"/>
      <c r="J788" s="27"/>
      <c r="K788" s="25" t="s">
        <v>148</v>
      </c>
      <c r="L788" s="28"/>
    </row>
    <row r="789" spans="1:12" s="25" customFormat="1" outlineLevel="1" x14ac:dyDescent="0.25">
      <c r="A789" s="25" t="s">
        <v>134</v>
      </c>
      <c r="B789" s="25">
        <v>316</v>
      </c>
      <c r="C789" s="25" t="str">
        <f t="shared" si="752"/>
        <v>Catégorie 29</v>
      </c>
      <c r="D789" s="25" t="s">
        <v>149</v>
      </c>
      <c r="F789" s="25" t="str">
        <f t="shared" ref="F789" si="822">_xlfn.CONCAT("FretFluv",LEFT(C789,3),IF(INT(B789/11)&lt;8,RIGHT(C789,1),RIGHT(C789,2)),"DistAn")</f>
        <v>FretFluvCat29DistAn</v>
      </c>
      <c r="G789" s="25" t="s">
        <v>17</v>
      </c>
      <c r="H789" s="25">
        <f>IF($I$15="Oui",1,0)*IF(ISNUMBER(SEARCH("La distance parcourue annuellement pour ce type de barge",I785)),1,0)</f>
        <v>0</v>
      </c>
      <c r="I789" s="28"/>
      <c r="J789" s="27"/>
      <c r="K789" s="25" t="s">
        <v>88</v>
      </c>
    </row>
    <row r="790" spans="1:12" s="25" customFormat="1" outlineLevel="1" x14ac:dyDescent="0.25">
      <c r="A790" s="25" t="s">
        <v>134</v>
      </c>
      <c r="B790" s="25">
        <v>317</v>
      </c>
      <c r="C790" s="25" t="str">
        <f t="shared" si="752"/>
        <v>Catégorie 29</v>
      </c>
      <c r="D790" s="25" t="s">
        <v>150</v>
      </c>
      <c r="F790" s="25" t="str">
        <f t="shared" ref="F790" si="823">_xlfn.CONCAT("FretFluv",LEFT(C790,3),IF(INT(B790/11)&lt;8,RIGHT(C790,1),RIGHT(C790,2)),"TauxChargeMoy")</f>
        <v>FretFluvCat29TauxChargeMoy</v>
      </c>
      <c r="G790" s="25" t="s">
        <v>17</v>
      </c>
      <c r="H790" s="25">
        <f>IF($I$15="Oui",1,0)*IF(ISNUMBER(SEARCH("Le taux de chargement moyen",I785)),1,0)</f>
        <v>0</v>
      </c>
      <c r="I790" s="28"/>
      <c r="J790" s="27"/>
      <c r="K790" s="25" t="s">
        <v>70</v>
      </c>
    </row>
    <row r="791" spans="1:12" s="25" customFormat="1" outlineLevel="1" x14ac:dyDescent="0.25">
      <c r="A791" s="25" t="s">
        <v>134</v>
      </c>
      <c r="B791" s="25">
        <v>318</v>
      </c>
      <c r="C791" s="25" t="str">
        <f t="shared" si="752"/>
        <v>Catégorie 29</v>
      </c>
      <c r="D791" s="26" t="s">
        <v>526</v>
      </c>
      <c r="F791" s="25" t="str">
        <f t="shared" ref="F791" si="824">_xlfn.CONCAT("FretFluv",LEFT(C791,3),IF(INT(B791/11)&lt;8,RIGHT(C791,1),RIGHT(C791,2)),"NbBarges")</f>
        <v>FretFluvCat29NbBarges</v>
      </c>
      <c r="G791" s="25" t="s">
        <v>17</v>
      </c>
      <c r="H791" s="25">
        <f>IF($I$15="Oui",1,0)</f>
        <v>1</v>
      </c>
      <c r="I791" s="28"/>
      <c r="J791" s="27"/>
      <c r="K791" s="25" t="s">
        <v>151</v>
      </c>
    </row>
    <row r="792" spans="1:12" s="25" customFormat="1" outlineLevel="1" x14ac:dyDescent="0.25">
      <c r="A792" s="25" t="s">
        <v>134</v>
      </c>
      <c r="B792" s="25">
        <v>319</v>
      </c>
      <c r="C792" s="25" t="str">
        <f t="shared" si="752"/>
        <v>Catégorie 30</v>
      </c>
      <c r="D792" s="25" t="s">
        <v>135</v>
      </c>
      <c r="F792" s="25" t="str">
        <f t="shared" ref="F792" si="825">_xlfn.CONCAT("FretFluv",LEFT(C792,3),IF(INT(B792/11)&lt;8,RIGHT(C792,1),RIGHT(C792,2)),"Nom")</f>
        <v>FretFluvCat30Nom</v>
      </c>
      <c r="G792" s="26" t="s">
        <v>20</v>
      </c>
      <c r="H792" s="25">
        <f>IF($I$15="Oui",1,0)</f>
        <v>1</v>
      </c>
      <c r="I792" s="28"/>
      <c r="J792" s="27" t="str">
        <f>VLOOKUP(C792,'Parcs types'!$B$65:$AA$120,2,FALSE)</f>
        <v>Automoteurs 1500-3000 tonnes CCNR 2 + SCR, diesel</v>
      </c>
      <c r="L792" s="25" t="str">
        <f>J792</f>
        <v>Automoteurs 1500-3000 tonnes CCNR 2 + SCR, diesel</v>
      </c>
    </row>
    <row r="793" spans="1:12" s="25" customFormat="1" outlineLevel="1" x14ac:dyDescent="0.25">
      <c r="A793" s="25" t="s">
        <v>134</v>
      </c>
      <c r="B793" s="25">
        <v>320</v>
      </c>
      <c r="C793" s="25" t="str">
        <f t="shared" si="752"/>
        <v>Catégorie 30</v>
      </c>
      <c r="D793" s="25" t="s">
        <v>136</v>
      </c>
      <c r="F793" s="25" t="str">
        <f t="shared" ref="F793" si="826">_xlfn.CONCAT("FretFluv",LEFT(C793,3),IF(INT(B793/11)&lt;8,RIGHT(C793,1),RIGHT(C793,2)),"Type")</f>
        <v>FretFluvCat30Type</v>
      </c>
      <c r="G793" s="25" t="s">
        <v>20</v>
      </c>
      <c r="H793" s="25">
        <f t="shared" ref="H793:H795" si="827">IF($I$15="Oui",1,0)</f>
        <v>1</v>
      </c>
      <c r="I793" s="28"/>
      <c r="J793" s="27" t="str">
        <f>VLOOKUP(C793,'Parcs types'!$B$65:$AA$120,3,FALSE)</f>
        <v>Automoteurs</v>
      </c>
      <c r="L793" s="25" t="str">
        <f t="shared" ref="L793:L795" si="828">J793</f>
        <v>Automoteurs</v>
      </c>
    </row>
    <row r="794" spans="1:12" s="25" customFormat="1" outlineLevel="1" x14ac:dyDescent="0.25">
      <c r="A794" s="25" t="s">
        <v>134</v>
      </c>
      <c r="B794" s="25">
        <v>321</v>
      </c>
      <c r="C794" s="25" t="str">
        <f t="shared" ref="C794:C857" si="829">"Catégorie "&amp;INT(B794/11)+1</f>
        <v>Catégorie 30</v>
      </c>
      <c r="D794" s="26" t="s">
        <v>137</v>
      </c>
      <c r="F794" s="25" t="str">
        <f t="shared" ref="F794" si="830">_xlfn.CONCAT("FretFluv",LEFT(C794,3),IF(INT(B794/11)&lt;8,RIGHT(C794,1),RIGHT(C794,2)),"Cap")</f>
        <v>FretFluvCat30Cap</v>
      </c>
      <c r="G794" s="26" t="s">
        <v>36</v>
      </c>
      <c r="H794" s="25">
        <f t="shared" si="827"/>
        <v>1</v>
      </c>
      <c r="I794" s="28"/>
      <c r="J794" s="27" t="str">
        <f>VLOOKUP(C794,'Parcs types'!$B$65:$AA$120,4,FALSE)</f>
        <v>1500-3000 tonnes</v>
      </c>
      <c r="K794" s="25" t="s">
        <v>524</v>
      </c>
      <c r="L794" s="25" t="str">
        <f t="shared" si="828"/>
        <v>1500-3000 tonnes</v>
      </c>
    </row>
    <row r="795" spans="1:12" s="25" customFormat="1" outlineLevel="1" x14ac:dyDescent="0.25">
      <c r="A795" s="25" t="s">
        <v>134</v>
      </c>
      <c r="B795" s="25">
        <v>322</v>
      </c>
      <c r="C795" s="25" t="str">
        <f t="shared" si="829"/>
        <v>Catégorie 30</v>
      </c>
      <c r="D795" s="26" t="s">
        <v>525</v>
      </c>
      <c r="F795" s="25" t="str">
        <f t="shared" ref="F795" si="831">_xlfn.CONCAT("FretFluv",LEFT(C795,3),IF(INT(B795/11)&lt;8,RIGHT(C795,1),RIGHT(C795,2)),"Tech")</f>
        <v>FretFluvCat30Tech</v>
      </c>
      <c r="G795" s="26" t="s">
        <v>20</v>
      </c>
      <c r="H795" s="25">
        <f t="shared" si="827"/>
        <v>1</v>
      </c>
      <c r="I795" s="28"/>
      <c r="J795" s="27" t="str">
        <f>VLOOKUP(C795,'Parcs types'!$B$65:$AA$120,5,FALSE)</f>
        <v>CCNR 2 + SCR, diesel</v>
      </c>
      <c r="L795" s="25" t="str">
        <f t="shared" si="828"/>
        <v>CCNR 2 + SCR, diesel</v>
      </c>
    </row>
    <row r="796" spans="1:12" s="25" customFormat="1" outlineLevel="1" x14ac:dyDescent="0.25">
      <c r="A796" s="25" t="s">
        <v>134</v>
      </c>
      <c r="B796" s="25">
        <v>323</v>
      </c>
      <c r="C796" s="25" t="str">
        <f t="shared" si="829"/>
        <v>Catégorie 30</v>
      </c>
      <c r="D796" s="25" t="s">
        <v>140</v>
      </c>
      <c r="F796" s="25" t="str">
        <f t="shared" ref="F796" si="832">_xlfn.CONCAT("FretFluv",LEFT(C796,3),IF(INT(B796/11)&lt;8,RIGHT(C796,1),RIGHT(C796,2)),"Request")</f>
        <v>FretFluvCat30Request</v>
      </c>
      <c r="G796" s="26" t="s">
        <v>20</v>
      </c>
      <c r="H796" s="25">
        <f>IF($I$15="Oui",1,0)</f>
        <v>1</v>
      </c>
      <c r="J796" s="27" t="s">
        <v>142</v>
      </c>
      <c r="L796" s="28"/>
    </row>
    <row r="797" spans="1:12" s="25" customFormat="1" outlineLevel="1" x14ac:dyDescent="0.25">
      <c r="A797" s="25" t="s">
        <v>134</v>
      </c>
      <c r="B797" s="25">
        <v>324</v>
      </c>
      <c r="C797" s="25" t="str">
        <f t="shared" si="829"/>
        <v>Catégorie 30</v>
      </c>
      <c r="D797" s="25" t="s">
        <v>144</v>
      </c>
      <c r="F797" s="25" t="str">
        <f t="shared" ref="F797" si="833">_xlfn.CONCAT("FretFluv",LEFT(C797,3),IF(INT(B797/11)&lt;8,RIGHT(C797,1),RIGHT(C797,2)),"NbTraj")</f>
        <v>FretFluvCat30NbTraj</v>
      </c>
      <c r="G797" s="25" t="s">
        <v>17</v>
      </c>
      <c r="H797" s="25">
        <f>IF($I$15="Oui",1,0)*IF(ISNUMBER(SEARCH("Une estimation du nombre annuel de trajets pour ce type de barge",I796)),1,0)</f>
        <v>0</v>
      </c>
      <c r="I797" s="28"/>
      <c r="J797" s="27"/>
      <c r="K797" s="25" t="s">
        <v>145</v>
      </c>
      <c r="L797" s="28"/>
    </row>
    <row r="798" spans="1:12" s="25" customFormat="1" outlineLevel="1" x14ac:dyDescent="0.25">
      <c r="A798" s="25" t="s">
        <v>134</v>
      </c>
      <c r="B798" s="25">
        <v>325</v>
      </c>
      <c r="C798" s="25" t="str">
        <f t="shared" si="829"/>
        <v>Catégorie 30</v>
      </c>
      <c r="D798" s="25" t="s">
        <v>146</v>
      </c>
      <c r="F798" s="25" t="str">
        <f t="shared" ref="F798" si="834">_xlfn.CONCAT("FretFluv",LEFT(C798,3),IF(INT(B798/11)&lt;8,RIGHT(C798,1),RIGHT(C798,2)),"DistMoy")</f>
        <v>FretFluvCat30DistMoy</v>
      </c>
      <c r="G798" s="25" t="s">
        <v>17</v>
      </c>
      <c r="H798" s="25">
        <f>IF($I$15="Oui",1,0)*IF(ISNUMBER(SEARCH("La distance moyenne d'un trajet",I796)),1,0)</f>
        <v>0</v>
      </c>
      <c r="I798" s="28"/>
      <c r="J798" s="27"/>
      <c r="K798" s="25" t="s">
        <v>88</v>
      </c>
      <c r="L798" s="28"/>
    </row>
    <row r="799" spans="1:12" s="25" customFormat="1" outlineLevel="1" x14ac:dyDescent="0.25">
      <c r="A799" s="25" t="s">
        <v>134</v>
      </c>
      <c r="B799" s="25">
        <v>326</v>
      </c>
      <c r="C799" s="25" t="str">
        <f t="shared" si="829"/>
        <v>Catégorie 30</v>
      </c>
      <c r="D799" s="25" t="s">
        <v>147</v>
      </c>
      <c r="F799" s="25" t="str">
        <f t="shared" ref="F799" si="835">_xlfn.CONCAT("FretFluv",LEFT(C799,3),IF(INT(B799/11)&lt;8,RIGHT(C799,1),RIGHT(C799,2)),"EmportMoy")</f>
        <v>FretFluvCat30EmportMoy</v>
      </c>
      <c r="G799" s="25" t="s">
        <v>17</v>
      </c>
      <c r="H799" s="25">
        <f>IF($I$15="Oui",1,0)*IF(ISNUMBER(SEARCH("La masse moyenne transportée pour un trajet",I796)),1,0)</f>
        <v>0</v>
      </c>
      <c r="J799" s="27"/>
      <c r="K799" s="25" t="s">
        <v>148</v>
      </c>
    </row>
    <row r="800" spans="1:12" s="25" customFormat="1" outlineLevel="1" x14ac:dyDescent="0.25">
      <c r="A800" s="25" t="s">
        <v>134</v>
      </c>
      <c r="B800" s="25">
        <v>327</v>
      </c>
      <c r="C800" s="25" t="str">
        <f t="shared" si="829"/>
        <v>Catégorie 30</v>
      </c>
      <c r="D800" s="25" t="s">
        <v>149</v>
      </c>
      <c r="F800" s="25" t="str">
        <f t="shared" ref="F800" si="836">_xlfn.CONCAT("FretFluv",LEFT(C800,3),IF(INT(B800/11)&lt;8,RIGHT(C800,1),RIGHT(C800,2)),"DistAn")</f>
        <v>FretFluvCat30DistAn</v>
      </c>
      <c r="G800" s="25" t="s">
        <v>17</v>
      </c>
      <c r="H800" s="25">
        <f>IF($I$15="Oui",1,0)*IF(ISNUMBER(SEARCH("La distance parcourue annuellement pour ce type de barge",I796)),1,0)</f>
        <v>0</v>
      </c>
      <c r="J800" s="27"/>
      <c r="K800" s="25" t="s">
        <v>88</v>
      </c>
    </row>
    <row r="801" spans="1:12" s="25" customFormat="1" outlineLevel="1" x14ac:dyDescent="0.25">
      <c r="A801" s="25" t="s">
        <v>134</v>
      </c>
      <c r="B801" s="25">
        <v>328</v>
      </c>
      <c r="C801" s="25" t="str">
        <f t="shared" si="829"/>
        <v>Catégorie 30</v>
      </c>
      <c r="D801" s="25" t="s">
        <v>150</v>
      </c>
      <c r="F801" s="25" t="str">
        <f t="shared" ref="F801" si="837">_xlfn.CONCAT("FretFluv",LEFT(C801,3),IF(INT(B801/11)&lt;8,RIGHT(C801,1),RIGHT(C801,2)),"TauxChargeMoy")</f>
        <v>FretFluvCat30TauxChargeMoy</v>
      </c>
      <c r="G801" s="25" t="s">
        <v>17</v>
      </c>
      <c r="H801" s="25">
        <f>IF($I$15="Oui",1,0)*IF(ISNUMBER(SEARCH("Le taux de chargement moyen",I796)),1,0)</f>
        <v>0</v>
      </c>
      <c r="J801" s="27"/>
      <c r="K801" s="25" t="s">
        <v>70</v>
      </c>
    </row>
    <row r="802" spans="1:12" s="25" customFormat="1" outlineLevel="1" x14ac:dyDescent="0.25">
      <c r="A802" s="25" t="s">
        <v>134</v>
      </c>
      <c r="B802" s="25">
        <v>329</v>
      </c>
      <c r="C802" s="25" t="str">
        <f t="shared" si="829"/>
        <v>Catégorie 30</v>
      </c>
      <c r="D802" s="26" t="s">
        <v>526</v>
      </c>
      <c r="F802" s="25" t="str">
        <f t="shared" ref="F802" si="838">_xlfn.CONCAT("FretFluv",LEFT(C802,3),IF(INT(B802/11)&lt;8,RIGHT(C802,1),RIGHT(C802,2)),"NbBarges")</f>
        <v>FretFluvCat30NbBarges</v>
      </c>
      <c r="G802" s="25" t="s">
        <v>17</v>
      </c>
      <c r="H802" s="25">
        <f>IF($I$15="Oui",1,0)</f>
        <v>1</v>
      </c>
      <c r="J802" s="27"/>
      <c r="K802" s="25" t="s">
        <v>151</v>
      </c>
    </row>
    <row r="803" spans="1:12" s="25" customFormat="1" outlineLevel="1" x14ac:dyDescent="0.25">
      <c r="A803" s="25" t="s">
        <v>134</v>
      </c>
      <c r="B803" s="25">
        <v>330</v>
      </c>
      <c r="C803" s="25" t="str">
        <f t="shared" si="829"/>
        <v>Catégorie 31</v>
      </c>
      <c r="D803" s="25" t="s">
        <v>135</v>
      </c>
      <c r="F803" s="25" t="str">
        <f t="shared" ref="F803" si="839">_xlfn.CONCAT("FretFluv",LEFT(C803,3),IF(INT(B803/11)&lt;8,RIGHT(C803,1),RIGHT(C803,2)),"Nom")</f>
        <v>FretFluvCat31Nom</v>
      </c>
      <c r="G803" s="26" t="s">
        <v>20</v>
      </c>
      <c r="H803" s="25">
        <f>IF($I$15="Oui",1,0)</f>
        <v>1</v>
      </c>
      <c r="J803" s="27" t="str">
        <f>VLOOKUP(C803,'Parcs types'!$B$65:$AA$120,2,FALSE)</f>
        <v>Automoteurs 1500-3000 tonnes Phase V, diesel</v>
      </c>
      <c r="L803" s="25" t="str">
        <f>J803</f>
        <v>Automoteurs 1500-3000 tonnes Phase V, diesel</v>
      </c>
    </row>
    <row r="804" spans="1:12" s="25" customFormat="1" outlineLevel="1" x14ac:dyDescent="0.25">
      <c r="A804" s="25" t="s">
        <v>134</v>
      </c>
      <c r="B804" s="25">
        <v>331</v>
      </c>
      <c r="C804" s="25" t="str">
        <f t="shared" si="829"/>
        <v>Catégorie 31</v>
      </c>
      <c r="D804" s="25" t="s">
        <v>136</v>
      </c>
      <c r="F804" s="25" t="str">
        <f t="shared" ref="F804" si="840">_xlfn.CONCAT("FretFluv",LEFT(C804,3),IF(INT(B804/11)&lt;8,RIGHT(C804,1),RIGHT(C804,2)),"Type")</f>
        <v>FretFluvCat31Type</v>
      </c>
      <c r="G804" s="25" t="s">
        <v>20</v>
      </c>
      <c r="H804" s="25">
        <f t="shared" ref="H804:H806" si="841">IF($I$15="Oui",1,0)</f>
        <v>1</v>
      </c>
      <c r="J804" s="27" t="str">
        <f>VLOOKUP(C804,'Parcs types'!$B$65:$AA$120,3,FALSE)</f>
        <v>Automoteurs</v>
      </c>
      <c r="L804" s="25" t="str">
        <f t="shared" ref="L804:L806" si="842">J804</f>
        <v>Automoteurs</v>
      </c>
    </row>
    <row r="805" spans="1:12" s="25" customFormat="1" outlineLevel="1" x14ac:dyDescent="0.25">
      <c r="A805" s="25" t="s">
        <v>134</v>
      </c>
      <c r="B805" s="25">
        <v>332</v>
      </c>
      <c r="C805" s="25" t="str">
        <f t="shared" si="829"/>
        <v>Catégorie 31</v>
      </c>
      <c r="D805" s="26" t="s">
        <v>137</v>
      </c>
      <c r="F805" s="25" t="str">
        <f t="shared" ref="F805" si="843">_xlfn.CONCAT("FretFluv",LEFT(C805,3),IF(INT(B805/11)&lt;8,RIGHT(C805,1),RIGHT(C805,2)),"Cap")</f>
        <v>FretFluvCat31Cap</v>
      </c>
      <c r="G805" s="26" t="s">
        <v>36</v>
      </c>
      <c r="H805" s="25">
        <f t="shared" si="841"/>
        <v>1</v>
      </c>
      <c r="J805" s="27" t="str">
        <f>VLOOKUP(C805,'Parcs types'!$B$65:$AA$120,4,FALSE)</f>
        <v>1500-3000 tonnes</v>
      </c>
      <c r="K805" s="25" t="s">
        <v>524</v>
      </c>
      <c r="L805" s="25" t="str">
        <f t="shared" si="842"/>
        <v>1500-3000 tonnes</v>
      </c>
    </row>
    <row r="806" spans="1:12" s="25" customFormat="1" outlineLevel="1" x14ac:dyDescent="0.25">
      <c r="A806" s="25" t="s">
        <v>134</v>
      </c>
      <c r="B806" s="25">
        <v>333</v>
      </c>
      <c r="C806" s="25" t="str">
        <f t="shared" si="829"/>
        <v>Catégorie 31</v>
      </c>
      <c r="D806" s="26" t="s">
        <v>525</v>
      </c>
      <c r="F806" s="25" t="str">
        <f t="shared" ref="F806" si="844">_xlfn.CONCAT("FretFluv",LEFT(C806,3),IF(INT(B806/11)&lt;8,RIGHT(C806,1),RIGHT(C806,2)),"Tech")</f>
        <v>FretFluvCat31Tech</v>
      </c>
      <c r="G806" s="26" t="s">
        <v>20</v>
      </c>
      <c r="H806" s="25">
        <f t="shared" si="841"/>
        <v>1</v>
      </c>
      <c r="J806" s="27" t="str">
        <f>VLOOKUP(C806,'Parcs types'!$B$65:$AA$120,5,FALSE)</f>
        <v>Phase V, diesel</v>
      </c>
      <c r="L806" s="25" t="str">
        <f t="shared" si="842"/>
        <v>Phase V, diesel</v>
      </c>
    </row>
    <row r="807" spans="1:12" s="25" customFormat="1" outlineLevel="1" x14ac:dyDescent="0.25">
      <c r="A807" s="25" t="s">
        <v>134</v>
      </c>
      <c r="B807" s="25">
        <v>334</v>
      </c>
      <c r="C807" s="25" t="str">
        <f t="shared" si="829"/>
        <v>Catégorie 31</v>
      </c>
      <c r="D807" s="25" t="s">
        <v>140</v>
      </c>
      <c r="F807" s="25" t="str">
        <f t="shared" ref="F807" si="845">_xlfn.CONCAT("FretFluv",LEFT(C807,3),IF(INT(B807/11)&lt;8,RIGHT(C807,1),RIGHT(C807,2)),"Request")</f>
        <v>FretFluvCat31Request</v>
      </c>
      <c r="G807" s="26" t="s">
        <v>20</v>
      </c>
      <c r="H807" s="25">
        <f>IF($I$15="Oui",1,0)</f>
        <v>1</v>
      </c>
      <c r="J807" s="27" t="s">
        <v>142</v>
      </c>
      <c r="L807" s="28"/>
    </row>
    <row r="808" spans="1:12" s="25" customFormat="1" outlineLevel="1" x14ac:dyDescent="0.25">
      <c r="A808" s="25" t="s">
        <v>134</v>
      </c>
      <c r="B808" s="25">
        <v>335</v>
      </c>
      <c r="C808" s="25" t="str">
        <f t="shared" si="829"/>
        <v>Catégorie 31</v>
      </c>
      <c r="D808" s="25" t="s">
        <v>144</v>
      </c>
      <c r="F808" s="25" t="str">
        <f t="shared" ref="F808" si="846">_xlfn.CONCAT("FretFluv",LEFT(C808,3),IF(INT(B808/11)&lt;8,RIGHT(C808,1),RIGHT(C808,2)),"NbTraj")</f>
        <v>FretFluvCat31NbTraj</v>
      </c>
      <c r="G808" s="25" t="s">
        <v>17</v>
      </c>
      <c r="H808" s="25">
        <f>IF($I$15="Oui",1,0)*IF(ISNUMBER(SEARCH("Une estimation du nombre annuel de trajets pour ce type de barge",I807)),1,0)</f>
        <v>0</v>
      </c>
      <c r="I808" s="29"/>
      <c r="J808" s="27"/>
      <c r="K808" s="25" t="s">
        <v>145</v>
      </c>
      <c r="L808" s="28"/>
    </row>
    <row r="809" spans="1:12" s="25" customFormat="1" outlineLevel="1" x14ac:dyDescent="0.25">
      <c r="A809" s="25" t="s">
        <v>134</v>
      </c>
      <c r="B809" s="25">
        <v>336</v>
      </c>
      <c r="C809" s="25" t="str">
        <f t="shared" si="829"/>
        <v>Catégorie 31</v>
      </c>
      <c r="D809" s="25" t="s">
        <v>146</v>
      </c>
      <c r="F809" s="25" t="str">
        <f t="shared" ref="F809" si="847">_xlfn.CONCAT("FretFluv",LEFT(C809,3),IF(INT(B809/11)&lt;8,RIGHT(C809,1),RIGHT(C809,2)),"DistMoy")</f>
        <v>FretFluvCat31DistMoy</v>
      </c>
      <c r="G809" s="25" t="s">
        <v>17</v>
      </c>
      <c r="H809" s="25">
        <f>IF($I$15="Oui",1,0)*IF(ISNUMBER(SEARCH("La distance moyenne d'un trajet",I807)),1,0)</f>
        <v>0</v>
      </c>
      <c r="I809" s="28"/>
      <c r="J809" s="27"/>
      <c r="K809" s="25" t="s">
        <v>88</v>
      </c>
      <c r="L809" s="28"/>
    </row>
    <row r="810" spans="1:12" s="25" customFormat="1" outlineLevel="1" x14ac:dyDescent="0.25">
      <c r="A810" s="25" t="s">
        <v>134</v>
      </c>
      <c r="B810" s="25">
        <v>337</v>
      </c>
      <c r="C810" s="25" t="str">
        <f t="shared" si="829"/>
        <v>Catégorie 31</v>
      </c>
      <c r="D810" s="25" t="s">
        <v>147</v>
      </c>
      <c r="F810" s="25" t="str">
        <f t="shared" ref="F810" si="848">_xlfn.CONCAT("FretFluv",LEFT(C810,3),IF(INT(B810/11)&lt;8,RIGHT(C810,1),RIGHT(C810,2)),"EmportMoy")</f>
        <v>FretFluvCat31EmportMoy</v>
      </c>
      <c r="G810" s="25" t="s">
        <v>17</v>
      </c>
      <c r="H810" s="25">
        <f>IF($I$15="Oui",1,0)*IF(ISNUMBER(SEARCH("La masse moyenne transportée pour un trajet",I807)),1,0)</f>
        <v>0</v>
      </c>
      <c r="J810" s="27"/>
      <c r="K810" s="25" t="s">
        <v>148</v>
      </c>
      <c r="L810" s="28"/>
    </row>
    <row r="811" spans="1:12" s="25" customFormat="1" outlineLevel="1" x14ac:dyDescent="0.25">
      <c r="A811" s="25" t="s">
        <v>134</v>
      </c>
      <c r="B811" s="25">
        <v>338</v>
      </c>
      <c r="C811" s="25" t="str">
        <f t="shared" si="829"/>
        <v>Catégorie 31</v>
      </c>
      <c r="D811" s="25" t="s">
        <v>149</v>
      </c>
      <c r="F811" s="25" t="str">
        <f t="shared" ref="F811" si="849">_xlfn.CONCAT("FretFluv",LEFT(C811,3),IF(INT(B811/11)&lt;8,RIGHT(C811,1),RIGHT(C811,2)),"DistAn")</f>
        <v>FretFluvCat31DistAn</v>
      </c>
      <c r="G811" s="25" t="s">
        <v>17</v>
      </c>
      <c r="H811" s="25">
        <f>IF($I$15="Oui",1,0)*IF(ISNUMBER(SEARCH("La distance parcourue annuellement pour ce type de barge",I807)),1,0)</f>
        <v>0</v>
      </c>
      <c r="J811" s="27"/>
      <c r="K811" s="25" t="s">
        <v>88</v>
      </c>
    </row>
    <row r="812" spans="1:12" s="25" customFormat="1" outlineLevel="1" x14ac:dyDescent="0.25">
      <c r="A812" s="25" t="s">
        <v>134</v>
      </c>
      <c r="B812" s="25">
        <v>339</v>
      </c>
      <c r="C812" s="25" t="str">
        <f t="shared" si="829"/>
        <v>Catégorie 31</v>
      </c>
      <c r="D812" s="25" t="s">
        <v>150</v>
      </c>
      <c r="F812" s="25" t="str">
        <f t="shared" ref="F812" si="850">_xlfn.CONCAT("FretFluv",LEFT(C812,3),IF(INT(B812/11)&lt;8,RIGHT(C812,1),RIGHT(C812,2)),"TauxChargeMoy")</f>
        <v>FretFluvCat31TauxChargeMoy</v>
      </c>
      <c r="G812" s="25" t="s">
        <v>17</v>
      </c>
      <c r="H812" s="25">
        <f>IF($I$15="Oui",1,0)*IF(ISNUMBER(SEARCH("Le taux de chargement moyen",I807)),1,0)</f>
        <v>0</v>
      </c>
      <c r="J812" s="27"/>
      <c r="K812" s="25" t="s">
        <v>70</v>
      </c>
    </row>
    <row r="813" spans="1:12" s="25" customFormat="1" outlineLevel="1" x14ac:dyDescent="0.25">
      <c r="A813" s="25" t="s">
        <v>134</v>
      </c>
      <c r="B813" s="25">
        <v>340</v>
      </c>
      <c r="C813" s="25" t="str">
        <f t="shared" si="829"/>
        <v>Catégorie 31</v>
      </c>
      <c r="D813" s="26" t="s">
        <v>526</v>
      </c>
      <c r="F813" s="25" t="str">
        <f t="shared" ref="F813" si="851">_xlfn.CONCAT("FretFluv",LEFT(C813,3),IF(INT(B813/11)&lt;8,RIGHT(C813,1),RIGHT(C813,2)),"NbBarges")</f>
        <v>FretFluvCat31NbBarges</v>
      </c>
      <c r="G813" s="25" t="s">
        <v>17</v>
      </c>
      <c r="H813" s="25">
        <f>IF($I$15="Oui",1,0)</f>
        <v>1</v>
      </c>
      <c r="J813" s="27"/>
      <c r="K813" s="25" t="s">
        <v>151</v>
      </c>
    </row>
    <row r="814" spans="1:12" s="25" customFormat="1" outlineLevel="1" x14ac:dyDescent="0.25">
      <c r="A814" s="25" t="s">
        <v>134</v>
      </c>
      <c r="B814" s="25">
        <v>341</v>
      </c>
      <c r="C814" s="25" t="str">
        <f t="shared" si="829"/>
        <v>Catégorie 32</v>
      </c>
      <c r="D814" s="25" t="s">
        <v>135</v>
      </c>
      <c r="F814" s="25" t="str">
        <f t="shared" ref="F814" si="852">_xlfn.CONCAT("FretFluv",LEFT(C814,3),IF(INT(B814/11)&lt;8,RIGHT(C814,1),RIGHT(C814,2)),"Nom")</f>
        <v>FretFluvCat32Nom</v>
      </c>
      <c r="G814" s="26" t="s">
        <v>20</v>
      </c>
      <c r="H814" s="25">
        <f>IF($I$15="Oui",1,0)</f>
        <v>1</v>
      </c>
      <c r="J814" s="27" t="str">
        <f>VLOOKUP(C814,'Parcs types'!$B$65:$AA$120,2,FALSE)</f>
        <v>Automoteurs 1500-3000 tonnes Phase V, HVO</v>
      </c>
      <c r="L814" s="25" t="str">
        <f>J814</f>
        <v>Automoteurs 1500-3000 tonnes Phase V, HVO</v>
      </c>
    </row>
    <row r="815" spans="1:12" s="25" customFormat="1" outlineLevel="1" x14ac:dyDescent="0.25">
      <c r="A815" s="25" t="s">
        <v>134</v>
      </c>
      <c r="B815" s="25">
        <v>342</v>
      </c>
      <c r="C815" s="25" t="str">
        <f t="shared" si="829"/>
        <v>Catégorie 32</v>
      </c>
      <c r="D815" s="25" t="s">
        <v>136</v>
      </c>
      <c r="F815" s="25" t="str">
        <f t="shared" ref="F815" si="853">_xlfn.CONCAT("FretFluv",LEFT(C815,3),IF(INT(B815/11)&lt;8,RIGHT(C815,1),RIGHT(C815,2)),"Type")</f>
        <v>FretFluvCat32Type</v>
      </c>
      <c r="G815" s="25" t="s">
        <v>20</v>
      </c>
      <c r="H815" s="25">
        <f t="shared" ref="H815:H817" si="854">IF($I$15="Oui",1,0)</f>
        <v>1</v>
      </c>
      <c r="J815" s="27" t="str">
        <f>VLOOKUP(C815,'Parcs types'!$B$65:$AA$120,3,FALSE)</f>
        <v>Automoteurs</v>
      </c>
      <c r="L815" s="25" t="str">
        <f t="shared" ref="L815:L817" si="855">J815</f>
        <v>Automoteurs</v>
      </c>
    </row>
    <row r="816" spans="1:12" s="25" customFormat="1" outlineLevel="1" x14ac:dyDescent="0.25">
      <c r="A816" s="25" t="s">
        <v>134</v>
      </c>
      <c r="B816" s="25">
        <v>343</v>
      </c>
      <c r="C816" s="25" t="str">
        <f t="shared" si="829"/>
        <v>Catégorie 32</v>
      </c>
      <c r="D816" s="26" t="s">
        <v>137</v>
      </c>
      <c r="F816" s="25" t="str">
        <f t="shared" ref="F816" si="856">_xlfn.CONCAT("FretFluv",LEFT(C816,3),IF(INT(B816/11)&lt;8,RIGHT(C816,1),RIGHT(C816,2)),"Cap")</f>
        <v>FretFluvCat32Cap</v>
      </c>
      <c r="G816" s="26" t="s">
        <v>36</v>
      </c>
      <c r="H816" s="25">
        <f t="shared" si="854"/>
        <v>1</v>
      </c>
      <c r="J816" s="27" t="str">
        <f>VLOOKUP(C816,'Parcs types'!$B$65:$AA$120,4,FALSE)</f>
        <v>1500-3000 tonnes</v>
      </c>
      <c r="K816" s="25" t="s">
        <v>524</v>
      </c>
      <c r="L816" s="25" t="str">
        <f t="shared" si="855"/>
        <v>1500-3000 tonnes</v>
      </c>
    </row>
    <row r="817" spans="1:12" s="25" customFormat="1" outlineLevel="1" x14ac:dyDescent="0.25">
      <c r="A817" s="25" t="s">
        <v>134</v>
      </c>
      <c r="B817" s="25">
        <v>344</v>
      </c>
      <c r="C817" s="25" t="str">
        <f t="shared" si="829"/>
        <v>Catégorie 32</v>
      </c>
      <c r="D817" s="26" t="s">
        <v>525</v>
      </c>
      <c r="F817" s="25" t="str">
        <f t="shared" ref="F817" si="857">_xlfn.CONCAT("FretFluv",LEFT(C817,3),IF(INT(B817/11)&lt;8,RIGHT(C817,1),RIGHT(C817,2)),"Tech")</f>
        <v>FretFluvCat32Tech</v>
      </c>
      <c r="G817" s="26" t="s">
        <v>20</v>
      </c>
      <c r="H817" s="25">
        <f t="shared" si="854"/>
        <v>1</v>
      </c>
      <c r="J817" s="27" t="str">
        <f>VLOOKUP(C817,'Parcs types'!$B$65:$AA$120,5,FALSE)</f>
        <v>Phase V, HVO</v>
      </c>
      <c r="L817" s="25" t="str">
        <f t="shared" si="855"/>
        <v>Phase V, HVO</v>
      </c>
    </row>
    <row r="818" spans="1:12" s="25" customFormat="1" outlineLevel="1" x14ac:dyDescent="0.25">
      <c r="A818" s="25" t="s">
        <v>134</v>
      </c>
      <c r="B818" s="25">
        <v>345</v>
      </c>
      <c r="C818" s="25" t="str">
        <f t="shared" si="829"/>
        <v>Catégorie 32</v>
      </c>
      <c r="D818" s="25" t="s">
        <v>140</v>
      </c>
      <c r="F818" s="25" t="str">
        <f t="shared" ref="F818" si="858">_xlfn.CONCAT("FretFluv",LEFT(C818,3),IF(INT(B818/11)&lt;8,RIGHT(C818,1),RIGHT(C818,2)),"Request")</f>
        <v>FretFluvCat32Request</v>
      </c>
      <c r="G818" s="26" t="s">
        <v>20</v>
      </c>
      <c r="H818" s="25">
        <f>IF($I$15="Oui",1,0)</f>
        <v>1</v>
      </c>
      <c r="J818" s="27" t="s">
        <v>142</v>
      </c>
      <c r="L818" s="28"/>
    </row>
    <row r="819" spans="1:12" s="25" customFormat="1" outlineLevel="1" x14ac:dyDescent="0.25">
      <c r="A819" s="25" t="s">
        <v>134</v>
      </c>
      <c r="B819" s="25">
        <v>346</v>
      </c>
      <c r="C819" s="25" t="str">
        <f t="shared" si="829"/>
        <v>Catégorie 32</v>
      </c>
      <c r="D819" s="25" t="s">
        <v>144</v>
      </c>
      <c r="F819" s="25" t="str">
        <f t="shared" ref="F819" si="859">_xlfn.CONCAT("FretFluv",LEFT(C819,3),IF(INT(B819/11)&lt;8,RIGHT(C819,1),RIGHT(C819,2)),"NbTraj")</f>
        <v>FretFluvCat32NbTraj</v>
      </c>
      <c r="G819" s="25" t="s">
        <v>17</v>
      </c>
      <c r="H819" s="25">
        <f>IF($I$15="Oui",1,0)*IF(ISNUMBER(SEARCH("Une estimation du nombre annuel de trajets pour ce type de barge",I818)),1,0)</f>
        <v>0</v>
      </c>
      <c r="I819" s="29"/>
      <c r="J819" s="27"/>
      <c r="K819" s="25" t="s">
        <v>145</v>
      </c>
      <c r="L819" s="30"/>
    </row>
    <row r="820" spans="1:12" s="25" customFormat="1" outlineLevel="1" x14ac:dyDescent="0.25">
      <c r="A820" s="25" t="s">
        <v>134</v>
      </c>
      <c r="B820" s="25">
        <v>347</v>
      </c>
      <c r="C820" s="25" t="str">
        <f t="shared" si="829"/>
        <v>Catégorie 32</v>
      </c>
      <c r="D820" s="25" t="s">
        <v>146</v>
      </c>
      <c r="F820" s="25" t="str">
        <f t="shared" ref="F820" si="860">_xlfn.CONCAT("FretFluv",LEFT(C820,3),IF(INT(B820/11)&lt;8,RIGHT(C820,1),RIGHT(C820,2)),"DistMoy")</f>
        <v>FretFluvCat32DistMoy</v>
      </c>
      <c r="G820" s="25" t="s">
        <v>17</v>
      </c>
      <c r="H820" s="25">
        <f>IF($I$15="Oui",1,0)*IF(ISNUMBER(SEARCH("La distance moyenne d'un trajet",I818)),1,0)</f>
        <v>0</v>
      </c>
      <c r="I820" s="28"/>
      <c r="J820" s="27"/>
      <c r="K820" s="25" t="s">
        <v>88</v>
      </c>
      <c r="L820" s="28"/>
    </row>
    <row r="821" spans="1:12" s="25" customFormat="1" outlineLevel="1" x14ac:dyDescent="0.25">
      <c r="A821" s="25" t="s">
        <v>134</v>
      </c>
      <c r="B821" s="25">
        <v>348</v>
      </c>
      <c r="C821" s="25" t="str">
        <f t="shared" si="829"/>
        <v>Catégorie 32</v>
      </c>
      <c r="D821" s="25" t="s">
        <v>147</v>
      </c>
      <c r="F821" s="25" t="str">
        <f t="shared" ref="F821" si="861">_xlfn.CONCAT("FretFluv",LEFT(C821,3),IF(INT(B821/11)&lt;8,RIGHT(C821,1),RIGHT(C821,2)),"EmportMoy")</f>
        <v>FretFluvCat32EmportMoy</v>
      </c>
      <c r="G821" s="25" t="s">
        <v>17</v>
      </c>
      <c r="H821" s="25">
        <f>IF($I$15="Oui",1,0)*IF(ISNUMBER(SEARCH("La masse moyenne transportée pour un trajet",I818)),1,0)</f>
        <v>0</v>
      </c>
      <c r="J821" s="27"/>
      <c r="K821" s="25" t="s">
        <v>148</v>
      </c>
    </row>
    <row r="822" spans="1:12" s="25" customFormat="1" outlineLevel="1" x14ac:dyDescent="0.25">
      <c r="A822" s="25" t="s">
        <v>134</v>
      </c>
      <c r="B822" s="25">
        <v>349</v>
      </c>
      <c r="C822" s="25" t="str">
        <f t="shared" si="829"/>
        <v>Catégorie 32</v>
      </c>
      <c r="D822" s="25" t="s">
        <v>149</v>
      </c>
      <c r="F822" s="25" t="str">
        <f t="shared" ref="F822" si="862">_xlfn.CONCAT("FretFluv",LEFT(C822,3),IF(INT(B822/11)&lt;8,RIGHT(C822,1),RIGHT(C822,2)),"DistAn")</f>
        <v>FretFluvCat32DistAn</v>
      </c>
      <c r="G822" s="25" t="s">
        <v>17</v>
      </c>
      <c r="H822" s="25">
        <f>IF($I$15="Oui",1,0)*IF(ISNUMBER(SEARCH("La distance parcourue annuellement pour ce type de barge",I818)),1,0)</f>
        <v>0</v>
      </c>
      <c r="J822" s="27"/>
      <c r="K822" s="25" t="s">
        <v>88</v>
      </c>
    </row>
    <row r="823" spans="1:12" s="25" customFormat="1" outlineLevel="1" x14ac:dyDescent="0.25">
      <c r="A823" s="25" t="s">
        <v>134</v>
      </c>
      <c r="B823" s="25">
        <v>350</v>
      </c>
      <c r="C823" s="25" t="str">
        <f t="shared" si="829"/>
        <v>Catégorie 32</v>
      </c>
      <c r="D823" s="25" t="s">
        <v>150</v>
      </c>
      <c r="F823" s="25" t="str">
        <f t="shared" ref="F823" si="863">_xlfn.CONCAT("FretFluv",LEFT(C823,3),IF(INT(B823/11)&lt;8,RIGHT(C823,1),RIGHT(C823,2)),"TauxChargeMoy")</f>
        <v>FretFluvCat32TauxChargeMoy</v>
      </c>
      <c r="G823" s="25" t="s">
        <v>17</v>
      </c>
      <c r="H823" s="25">
        <f>IF($I$15="Oui",1,0)*IF(ISNUMBER(SEARCH("Le taux de chargement moyen",I818)),1,0)</f>
        <v>0</v>
      </c>
      <c r="J823" s="27"/>
      <c r="K823" s="25" t="s">
        <v>70</v>
      </c>
    </row>
    <row r="824" spans="1:12" s="25" customFormat="1" outlineLevel="1" x14ac:dyDescent="0.25">
      <c r="A824" s="25" t="s">
        <v>134</v>
      </c>
      <c r="B824" s="25">
        <v>351</v>
      </c>
      <c r="C824" s="25" t="str">
        <f t="shared" si="829"/>
        <v>Catégorie 32</v>
      </c>
      <c r="D824" s="26" t="s">
        <v>526</v>
      </c>
      <c r="F824" s="25" t="str">
        <f t="shared" ref="F824" si="864">_xlfn.CONCAT("FretFluv",LEFT(C824,3),IF(INT(B824/11)&lt;8,RIGHT(C824,1),RIGHT(C824,2)),"NbBarges")</f>
        <v>FretFluvCat32NbBarges</v>
      </c>
      <c r="G824" s="25" t="s">
        <v>17</v>
      </c>
      <c r="H824" s="25">
        <f>IF($I$15="Oui",1,0)</f>
        <v>1</v>
      </c>
      <c r="J824" s="27"/>
      <c r="K824" s="25" t="s">
        <v>151</v>
      </c>
    </row>
    <row r="825" spans="1:12" s="25" customFormat="1" outlineLevel="1" x14ac:dyDescent="0.25">
      <c r="A825" s="25" t="s">
        <v>134</v>
      </c>
      <c r="B825" s="25">
        <v>352</v>
      </c>
      <c r="C825" s="25" t="str">
        <f t="shared" si="829"/>
        <v>Catégorie 33</v>
      </c>
      <c r="D825" s="25" t="s">
        <v>135</v>
      </c>
      <c r="F825" s="25" t="str">
        <f t="shared" ref="F825" si="865">_xlfn.CONCAT("FretFluv",LEFT(C825,3),IF(INT(B825/11)&lt;8,RIGHT(C825,1),RIGHT(C825,2)),"Nom")</f>
        <v>FretFluvCat33Nom</v>
      </c>
      <c r="G825" s="26" t="s">
        <v>20</v>
      </c>
      <c r="H825" s="25">
        <f>IF($I$15="Oui",1,0)</f>
        <v>1</v>
      </c>
      <c r="J825" s="27" t="str">
        <f>VLOOKUP(C825,'Parcs types'!$B$65:$AA$120,2,FALSE)</f>
        <v>Automoteurs 1500-3000 tonnes Batterie</v>
      </c>
      <c r="L825" s="25" t="str">
        <f>J825</f>
        <v>Automoteurs 1500-3000 tonnes Batterie</v>
      </c>
    </row>
    <row r="826" spans="1:12" s="25" customFormat="1" outlineLevel="1" x14ac:dyDescent="0.25">
      <c r="A826" s="25" t="s">
        <v>134</v>
      </c>
      <c r="B826" s="25">
        <v>353</v>
      </c>
      <c r="C826" s="25" t="str">
        <f t="shared" si="829"/>
        <v>Catégorie 33</v>
      </c>
      <c r="D826" s="25" t="s">
        <v>136</v>
      </c>
      <c r="F826" s="25" t="str">
        <f t="shared" ref="F826" si="866">_xlfn.CONCAT("FretFluv",LEFT(C826,3),IF(INT(B826/11)&lt;8,RIGHT(C826,1),RIGHT(C826,2)),"Type")</f>
        <v>FretFluvCat33Type</v>
      </c>
      <c r="G826" s="25" t="s">
        <v>20</v>
      </c>
      <c r="H826" s="25">
        <f t="shared" ref="H826:H828" si="867">IF($I$15="Oui",1,0)</f>
        <v>1</v>
      </c>
      <c r="J826" s="27" t="str">
        <f>VLOOKUP(C826,'Parcs types'!$B$65:$AA$120,3,FALSE)</f>
        <v>Automoteurs</v>
      </c>
      <c r="L826" s="25" t="str">
        <f t="shared" ref="L826:L828" si="868">J826</f>
        <v>Automoteurs</v>
      </c>
    </row>
    <row r="827" spans="1:12" s="25" customFormat="1" outlineLevel="1" x14ac:dyDescent="0.25">
      <c r="A827" s="25" t="s">
        <v>134</v>
      </c>
      <c r="B827" s="25">
        <v>354</v>
      </c>
      <c r="C827" s="25" t="str">
        <f t="shared" si="829"/>
        <v>Catégorie 33</v>
      </c>
      <c r="D827" s="26" t="s">
        <v>137</v>
      </c>
      <c r="F827" s="25" t="str">
        <f t="shared" ref="F827" si="869">_xlfn.CONCAT("FretFluv",LEFT(C827,3),IF(INT(B827/11)&lt;8,RIGHT(C827,1),RIGHT(C827,2)),"Cap")</f>
        <v>FretFluvCat33Cap</v>
      </c>
      <c r="G827" s="26" t="s">
        <v>36</v>
      </c>
      <c r="H827" s="25">
        <f t="shared" si="867"/>
        <v>1</v>
      </c>
      <c r="J827" s="27" t="str">
        <f>VLOOKUP(C827,'Parcs types'!$B$65:$AA$120,4,FALSE)</f>
        <v>1500-3000 tonnes</v>
      </c>
      <c r="K827" s="25" t="s">
        <v>524</v>
      </c>
      <c r="L827" s="25" t="str">
        <f t="shared" si="868"/>
        <v>1500-3000 tonnes</v>
      </c>
    </row>
    <row r="828" spans="1:12" s="25" customFormat="1" outlineLevel="1" x14ac:dyDescent="0.25">
      <c r="A828" s="25" t="s">
        <v>134</v>
      </c>
      <c r="B828" s="25">
        <v>355</v>
      </c>
      <c r="C828" s="25" t="str">
        <f t="shared" si="829"/>
        <v>Catégorie 33</v>
      </c>
      <c r="D828" s="26" t="s">
        <v>525</v>
      </c>
      <c r="F828" s="25" t="str">
        <f t="shared" ref="F828" si="870">_xlfn.CONCAT("FretFluv",LEFT(C828,3),IF(INT(B828/11)&lt;8,RIGHT(C828,1),RIGHT(C828,2)),"Tech")</f>
        <v>FretFluvCat33Tech</v>
      </c>
      <c r="G828" s="26" t="s">
        <v>20</v>
      </c>
      <c r="H828" s="25">
        <f t="shared" si="867"/>
        <v>1</v>
      </c>
      <c r="J828" s="27" t="str">
        <f>VLOOKUP(C828,'Parcs types'!$B$65:$AA$120,5,FALSE)</f>
        <v>Batterie</v>
      </c>
      <c r="L828" s="25" t="str">
        <f t="shared" si="868"/>
        <v>Batterie</v>
      </c>
    </row>
    <row r="829" spans="1:12" s="25" customFormat="1" outlineLevel="1" x14ac:dyDescent="0.25">
      <c r="A829" s="25" t="s">
        <v>134</v>
      </c>
      <c r="B829" s="25">
        <v>356</v>
      </c>
      <c r="C829" s="25" t="str">
        <f t="shared" si="829"/>
        <v>Catégorie 33</v>
      </c>
      <c r="D829" s="25" t="s">
        <v>140</v>
      </c>
      <c r="F829" s="25" t="str">
        <f t="shared" ref="F829" si="871">_xlfn.CONCAT("FretFluv",LEFT(C829,3),IF(INT(B829/11)&lt;8,RIGHT(C829,1),RIGHT(C829,2)),"Request")</f>
        <v>FretFluvCat33Request</v>
      </c>
      <c r="G829" s="26" t="s">
        <v>20</v>
      </c>
      <c r="H829" s="25">
        <f>IF($I$15="Oui",1,0)</f>
        <v>1</v>
      </c>
      <c r="J829" s="27" t="s">
        <v>142</v>
      </c>
      <c r="L829" s="28"/>
    </row>
    <row r="830" spans="1:12" s="25" customFormat="1" outlineLevel="1" x14ac:dyDescent="0.25">
      <c r="A830" s="25" t="s">
        <v>134</v>
      </c>
      <c r="B830" s="25">
        <v>357</v>
      </c>
      <c r="C830" s="25" t="str">
        <f t="shared" si="829"/>
        <v>Catégorie 33</v>
      </c>
      <c r="D830" s="25" t="s">
        <v>144</v>
      </c>
      <c r="F830" s="25" t="str">
        <f t="shared" ref="F830" si="872">_xlfn.CONCAT("FretFluv",LEFT(C830,3),IF(INT(B830/11)&lt;8,RIGHT(C830,1),RIGHT(C830,2)),"NbTraj")</f>
        <v>FretFluvCat33NbTraj</v>
      </c>
      <c r="G830" s="25" t="s">
        <v>17</v>
      </c>
      <c r="H830" s="25">
        <f>IF($I$15="Oui",1,0)*IF(ISNUMBER(SEARCH("Une estimation du nombre annuel de trajets pour ce type de barge",I829)),1,0)</f>
        <v>0</v>
      </c>
      <c r="I830" s="29"/>
      <c r="J830" s="27"/>
      <c r="K830" s="25" t="s">
        <v>145</v>
      </c>
      <c r="L830" s="28"/>
    </row>
    <row r="831" spans="1:12" s="25" customFormat="1" outlineLevel="1" x14ac:dyDescent="0.25">
      <c r="A831" s="25" t="s">
        <v>134</v>
      </c>
      <c r="B831" s="25">
        <v>358</v>
      </c>
      <c r="C831" s="25" t="str">
        <f t="shared" si="829"/>
        <v>Catégorie 33</v>
      </c>
      <c r="D831" s="25" t="s">
        <v>146</v>
      </c>
      <c r="F831" s="25" t="str">
        <f t="shared" ref="F831" si="873">_xlfn.CONCAT("FretFluv",LEFT(C831,3),IF(INT(B831/11)&lt;8,RIGHT(C831,1),RIGHT(C831,2)),"DistMoy")</f>
        <v>FretFluvCat33DistMoy</v>
      </c>
      <c r="G831" s="25" t="s">
        <v>17</v>
      </c>
      <c r="H831" s="25">
        <f>IF($I$15="Oui",1,0)*IF(ISNUMBER(SEARCH("La distance moyenne d'un trajet",I829)),1,0)</f>
        <v>0</v>
      </c>
      <c r="I831" s="28"/>
      <c r="J831" s="27"/>
      <c r="K831" s="25" t="s">
        <v>88</v>
      </c>
      <c r="L831" s="28"/>
    </row>
    <row r="832" spans="1:12" s="25" customFormat="1" outlineLevel="1" x14ac:dyDescent="0.25">
      <c r="A832" s="25" t="s">
        <v>134</v>
      </c>
      <c r="B832" s="25">
        <v>359</v>
      </c>
      <c r="C832" s="25" t="str">
        <f t="shared" si="829"/>
        <v>Catégorie 33</v>
      </c>
      <c r="D832" s="25" t="s">
        <v>147</v>
      </c>
      <c r="F832" s="25" t="str">
        <f t="shared" ref="F832" si="874">_xlfn.CONCAT("FretFluv",LEFT(C832,3),IF(INT(B832/11)&lt;8,RIGHT(C832,1),RIGHT(C832,2)),"EmportMoy")</f>
        <v>FretFluvCat33EmportMoy</v>
      </c>
      <c r="G832" s="25" t="s">
        <v>17</v>
      </c>
      <c r="H832" s="25">
        <f>IF($I$15="Oui",1,0)*IF(ISNUMBER(SEARCH("La masse moyenne transportée pour un trajet",I829)),1,0)</f>
        <v>0</v>
      </c>
      <c r="I832" s="28"/>
      <c r="J832" s="27"/>
      <c r="K832" s="25" t="s">
        <v>148</v>
      </c>
      <c r="L832" s="28"/>
    </row>
    <row r="833" spans="1:12" s="25" customFormat="1" outlineLevel="1" x14ac:dyDescent="0.25">
      <c r="A833" s="25" t="s">
        <v>134</v>
      </c>
      <c r="B833" s="25">
        <v>360</v>
      </c>
      <c r="C833" s="25" t="str">
        <f t="shared" si="829"/>
        <v>Catégorie 33</v>
      </c>
      <c r="D833" s="25" t="s">
        <v>149</v>
      </c>
      <c r="F833" s="25" t="str">
        <f t="shared" ref="F833" si="875">_xlfn.CONCAT("FretFluv",LEFT(C833,3),IF(INT(B833/11)&lt;8,RIGHT(C833,1),RIGHT(C833,2)),"DistAn")</f>
        <v>FretFluvCat33DistAn</v>
      </c>
      <c r="G833" s="25" t="s">
        <v>17</v>
      </c>
      <c r="H833" s="25">
        <f>IF($I$15="Oui",1,0)*IF(ISNUMBER(SEARCH("La distance parcourue annuellement pour ce type de barge",I829)),1,0)</f>
        <v>0</v>
      </c>
      <c r="I833" s="28"/>
      <c r="J833" s="27"/>
      <c r="K833" s="25" t="s">
        <v>88</v>
      </c>
    </row>
    <row r="834" spans="1:12" s="25" customFormat="1" outlineLevel="1" x14ac:dyDescent="0.25">
      <c r="A834" s="25" t="s">
        <v>134</v>
      </c>
      <c r="B834" s="25">
        <v>361</v>
      </c>
      <c r="C834" s="25" t="str">
        <f t="shared" si="829"/>
        <v>Catégorie 33</v>
      </c>
      <c r="D834" s="25" t="s">
        <v>150</v>
      </c>
      <c r="F834" s="25" t="str">
        <f t="shared" ref="F834" si="876">_xlfn.CONCAT("FretFluv",LEFT(C834,3),IF(INT(B834/11)&lt;8,RIGHT(C834,1),RIGHT(C834,2)),"TauxChargeMoy")</f>
        <v>FretFluvCat33TauxChargeMoy</v>
      </c>
      <c r="G834" s="25" t="s">
        <v>17</v>
      </c>
      <c r="H834" s="25">
        <f>IF($I$15="Oui",1,0)*IF(ISNUMBER(SEARCH("Le taux de chargement moyen",I829)),1,0)</f>
        <v>0</v>
      </c>
      <c r="I834" s="28"/>
      <c r="J834" s="27"/>
      <c r="K834" s="25" t="s">
        <v>70</v>
      </c>
    </row>
    <row r="835" spans="1:12" s="25" customFormat="1" outlineLevel="1" x14ac:dyDescent="0.25">
      <c r="A835" s="25" t="s">
        <v>134</v>
      </c>
      <c r="B835" s="25">
        <v>362</v>
      </c>
      <c r="C835" s="25" t="str">
        <f t="shared" si="829"/>
        <v>Catégorie 33</v>
      </c>
      <c r="D835" s="26" t="s">
        <v>526</v>
      </c>
      <c r="F835" s="25" t="str">
        <f t="shared" ref="F835" si="877">_xlfn.CONCAT("FretFluv",LEFT(C835,3),IF(INT(B835/11)&lt;8,RIGHT(C835,1),RIGHT(C835,2)),"NbBarges")</f>
        <v>FretFluvCat33NbBarges</v>
      </c>
      <c r="G835" s="25" t="s">
        <v>17</v>
      </c>
      <c r="H835" s="25">
        <f>IF($I$15="Oui",1,0)</f>
        <v>1</v>
      </c>
      <c r="I835" s="28"/>
      <c r="J835" s="27"/>
      <c r="K835" s="25" t="s">
        <v>151</v>
      </c>
    </row>
    <row r="836" spans="1:12" s="25" customFormat="1" outlineLevel="1" x14ac:dyDescent="0.25">
      <c r="A836" s="25" t="s">
        <v>134</v>
      </c>
      <c r="B836" s="25">
        <v>363</v>
      </c>
      <c r="C836" s="25" t="str">
        <f t="shared" si="829"/>
        <v>Catégorie 34</v>
      </c>
      <c r="D836" s="25" t="s">
        <v>135</v>
      </c>
      <c r="F836" s="25" t="str">
        <f t="shared" ref="F836" si="878">_xlfn.CONCAT("FretFluv",LEFT(C836,3),IF(INT(B836/11)&lt;8,RIGHT(C836,1),RIGHT(C836,2)),"Nom")</f>
        <v>FretFluvCat34Nom</v>
      </c>
      <c r="G836" s="26" t="s">
        <v>20</v>
      </c>
      <c r="H836" s="25">
        <f>IF($I$15="Oui",1,0)</f>
        <v>1</v>
      </c>
      <c r="I836" s="28"/>
      <c r="J836" s="27" t="str">
        <f>VLOOKUP(C836,'Parcs types'!$B$65:$AA$120,2,FALSE)</f>
        <v>Automoteurs 1500-3000 tonnes H2 , PAC</v>
      </c>
      <c r="L836" s="25" t="str">
        <f>J836</f>
        <v>Automoteurs 1500-3000 tonnes H2 , PAC</v>
      </c>
    </row>
    <row r="837" spans="1:12" s="25" customFormat="1" outlineLevel="1" x14ac:dyDescent="0.25">
      <c r="A837" s="25" t="s">
        <v>134</v>
      </c>
      <c r="B837" s="25">
        <v>364</v>
      </c>
      <c r="C837" s="25" t="str">
        <f t="shared" si="829"/>
        <v>Catégorie 34</v>
      </c>
      <c r="D837" s="25" t="s">
        <v>136</v>
      </c>
      <c r="F837" s="25" t="str">
        <f t="shared" ref="F837" si="879">_xlfn.CONCAT("FretFluv",LEFT(C837,3),IF(INT(B837/11)&lt;8,RIGHT(C837,1),RIGHT(C837,2)),"Type")</f>
        <v>FretFluvCat34Type</v>
      </c>
      <c r="G837" s="25" t="s">
        <v>20</v>
      </c>
      <c r="H837" s="25">
        <f t="shared" ref="H837:H839" si="880">IF($I$15="Oui",1,0)</f>
        <v>1</v>
      </c>
      <c r="I837" s="28"/>
      <c r="J837" s="27" t="str">
        <f>VLOOKUP(C837,'Parcs types'!$B$65:$AA$120,3,FALSE)</f>
        <v>Automoteurs</v>
      </c>
      <c r="L837" s="25" t="str">
        <f t="shared" ref="L837:L839" si="881">J837</f>
        <v>Automoteurs</v>
      </c>
    </row>
    <row r="838" spans="1:12" s="25" customFormat="1" outlineLevel="1" x14ac:dyDescent="0.25">
      <c r="A838" s="25" t="s">
        <v>134</v>
      </c>
      <c r="B838" s="25">
        <v>365</v>
      </c>
      <c r="C838" s="25" t="str">
        <f t="shared" si="829"/>
        <v>Catégorie 34</v>
      </c>
      <c r="D838" s="26" t="s">
        <v>137</v>
      </c>
      <c r="F838" s="25" t="str">
        <f t="shared" ref="F838" si="882">_xlfn.CONCAT("FretFluv",LEFT(C838,3),IF(INT(B838/11)&lt;8,RIGHT(C838,1),RIGHT(C838,2)),"Cap")</f>
        <v>FretFluvCat34Cap</v>
      </c>
      <c r="G838" s="26" t="s">
        <v>36</v>
      </c>
      <c r="H838" s="25">
        <f t="shared" si="880"/>
        <v>1</v>
      </c>
      <c r="I838" s="28"/>
      <c r="J838" s="27" t="str">
        <f>VLOOKUP(C838,'Parcs types'!$B$65:$AA$120,4,FALSE)</f>
        <v>1500-3000 tonnes</v>
      </c>
      <c r="K838" s="25" t="s">
        <v>524</v>
      </c>
      <c r="L838" s="25" t="str">
        <f t="shared" si="881"/>
        <v>1500-3000 tonnes</v>
      </c>
    </row>
    <row r="839" spans="1:12" s="25" customFormat="1" outlineLevel="1" x14ac:dyDescent="0.25">
      <c r="A839" s="25" t="s">
        <v>134</v>
      </c>
      <c r="B839" s="25">
        <v>366</v>
      </c>
      <c r="C839" s="25" t="str">
        <f t="shared" si="829"/>
        <v>Catégorie 34</v>
      </c>
      <c r="D839" s="26" t="s">
        <v>525</v>
      </c>
      <c r="F839" s="25" t="str">
        <f t="shared" ref="F839" si="883">_xlfn.CONCAT("FretFluv",LEFT(C839,3),IF(INT(B839/11)&lt;8,RIGHT(C839,1),RIGHT(C839,2)),"Tech")</f>
        <v>FretFluvCat34Tech</v>
      </c>
      <c r="G839" s="26" t="s">
        <v>20</v>
      </c>
      <c r="H839" s="25">
        <f t="shared" si="880"/>
        <v>1</v>
      </c>
      <c r="I839" s="28"/>
      <c r="J839" s="27" t="str">
        <f>VLOOKUP(C839,'Parcs types'!$B$65:$AA$120,5,FALSE)</f>
        <v>H2 , PAC</v>
      </c>
      <c r="L839" s="25" t="str">
        <f t="shared" si="881"/>
        <v>H2 , PAC</v>
      </c>
    </row>
    <row r="840" spans="1:12" s="25" customFormat="1" outlineLevel="1" x14ac:dyDescent="0.25">
      <c r="A840" s="25" t="s">
        <v>134</v>
      </c>
      <c r="B840" s="25">
        <v>367</v>
      </c>
      <c r="C840" s="25" t="str">
        <f t="shared" si="829"/>
        <v>Catégorie 34</v>
      </c>
      <c r="D840" s="25" t="s">
        <v>140</v>
      </c>
      <c r="F840" s="25" t="str">
        <f t="shared" ref="F840" si="884">_xlfn.CONCAT("FretFluv",LEFT(C840,3),IF(INT(B840/11)&lt;8,RIGHT(C840,1),RIGHT(C840,2)),"Request")</f>
        <v>FretFluvCat34Request</v>
      </c>
      <c r="G840" s="26" t="s">
        <v>20</v>
      </c>
      <c r="H840" s="25">
        <f>IF($I$15="Oui",1,0)</f>
        <v>1</v>
      </c>
      <c r="J840" s="27" t="s">
        <v>142</v>
      </c>
      <c r="L840" s="28"/>
    </row>
    <row r="841" spans="1:12" s="25" customFormat="1" outlineLevel="1" x14ac:dyDescent="0.25">
      <c r="A841" s="25" t="s">
        <v>134</v>
      </c>
      <c r="B841" s="25">
        <v>368</v>
      </c>
      <c r="C841" s="25" t="str">
        <f t="shared" si="829"/>
        <v>Catégorie 34</v>
      </c>
      <c r="D841" s="25" t="s">
        <v>144</v>
      </c>
      <c r="F841" s="25" t="str">
        <f t="shared" ref="F841" si="885">_xlfn.CONCAT("FretFluv",LEFT(C841,3),IF(INT(B841/11)&lt;8,RIGHT(C841,1),RIGHT(C841,2)),"NbTraj")</f>
        <v>FretFluvCat34NbTraj</v>
      </c>
      <c r="G841" s="25" t="s">
        <v>17</v>
      </c>
      <c r="H841" s="25">
        <f>IF($I$15="Oui",1,0)*IF(ISNUMBER(SEARCH("Une estimation du nombre annuel de trajets pour ce type de barge",I840)),1,0)</f>
        <v>0</v>
      </c>
      <c r="I841" s="28"/>
      <c r="J841" s="27"/>
      <c r="K841" s="25" t="s">
        <v>145</v>
      </c>
      <c r="L841" s="28"/>
    </row>
    <row r="842" spans="1:12" s="25" customFormat="1" outlineLevel="1" x14ac:dyDescent="0.25">
      <c r="A842" s="25" t="s">
        <v>134</v>
      </c>
      <c r="B842" s="25">
        <v>369</v>
      </c>
      <c r="C842" s="25" t="str">
        <f t="shared" si="829"/>
        <v>Catégorie 34</v>
      </c>
      <c r="D842" s="25" t="s">
        <v>146</v>
      </c>
      <c r="F842" s="25" t="str">
        <f t="shared" ref="F842" si="886">_xlfn.CONCAT("FretFluv",LEFT(C842,3),IF(INT(B842/11)&lt;8,RIGHT(C842,1),RIGHT(C842,2)),"DistMoy")</f>
        <v>FretFluvCat34DistMoy</v>
      </c>
      <c r="G842" s="25" t="s">
        <v>17</v>
      </c>
      <c r="H842" s="25">
        <f>IF($I$15="Oui",1,0)*IF(ISNUMBER(SEARCH("La distance moyenne d'un trajet",I840)),1,0)</f>
        <v>0</v>
      </c>
      <c r="I842" s="28"/>
      <c r="J842" s="27"/>
      <c r="K842" s="25" t="s">
        <v>88</v>
      </c>
      <c r="L842" s="28"/>
    </row>
    <row r="843" spans="1:12" s="25" customFormat="1" outlineLevel="1" x14ac:dyDescent="0.25">
      <c r="A843" s="25" t="s">
        <v>134</v>
      </c>
      <c r="B843" s="25">
        <v>370</v>
      </c>
      <c r="C843" s="25" t="str">
        <f t="shared" si="829"/>
        <v>Catégorie 34</v>
      </c>
      <c r="D843" s="25" t="s">
        <v>147</v>
      </c>
      <c r="F843" s="25" t="str">
        <f t="shared" ref="F843" si="887">_xlfn.CONCAT("FretFluv",LEFT(C843,3),IF(INT(B843/11)&lt;8,RIGHT(C843,1),RIGHT(C843,2)),"EmportMoy")</f>
        <v>FretFluvCat34EmportMoy</v>
      </c>
      <c r="G843" s="25" t="s">
        <v>17</v>
      </c>
      <c r="H843" s="25">
        <f>IF($I$15="Oui",1,0)*IF(ISNUMBER(SEARCH("La masse moyenne transportée pour un trajet",I840)),1,0)</f>
        <v>0</v>
      </c>
      <c r="I843" s="28"/>
      <c r="J843" s="27"/>
      <c r="K843" s="25" t="s">
        <v>148</v>
      </c>
      <c r="L843" s="28"/>
    </row>
    <row r="844" spans="1:12" s="25" customFormat="1" outlineLevel="1" x14ac:dyDescent="0.25">
      <c r="A844" s="25" t="s">
        <v>134</v>
      </c>
      <c r="B844" s="25">
        <v>371</v>
      </c>
      <c r="C844" s="25" t="str">
        <f t="shared" si="829"/>
        <v>Catégorie 34</v>
      </c>
      <c r="D844" s="25" t="s">
        <v>149</v>
      </c>
      <c r="F844" s="25" t="str">
        <f t="shared" ref="F844" si="888">_xlfn.CONCAT("FretFluv",LEFT(C844,3),IF(INT(B844/11)&lt;8,RIGHT(C844,1),RIGHT(C844,2)),"DistAn")</f>
        <v>FretFluvCat34DistAn</v>
      </c>
      <c r="G844" s="25" t="s">
        <v>17</v>
      </c>
      <c r="H844" s="25">
        <f>IF($I$15="Oui",1,0)*IF(ISNUMBER(SEARCH("La distance parcourue annuellement pour ce type de barge",I840)),1,0)</f>
        <v>0</v>
      </c>
      <c r="I844" s="28"/>
      <c r="J844" s="27"/>
      <c r="K844" s="25" t="s">
        <v>88</v>
      </c>
      <c r="L844" s="28"/>
    </row>
    <row r="845" spans="1:12" s="25" customFormat="1" outlineLevel="1" x14ac:dyDescent="0.25">
      <c r="A845" s="25" t="s">
        <v>134</v>
      </c>
      <c r="B845" s="25">
        <v>372</v>
      </c>
      <c r="C845" s="25" t="str">
        <f t="shared" si="829"/>
        <v>Catégorie 34</v>
      </c>
      <c r="D845" s="25" t="s">
        <v>150</v>
      </c>
      <c r="F845" s="25" t="str">
        <f t="shared" ref="F845" si="889">_xlfn.CONCAT("FretFluv",LEFT(C845,3),IF(INT(B845/11)&lt;8,RIGHT(C845,1),RIGHT(C845,2)),"TauxChargeMoy")</f>
        <v>FretFluvCat34TauxChargeMoy</v>
      </c>
      <c r="G845" s="25" t="s">
        <v>17</v>
      </c>
      <c r="H845" s="25">
        <f>IF($I$15="Oui",1,0)*IF(ISNUMBER(SEARCH("Le taux de chargement moyen",I840)),1,0)</f>
        <v>0</v>
      </c>
      <c r="I845" s="28"/>
      <c r="J845" s="27"/>
      <c r="K845" s="25" t="s">
        <v>70</v>
      </c>
      <c r="L845" s="28"/>
    </row>
    <row r="846" spans="1:12" s="25" customFormat="1" outlineLevel="1" x14ac:dyDescent="0.25">
      <c r="A846" s="25" t="s">
        <v>134</v>
      </c>
      <c r="B846" s="25">
        <v>373</v>
      </c>
      <c r="C846" s="25" t="str">
        <f t="shared" si="829"/>
        <v>Catégorie 34</v>
      </c>
      <c r="D846" s="26" t="s">
        <v>526</v>
      </c>
      <c r="F846" s="25" t="str">
        <f t="shared" ref="F846" si="890">_xlfn.CONCAT("FretFluv",LEFT(C846,3),IF(INT(B846/11)&lt;8,RIGHT(C846,1),RIGHT(C846,2)),"NbBarges")</f>
        <v>FretFluvCat34NbBarges</v>
      </c>
      <c r="G846" s="25" t="s">
        <v>17</v>
      </c>
      <c r="H846" s="25">
        <f>IF($I$15="Oui",1,0)</f>
        <v>1</v>
      </c>
      <c r="I846" s="28"/>
      <c r="J846" s="27"/>
      <c r="K846" s="25" t="s">
        <v>151</v>
      </c>
      <c r="L846" s="28"/>
    </row>
    <row r="847" spans="1:12" s="25" customFormat="1" outlineLevel="1" x14ac:dyDescent="0.25">
      <c r="A847" s="25" t="s">
        <v>134</v>
      </c>
      <c r="B847" s="25">
        <v>374</v>
      </c>
      <c r="C847" s="25" t="str">
        <f t="shared" si="829"/>
        <v>Catégorie 35</v>
      </c>
      <c r="D847" s="25" t="s">
        <v>135</v>
      </c>
      <c r="F847" s="25" t="str">
        <f t="shared" ref="F847" si="891">_xlfn.CONCAT("FretFluv",LEFT(C847,3),IF(INT(B847/11)&lt;8,RIGHT(C847,1),RIGHT(C847,2)),"Nom")</f>
        <v>FretFluvCat35Nom</v>
      </c>
      <c r="G847" s="26" t="s">
        <v>20</v>
      </c>
      <c r="H847" s="25">
        <f>IF($I$15="Oui",1,0)</f>
        <v>1</v>
      </c>
      <c r="I847" s="28"/>
      <c r="J847" s="27" t="str">
        <f>VLOOKUP(C847,'Parcs types'!$B$65:$AA$120,2,FALSE)</f>
        <v>Automoteurs 1500-3000 tonnes H2 , ICE</v>
      </c>
      <c r="L847" s="25" t="str">
        <f>J847</f>
        <v>Automoteurs 1500-3000 tonnes H2 , ICE</v>
      </c>
    </row>
    <row r="848" spans="1:12" s="25" customFormat="1" outlineLevel="1" x14ac:dyDescent="0.25">
      <c r="A848" s="25" t="s">
        <v>134</v>
      </c>
      <c r="B848" s="25">
        <v>375</v>
      </c>
      <c r="C848" s="25" t="str">
        <f t="shared" si="829"/>
        <v>Catégorie 35</v>
      </c>
      <c r="D848" s="25" t="s">
        <v>136</v>
      </c>
      <c r="F848" s="25" t="str">
        <f t="shared" ref="F848" si="892">_xlfn.CONCAT("FretFluv",LEFT(C848,3),IF(INT(B848/11)&lt;8,RIGHT(C848,1),RIGHT(C848,2)),"Type")</f>
        <v>FretFluvCat35Type</v>
      </c>
      <c r="G848" s="25" t="s">
        <v>20</v>
      </c>
      <c r="H848" s="25">
        <f t="shared" ref="H848:H850" si="893">IF($I$15="Oui",1,0)</f>
        <v>1</v>
      </c>
      <c r="I848" s="28"/>
      <c r="J848" s="27" t="str">
        <f>VLOOKUP(C848,'Parcs types'!$B$65:$AA$120,3,FALSE)</f>
        <v>Automoteurs</v>
      </c>
      <c r="L848" s="25" t="str">
        <f t="shared" ref="L848:L850" si="894">J848</f>
        <v>Automoteurs</v>
      </c>
    </row>
    <row r="849" spans="1:12" s="25" customFormat="1" outlineLevel="1" x14ac:dyDescent="0.25">
      <c r="A849" s="25" t="s">
        <v>134</v>
      </c>
      <c r="B849" s="25">
        <v>376</v>
      </c>
      <c r="C849" s="25" t="str">
        <f t="shared" si="829"/>
        <v>Catégorie 35</v>
      </c>
      <c r="D849" s="26" t="s">
        <v>137</v>
      </c>
      <c r="F849" s="25" t="str">
        <f t="shared" ref="F849" si="895">_xlfn.CONCAT("FretFluv",LEFT(C849,3),IF(INT(B849/11)&lt;8,RIGHT(C849,1),RIGHT(C849,2)),"Cap")</f>
        <v>FretFluvCat35Cap</v>
      </c>
      <c r="G849" s="26" t="s">
        <v>36</v>
      </c>
      <c r="H849" s="25">
        <f t="shared" si="893"/>
        <v>1</v>
      </c>
      <c r="I849" s="28"/>
      <c r="J849" s="27" t="str">
        <f>VLOOKUP(C849,'Parcs types'!$B$65:$AA$120,4,FALSE)</f>
        <v>1500-3000 tonnes</v>
      </c>
      <c r="K849" s="25" t="s">
        <v>524</v>
      </c>
      <c r="L849" s="25" t="str">
        <f t="shared" si="894"/>
        <v>1500-3000 tonnes</v>
      </c>
    </row>
    <row r="850" spans="1:12" s="25" customFormat="1" outlineLevel="1" x14ac:dyDescent="0.25">
      <c r="A850" s="25" t="s">
        <v>134</v>
      </c>
      <c r="B850" s="25">
        <v>377</v>
      </c>
      <c r="C850" s="25" t="str">
        <f t="shared" si="829"/>
        <v>Catégorie 35</v>
      </c>
      <c r="D850" s="26" t="s">
        <v>525</v>
      </c>
      <c r="F850" s="25" t="str">
        <f t="shared" ref="F850" si="896">_xlfn.CONCAT("FretFluv",LEFT(C850,3),IF(INT(B850/11)&lt;8,RIGHT(C850,1),RIGHT(C850,2)),"Tech")</f>
        <v>FretFluvCat35Tech</v>
      </c>
      <c r="G850" s="26" t="s">
        <v>20</v>
      </c>
      <c r="H850" s="25">
        <f t="shared" si="893"/>
        <v>1</v>
      </c>
      <c r="I850" s="28"/>
      <c r="J850" s="27" t="str">
        <f>VLOOKUP(C850,'Parcs types'!$B$65:$AA$120,5,FALSE)</f>
        <v>H2 , ICE</v>
      </c>
      <c r="L850" s="25" t="str">
        <f t="shared" si="894"/>
        <v>H2 , ICE</v>
      </c>
    </row>
    <row r="851" spans="1:12" s="25" customFormat="1" outlineLevel="1" x14ac:dyDescent="0.25">
      <c r="A851" s="25" t="s">
        <v>134</v>
      </c>
      <c r="B851" s="25">
        <v>378</v>
      </c>
      <c r="C851" s="25" t="str">
        <f t="shared" si="829"/>
        <v>Catégorie 35</v>
      </c>
      <c r="D851" s="25" t="s">
        <v>140</v>
      </c>
      <c r="F851" s="25" t="str">
        <f t="shared" ref="F851" si="897">_xlfn.CONCAT("FretFluv",LEFT(C851,3),IF(INT(B851/11)&lt;8,RIGHT(C851,1),RIGHT(C851,2)),"Request")</f>
        <v>FretFluvCat35Request</v>
      </c>
      <c r="G851" s="26" t="s">
        <v>20</v>
      </c>
      <c r="H851" s="25">
        <f>IF($I$15="Oui",1,0)</f>
        <v>1</v>
      </c>
      <c r="J851" s="27" t="s">
        <v>142</v>
      </c>
      <c r="L851" s="28"/>
    </row>
    <row r="852" spans="1:12" s="25" customFormat="1" outlineLevel="1" x14ac:dyDescent="0.25">
      <c r="A852" s="25" t="s">
        <v>134</v>
      </c>
      <c r="B852" s="25">
        <v>379</v>
      </c>
      <c r="C852" s="25" t="str">
        <f t="shared" si="829"/>
        <v>Catégorie 35</v>
      </c>
      <c r="D852" s="25" t="s">
        <v>144</v>
      </c>
      <c r="F852" s="25" t="str">
        <f t="shared" ref="F852" si="898">_xlfn.CONCAT("FretFluv",LEFT(C852,3),IF(INT(B852/11)&lt;8,RIGHT(C852,1),RIGHT(C852,2)),"NbTraj")</f>
        <v>FretFluvCat35NbTraj</v>
      </c>
      <c r="G852" s="25" t="s">
        <v>17</v>
      </c>
      <c r="H852" s="25">
        <f>IF($I$15="Oui",1,0)*IF(ISNUMBER(SEARCH("Une estimation du nombre annuel de trajets pour ce type de barge",I851)),1,0)</f>
        <v>0</v>
      </c>
      <c r="I852" s="28"/>
      <c r="J852" s="27"/>
      <c r="K852" s="25" t="s">
        <v>145</v>
      </c>
      <c r="L852" s="28"/>
    </row>
    <row r="853" spans="1:12" s="25" customFormat="1" outlineLevel="1" x14ac:dyDescent="0.25">
      <c r="A853" s="25" t="s">
        <v>134</v>
      </c>
      <c r="B853" s="25">
        <v>380</v>
      </c>
      <c r="C853" s="25" t="str">
        <f t="shared" si="829"/>
        <v>Catégorie 35</v>
      </c>
      <c r="D853" s="25" t="s">
        <v>146</v>
      </c>
      <c r="F853" s="25" t="str">
        <f t="shared" ref="F853" si="899">_xlfn.CONCAT("FretFluv",LEFT(C853,3),IF(INT(B853/11)&lt;8,RIGHT(C853,1),RIGHT(C853,2)),"DistMoy")</f>
        <v>FretFluvCat35DistMoy</v>
      </c>
      <c r="G853" s="25" t="s">
        <v>17</v>
      </c>
      <c r="H853" s="25">
        <f>IF($I$15="Oui",1,0)*IF(ISNUMBER(SEARCH("La distance moyenne d'un trajet",I851)),1,0)</f>
        <v>0</v>
      </c>
      <c r="I853" s="28"/>
      <c r="J853" s="27"/>
      <c r="K853" s="25" t="s">
        <v>88</v>
      </c>
      <c r="L853" s="28"/>
    </row>
    <row r="854" spans="1:12" s="25" customFormat="1" outlineLevel="1" x14ac:dyDescent="0.25">
      <c r="A854" s="25" t="s">
        <v>134</v>
      </c>
      <c r="B854" s="25">
        <v>381</v>
      </c>
      <c r="C854" s="25" t="str">
        <f t="shared" si="829"/>
        <v>Catégorie 35</v>
      </c>
      <c r="D854" s="25" t="s">
        <v>147</v>
      </c>
      <c r="F854" s="25" t="str">
        <f t="shared" ref="F854" si="900">_xlfn.CONCAT("FretFluv",LEFT(C854,3),IF(INT(B854/11)&lt;8,RIGHT(C854,1),RIGHT(C854,2)),"EmportMoy")</f>
        <v>FretFluvCat35EmportMoy</v>
      </c>
      <c r="G854" s="25" t="s">
        <v>17</v>
      </c>
      <c r="H854" s="25">
        <f>IF($I$15="Oui",1,0)*IF(ISNUMBER(SEARCH("La masse moyenne transportée pour un trajet",I851)),1,0)</f>
        <v>0</v>
      </c>
      <c r="I854" s="28"/>
      <c r="J854" s="27"/>
      <c r="K854" s="25" t="s">
        <v>148</v>
      </c>
      <c r="L854" s="28"/>
    </row>
    <row r="855" spans="1:12" s="25" customFormat="1" outlineLevel="1" x14ac:dyDescent="0.25">
      <c r="A855" s="25" t="s">
        <v>134</v>
      </c>
      <c r="B855" s="25">
        <v>382</v>
      </c>
      <c r="C855" s="25" t="str">
        <f t="shared" si="829"/>
        <v>Catégorie 35</v>
      </c>
      <c r="D855" s="25" t="s">
        <v>149</v>
      </c>
      <c r="F855" s="25" t="str">
        <f t="shared" ref="F855" si="901">_xlfn.CONCAT("FretFluv",LEFT(C855,3),IF(INT(B855/11)&lt;8,RIGHT(C855,1),RIGHT(C855,2)),"DistAn")</f>
        <v>FretFluvCat35DistAn</v>
      </c>
      <c r="G855" s="25" t="s">
        <v>17</v>
      </c>
      <c r="H855" s="25">
        <f>IF($I$15="Oui",1,0)*IF(ISNUMBER(SEARCH("La distance parcourue annuellement pour ce type de barge",I851)),1,0)</f>
        <v>0</v>
      </c>
      <c r="I855" s="28"/>
      <c r="J855" s="27"/>
      <c r="K855" s="25" t="s">
        <v>88</v>
      </c>
    </row>
    <row r="856" spans="1:12" s="25" customFormat="1" outlineLevel="1" x14ac:dyDescent="0.25">
      <c r="A856" s="25" t="s">
        <v>134</v>
      </c>
      <c r="B856" s="25">
        <v>383</v>
      </c>
      <c r="C856" s="25" t="str">
        <f t="shared" si="829"/>
        <v>Catégorie 35</v>
      </c>
      <c r="D856" s="25" t="s">
        <v>150</v>
      </c>
      <c r="F856" s="25" t="str">
        <f t="shared" ref="F856" si="902">_xlfn.CONCAT("FretFluv",LEFT(C856,3),IF(INT(B856/11)&lt;8,RIGHT(C856,1),RIGHT(C856,2)),"TauxChargeMoy")</f>
        <v>FretFluvCat35TauxChargeMoy</v>
      </c>
      <c r="G856" s="25" t="s">
        <v>17</v>
      </c>
      <c r="H856" s="25">
        <f>IF($I$15="Oui",1,0)*IF(ISNUMBER(SEARCH("Le taux de chargement moyen",I851)),1,0)</f>
        <v>0</v>
      </c>
      <c r="I856" s="28"/>
      <c r="J856" s="27"/>
      <c r="K856" s="25" t="s">
        <v>70</v>
      </c>
    </row>
    <row r="857" spans="1:12" s="25" customFormat="1" outlineLevel="1" x14ac:dyDescent="0.25">
      <c r="A857" s="25" t="s">
        <v>134</v>
      </c>
      <c r="B857" s="25">
        <v>384</v>
      </c>
      <c r="C857" s="25" t="str">
        <f t="shared" si="829"/>
        <v>Catégorie 35</v>
      </c>
      <c r="D857" s="26" t="s">
        <v>526</v>
      </c>
      <c r="F857" s="25" t="str">
        <f t="shared" ref="F857" si="903">_xlfn.CONCAT("FretFluv",LEFT(C857,3),IF(INT(B857/11)&lt;8,RIGHT(C857,1),RIGHT(C857,2)),"NbBarges")</f>
        <v>FretFluvCat35NbBarges</v>
      </c>
      <c r="G857" s="25" t="s">
        <v>17</v>
      </c>
      <c r="H857" s="25">
        <f>IF($I$15="Oui",1,0)</f>
        <v>1</v>
      </c>
      <c r="I857" s="28"/>
      <c r="J857" s="27"/>
      <c r="K857" s="25" t="s">
        <v>151</v>
      </c>
    </row>
    <row r="858" spans="1:12" s="25" customFormat="1" outlineLevel="1" x14ac:dyDescent="0.25">
      <c r="A858" s="25" t="s">
        <v>134</v>
      </c>
      <c r="B858" s="25">
        <v>385</v>
      </c>
      <c r="C858" s="25" t="str">
        <f t="shared" ref="C858:C921" si="904">"Catégorie "&amp;INT(B858/11)+1</f>
        <v>Catégorie 36</v>
      </c>
      <c r="D858" s="25" t="s">
        <v>135</v>
      </c>
      <c r="F858" s="25" t="str">
        <f t="shared" ref="F858" si="905">_xlfn.CONCAT("FretFluv",LEFT(C858,3),IF(INT(B858/11)&lt;8,RIGHT(C858,1),RIGHT(C858,2)),"Nom")</f>
        <v>FretFluvCat36Nom</v>
      </c>
      <c r="G858" s="26" t="s">
        <v>20</v>
      </c>
      <c r="H858" s="25">
        <f>IF($I$15="Oui",1,0)</f>
        <v>1</v>
      </c>
      <c r="I858" s="28"/>
      <c r="J858" s="27" t="str">
        <f>VLOOKUP(C858,'Parcs types'!$B$65:$AA$120,2,FALSE)</f>
        <v>Automoteurs &gt;3000 tonnes CCNR 2 ou inférieur, diesel</v>
      </c>
      <c r="L858" s="25" t="str">
        <f>J858</f>
        <v>Automoteurs &gt;3000 tonnes CCNR 2 ou inférieur, diesel</v>
      </c>
    </row>
    <row r="859" spans="1:12" s="25" customFormat="1" outlineLevel="1" x14ac:dyDescent="0.25">
      <c r="A859" s="25" t="s">
        <v>134</v>
      </c>
      <c r="B859" s="25">
        <v>386</v>
      </c>
      <c r="C859" s="25" t="str">
        <f t="shared" si="904"/>
        <v>Catégorie 36</v>
      </c>
      <c r="D859" s="25" t="s">
        <v>136</v>
      </c>
      <c r="F859" s="25" t="str">
        <f t="shared" ref="F859" si="906">_xlfn.CONCAT("FretFluv",LEFT(C859,3),IF(INT(B859/11)&lt;8,RIGHT(C859,1),RIGHT(C859,2)),"Type")</f>
        <v>FretFluvCat36Type</v>
      </c>
      <c r="G859" s="25" t="s">
        <v>20</v>
      </c>
      <c r="H859" s="25">
        <f t="shared" ref="H859:H861" si="907">IF($I$15="Oui",1,0)</f>
        <v>1</v>
      </c>
      <c r="I859" s="28"/>
      <c r="J859" s="27" t="str">
        <f>VLOOKUP(C859,'Parcs types'!$B$65:$AA$120,3,FALSE)</f>
        <v>Automoteurs</v>
      </c>
      <c r="L859" s="25" t="str">
        <f t="shared" ref="L859:L861" si="908">J859</f>
        <v>Automoteurs</v>
      </c>
    </row>
    <row r="860" spans="1:12" s="25" customFormat="1" outlineLevel="1" x14ac:dyDescent="0.25">
      <c r="A860" s="25" t="s">
        <v>134</v>
      </c>
      <c r="B860" s="25">
        <v>387</v>
      </c>
      <c r="C860" s="25" t="str">
        <f t="shared" si="904"/>
        <v>Catégorie 36</v>
      </c>
      <c r="D860" s="26" t="s">
        <v>137</v>
      </c>
      <c r="F860" s="25" t="str">
        <f t="shared" ref="F860" si="909">_xlfn.CONCAT("FretFluv",LEFT(C860,3),IF(INT(B860/11)&lt;8,RIGHT(C860,1),RIGHT(C860,2)),"Cap")</f>
        <v>FretFluvCat36Cap</v>
      </c>
      <c r="G860" s="26" t="s">
        <v>36</v>
      </c>
      <c r="H860" s="25">
        <f t="shared" si="907"/>
        <v>1</v>
      </c>
      <c r="I860" s="28"/>
      <c r="J860" s="27" t="str">
        <f>VLOOKUP(C860,'Parcs types'!$B$65:$AA$120,4,FALSE)</f>
        <v>&gt;3000 tonnes</v>
      </c>
      <c r="K860" s="25" t="s">
        <v>524</v>
      </c>
      <c r="L860" s="25" t="str">
        <f t="shared" si="908"/>
        <v>&gt;3000 tonnes</v>
      </c>
    </row>
    <row r="861" spans="1:12" s="25" customFormat="1" outlineLevel="1" x14ac:dyDescent="0.25">
      <c r="A861" s="25" t="s">
        <v>134</v>
      </c>
      <c r="B861" s="25">
        <v>388</v>
      </c>
      <c r="C861" s="25" t="str">
        <f t="shared" si="904"/>
        <v>Catégorie 36</v>
      </c>
      <c r="D861" s="26" t="s">
        <v>525</v>
      </c>
      <c r="F861" s="25" t="str">
        <f t="shared" ref="F861" si="910">_xlfn.CONCAT("FretFluv",LEFT(C861,3),IF(INT(B861/11)&lt;8,RIGHT(C861,1),RIGHT(C861,2)),"Tech")</f>
        <v>FretFluvCat36Tech</v>
      </c>
      <c r="G861" s="26" t="s">
        <v>20</v>
      </c>
      <c r="H861" s="25">
        <f t="shared" si="907"/>
        <v>1</v>
      </c>
      <c r="I861" s="28"/>
      <c r="J861" s="27" t="str">
        <f>VLOOKUP(C861,'Parcs types'!$B$65:$AA$120,5,FALSE)</f>
        <v>CCNR 2 ou inférieur, diesel</v>
      </c>
      <c r="L861" s="25" t="str">
        <f t="shared" si="908"/>
        <v>CCNR 2 ou inférieur, diesel</v>
      </c>
    </row>
    <row r="862" spans="1:12" s="25" customFormat="1" outlineLevel="1" x14ac:dyDescent="0.25">
      <c r="A862" s="25" t="s">
        <v>134</v>
      </c>
      <c r="B862" s="25">
        <v>389</v>
      </c>
      <c r="C862" s="25" t="str">
        <f t="shared" si="904"/>
        <v>Catégorie 36</v>
      </c>
      <c r="D862" s="25" t="s">
        <v>140</v>
      </c>
      <c r="F862" s="25" t="str">
        <f t="shared" ref="F862" si="911">_xlfn.CONCAT("FretFluv",LEFT(C862,3),IF(INT(B862/11)&lt;8,RIGHT(C862,1),RIGHT(C862,2)),"Request")</f>
        <v>FretFluvCat36Request</v>
      </c>
      <c r="G862" s="26" t="s">
        <v>20</v>
      </c>
      <c r="H862" s="25">
        <f>IF($I$15="Oui",1,0)</f>
        <v>1</v>
      </c>
      <c r="J862" s="27" t="s">
        <v>142</v>
      </c>
      <c r="L862" s="28"/>
    </row>
    <row r="863" spans="1:12" s="25" customFormat="1" outlineLevel="1" x14ac:dyDescent="0.25">
      <c r="A863" s="25" t="s">
        <v>134</v>
      </c>
      <c r="B863" s="25">
        <v>390</v>
      </c>
      <c r="C863" s="25" t="str">
        <f t="shared" si="904"/>
        <v>Catégorie 36</v>
      </c>
      <c r="D863" s="25" t="s">
        <v>144</v>
      </c>
      <c r="F863" s="25" t="str">
        <f t="shared" ref="F863" si="912">_xlfn.CONCAT("FretFluv",LEFT(C863,3),IF(INT(B863/11)&lt;8,RIGHT(C863,1),RIGHT(C863,2)),"NbTraj")</f>
        <v>FretFluvCat36NbTraj</v>
      </c>
      <c r="G863" s="25" t="s">
        <v>17</v>
      </c>
      <c r="H863" s="25">
        <f>IF($I$15="Oui",1,0)*IF(ISNUMBER(SEARCH("Une estimation du nombre annuel de trajets pour ce type de barge",I862)),1,0)</f>
        <v>0</v>
      </c>
      <c r="I863" s="28"/>
      <c r="J863" s="27"/>
      <c r="K863" s="25" t="s">
        <v>145</v>
      </c>
      <c r="L863" s="28"/>
    </row>
    <row r="864" spans="1:12" s="25" customFormat="1" outlineLevel="1" x14ac:dyDescent="0.25">
      <c r="A864" s="25" t="s">
        <v>134</v>
      </c>
      <c r="B864" s="25">
        <v>391</v>
      </c>
      <c r="C864" s="25" t="str">
        <f t="shared" si="904"/>
        <v>Catégorie 36</v>
      </c>
      <c r="D864" s="25" t="s">
        <v>146</v>
      </c>
      <c r="F864" s="25" t="str">
        <f t="shared" ref="F864" si="913">_xlfn.CONCAT("FretFluv",LEFT(C864,3),IF(INT(B864/11)&lt;8,RIGHT(C864,1),RIGHT(C864,2)),"DistMoy")</f>
        <v>FretFluvCat36DistMoy</v>
      </c>
      <c r="G864" s="25" t="s">
        <v>17</v>
      </c>
      <c r="H864" s="25">
        <f>IF($I$15="Oui",1,0)*IF(ISNUMBER(SEARCH("La distance moyenne d'un trajet",I862)),1,0)</f>
        <v>0</v>
      </c>
      <c r="I864" s="28"/>
      <c r="J864" s="27"/>
      <c r="K864" s="25" t="s">
        <v>88</v>
      </c>
      <c r="L864" s="28"/>
    </row>
    <row r="865" spans="1:12" s="25" customFormat="1" outlineLevel="1" x14ac:dyDescent="0.25">
      <c r="A865" s="25" t="s">
        <v>134</v>
      </c>
      <c r="B865" s="25">
        <v>392</v>
      </c>
      <c r="C865" s="25" t="str">
        <f t="shared" si="904"/>
        <v>Catégorie 36</v>
      </c>
      <c r="D865" s="25" t="s">
        <v>147</v>
      </c>
      <c r="F865" s="25" t="str">
        <f t="shared" ref="F865" si="914">_xlfn.CONCAT("FretFluv",LEFT(C865,3),IF(INT(B865/11)&lt;8,RIGHT(C865,1),RIGHT(C865,2)),"EmportMoy")</f>
        <v>FretFluvCat36EmportMoy</v>
      </c>
      <c r="G865" s="25" t="s">
        <v>17</v>
      </c>
      <c r="H865" s="25">
        <f>IF($I$15="Oui",1,0)*IF(ISNUMBER(SEARCH("La masse moyenne transportée pour un trajet",I862)),1,0)</f>
        <v>0</v>
      </c>
      <c r="I865" s="28"/>
      <c r="J865" s="27"/>
      <c r="K865" s="25" t="s">
        <v>148</v>
      </c>
      <c r="L865" s="28"/>
    </row>
    <row r="866" spans="1:12" s="25" customFormat="1" outlineLevel="1" x14ac:dyDescent="0.25">
      <c r="A866" s="25" t="s">
        <v>134</v>
      </c>
      <c r="B866" s="25">
        <v>393</v>
      </c>
      <c r="C866" s="25" t="str">
        <f t="shared" si="904"/>
        <v>Catégorie 36</v>
      </c>
      <c r="D866" s="25" t="s">
        <v>149</v>
      </c>
      <c r="F866" s="25" t="str">
        <f t="shared" ref="F866" si="915">_xlfn.CONCAT("FretFluv",LEFT(C866,3),IF(INT(B866/11)&lt;8,RIGHT(C866,1),RIGHT(C866,2)),"DistAn")</f>
        <v>FretFluvCat36DistAn</v>
      </c>
      <c r="G866" s="25" t="s">
        <v>17</v>
      </c>
      <c r="H866" s="25">
        <f>IF($I$15="Oui",1,0)*IF(ISNUMBER(SEARCH("La distance parcourue annuellement pour ce type de barge",I862)),1,0)</f>
        <v>0</v>
      </c>
      <c r="I866" s="28"/>
      <c r="J866" s="27"/>
      <c r="K866" s="25" t="s">
        <v>88</v>
      </c>
      <c r="L866" s="28"/>
    </row>
    <row r="867" spans="1:12" s="25" customFormat="1" outlineLevel="1" x14ac:dyDescent="0.25">
      <c r="A867" s="25" t="s">
        <v>134</v>
      </c>
      <c r="B867" s="25">
        <v>394</v>
      </c>
      <c r="C867" s="25" t="str">
        <f t="shared" si="904"/>
        <v>Catégorie 36</v>
      </c>
      <c r="D867" s="25" t="s">
        <v>150</v>
      </c>
      <c r="F867" s="25" t="str">
        <f t="shared" ref="F867" si="916">_xlfn.CONCAT("FretFluv",LEFT(C867,3),IF(INT(B867/11)&lt;8,RIGHT(C867,1),RIGHT(C867,2)),"TauxChargeMoy")</f>
        <v>FretFluvCat36TauxChargeMoy</v>
      </c>
      <c r="G867" s="25" t="s">
        <v>17</v>
      </c>
      <c r="H867" s="25">
        <f>IF($I$15="Oui",1,0)*IF(ISNUMBER(SEARCH("Le taux de chargement moyen",I862)),1,0)</f>
        <v>0</v>
      </c>
      <c r="I867" s="28"/>
      <c r="J867" s="27"/>
      <c r="K867" s="25" t="s">
        <v>70</v>
      </c>
      <c r="L867" s="28"/>
    </row>
    <row r="868" spans="1:12" s="25" customFormat="1" outlineLevel="1" x14ac:dyDescent="0.25">
      <c r="A868" s="25" t="s">
        <v>134</v>
      </c>
      <c r="B868" s="25">
        <v>395</v>
      </c>
      <c r="C868" s="25" t="str">
        <f t="shared" si="904"/>
        <v>Catégorie 36</v>
      </c>
      <c r="D868" s="26" t="s">
        <v>526</v>
      </c>
      <c r="F868" s="25" t="str">
        <f t="shared" ref="F868" si="917">_xlfn.CONCAT("FretFluv",LEFT(C868,3),IF(INT(B868/11)&lt;8,RIGHT(C868,1),RIGHT(C868,2)),"NbBarges")</f>
        <v>FretFluvCat36NbBarges</v>
      </c>
      <c r="G868" s="25" t="s">
        <v>17</v>
      </c>
      <c r="H868" s="25">
        <f>IF($I$15="Oui",1,0)</f>
        <v>1</v>
      </c>
      <c r="I868" s="28"/>
      <c r="J868" s="27"/>
      <c r="K868" s="25" t="s">
        <v>151</v>
      </c>
      <c r="L868" s="28"/>
    </row>
    <row r="869" spans="1:12" s="25" customFormat="1" outlineLevel="1" x14ac:dyDescent="0.25">
      <c r="A869" s="25" t="s">
        <v>134</v>
      </c>
      <c r="B869" s="25">
        <v>396</v>
      </c>
      <c r="C869" s="25" t="str">
        <f t="shared" si="904"/>
        <v>Catégorie 37</v>
      </c>
      <c r="D869" s="25" t="s">
        <v>135</v>
      </c>
      <c r="F869" s="25" t="str">
        <f t="shared" ref="F869" si="918">_xlfn.CONCAT("FretFluv",LEFT(C869,3),IF(INT(B869/11)&lt;8,RIGHT(C869,1),RIGHT(C869,2)),"Nom")</f>
        <v>FretFluvCat37Nom</v>
      </c>
      <c r="G869" s="26" t="s">
        <v>20</v>
      </c>
      <c r="H869" s="25">
        <f>IF($I$15="Oui",1,0)</f>
        <v>1</v>
      </c>
      <c r="I869" s="28"/>
      <c r="J869" s="27" t="str">
        <f>VLOOKUP(C869,'Parcs types'!$B$65:$AA$120,2,FALSE)</f>
        <v>Automoteurs &gt;3000 tonnes CCNR 2 + SCR, diesel</v>
      </c>
      <c r="L869" s="25" t="str">
        <f>J869</f>
        <v>Automoteurs &gt;3000 tonnes CCNR 2 + SCR, diesel</v>
      </c>
    </row>
    <row r="870" spans="1:12" s="25" customFormat="1" outlineLevel="1" x14ac:dyDescent="0.25">
      <c r="A870" s="25" t="s">
        <v>134</v>
      </c>
      <c r="B870" s="25">
        <v>397</v>
      </c>
      <c r="C870" s="25" t="str">
        <f t="shared" si="904"/>
        <v>Catégorie 37</v>
      </c>
      <c r="D870" s="25" t="s">
        <v>136</v>
      </c>
      <c r="F870" s="25" t="str">
        <f t="shared" ref="F870" si="919">_xlfn.CONCAT("FretFluv",LEFT(C870,3),IF(INT(B870/11)&lt;8,RIGHT(C870,1),RIGHT(C870,2)),"Type")</f>
        <v>FretFluvCat37Type</v>
      </c>
      <c r="G870" s="25" t="s">
        <v>20</v>
      </c>
      <c r="H870" s="25">
        <f t="shared" ref="H870:H872" si="920">IF($I$15="Oui",1,0)</f>
        <v>1</v>
      </c>
      <c r="I870" s="28"/>
      <c r="J870" s="27" t="str">
        <f>VLOOKUP(C870,'Parcs types'!$B$65:$AA$120,3,FALSE)</f>
        <v>Automoteurs</v>
      </c>
      <c r="L870" s="25" t="str">
        <f t="shared" ref="L870:L872" si="921">J870</f>
        <v>Automoteurs</v>
      </c>
    </row>
    <row r="871" spans="1:12" s="25" customFormat="1" outlineLevel="1" x14ac:dyDescent="0.25">
      <c r="A871" s="25" t="s">
        <v>134</v>
      </c>
      <c r="B871" s="25">
        <v>398</v>
      </c>
      <c r="C871" s="25" t="str">
        <f t="shared" si="904"/>
        <v>Catégorie 37</v>
      </c>
      <c r="D871" s="26" t="s">
        <v>137</v>
      </c>
      <c r="F871" s="25" t="str">
        <f t="shared" ref="F871" si="922">_xlfn.CONCAT("FretFluv",LEFT(C871,3),IF(INT(B871/11)&lt;8,RIGHT(C871,1),RIGHT(C871,2)),"Cap")</f>
        <v>FretFluvCat37Cap</v>
      </c>
      <c r="G871" s="26" t="s">
        <v>36</v>
      </c>
      <c r="H871" s="25">
        <f t="shared" si="920"/>
        <v>1</v>
      </c>
      <c r="I871" s="28"/>
      <c r="J871" s="27" t="str">
        <f>VLOOKUP(C871,'Parcs types'!$B$65:$AA$120,4,FALSE)</f>
        <v>&gt;3000 tonnes</v>
      </c>
      <c r="K871" s="25" t="s">
        <v>524</v>
      </c>
      <c r="L871" s="25" t="str">
        <f t="shared" si="921"/>
        <v>&gt;3000 tonnes</v>
      </c>
    </row>
    <row r="872" spans="1:12" s="25" customFormat="1" outlineLevel="1" x14ac:dyDescent="0.25">
      <c r="A872" s="25" t="s">
        <v>134</v>
      </c>
      <c r="B872" s="25">
        <v>399</v>
      </c>
      <c r="C872" s="25" t="str">
        <f t="shared" si="904"/>
        <v>Catégorie 37</v>
      </c>
      <c r="D872" s="26" t="s">
        <v>525</v>
      </c>
      <c r="F872" s="25" t="str">
        <f t="shared" ref="F872" si="923">_xlfn.CONCAT("FretFluv",LEFT(C872,3),IF(INT(B872/11)&lt;8,RIGHT(C872,1),RIGHT(C872,2)),"Tech")</f>
        <v>FretFluvCat37Tech</v>
      </c>
      <c r="G872" s="26" t="s">
        <v>20</v>
      </c>
      <c r="H872" s="25">
        <f t="shared" si="920"/>
        <v>1</v>
      </c>
      <c r="I872" s="28"/>
      <c r="J872" s="27" t="str">
        <f>VLOOKUP(C872,'Parcs types'!$B$65:$AA$120,5,FALSE)</f>
        <v>CCNR 2 + SCR, diesel</v>
      </c>
      <c r="L872" s="25" t="str">
        <f t="shared" si="921"/>
        <v>CCNR 2 + SCR, diesel</v>
      </c>
    </row>
    <row r="873" spans="1:12" s="25" customFormat="1" outlineLevel="1" x14ac:dyDescent="0.25">
      <c r="A873" s="25" t="s">
        <v>134</v>
      </c>
      <c r="B873" s="25">
        <v>400</v>
      </c>
      <c r="C873" s="25" t="str">
        <f t="shared" si="904"/>
        <v>Catégorie 37</v>
      </c>
      <c r="D873" s="25" t="s">
        <v>140</v>
      </c>
      <c r="F873" s="25" t="str">
        <f t="shared" ref="F873" si="924">_xlfn.CONCAT("FretFluv",LEFT(C873,3),IF(INT(B873/11)&lt;8,RIGHT(C873,1),RIGHT(C873,2)),"Request")</f>
        <v>FretFluvCat37Request</v>
      </c>
      <c r="G873" s="26" t="s">
        <v>20</v>
      </c>
      <c r="H873" s="25">
        <f>IF($I$15="Oui",1,0)</f>
        <v>1</v>
      </c>
      <c r="J873" s="27" t="s">
        <v>142</v>
      </c>
      <c r="L873" s="28"/>
    </row>
    <row r="874" spans="1:12" s="25" customFormat="1" outlineLevel="1" x14ac:dyDescent="0.25">
      <c r="A874" s="25" t="s">
        <v>134</v>
      </c>
      <c r="B874" s="25">
        <v>401</v>
      </c>
      <c r="C874" s="25" t="str">
        <f t="shared" si="904"/>
        <v>Catégorie 37</v>
      </c>
      <c r="D874" s="25" t="s">
        <v>144</v>
      </c>
      <c r="F874" s="25" t="str">
        <f t="shared" ref="F874" si="925">_xlfn.CONCAT("FretFluv",LEFT(C874,3),IF(INT(B874/11)&lt;8,RIGHT(C874,1),RIGHT(C874,2)),"NbTraj")</f>
        <v>FretFluvCat37NbTraj</v>
      </c>
      <c r="G874" s="25" t="s">
        <v>17</v>
      </c>
      <c r="H874" s="25">
        <f>IF($I$15="Oui",1,0)*IF(ISNUMBER(SEARCH("Une estimation du nombre annuel de trajets pour ce type de barge",I873)),1,0)</f>
        <v>0</v>
      </c>
      <c r="I874" s="28"/>
      <c r="J874" s="27"/>
      <c r="K874" s="25" t="s">
        <v>145</v>
      </c>
      <c r="L874" s="28"/>
    </row>
    <row r="875" spans="1:12" s="25" customFormat="1" outlineLevel="1" x14ac:dyDescent="0.25">
      <c r="A875" s="25" t="s">
        <v>134</v>
      </c>
      <c r="B875" s="25">
        <v>402</v>
      </c>
      <c r="C875" s="25" t="str">
        <f t="shared" si="904"/>
        <v>Catégorie 37</v>
      </c>
      <c r="D875" s="25" t="s">
        <v>146</v>
      </c>
      <c r="F875" s="25" t="str">
        <f t="shared" ref="F875" si="926">_xlfn.CONCAT("FretFluv",LEFT(C875,3),IF(INT(B875/11)&lt;8,RIGHT(C875,1),RIGHT(C875,2)),"DistMoy")</f>
        <v>FretFluvCat37DistMoy</v>
      </c>
      <c r="G875" s="25" t="s">
        <v>17</v>
      </c>
      <c r="H875" s="25">
        <f>IF($I$15="Oui",1,0)*IF(ISNUMBER(SEARCH("La distance moyenne d'un trajet",I873)),1,0)</f>
        <v>0</v>
      </c>
      <c r="I875" s="28"/>
      <c r="J875" s="27"/>
      <c r="K875" s="25" t="s">
        <v>88</v>
      </c>
      <c r="L875" s="28"/>
    </row>
    <row r="876" spans="1:12" s="25" customFormat="1" outlineLevel="1" x14ac:dyDescent="0.25">
      <c r="A876" s="25" t="s">
        <v>134</v>
      </c>
      <c r="B876" s="25">
        <v>403</v>
      </c>
      <c r="C876" s="25" t="str">
        <f t="shared" si="904"/>
        <v>Catégorie 37</v>
      </c>
      <c r="D876" s="25" t="s">
        <v>147</v>
      </c>
      <c r="F876" s="25" t="str">
        <f t="shared" ref="F876" si="927">_xlfn.CONCAT("FretFluv",LEFT(C876,3),IF(INT(B876/11)&lt;8,RIGHT(C876,1),RIGHT(C876,2)),"EmportMoy")</f>
        <v>FretFluvCat37EmportMoy</v>
      </c>
      <c r="G876" s="25" t="s">
        <v>17</v>
      </c>
      <c r="H876" s="25">
        <f>IF($I$15="Oui",1,0)*IF(ISNUMBER(SEARCH("La masse moyenne transportée pour un trajet",I873)),1,0)</f>
        <v>0</v>
      </c>
      <c r="I876" s="28"/>
      <c r="J876" s="27"/>
      <c r="K876" s="25" t="s">
        <v>148</v>
      </c>
      <c r="L876" s="28"/>
    </row>
    <row r="877" spans="1:12" s="25" customFormat="1" outlineLevel="1" x14ac:dyDescent="0.25">
      <c r="A877" s="25" t="s">
        <v>134</v>
      </c>
      <c r="B877" s="25">
        <v>404</v>
      </c>
      <c r="C877" s="25" t="str">
        <f t="shared" si="904"/>
        <v>Catégorie 37</v>
      </c>
      <c r="D877" s="25" t="s">
        <v>149</v>
      </c>
      <c r="F877" s="25" t="str">
        <f t="shared" ref="F877" si="928">_xlfn.CONCAT("FretFluv",LEFT(C877,3),IF(INT(B877/11)&lt;8,RIGHT(C877,1),RIGHT(C877,2)),"DistAn")</f>
        <v>FretFluvCat37DistAn</v>
      </c>
      <c r="G877" s="25" t="s">
        <v>17</v>
      </c>
      <c r="H877" s="25">
        <f>IF($I$15="Oui",1,0)*IF(ISNUMBER(SEARCH("La distance parcourue annuellement pour ce type de barge",I873)),1,0)</f>
        <v>0</v>
      </c>
      <c r="I877" s="28"/>
      <c r="J877" s="27"/>
      <c r="K877" s="25" t="s">
        <v>88</v>
      </c>
    </row>
    <row r="878" spans="1:12" s="25" customFormat="1" outlineLevel="1" x14ac:dyDescent="0.25">
      <c r="A878" s="25" t="s">
        <v>134</v>
      </c>
      <c r="B878" s="25">
        <v>405</v>
      </c>
      <c r="C878" s="25" t="str">
        <f t="shared" si="904"/>
        <v>Catégorie 37</v>
      </c>
      <c r="D878" s="25" t="s">
        <v>150</v>
      </c>
      <c r="F878" s="25" t="str">
        <f t="shared" ref="F878" si="929">_xlfn.CONCAT("FretFluv",LEFT(C878,3),IF(INT(B878/11)&lt;8,RIGHT(C878,1),RIGHT(C878,2)),"TauxChargeMoy")</f>
        <v>FretFluvCat37TauxChargeMoy</v>
      </c>
      <c r="G878" s="25" t="s">
        <v>17</v>
      </c>
      <c r="H878" s="25">
        <f>IF($I$15="Oui",1,0)*IF(ISNUMBER(SEARCH("Le taux de chargement moyen",I873)),1,0)</f>
        <v>0</v>
      </c>
      <c r="I878" s="28"/>
      <c r="J878" s="27"/>
      <c r="K878" s="25" t="s">
        <v>70</v>
      </c>
    </row>
    <row r="879" spans="1:12" s="25" customFormat="1" outlineLevel="1" x14ac:dyDescent="0.25">
      <c r="A879" s="25" t="s">
        <v>134</v>
      </c>
      <c r="B879" s="25">
        <v>406</v>
      </c>
      <c r="C879" s="25" t="str">
        <f t="shared" si="904"/>
        <v>Catégorie 37</v>
      </c>
      <c r="D879" s="26" t="s">
        <v>526</v>
      </c>
      <c r="F879" s="25" t="str">
        <f t="shared" ref="F879" si="930">_xlfn.CONCAT("FretFluv",LEFT(C879,3),IF(INT(B879/11)&lt;8,RIGHT(C879,1),RIGHT(C879,2)),"NbBarges")</f>
        <v>FretFluvCat37NbBarges</v>
      </c>
      <c r="G879" s="25" t="s">
        <v>17</v>
      </c>
      <c r="H879" s="25">
        <f>IF($I$15="Oui",1,0)</f>
        <v>1</v>
      </c>
      <c r="I879" s="28"/>
      <c r="J879" s="27"/>
      <c r="K879" s="25" t="s">
        <v>151</v>
      </c>
    </row>
    <row r="880" spans="1:12" s="25" customFormat="1" outlineLevel="1" x14ac:dyDescent="0.25">
      <c r="A880" s="25" t="s">
        <v>134</v>
      </c>
      <c r="B880" s="25">
        <v>407</v>
      </c>
      <c r="C880" s="25" t="str">
        <f t="shared" si="904"/>
        <v>Catégorie 38</v>
      </c>
      <c r="D880" s="25" t="s">
        <v>135</v>
      </c>
      <c r="F880" s="25" t="str">
        <f t="shared" ref="F880" si="931">_xlfn.CONCAT("FretFluv",LEFT(C880,3),IF(INT(B880/11)&lt;8,RIGHT(C880,1),RIGHT(C880,2)),"Nom")</f>
        <v>FretFluvCat38Nom</v>
      </c>
      <c r="G880" s="26" t="s">
        <v>20</v>
      </c>
      <c r="H880" s="25">
        <f>IF($I$15="Oui",1,0)</f>
        <v>1</v>
      </c>
      <c r="I880" s="28"/>
      <c r="J880" s="27" t="str">
        <f>VLOOKUP(C880,'Parcs types'!$B$65:$AA$120,2,FALSE)</f>
        <v>Automoteurs &gt;3000 tonnes Phase V, diesel</v>
      </c>
      <c r="L880" s="25" t="str">
        <f>J880</f>
        <v>Automoteurs &gt;3000 tonnes Phase V, diesel</v>
      </c>
    </row>
    <row r="881" spans="1:12" s="25" customFormat="1" outlineLevel="1" x14ac:dyDescent="0.25">
      <c r="A881" s="25" t="s">
        <v>134</v>
      </c>
      <c r="B881" s="25">
        <v>408</v>
      </c>
      <c r="C881" s="25" t="str">
        <f t="shared" si="904"/>
        <v>Catégorie 38</v>
      </c>
      <c r="D881" s="25" t="s">
        <v>136</v>
      </c>
      <c r="F881" s="25" t="str">
        <f t="shared" ref="F881" si="932">_xlfn.CONCAT("FretFluv",LEFT(C881,3),IF(INT(B881/11)&lt;8,RIGHT(C881,1),RIGHT(C881,2)),"Type")</f>
        <v>FretFluvCat38Type</v>
      </c>
      <c r="G881" s="25" t="s">
        <v>20</v>
      </c>
      <c r="H881" s="25">
        <f t="shared" ref="H881:H883" si="933">IF($I$15="Oui",1,0)</f>
        <v>1</v>
      </c>
      <c r="I881" s="28"/>
      <c r="J881" s="27" t="str">
        <f>VLOOKUP(C881,'Parcs types'!$B$65:$AA$120,3,FALSE)</f>
        <v>Automoteurs</v>
      </c>
      <c r="L881" s="25" t="str">
        <f t="shared" ref="L881:L883" si="934">J881</f>
        <v>Automoteurs</v>
      </c>
    </row>
    <row r="882" spans="1:12" s="25" customFormat="1" outlineLevel="1" x14ac:dyDescent="0.25">
      <c r="A882" s="25" t="s">
        <v>134</v>
      </c>
      <c r="B882" s="25">
        <v>409</v>
      </c>
      <c r="C882" s="25" t="str">
        <f t="shared" si="904"/>
        <v>Catégorie 38</v>
      </c>
      <c r="D882" s="26" t="s">
        <v>137</v>
      </c>
      <c r="F882" s="25" t="str">
        <f t="shared" ref="F882" si="935">_xlfn.CONCAT("FretFluv",LEFT(C882,3),IF(INT(B882/11)&lt;8,RIGHT(C882,1),RIGHT(C882,2)),"Cap")</f>
        <v>FretFluvCat38Cap</v>
      </c>
      <c r="G882" s="26" t="s">
        <v>36</v>
      </c>
      <c r="H882" s="25">
        <f t="shared" si="933"/>
        <v>1</v>
      </c>
      <c r="I882" s="28"/>
      <c r="J882" s="27" t="str">
        <f>VLOOKUP(C882,'Parcs types'!$B$65:$AA$120,4,FALSE)</f>
        <v>&gt;3000 tonnes</v>
      </c>
      <c r="K882" s="25" t="s">
        <v>524</v>
      </c>
      <c r="L882" s="25" t="str">
        <f t="shared" si="934"/>
        <v>&gt;3000 tonnes</v>
      </c>
    </row>
    <row r="883" spans="1:12" s="25" customFormat="1" outlineLevel="1" x14ac:dyDescent="0.25">
      <c r="A883" s="25" t="s">
        <v>134</v>
      </c>
      <c r="B883" s="25">
        <v>410</v>
      </c>
      <c r="C883" s="25" t="str">
        <f t="shared" si="904"/>
        <v>Catégorie 38</v>
      </c>
      <c r="D883" s="26" t="s">
        <v>525</v>
      </c>
      <c r="F883" s="25" t="str">
        <f t="shared" ref="F883" si="936">_xlfn.CONCAT("FretFluv",LEFT(C883,3),IF(INT(B883/11)&lt;8,RIGHT(C883,1),RIGHT(C883,2)),"Tech")</f>
        <v>FretFluvCat38Tech</v>
      </c>
      <c r="G883" s="26" t="s">
        <v>20</v>
      </c>
      <c r="H883" s="25">
        <f t="shared" si="933"/>
        <v>1</v>
      </c>
      <c r="I883" s="28"/>
      <c r="J883" s="27" t="str">
        <f>VLOOKUP(C883,'Parcs types'!$B$65:$AA$120,5,FALSE)</f>
        <v>Phase V, diesel</v>
      </c>
      <c r="L883" s="25" t="str">
        <f t="shared" si="934"/>
        <v>Phase V, diesel</v>
      </c>
    </row>
    <row r="884" spans="1:12" s="25" customFormat="1" outlineLevel="1" x14ac:dyDescent="0.25">
      <c r="A884" s="25" t="s">
        <v>134</v>
      </c>
      <c r="B884" s="25">
        <v>411</v>
      </c>
      <c r="C884" s="25" t="str">
        <f t="shared" si="904"/>
        <v>Catégorie 38</v>
      </c>
      <c r="D884" s="25" t="s">
        <v>140</v>
      </c>
      <c r="F884" s="25" t="str">
        <f t="shared" ref="F884" si="937">_xlfn.CONCAT("FretFluv",LEFT(C884,3),IF(INT(B884/11)&lt;8,RIGHT(C884,1),RIGHT(C884,2)),"Request")</f>
        <v>FretFluvCat38Request</v>
      </c>
      <c r="G884" s="26" t="s">
        <v>20</v>
      </c>
      <c r="H884" s="25">
        <f>IF($I$15="Oui",1,0)</f>
        <v>1</v>
      </c>
      <c r="J884" s="27" t="s">
        <v>142</v>
      </c>
      <c r="L884" s="28"/>
    </row>
    <row r="885" spans="1:12" s="25" customFormat="1" outlineLevel="1" x14ac:dyDescent="0.25">
      <c r="A885" s="25" t="s">
        <v>134</v>
      </c>
      <c r="B885" s="25">
        <v>412</v>
      </c>
      <c r="C885" s="25" t="str">
        <f t="shared" si="904"/>
        <v>Catégorie 38</v>
      </c>
      <c r="D885" s="25" t="s">
        <v>144</v>
      </c>
      <c r="F885" s="25" t="str">
        <f t="shared" ref="F885" si="938">_xlfn.CONCAT("FretFluv",LEFT(C885,3),IF(INT(B885/11)&lt;8,RIGHT(C885,1),RIGHT(C885,2)),"NbTraj")</f>
        <v>FretFluvCat38NbTraj</v>
      </c>
      <c r="G885" s="25" t="s">
        <v>17</v>
      </c>
      <c r="H885" s="25">
        <f>IF($I$15="Oui",1,0)*IF(ISNUMBER(SEARCH("Une estimation du nombre annuel de trajets pour ce type de barge",I884)),1,0)</f>
        <v>0</v>
      </c>
      <c r="I885" s="28"/>
      <c r="J885" s="27"/>
      <c r="K885" s="25" t="s">
        <v>145</v>
      </c>
      <c r="L885" s="28"/>
    </row>
    <row r="886" spans="1:12" s="25" customFormat="1" outlineLevel="1" x14ac:dyDescent="0.25">
      <c r="A886" s="25" t="s">
        <v>134</v>
      </c>
      <c r="B886" s="25">
        <v>413</v>
      </c>
      <c r="C886" s="25" t="str">
        <f t="shared" si="904"/>
        <v>Catégorie 38</v>
      </c>
      <c r="D886" s="25" t="s">
        <v>146</v>
      </c>
      <c r="F886" s="25" t="str">
        <f t="shared" ref="F886" si="939">_xlfn.CONCAT("FretFluv",LEFT(C886,3),IF(INT(B886/11)&lt;8,RIGHT(C886,1),RIGHT(C886,2)),"DistMoy")</f>
        <v>FretFluvCat38DistMoy</v>
      </c>
      <c r="G886" s="25" t="s">
        <v>17</v>
      </c>
      <c r="H886" s="25">
        <f>IF($I$15="Oui",1,0)*IF(ISNUMBER(SEARCH("La distance moyenne d'un trajet",I884)),1,0)</f>
        <v>0</v>
      </c>
      <c r="I886" s="28"/>
      <c r="J886" s="27"/>
      <c r="K886" s="25" t="s">
        <v>88</v>
      </c>
      <c r="L886" s="28"/>
    </row>
    <row r="887" spans="1:12" s="25" customFormat="1" outlineLevel="1" x14ac:dyDescent="0.25">
      <c r="A887" s="25" t="s">
        <v>134</v>
      </c>
      <c r="B887" s="25">
        <v>414</v>
      </c>
      <c r="C887" s="25" t="str">
        <f t="shared" si="904"/>
        <v>Catégorie 38</v>
      </c>
      <c r="D887" s="25" t="s">
        <v>147</v>
      </c>
      <c r="F887" s="25" t="str">
        <f t="shared" ref="F887" si="940">_xlfn.CONCAT("FretFluv",LEFT(C887,3),IF(INT(B887/11)&lt;8,RIGHT(C887,1),RIGHT(C887,2)),"EmportMoy")</f>
        <v>FretFluvCat38EmportMoy</v>
      </c>
      <c r="G887" s="25" t="s">
        <v>17</v>
      </c>
      <c r="H887" s="25">
        <f>IF($I$15="Oui",1,0)*IF(ISNUMBER(SEARCH("La masse moyenne transportée pour un trajet",I884)),1,0)</f>
        <v>0</v>
      </c>
      <c r="I887" s="28"/>
      <c r="J887" s="27"/>
      <c r="K887" s="25" t="s">
        <v>148</v>
      </c>
      <c r="L887" s="28"/>
    </row>
    <row r="888" spans="1:12" s="25" customFormat="1" outlineLevel="1" x14ac:dyDescent="0.25">
      <c r="A888" s="25" t="s">
        <v>134</v>
      </c>
      <c r="B888" s="25">
        <v>415</v>
      </c>
      <c r="C888" s="25" t="str">
        <f t="shared" si="904"/>
        <v>Catégorie 38</v>
      </c>
      <c r="D888" s="25" t="s">
        <v>149</v>
      </c>
      <c r="F888" s="25" t="str">
        <f t="shared" ref="F888" si="941">_xlfn.CONCAT("FretFluv",LEFT(C888,3),IF(INT(B888/11)&lt;8,RIGHT(C888,1),RIGHT(C888,2)),"DistAn")</f>
        <v>FretFluvCat38DistAn</v>
      </c>
      <c r="G888" s="25" t="s">
        <v>17</v>
      </c>
      <c r="H888" s="25">
        <f>IF($I$15="Oui",1,0)*IF(ISNUMBER(SEARCH("La distance parcourue annuellement pour ce type de barge",I884)),1,0)</f>
        <v>0</v>
      </c>
      <c r="I888" s="28"/>
      <c r="J888" s="27"/>
      <c r="K888" s="25" t="s">
        <v>88</v>
      </c>
      <c r="L888" s="28"/>
    </row>
    <row r="889" spans="1:12" s="25" customFormat="1" outlineLevel="1" x14ac:dyDescent="0.25">
      <c r="A889" s="25" t="s">
        <v>134</v>
      </c>
      <c r="B889" s="25">
        <v>416</v>
      </c>
      <c r="C889" s="25" t="str">
        <f t="shared" si="904"/>
        <v>Catégorie 38</v>
      </c>
      <c r="D889" s="25" t="s">
        <v>150</v>
      </c>
      <c r="F889" s="25" t="str">
        <f t="shared" ref="F889" si="942">_xlfn.CONCAT("FretFluv",LEFT(C889,3),IF(INT(B889/11)&lt;8,RIGHT(C889,1),RIGHT(C889,2)),"TauxChargeMoy")</f>
        <v>FretFluvCat38TauxChargeMoy</v>
      </c>
      <c r="G889" s="25" t="s">
        <v>17</v>
      </c>
      <c r="H889" s="25">
        <f>IF($I$15="Oui",1,0)*IF(ISNUMBER(SEARCH("Le taux de chargement moyen",I884)),1,0)</f>
        <v>0</v>
      </c>
      <c r="I889" s="28"/>
      <c r="J889" s="27"/>
      <c r="K889" s="25" t="s">
        <v>70</v>
      </c>
      <c r="L889" s="28"/>
    </row>
    <row r="890" spans="1:12" s="25" customFormat="1" outlineLevel="1" x14ac:dyDescent="0.25">
      <c r="A890" s="25" t="s">
        <v>134</v>
      </c>
      <c r="B890" s="25">
        <v>417</v>
      </c>
      <c r="C890" s="25" t="str">
        <f t="shared" si="904"/>
        <v>Catégorie 38</v>
      </c>
      <c r="D890" s="26" t="s">
        <v>526</v>
      </c>
      <c r="F890" s="25" t="str">
        <f t="shared" ref="F890" si="943">_xlfn.CONCAT("FretFluv",LEFT(C890,3),IF(INT(B890/11)&lt;8,RIGHT(C890,1),RIGHT(C890,2)),"NbBarges")</f>
        <v>FretFluvCat38NbBarges</v>
      </c>
      <c r="G890" s="25" t="s">
        <v>17</v>
      </c>
      <c r="H890" s="25">
        <f>IF($I$15="Oui",1,0)</f>
        <v>1</v>
      </c>
      <c r="I890" s="28"/>
      <c r="J890" s="27"/>
      <c r="K890" s="25" t="s">
        <v>151</v>
      </c>
      <c r="L890" s="28"/>
    </row>
    <row r="891" spans="1:12" s="25" customFormat="1" outlineLevel="1" x14ac:dyDescent="0.25">
      <c r="A891" s="25" t="s">
        <v>134</v>
      </c>
      <c r="B891" s="25">
        <v>418</v>
      </c>
      <c r="C891" s="25" t="str">
        <f t="shared" si="904"/>
        <v>Catégorie 39</v>
      </c>
      <c r="D891" s="25" t="s">
        <v>135</v>
      </c>
      <c r="F891" s="25" t="str">
        <f t="shared" ref="F891" si="944">_xlfn.CONCAT("FretFluv",LEFT(C891,3),IF(INT(B891/11)&lt;8,RIGHT(C891,1),RIGHT(C891,2)),"Nom")</f>
        <v>FretFluvCat39Nom</v>
      </c>
      <c r="G891" s="26" t="s">
        <v>20</v>
      </c>
      <c r="H891" s="25">
        <f>IF($I$15="Oui",1,0)</f>
        <v>1</v>
      </c>
      <c r="I891" s="28"/>
      <c r="J891" s="27" t="str">
        <f>VLOOKUP(C891,'Parcs types'!$B$65:$AA$120,2,FALSE)</f>
        <v>Automoteurs &gt;3000 tonnes Phase V, HVO</v>
      </c>
      <c r="L891" s="25" t="str">
        <f>J891</f>
        <v>Automoteurs &gt;3000 tonnes Phase V, HVO</v>
      </c>
    </row>
    <row r="892" spans="1:12" s="25" customFormat="1" outlineLevel="1" x14ac:dyDescent="0.25">
      <c r="A892" s="25" t="s">
        <v>134</v>
      </c>
      <c r="B892" s="25">
        <v>419</v>
      </c>
      <c r="C892" s="25" t="str">
        <f t="shared" si="904"/>
        <v>Catégorie 39</v>
      </c>
      <c r="D892" s="25" t="s">
        <v>136</v>
      </c>
      <c r="F892" s="25" t="str">
        <f t="shared" ref="F892" si="945">_xlfn.CONCAT("FretFluv",LEFT(C892,3),IF(INT(B892/11)&lt;8,RIGHT(C892,1),RIGHT(C892,2)),"Type")</f>
        <v>FretFluvCat39Type</v>
      </c>
      <c r="G892" s="25" t="s">
        <v>20</v>
      </c>
      <c r="H892" s="25">
        <f t="shared" ref="H892:H894" si="946">IF($I$15="Oui",1,0)</f>
        <v>1</v>
      </c>
      <c r="J892" s="27" t="str">
        <f>VLOOKUP(C892,'Parcs types'!$B$65:$AA$120,3,FALSE)</f>
        <v>Automoteurs</v>
      </c>
      <c r="L892" s="25" t="str">
        <f t="shared" ref="L892:L894" si="947">J892</f>
        <v>Automoteurs</v>
      </c>
    </row>
    <row r="893" spans="1:12" s="25" customFormat="1" outlineLevel="1" x14ac:dyDescent="0.25">
      <c r="A893" s="25" t="s">
        <v>134</v>
      </c>
      <c r="B893" s="25">
        <v>420</v>
      </c>
      <c r="C893" s="25" t="str">
        <f t="shared" si="904"/>
        <v>Catégorie 39</v>
      </c>
      <c r="D893" s="26" t="s">
        <v>137</v>
      </c>
      <c r="F893" s="25" t="str">
        <f t="shared" ref="F893" si="948">_xlfn.CONCAT("FretFluv",LEFT(C893,3),IF(INT(B893/11)&lt;8,RIGHT(C893,1),RIGHT(C893,2)),"Cap")</f>
        <v>FretFluvCat39Cap</v>
      </c>
      <c r="G893" s="26" t="s">
        <v>36</v>
      </c>
      <c r="H893" s="25">
        <f t="shared" si="946"/>
        <v>1</v>
      </c>
      <c r="J893" s="27" t="str">
        <f>VLOOKUP(C893,'Parcs types'!$B$65:$AA$120,4,FALSE)</f>
        <v>&gt;3000 tonnes</v>
      </c>
      <c r="K893" s="25" t="s">
        <v>524</v>
      </c>
      <c r="L893" s="25" t="str">
        <f t="shared" si="947"/>
        <v>&gt;3000 tonnes</v>
      </c>
    </row>
    <row r="894" spans="1:12" s="25" customFormat="1" outlineLevel="1" x14ac:dyDescent="0.25">
      <c r="A894" s="25" t="s">
        <v>134</v>
      </c>
      <c r="B894" s="25">
        <v>421</v>
      </c>
      <c r="C894" s="25" t="str">
        <f t="shared" si="904"/>
        <v>Catégorie 39</v>
      </c>
      <c r="D894" s="26" t="s">
        <v>525</v>
      </c>
      <c r="F894" s="25" t="str">
        <f t="shared" ref="F894" si="949">_xlfn.CONCAT("FretFluv",LEFT(C894,3),IF(INT(B894/11)&lt;8,RIGHT(C894,1),RIGHT(C894,2)),"Tech")</f>
        <v>FretFluvCat39Tech</v>
      </c>
      <c r="G894" s="26" t="s">
        <v>20</v>
      </c>
      <c r="H894" s="25">
        <f t="shared" si="946"/>
        <v>1</v>
      </c>
      <c r="J894" s="27" t="str">
        <f>VLOOKUP(C894,'Parcs types'!$B$65:$AA$120,5,FALSE)</f>
        <v>Phase V, HVO</v>
      </c>
      <c r="L894" s="25" t="str">
        <f t="shared" si="947"/>
        <v>Phase V, HVO</v>
      </c>
    </row>
    <row r="895" spans="1:12" s="25" customFormat="1" outlineLevel="1" x14ac:dyDescent="0.25">
      <c r="A895" s="25" t="s">
        <v>134</v>
      </c>
      <c r="B895" s="25">
        <v>422</v>
      </c>
      <c r="C895" s="25" t="str">
        <f t="shared" si="904"/>
        <v>Catégorie 39</v>
      </c>
      <c r="D895" s="25" t="s">
        <v>140</v>
      </c>
      <c r="F895" s="25" t="str">
        <f t="shared" ref="F895" si="950">_xlfn.CONCAT("FretFluv",LEFT(C895,3),IF(INT(B895/11)&lt;8,RIGHT(C895,1),RIGHT(C895,2)),"Request")</f>
        <v>FretFluvCat39Request</v>
      </c>
      <c r="G895" s="26" t="s">
        <v>20</v>
      </c>
      <c r="H895" s="25">
        <f>IF($I$15="Oui",1,0)</f>
        <v>1</v>
      </c>
      <c r="J895" s="27" t="s">
        <v>142</v>
      </c>
      <c r="L895" s="28"/>
    </row>
    <row r="896" spans="1:12" s="25" customFormat="1" outlineLevel="1" x14ac:dyDescent="0.25">
      <c r="A896" s="25" t="s">
        <v>134</v>
      </c>
      <c r="B896" s="25">
        <v>423</v>
      </c>
      <c r="C896" s="25" t="str">
        <f t="shared" si="904"/>
        <v>Catégorie 39</v>
      </c>
      <c r="D896" s="25" t="s">
        <v>144</v>
      </c>
      <c r="F896" s="25" t="str">
        <f t="shared" ref="F896" si="951">_xlfn.CONCAT("FretFluv",LEFT(C896,3),IF(INT(B896/11)&lt;8,RIGHT(C896,1),RIGHT(C896,2)),"NbTraj")</f>
        <v>FretFluvCat39NbTraj</v>
      </c>
      <c r="G896" s="25" t="s">
        <v>17</v>
      </c>
      <c r="H896" s="25">
        <f>IF($I$15="Oui",1,0)*IF(ISNUMBER(SEARCH("Une estimation du nombre annuel de trajets pour ce type de barge",I895)),1,0)</f>
        <v>0</v>
      </c>
      <c r="J896" s="27"/>
      <c r="K896" s="25" t="s">
        <v>145</v>
      </c>
      <c r="L896" s="28"/>
    </row>
    <row r="897" spans="1:12" s="25" customFormat="1" outlineLevel="1" x14ac:dyDescent="0.25">
      <c r="A897" s="25" t="s">
        <v>134</v>
      </c>
      <c r="B897" s="25">
        <v>424</v>
      </c>
      <c r="C897" s="25" t="str">
        <f t="shared" si="904"/>
        <v>Catégorie 39</v>
      </c>
      <c r="D897" s="25" t="s">
        <v>146</v>
      </c>
      <c r="F897" s="25" t="str">
        <f t="shared" ref="F897" si="952">_xlfn.CONCAT("FretFluv",LEFT(C897,3),IF(INT(B897/11)&lt;8,RIGHT(C897,1),RIGHT(C897,2)),"DistMoy")</f>
        <v>FretFluvCat39DistMoy</v>
      </c>
      <c r="G897" s="25" t="s">
        <v>17</v>
      </c>
      <c r="H897" s="25">
        <f>IF($I$15="Oui",1,0)*IF(ISNUMBER(SEARCH("La distance moyenne d'un trajet",I895)),1,0)</f>
        <v>0</v>
      </c>
      <c r="J897" s="27"/>
      <c r="K897" s="25" t="s">
        <v>88</v>
      </c>
      <c r="L897" s="28"/>
    </row>
    <row r="898" spans="1:12" s="25" customFormat="1" outlineLevel="1" x14ac:dyDescent="0.25">
      <c r="A898" s="25" t="s">
        <v>134</v>
      </c>
      <c r="B898" s="25">
        <v>425</v>
      </c>
      <c r="C898" s="25" t="str">
        <f t="shared" si="904"/>
        <v>Catégorie 39</v>
      </c>
      <c r="D898" s="25" t="s">
        <v>147</v>
      </c>
      <c r="F898" s="25" t="str">
        <f t="shared" ref="F898" si="953">_xlfn.CONCAT("FretFluv",LEFT(C898,3),IF(INT(B898/11)&lt;8,RIGHT(C898,1),RIGHT(C898,2)),"EmportMoy")</f>
        <v>FretFluvCat39EmportMoy</v>
      </c>
      <c r="G898" s="25" t="s">
        <v>17</v>
      </c>
      <c r="H898" s="25">
        <f>IF($I$15="Oui",1,0)*IF(ISNUMBER(SEARCH("La masse moyenne transportée pour un trajet",I895)),1,0)</f>
        <v>0</v>
      </c>
      <c r="J898" s="27"/>
      <c r="K898" s="25" t="s">
        <v>148</v>
      </c>
      <c r="L898" s="28"/>
    </row>
    <row r="899" spans="1:12" s="25" customFormat="1" outlineLevel="1" x14ac:dyDescent="0.25">
      <c r="A899" s="25" t="s">
        <v>134</v>
      </c>
      <c r="B899" s="25">
        <v>426</v>
      </c>
      <c r="C899" s="25" t="str">
        <f t="shared" si="904"/>
        <v>Catégorie 39</v>
      </c>
      <c r="D899" s="25" t="s">
        <v>149</v>
      </c>
      <c r="F899" s="25" t="str">
        <f t="shared" ref="F899" si="954">_xlfn.CONCAT("FretFluv",LEFT(C899,3),IF(INT(B899/11)&lt;8,RIGHT(C899,1),RIGHT(C899,2)),"DistAn")</f>
        <v>FretFluvCat39DistAn</v>
      </c>
      <c r="G899" s="25" t="s">
        <v>17</v>
      </c>
      <c r="H899" s="25">
        <f>IF($I$15="Oui",1,0)*IF(ISNUMBER(SEARCH("La distance parcourue annuellement pour ce type de barge",I895)),1,0)</f>
        <v>0</v>
      </c>
      <c r="J899" s="27"/>
      <c r="K899" s="25" t="s">
        <v>88</v>
      </c>
    </row>
    <row r="900" spans="1:12" s="25" customFormat="1" outlineLevel="1" x14ac:dyDescent="0.25">
      <c r="A900" s="25" t="s">
        <v>134</v>
      </c>
      <c r="B900" s="25">
        <v>427</v>
      </c>
      <c r="C900" s="25" t="str">
        <f t="shared" si="904"/>
        <v>Catégorie 39</v>
      </c>
      <c r="D900" s="25" t="s">
        <v>150</v>
      </c>
      <c r="F900" s="25" t="str">
        <f t="shared" ref="F900" si="955">_xlfn.CONCAT("FretFluv",LEFT(C900,3),IF(INT(B900/11)&lt;8,RIGHT(C900,1),RIGHT(C900,2)),"TauxChargeMoy")</f>
        <v>FretFluvCat39TauxChargeMoy</v>
      </c>
      <c r="G900" s="25" t="s">
        <v>17</v>
      </c>
      <c r="H900" s="25">
        <f>IF($I$15="Oui",1,0)*IF(ISNUMBER(SEARCH("Le taux de chargement moyen",I895)),1,0)</f>
        <v>0</v>
      </c>
      <c r="J900" s="27"/>
      <c r="K900" s="25" t="s">
        <v>70</v>
      </c>
    </row>
    <row r="901" spans="1:12" s="25" customFormat="1" outlineLevel="1" x14ac:dyDescent="0.25">
      <c r="A901" s="25" t="s">
        <v>134</v>
      </c>
      <c r="B901" s="25">
        <v>428</v>
      </c>
      <c r="C901" s="25" t="str">
        <f t="shared" si="904"/>
        <v>Catégorie 39</v>
      </c>
      <c r="D901" s="26" t="s">
        <v>526</v>
      </c>
      <c r="F901" s="25" t="str">
        <f t="shared" ref="F901" si="956">_xlfn.CONCAT("FretFluv",LEFT(C901,3),IF(INT(B901/11)&lt;8,RIGHT(C901,1),RIGHT(C901,2)),"NbBarges")</f>
        <v>FretFluvCat39NbBarges</v>
      </c>
      <c r="G901" s="25" t="s">
        <v>17</v>
      </c>
      <c r="H901" s="25">
        <f>IF($I$15="Oui",1,0)</f>
        <v>1</v>
      </c>
      <c r="I901" s="29"/>
      <c r="J901" s="27"/>
      <c r="K901" s="25" t="s">
        <v>151</v>
      </c>
    </row>
    <row r="902" spans="1:12" s="25" customFormat="1" outlineLevel="1" x14ac:dyDescent="0.25">
      <c r="A902" s="25" t="s">
        <v>134</v>
      </c>
      <c r="B902" s="25">
        <v>429</v>
      </c>
      <c r="C902" s="25" t="str">
        <f t="shared" si="904"/>
        <v>Catégorie 40</v>
      </c>
      <c r="D902" s="25" t="s">
        <v>135</v>
      </c>
      <c r="F902" s="25" t="str">
        <f t="shared" ref="F902" si="957">_xlfn.CONCAT("FretFluv",LEFT(C902,3),IF(INT(B902/11)&lt;8,RIGHT(C902,1),RIGHT(C902,2)),"Nom")</f>
        <v>FretFluvCat40Nom</v>
      </c>
      <c r="G902" s="26" t="s">
        <v>20</v>
      </c>
      <c r="H902" s="25">
        <f>IF($I$15="Oui",1,0)</f>
        <v>1</v>
      </c>
      <c r="I902" s="28"/>
      <c r="J902" s="27" t="str">
        <f>VLOOKUP(C902,'Parcs types'!$B$65:$AA$120,2,FALSE)</f>
        <v>Automoteurs &gt;3000 tonnes Batterie</v>
      </c>
      <c r="L902" s="25" t="str">
        <f>J902</f>
        <v>Automoteurs &gt;3000 tonnes Batterie</v>
      </c>
    </row>
    <row r="903" spans="1:12" s="25" customFormat="1" outlineLevel="1" x14ac:dyDescent="0.25">
      <c r="A903" s="25" t="s">
        <v>134</v>
      </c>
      <c r="B903" s="25">
        <v>430</v>
      </c>
      <c r="C903" s="25" t="str">
        <f t="shared" si="904"/>
        <v>Catégorie 40</v>
      </c>
      <c r="D903" s="25" t="s">
        <v>136</v>
      </c>
      <c r="F903" s="25" t="str">
        <f t="shared" ref="F903" si="958">_xlfn.CONCAT("FretFluv",LEFT(C903,3),IF(INT(B903/11)&lt;8,RIGHT(C903,1),RIGHT(C903,2)),"Type")</f>
        <v>FretFluvCat40Type</v>
      </c>
      <c r="G903" s="25" t="s">
        <v>20</v>
      </c>
      <c r="H903" s="25">
        <f t="shared" ref="H903:H905" si="959">IF($I$15="Oui",1,0)</f>
        <v>1</v>
      </c>
      <c r="J903" s="27" t="str">
        <f>VLOOKUP(C903,'Parcs types'!$B$65:$AA$120,3,FALSE)</f>
        <v>Automoteurs</v>
      </c>
      <c r="L903" s="25" t="str">
        <f t="shared" ref="L903:L905" si="960">J903</f>
        <v>Automoteurs</v>
      </c>
    </row>
    <row r="904" spans="1:12" s="25" customFormat="1" outlineLevel="1" x14ac:dyDescent="0.25">
      <c r="A904" s="25" t="s">
        <v>134</v>
      </c>
      <c r="B904" s="25">
        <v>431</v>
      </c>
      <c r="C904" s="25" t="str">
        <f t="shared" si="904"/>
        <v>Catégorie 40</v>
      </c>
      <c r="D904" s="26" t="s">
        <v>137</v>
      </c>
      <c r="F904" s="25" t="str">
        <f t="shared" ref="F904" si="961">_xlfn.CONCAT("FretFluv",LEFT(C904,3),IF(INT(B904/11)&lt;8,RIGHT(C904,1),RIGHT(C904,2)),"Cap")</f>
        <v>FretFluvCat40Cap</v>
      </c>
      <c r="G904" s="26" t="s">
        <v>36</v>
      </c>
      <c r="H904" s="25">
        <f t="shared" si="959"/>
        <v>1</v>
      </c>
      <c r="J904" s="27" t="str">
        <f>VLOOKUP(C904,'Parcs types'!$B$65:$AA$120,4,FALSE)</f>
        <v>&gt;3000 tonnes</v>
      </c>
      <c r="K904" s="25" t="s">
        <v>524</v>
      </c>
      <c r="L904" s="25" t="str">
        <f t="shared" si="960"/>
        <v>&gt;3000 tonnes</v>
      </c>
    </row>
    <row r="905" spans="1:12" s="25" customFormat="1" outlineLevel="1" x14ac:dyDescent="0.25">
      <c r="A905" s="25" t="s">
        <v>134</v>
      </c>
      <c r="B905" s="25">
        <v>432</v>
      </c>
      <c r="C905" s="25" t="str">
        <f t="shared" si="904"/>
        <v>Catégorie 40</v>
      </c>
      <c r="D905" s="26" t="s">
        <v>525</v>
      </c>
      <c r="F905" s="25" t="str">
        <f t="shared" ref="F905" si="962">_xlfn.CONCAT("FretFluv",LEFT(C905,3),IF(INT(B905/11)&lt;8,RIGHT(C905,1),RIGHT(C905,2)),"Tech")</f>
        <v>FretFluvCat40Tech</v>
      </c>
      <c r="G905" s="26" t="s">
        <v>20</v>
      </c>
      <c r="H905" s="25">
        <f t="shared" si="959"/>
        <v>1</v>
      </c>
      <c r="J905" s="27" t="str">
        <f>VLOOKUP(C905,'Parcs types'!$B$65:$AA$120,5,FALSE)</f>
        <v>Batterie</v>
      </c>
      <c r="L905" s="25" t="str">
        <f t="shared" si="960"/>
        <v>Batterie</v>
      </c>
    </row>
    <row r="906" spans="1:12" s="25" customFormat="1" outlineLevel="1" x14ac:dyDescent="0.25">
      <c r="A906" s="25" t="s">
        <v>134</v>
      </c>
      <c r="B906" s="25">
        <v>433</v>
      </c>
      <c r="C906" s="25" t="str">
        <f t="shared" si="904"/>
        <v>Catégorie 40</v>
      </c>
      <c r="D906" s="25" t="s">
        <v>140</v>
      </c>
      <c r="F906" s="25" t="str">
        <f t="shared" ref="F906" si="963">_xlfn.CONCAT("FretFluv",LEFT(C906,3),IF(INT(B906/11)&lt;8,RIGHT(C906,1),RIGHT(C906,2)),"Request")</f>
        <v>FretFluvCat40Request</v>
      </c>
      <c r="G906" s="26" t="s">
        <v>20</v>
      </c>
      <c r="H906" s="25">
        <f>IF($I$15="Oui",1,0)</f>
        <v>1</v>
      </c>
      <c r="J906" s="27" t="s">
        <v>142</v>
      </c>
    </row>
    <row r="907" spans="1:12" s="25" customFormat="1" outlineLevel="1" x14ac:dyDescent="0.25">
      <c r="A907" s="25" t="s">
        <v>134</v>
      </c>
      <c r="B907" s="25">
        <v>434</v>
      </c>
      <c r="C907" s="25" t="str">
        <f t="shared" si="904"/>
        <v>Catégorie 40</v>
      </c>
      <c r="D907" s="25" t="s">
        <v>144</v>
      </c>
      <c r="F907" s="25" t="str">
        <f t="shared" ref="F907" si="964">_xlfn.CONCAT("FretFluv",LEFT(C907,3),IF(INT(B907/11)&lt;8,RIGHT(C907,1),RIGHT(C907,2)),"NbTraj")</f>
        <v>FretFluvCat40NbTraj</v>
      </c>
      <c r="G907" s="25" t="s">
        <v>17</v>
      </c>
      <c r="H907" s="25">
        <f>IF($I$15="Oui",1,0)*IF(ISNUMBER(SEARCH("Une estimation du nombre annuel de trajets pour ce type de barge",I906)),1,0)</f>
        <v>0</v>
      </c>
      <c r="J907" s="27"/>
      <c r="K907" s="25" t="s">
        <v>145</v>
      </c>
    </row>
    <row r="908" spans="1:12" s="25" customFormat="1" outlineLevel="1" x14ac:dyDescent="0.25">
      <c r="A908" s="25" t="s">
        <v>134</v>
      </c>
      <c r="B908" s="25">
        <v>435</v>
      </c>
      <c r="C908" s="25" t="str">
        <f t="shared" si="904"/>
        <v>Catégorie 40</v>
      </c>
      <c r="D908" s="25" t="s">
        <v>146</v>
      </c>
      <c r="F908" s="25" t="str">
        <f t="shared" ref="F908" si="965">_xlfn.CONCAT("FretFluv",LEFT(C908,3),IF(INT(B908/11)&lt;8,RIGHT(C908,1),RIGHT(C908,2)),"DistMoy")</f>
        <v>FretFluvCat40DistMoy</v>
      </c>
      <c r="G908" s="25" t="s">
        <v>17</v>
      </c>
      <c r="H908" s="25">
        <f>IF($I$15="Oui",1,0)*IF(ISNUMBER(SEARCH("La distance moyenne d'un trajet",I906)),1,0)</f>
        <v>0</v>
      </c>
      <c r="J908" s="27"/>
      <c r="K908" s="25" t="s">
        <v>88</v>
      </c>
    </row>
    <row r="909" spans="1:12" s="25" customFormat="1" outlineLevel="1" x14ac:dyDescent="0.25">
      <c r="A909" s="25" t="s">
        <v>134</v>
      </c>
      <c r="B909" s="25">
        <v>436</v>
      </c>
      <c r="C909" s="25" t="str">
        <f t="shared" si="904"/>
        <v>Catégorie 40</v>
      </c>
      <c r="D909" s="25" t="s">
        <v>147</v>
      </c>
      <c r="F909" s="25" t="str">
        <f t="shared" ref="F909" si="966">_xlfn.CONCAT("FretFluv",LEFT(C909,3),IF(INT(B909/11)&lt;8,RIGHT(C909,1),RIGHT(C909,2)),"EmportMoy")</f>
        <v>FretFluvCat40EmportMoy</v>
      </c>
      <c r="G909" s="25" t="s">
        <v>17</v>
      </c>
      <c r="H909" s="25">
        <f>IF($I$15="Oui",1,0)*IF(ISNUMBER(SEARCH("La masse moyenne transportée pour un trajet",I906)),1,0)</f>
        <v>0</v>
      </c>
      <c r="J909" s="27"/>
      <c r="K909" s="25" t="s">
        <v>148</v>
      </c>
    </row>
    <row r="910" spans="1:12" s="25" customFormat="1" outlineLevel="1" x14ac:dyDescent="0.25">
      <c r="A910" s="25" t="s">
        <v>134</v>
      </c>
      <c r="B910" s="25">
        <v>437</v>
      </c>
      <c r="C910" s="25" t="str">
        <f t="shared" si="904"/>
        <v>Catégorie 40</v>
      </c>
      <c r="D910" s="25" t="s">
        <v>149</v>
      </c>
      <c r="F910" s="25" t="str">
        <f t="shared" ref="F910" si="967">_xlfn.CONCAT("FretFluv",LEFT(C910,3),IF(INT(B910/11)&lt;8,RIGHT(C910,1),RIGHT(C910,2)),"DistAn")</f>
        <v>FretFluvCat40DistAn</v>
      </c>
      <c r="G910" s="25" t="s">
        <v>17</v>
      </c>
      <c r="H910" s="25">
        <f>IF($I$15="Oui",1,0)*IF(ISNUMBER(SEARCH("La distance parcourue annuellement pour ce type de barge",I906)),1,0)</f>
        <v>0</v>
      </c>
      <c r="J910" s="27"/>
      <c r="K910" s="25" t="s">
        <v>88</v>
      </c>
    </row>
    <row r="911" spans="1:12" s="25" customFormat="1" outlineLevel="1" x14ac:dyDescent="0.25">
      <c r="A911" s="25" t="s">
        <v>134</v>
      </c>
      <c r="B911" s="25">
        <v>438</v>
      </c>
      <c r="C911" s="25" t="str">
        <f t="shared" si="904"/>
        <v>Catégorie 40</v>
      </c>
      <c r="D911" s="25" t="s">
        <v>150</v>
      </c>
      <c r="F911" s="25" t="str">
        <f t="shared" ref="F911" si="968">_xlfn.CONCAT("FretFluv",LEFT(C911,3),IF(INT(B911/11)&lt;8,RIGHT(C911,1),RIGHT(C911,2)),"TauxChargeMoy")</f>
        <v>FretFluvCat40TauxChargeMoy</v>
      </c>
      <c r="G911" s="25" t="s">
        <v>17</v>
      </c>
      <c r="H911" s="25">
        <f>IF($I$15="Oui",1,0)*IF(ISNUMBER(SEARCH("Le taux de chargement moyen",I906)),1,0)</f>
        <v>0</v>
      </c>
      <c r="J911" s="27"/>
      <c r="K911" s="25" t="s">
        <v>70</v>
      </c>
      <c r="L911" s="28"/>
    </row>
    <row r="912" spans="1:12" s="25" customFormat="1" outlineLevel="1" x14ac:dyDescent="0.25">
      <c r="A912" s="25" t="s">
        <v>134</v>
      </c>
      <c r="B912" s="25">
        <v>439</v>
      </c>
      <c r="C912" s="25" t="str">
        <f t="shared" si="904"/>
        <v>Catégorie 40</v>
      </c>
      <c r="D912" s="26" t="s">
        <v>526</v>
      </c>
      <c r="F912" s="25" t="str">
        <f t="shared" ref="F912" si="969">_xlfn.CONCAT("FretFluv",LEFT(C912,3),IF(INT(B912/11)&lt;8,RIGHT(C912,1),RIGHT(C912,2)),"NbBarges")</f>
        <v>FretFluvCat40NbBarges</v>
      </c>
      <c r="G912" s="25" t="s">
        <v>17</v>
      </c>
      <c r="H912" s="25">
        <f>IF($I$15="Oui",1,0)</f>
        <v>1</v>
      </c>
      <c r="I912" s="29"/>
      <c r="J912" s="27"/>
      <c r="K912" s="25" t="s">
        <v>151</v>
      </c>
      <c r="L912" s="30"/>
    </row>
    <row r="913" spans="1:12" s="25" customFormat="1" outlineLevel="1" x14ac:dyDescent="0.25">
      <c r="A913" s="25" t="s">
        <v>134</v>
      </c>
      <c r="B913" s="25">
        <v>440</v>
      </c>
      <c r="C913" s="25" t="str">
        <f t="shared" si="904"/>
        <v>Catégorie 41</v>
      </c>
      <c r="D913" s="25" t="s">
        <v>135</v>
      </c>
      <c r="F913" s="25" t="str">
        <f t="shared" ref="F913" si="970">_xlfn.CONCAT("FretFluv",LEFT(C913,3),IF(INT(B913/11)&lt;8,RIGHT(C913,1),RIGHT(C913,2)),"Nom")</f>
        <v>FretFluvCat41Nom</v>
      </c>
      <c r="G913" s="26" t="s">
        <v>20</v>
      </c>
      <c r="H913" s="25">
        <f>IF($I$15="Oui",1,0)</f>
        <v>1</v>
      </c>
      <c r="I913" s="28"/>
      <c r="J913" s="27" t="str">
        <f>VLOOKUP(C913,'Parcs types'!$B$65:$AA$120,2,FALSE)</f>
        <v>Automoteurs &gt;3000 tonnes H2 , PAC</v>
      </c>
      <c r="L913" s="25" t="str">
        <f>J913</f>
        <v>Automoteurs &gt;3000 tonnes H2 , PAC</v>
      </c>
    </row>
    <row r="914" spans="1:12" s="25" customFormat="1" outlineLevel="1" x14ac:dyDescent="0.25">
      <c r="A914" s="25" t="s">
        <v>134</v>
      </c>
      <c r="B914" s="25">
        <v>441</v>
      </c>
      <c r="C914" s="25" t="str">
        <f t="shared" si="904"/>
        <v>Catégorie 41</v>
      </c>
      <c r="D914" s="25" t="s">
        <v>136</v>
      </c>
      <c r="F914" s="25" t="str">
        <f t="shared" ref="F914" si="971">_xlfn.CONCAT("FretFluv",LEFT(C914,3),IF(INT(B914/11)&lt;8,RIGHT(C914,1),RIGHT(C914,2)),"Type")</f>
        <v>FretFluvCat41Type</v>
      </c>
      <c r="G914" s="25" t="s">
        <v>20</v>
      </c>
      <c r="H914" s="25">
        <f t="shared" ref="H914:H916" si="972">IF($I$15="Oui",1,0)</f>
        <v>1</v>
      </c>
      <c r="J914" s="27" t="str">
        <f>VLOOKUP(C914,'Parcs types'!$B$65:$AA$120,3,FALSE)</f>
        <v>Automoteurs</v>
      </c>
      <c r="L914" s="25" t="str">
        <f t="shared" ref="L914:L916" si="973">J914</f>
        <v>Automoteurs</v>
      </c>
    </row>
    <row r="915" spans="1:12" s="25" customFormat="1" outlineLevel="1" x14ac:dyDescent="0.25">
      <c r="A915" s="25" t="s">
        <v>134</v>
      </c>
      <c r="B915" s="25">
        <v>442</v>
      </c>
      <c r="C915" s="25" t="str">
        <f t="shared" si="904"/>
        <v>Catégorie 41</v>
      </c>
      <c r="D915" s="26" t="s">
        <v>137</v>
      </c>
      <c r="F915" s="25" t="str">
        <f t="shared" ref="F915" si="974">_xlfn.CONCAT("FretFluv",LEFT(C915,3),IF(INT(B915/11)&lt;8,RIGHT(C915,1),RIGHT(C915,2)),"Cap")</f>
        <v>FretFluvCat41Cap</v>
      </c>
      <c r="G915" s="26" t="s">
        <v>36</v>
      </c>
      <c r="H915" s="25">
        <f t="shared" si="972"/>
        <v>1</v>
      </c>
      <c r="J915" s="27" t="str">
        <f>VLOOKUP(C915,'Parcs types'!$B$65:$AA$120,4,FALSE)</f>
        <v>&gt;3000 tonnes</v>
      </c>
      <c r="K915" s="25" t="s">
        <v>524</v>
      </c>
      <c r="L915" s="25" t="str">
        <f t="shared" si="973"/>
        <v>&gt;3000 tonnes</v>
      </c>
    </row>
    <row r="916" spans="1:12" s="25" customFormat="1" outlineLevel="1" x14ac:dyDescent="0.25">
      <c r="A916" s="25" t="s">
        <v>134</v>
      </c>
      <c r="B916" s="25">
        <v>443</v>
      </c>
      <c r="C916" s="25" t="str">
        <f t="shared" si="904"/>
        <v>Catégorie 41</v>
      </c>
      <c r="D916" s="26" t="s">
        <v>525</v>
      </c>
      <c r="F916" s="25" t="str">
        <f t="shared" ref="F916" si="975">_xlfn.CONCAT("FretFluv",LEFT(C916,3),IF(INT(B916/11)&lt;8,RIGHT(C916,1),RIGHT(C916,2)),"Tech")</f>
        <v>FretFluvCat41Tech</v>
      </c>
      <c r="G916" s="26" t="s">
        <v>20</v>
      </c>
      <c r="H916" s="25">
        <f t="shared" si="972"/>
        <v>1</v>
      </c>
      <c r="J916" s="27" t="str">
        <f>VLOOKUP(C916,'Parcs types'!$B$65:$AA$120,5,FALSE)</f>
        <v>H2 , PAC</v>
      </c>
      <c r="L916" s="25" t="str">
        <f t="shared" si="973"/>
        <v>H2 , PAC</v>
      </c>
    </row>
    <row r="917" spans="1:12" s="25" customFormat="1" outlineLevel="1" x14ac:dyDescent="0.25">
      <c r="A917" s="25" t="s">
        <v>134</v>
      </c>
      <c r="B917" s="25">
        <v>444</v>
      </c>
      <c r="C917" s="25" t="str">
        <f t="shared" si="904"/>
        <v>Catégorie 41</v>
      </c>
      <c r="D917" s="25" t="s">
        <v>140</v>
      </c>
      <c r="F917" s="25" t="str">
        <f t="shared" ref="F917" si="976">_xlfn.CONCAT("FretFluv",LEFT(C917,3),IF(INT(B917/11)&lt;8,RIGHT(C917,1),RIGHT(C917,2)),"Request")</f>
        <v>FretFluvCat41Request</v>
      </c>
      <c r="G917" s="26" t="s">
        <v>20</v>
      </c>
      <c r="H917" s="25">
        <f>IF($I$15="Oui",1,0)</f>
        <v>1</v>
      </c>
      <c r="J917" s="27" t="s">
        <v>142</v>
      </c>
      <c r="L917" s="28"/>
    </row>
    <row r="918" spans="1:12" s="25" customFormat="1" outlineLevel="1" x14ac:dyDescent="0.25">
      <c r="A918" s="25" t="s">
        <v>134</v>
      </c>
      <c r="B918" s="25">
        <v>445</v>
      </c>
      <c r="C918" s="25" t="str">
        <f t="shared" si="904"/>
        <v>Catégorie 41</v>
      </c>
      <c r="D918" s="25" t="s">
        <v>144</v>
      </c>
      <c r="F918" s="25" t="str">
        <f t="shared" ref="F918" si="977">_xlfn.CONCAT("FretFluv",LEFT(C918,3),IF(INT(B918/11)&lt;8,RIGHT(C918,1),RIGHT(C918,2)),"NbTraj")</f>
        <v>FretFluvCat41NbTraj</v>
      </c>
      <c r="G918" s="25" t="s">
        <v>17</v>
      </c>
      <c r="H918" s="25">
        <f>IF($I$15="Oui",1,0)*IF(ISNUMBER(SEARCH("Une estimation du nombre annuel de trajets pour ce type de barge",I917)),1,0)</f>
        <v>0</v>
      </c>
      <c r="J918" s="27"/>
      <c r="K918" s="25" t="s">
        <v>145</v>
      </c>
      <c r="L918" s="28"/>
    </row>
    <row r="919" spans="1:12" s="25" customFormat="1" outlineLevel="1" x14ac:dyDescent="0.25">
      <c r="A919" s="25" t="s">
        <v>134</v>
      </c>
      <c r="B919" s="25">
        <v>446</v>
      </c>
      <c r="C919" s="25" t="str">
        <f t="shared" si="904"/>
        <v>Catégorie 41</v>
      </c>
      <c r="D919" s="25" t="s">
        <v>146</v>
      </c>
      <c r="F919" s="25" t="str">
        <f t="shared" ref="F919" si="978">_xlfn.CONCAT("FretFluv",LEFT(C919,3),IF(INT(B919/11)&lt;8,RIGHT(C919,1),RIGHT(C919,2)),"DistMoy")</f>
        <v>FretFluvCat41DistMoy</v>
      </c>
      <c r="G919" s="25" t="s">
        <v>17</v>
      </c>
      <c r="H919" s="25">
        <f>IF($I$15="Oui",1,0)*IF(ISNUMBER(SEARCH("La distance moyenne d'un trajet",I917)),1,0)</f>
        <v>0</v>
      </c>
      <c r="J919" s="27"/>
      <c r="K919" s="25" t="s">
        <v>88</v>
      </c>
      <c r="L919" s="28"/>
    </row>
    <row r="920" spans="1:12" s="25" customFormat="1" outlineLevel="1" x14ac:dyDescent="0.25">
      <c r="A920" s="25" t="s">
        <v>134</v>
      </c>
      <c r="B920" s="25">
        <v>447</v>
      </c>
      <c r="C920" s="25" t="str">
        <f t="shared" si="904"/>
        <v>Catégorie 41</v>
      </c>
      <c r="D920" s="25" t="s">
        <v>147</v>
      </c>
      <c r="F920" s="25" t="str">
        <f t="shared" ref="F920" si="979">_xlfn.CONCAT("FretFluv",LEFT(C920,3),IF(INT(B920/11)&lt;8,RIGHT(C920,1),RIGHT(C920,2)),"EmportMoy")</f>
        <v>FretFluvCat41EmportMoy</v>
      </c>
      <c r="G920" s="25" t="s">
        <v>17</v>
      </c>
      <c r="H920" s="25">
        <f>IF($I$15="Oui",1,0)*IF(ISNUMBER(SEARCH("La masse moyenne transportée pour un trajet",I917)),1,0)</f>
        <v>0</v>
      </c>
      <c r="J920" s="27"/>
      <c r="K920" s="25" t="s">
        <v>148</v>
      </c>
      <c r="L920" s="28"/>
    </row>
    <row r="921" spans="1:12" s="25" customFormat="1" outlineLevel="1" x14ac:dyDescent="0.25">
      <c r="A921" s="25" t="s">
        <v>134</v>
      </c>
      <c r="B921" s="25">
        <v>448</v>
      </c>
      <c r="C921" s="25" t="str">
        <f t="shared" si="904"/>
        <v>Catégorie 41</v>
      </c>
      <c r="D921" s="25" t="s">
        <v>149</v>
      </c>
      <c r="F921" s="25" t="str">
        <f t="shared" ref="F921" si="980">_xlfn.CONCAT("FretFluv",LEFT(C921,3),IF(INT(B921/11)&lt;8,RIGHT(C921,1),RIGHT(C921,2)),"DistAn")</f>
        <v>FretFluvCat41DistAn</v>
      </c>
      <c r="G921" s="25" t="s">
        <v>17</v>
      </c>
      <c r="H921" s="25">
        <f>IF($I$15="Oui",1,0)*IF(ISNUMBER(SEARCH("La distance parcourue annuellement pour ce type de barge",I917)),1,0)</f>
        <v>0</v>
      </c>
      <c r="J921" s="27"/>
      <c r="K921" s="25" t="s">
        <v>88</v>
      </c>
    </row>
    <row r="922" spans="1:12" s="25" customFormat="1" outlineLevel="1" x14ac:dyDescent="0.25">
      <c r="A922" s="25" t="s">
        <v>134</v>
      </c>
      <c r="B922" s="25">
        <v>449</v>
      </c>
      <c r="C922" s="25" t="str">
        <f t="shared" ref="C922:C985" si="981">"Catégorie "&amp;INT(B922/11)+1</f>
        <v>Catégorie 41</v>
      </c>
      <c r="D922" s="25" t="s">
        <v>150</v>
      </c>
      <c r="F922" s="25" t="str">
        <f t="shared" ref="F922" si="982">_xlfn.CONCAT("FretFluv",LEFT(C922,3),IF(INT(B922/11)&lt;8,RIGHT(C922,1),RIGHT(C922,2)),"TauxChargeMoy")</f>
        <v>FretFluvCat41TauxChargeMoy</v>
      </c>
      <c r="G922" s="25" t="s">
        <v>17</v>
      </c>
      <c r="H922" s="25">
        <f>IF($I$15="Oui",1,0)*IF(ISNUMBER(SEARCH("Le taux de chargement moyen",I917)),1,0)</f>
        <v>0</v>
      </c>
      <c r="J922" s="27"/>
      <c r="K922" s="25" t="s">
        <v>70</v>
      </c>
    </row>
    <row r="923" spans="1:12" s="25" customFormat="1" outlineLevel="1" x14ac:dyDescent="0.25">
      <c r="A923" s="25" t="s">
        <v>134</v>
      </c>
      <c r="B923" s="25">
        <v>450</v>
      </c>
      <c r="C923" s="25" t="str">
        <f t="shared" si="981"/>
        <v>Catégorie 41</v>
      </c>
      <c r="D923" s="26" t="s">
        <v>526</v>
      </c>
      <c r="F923" s="25" t="str">
        <f t="shared" ref="F923" si="983">_xlfn.CONCAT("FretFluv",LEFT(C923,3),IF(INT(B923/11)&lt;8,RIGHT(C923,1),RIGHT(C923,2)),"NbBarges")</f>
        <v>FretFluvCat41NbBarges</v>
      </c>
      <c r="G923" s="25" t="s">
        <v>17</v>
      </c>
      <c r="H923" s="25">
        <f>IF($I$15="Oui",1,0)</f>
        <v>1</v>
      </c>
      <c r="I923" s="29"/>
      <c r="J923" s="27"/>
      <c r="K923" s="25" t="s">
        <v>151</v>
      </c>
    </row>
    <row r="924" spans="1:12" s="25" customFormat="1" outlineLevel="1" x14ac:dyDescent="0.25">
      <c r="A924" s="25" t="s">
        <v>134</v>
      </c>
      <c r="B924" s="25">
        <v>451</v>
      </c>
      <c r="C924" s="25" t="str">
        <f t="shared" si="981"/>
        <v>Catégorie 42</v>
      </c>
      <c r="D924" s="25" t="s">
        <v>135</v>
      </c>
      <c r="F924" s="25" t="str">
        <f t="shared" ref="F924" si="984">_xlfn.CONCAT("FretFluv",LEFT(C924,3),IF(INT(B924/11)&lt;8,RIGHT(C924,1),RIGHT(C924,2)),"Nom")</f>
        <v>FretFluvCat42Nom</v>
      </c>
      <c r="G924" s="26" t="s">
        <v>20</v>
      </c>
      <c r="H924" s="25">
        <f>IF($I$15="Oui",1,0)</f>
        <v>1</v>
      </c>
      <c r="I924" s="28"/>
      <c r="J924" s="27" t="str">
        <f>VLOOKUP(C924,'Parcs types'!$B$65:$AA$120,2,FALSE)</f>
        <v>Automoteurs &gt;3000 tonnes H2 , ICE</v>
      </c>
      <c r="L924" s="25" t="str">
        <f>J924</f>
        <v>Automoteurs &gt;3000 tonnes H2 , ICE</v>
      </c>
    </row>
    <row r="925" spans="1:12" s="25" customFormat="1" outlineLevel="1" x14ac:dyDescent="0.25">
      <c r="A925" s="25" t="s">
        <v>134</v>
      </c>
      <c r="B925" s="25">
        <v>452</v>
      </c>
      <c r="C925" s="25" t="str">
        <f t="shared" si="981"/>
        <v>Catégorie 42</v>
      </c>
      <c r="D925" s="25" t="s">
        <v>136</v>
      </c>
      <c r="F925" s="25" t="str">
        <f t="shared" ref="F925" si="985">_xlfn.CONCAT("FretFluv",LEFT(C925,3),IF(INT(B925/11)&lt;8,RIGHT(C925,1),RIGHT(C925,2)),"Type")</f>
        <v>FretFluvCat42Type</v>
      </c>
      <c r="G925" s="25" t="s">
        <v>20</v>
      </c>
      <c r="H925" s="25">
        <f t="shared" ref="H925:H927" si="986">IF($I$15="Oui",1,0)</f>
        <v>1</v>
      </c>
      <c r="I925" s="28"/>
      <c r="J925" s="27" t="str">
        <f>VLOOKUP(C925,'Parcs types'!$B$65:$AA$120,3,FALSE)</f>
        <v>Automoteurs</v>
      </c>
      <c r="L925" s="25" t="str">
        <f t="shared" ref="L925:L927" si="987">J925</f>
        <v>Automoteurs</v>
      </c>
    </row>
    <row r="926" spans="1:12" s="25" customFormat="1" outlineLevel="1" x14ac:dyDescent="0.25">
      <c r="A926" s="25" t="s">
        <v>134</v>
      </c>
      <c r="B926" s="25">
        <v>453</v>
      </c>
      <c r="C926" s="25" t="str">
        <f t="shared" si="981"/>
        <v>Catégorie 42</v>
      </c>
      <c r="D926" s="26" t="s">
        <v>137</v>
      </c>
      <c r="F926" s="25" t="str">
        <f t="shared" ref="F926" si="988">_xlfn.CONCAT("FretFluv",LEFT(C926,3),IF(INT(B926/11)&lt;8,RIGHT(C926,1),RIGHT(C926,2)),"Cap")</f>
        <v>FretFluvCat42Cap</v>
      </c>
      <c r="G926" s="26" t="s">
        <v>36</v>
      </c>
      <c r="H926" s="25">
        <f t="shared" si="986"/>
        <v>1</v>
      </c>
      <c r="I926" s="28"/>
      <c r="J926" s="27" t="str">
        <f>VLOOKUP(C926,'Parcs types'!$B$65:$AA$120,4,FALSE)</f>
        <v>&gt;3000 tonnes</v>
      </c>
      <c r="K926" s="25" t="s">
        <v>524</v>
      </c>
      <c r="L926" s="25" t="str">
        <f t="shared" si="987"/>
        <v>&gt;3000 tonnes</v>
      </c>
    </row>
    <row r="927" spans="1:12" s="25" customFormat="1" outlineLevel="1" x14ac:dyDescent="0.25">
      <c r="A927" s="25" t="s">
        <v>134</v>
      </c>
      <c r="B927" s="25">
        <v>454</v>
      </c>
      <c r="C927" s="25" t="str">
        <f t="shared" si="981"/>
        <v>Catégorie 42</v>
      </c>
      <c r="D927" s="26" t="s">
        <v>525</v>
      </c>
      <c r="F927" s="25" t="str">
        <f t="shared" ref="F927" si="989">_xlfn.CONCAT("FretFluv",LEFT(C927,3),IF(INT(B927/11)&lt;8,RIGHT(C927,1),RIGHT(C927,2)),"Tech")</f>
        <v>FretFluvCat42Tech</v>
      </c>
      <c r="G927" s="26" t="s">
        <v>20</v>
      </c>
      <c r="H927" s="25">
        <f t="shared" si="986"/>
        <v>1</v>
      </c>
      <c r="I927" s="28"/>
      <c r="J927" s="27" t="str">
        <f>VLOOKUP(C927,'Parcs types'!$B$65:$AA$120,5,FALSE)</f>
        <v>H2 , ICE</v>
      </c>
      <c r="L927" s="25" t="str">
        <f t="shared" si="987"/>
        <v>H2 , ICE</v>
      </c>
    </row>
    <row r="928" spans="1:12" s="25" customFormat="1" outlineLevel="1" x14ac:dyDescent="0.25">
      <c r="A928" s="25" t="s">
        <v>134</v>
      </c>
      <c r="B928" s="25">
        <v>455</v>
      </c>
      <c r="C928" s="25" t="str">
        <f t="shared" si="981"/>
        <v>Catégorie 42</v>
      </c>
      <c r="D928" s="25" t="s">
        <v>140</v>
      </c>
      <c r="F928" s="25" t="str">
        <f t="shared" ref="F928" si="990">_xlfn.CONCAT("FretFluv",LEFT(C928,3),IF(INT(B928/11)&lt;8,RIGHT(C928,1),RIGHT(C928,2)),"Request")</f>
        <v>FretFluvCat42Request</v>
      </c>
      <c r="G928" s="26" t="s">
        <v>20</v>
      </c>
      <c r="H928" s="25">
        <f>IF($I$15="Oui",1,0)</f>
        <v>1</v>
      </c>
      <c r="J928" s="27" t="s">
        <v>142</v>
      </c>
      <c r="L928" s="28"/>
    </row>
    <row r="929" spans="1:12" s="25" customFormat="1" outlineLevel="1" x14ac:dyDescent="0.25">
      <c r="A929" s="25" t="s">
        <v>134</v>
      </c>
      <c r="B929" s="25">
        <v>456</v>
      </c>
      <c r="C929" s="25" t="str">
        <f t="shared" si="981"/>
        <v>Catégorie 42</v>
      </c>
      <c r="D929" s="25" t="s">
        <v>144</v>
      </c>
      <c r="F929" s="25" t="str">
        <f t="shared" ref="F929" si="991">_xlfn.CONCAT("FretFluv",LEFT(C929,3),IF(INT(B929/11)&lt;8,RIGHT(C929,1),RIGHT(C929,2)),"NbTraj")</f>
        <v>FretFluvCat42NbTraj</v>
      </c>
      <c r="G929" s="25" t="s">
        <v>17</v>
      </c>
      <c r="H929" s="25">
        <f>IF($I$15="Oui",1,0)*IF(ISNUMBER(SEARCH("Une estimation du nombre annuel de trajets pour ce type de barge",I928)),1,0)</f>
        <v>0</v>
      </c>
      <c r="I929" s="28"/>
      <c r="J929" s="27"/>
      <c r="K929" s="25" t="s">
        <v>145</v>
      </c>
      <c r="L929" s="28"/>
    </row>
    <row r="930" spans="1:12" s="25" customFormat="1" outlineLevel="1" x14ac:dyDescent="0.25">
      <c r="A930" s="25" t="s">
        <v>134</v>
      </c>
      <c r="B930" s="25">
        <v>457</v>
      </c>
      <c r="C930" s="25" t="str">
        <f t="shared" si="981"/>
        <v>Catégorie 42</v>
      </c>
      <c r="D930" s="25" t="s">
        <v>146</v>
      </c>
      <c r="F930" s="25" t="str">
        <f t="shared" ref="F930" si="992">_xlfn.CONCAT("FretFluv",LEFT(C930,3),IF(INT(B930/11)&lt;8,RIGHT(C930,1),RIGHT(C930,2)),"DistMoy")</f>
        <v>FretFluvCat42DistMoy</v>
      </c>
      <c r="G930" s="25" t="s">
        <v>17</v>
      </c>
      <c r="H930" s="25">
        <f>IF($I$15="Oui",1,0)*IF(ISNUMBER(SEARCH("La distance moyenne d'un trajet",I928)),1,0)</f>
        <v>0</v>
      </c>
      <c r="I930" s="28"/>
      <c r="J930" s="27"/>
      <c r="K930" s="25" t="s">
        <v>88</v>
      </c>
      <c r="L930" s="28"/>
    </row>
    <row r="931" spans="1:12" s="25" customFormat="1" outlineLevel="1" x14ac:dyDescent="0.25">
      <c r="A931" s="25" t="s">
        <v>134</v>
      </c>
      <c r="B931" s="25">
        <v>458</v>
      </c>
      <c r="C931" s="25" t="str">
        <f t="shared" si="981"/>
        <v>Catégorie 42</v>
      </c>
      <c r="D931" s="25" t="s">
        <v>147</v>
      </c>
      <c r="F931" s="25" t="str">
        <f t="shared" ref="F931" si="993">_xlfn.CONCAT("FretFluv",LEFT(C931,3),IF(INT(B931/11)&lt;8,RIGHT(C931,1),RIGHT(C931,2)),"EmportMoy")</f>
        <v>FretFluvCat42EmportMoy</v>
      </c>
      <c r="G931" s="25" t="s">
        <v>17</v>
      </c>
      <c r="H931" s="25">
        <f>IF($I$15="Oui",1,0)*IF(ISNUMBER(SEARCH("La masse moyenne transportée pour un trajet",I928)),1,0)</f>
        <v>0</v>
      </c>
      <c r="I931" s="28"/>
      <c r="J931" s="27"/>
      <c r="K931" s="25" t="s">
        <v>148</v>
      </c>
      <c r="L931" s="28"/>
    </row>
    <row r="932" spans="1:12" s="25" customFormat="1" outlineLevel="1" x14ac:dyDescent="0.25">
      <c r="A932" s="25" t="s">
        <v>134</v>
      </c>
      <c r="B932" s="25">
        <v>459</v>
      </c>
      <c r="C932" s="25" t="str">
        <f t="shared" si="981"/>
        <v>Catégorie 42</v>
      </c>
      <c r="D932" s="25" t="s">
        <v>149</v>
      </c>
      <c r="F932" s="25" t="str">
        <f t="shared" ref="F932" si="994">_xlfn.CONCAT("FretFluv",LEFT(C932,3),IF(INT(B932/11)&lt;8,RIGHT(C932,1),RIGHT(C932,2)),"DistAn")</f>
        <v>FretFluvCat42DistAn</v>
      </c>
      <c r="G932" s="25" t="s">
        <v>17</v>
      </c>
      <c r="H932" s="25">
        <f>IF($I$15="Oui",1,0)*IF(ISNUMBER(SEARCH("La distance parcourue annuellement pour ce type de barge",I928)),1,0)</f>
        <v>0</v>
      </c>
      <c r="I932" s="28"/>
      <c r="J932" s="27"/>
      <c r="K932" s="25" t="s">
        <v>88</v>
      </c>
      <c r="L932" s="28"/>
    </row>
    <row r="933" spans="1:12" s="25" customFormat="1" outlineLevel="1" x14ac:dyDescent="0.25">
      <c r="A933" s="25" t="s">
        <v>134</v>
      </c>
      <c r="B933" s="25">
        <v>460</v>
      </c>
      <c r="C933" s="25" t="str">
        <f t="shared" si="981"/>
        <v>Catégorie 42</v>
      </c>
      <c r="D933" s="25" t="s">
        <v>150</v>
      </c>
      <c r="F933" s="25" t="str">
        <f t="shared" ref="F933" si="995">_xlfn.CONCAT("FretFluv",LEFT(C933,3),IF(INT(B933/11)&lt;8,RIGHT(C933,1),RIGHT(C933,2)),"TauxChargeMoy")</f>
        <v>FretFluvCat42TauxChargeMoy</v>
      </c>
      <c r="G933" s="25" t="s">
        <v>17</v>
      </c>
      <c r="H933" s="25">
        <f>IF($I$15="Oui",1,0)*IF(ISNUMBER(SEARCH("Le taux de chargement moyen",I928)),1,0)</f>
        <v>0</v>
      </c>
      <c r="I933" s="28"/>
      <c r="J933" s="27"/>
      <c r="K933" s="25" t="s">
        <v>70</v>
      </c>
      <c r="L933" s="28"/>
    </row>
    <row r="934" spans="1:12" s="25" customFormat="1" outlineLevel="1" x14ac:dyDescent="0.25">
      <c r="A934" s="25" t="s">
        <v>134</v>
      </c>
      <c r="B934" s="25">
        <v>461</v>
      </c>
      <c r="C934" s="25" t="str">
        <f t="shared" si="981"/>
        <v>Catégorie 42</v>
      </c>
      <c r="D934" s="26" t="s">
        <v>526</v>
      </c>
      <c r="F934" s="25" t="str">
        <f t="shared" ref="F934" si="996">_xlfn.CONCAT("FretFluv",LEFT(C934,3),IF(INT(B934/11)&lt;8,RIGHT(C934,1),RIGHT(C934,2)),"NbBarges")</f>
        <v>FretFluvCat42NbBarges</v>
      </c>
      <c r="G934" s="25" t="s">
        <v>17</v>
      </c>
      <c r="H934" s="25">
        <f>IF($I$15="Oui",1,0)</f>
        <v>1</v>
      </c>
      <c r="I934" s="28"/>
      <c r="J934" s="27"/>
      <c r="K934" s="25" t="s">
        <v>151</v>
      </c>
      <c r="L934" s="28"/>
    </row>
    <row r="935" spans="1:12" s="25" customFormat="1" outlineLevel="1" x14ac:dyDescent="0.25">
      <c r="A935" s="25" t="s">
        <v>134</v>
      </c>
      <c r="B935" s="25">
        <v>462</v>
      </c>
      <c r="C935" s="25" t="str">
        <f t="shared" si="981"/>
        <v>Catégorie 43</v>
      </c>
      <c r="D935" s="25" t="s">
        <v>135</v>
      </c>
      <c r="F935" s="25" t="str">
        <f t="shared" ref="F935" si="997">_xlfn.CONCAT("FretFluv",LEFT(C935,3),IF(INT(B935/11)&lt;8,RIGHT(C935,1),RIGHT(C935,2)),"Nom")</f>
        <v>FretFluvCat43Nom</v>
      </c>
      <c r="G935" s="26" t="s">
        <v>20</v>
      </c>
      <c r="H935" s="25">
        <f>IF($I$15="Oui",1,0)</f>
        <v>1</v>
      </c>
      <c r="I935" s="28"/>
      <c r="J935" s="27" t="str">
        <f>VLOOKUP(C935,'Parcs types'!$B$65:$AA$120,2,FALSE)</f>
        <v>Pousseurs &lt;880 kW CCNR 2 ou inférieur, diesel</v>
      </c>
      <c r="L935" s="25" t="str">
        <f>J935</f>
        <v>Pousseurs &lt;880 kW CCNR 2 ou inférieur, diesel</v>
      </c>
    </row>
    <row r="936" spans="1:12" s="25" customFormat="1" outlineLevel="1" x14ac:dyDescent="0.25">
      <c r="A936" s="25" t="s">
        <v>134</v>
      </c>
      <c r="B936" s="25">
        <v>463</v>
      </c>
      <c r="C936" s="25" t="str">
        <f t="shared" si="981"/>
        <v>Catégorie 43</v>
      </c>
      <c r="D936" s="25" t="s">
        <v>136</v>
      </c>
      <c r="F936" s="25" t="str">
        <f t="shared" ref="F936" si="998">_xlfn.CONCAT("FretFluv",LEFT(C936,3),IF(INT(B936/11)&lt;8,RIGHT(C936,1),RIGHT(C936,2)),"Type")</f>
        <v>FretFluvCat43Type</v>
      </c>
      <c r="G936" s="25" t="s">
        <v>20</v>
      </c>
      <c r="H936" s="25">
        <f t="shared" ref="H936:H938" si="999">IF($I$15="Oui",1,0)</f>
        <v>1</v>
      </c>
      <c r="I936" s="28"/>
      <c r="J936" s="27" t="str">
        <f>VLOOKUP(C936,'Parcs types'!$B$65:$AA$120,3,FALSE)</f>
        <v>Pousseurs</v>
      </c>
      <c r="L936" s="25" t="str">
        <f t="shared" ref="L936:L938" si="1000">J936</f>
        <v>Pousseurs</v>
      </c>
    </row>
    <row r="937" spans="1:12" s="25" customFormat="1" outlineLevel="1" x14ac:dyDescent="0.25">
      <c r="A937" s="25" t="s">
        <v>134</v>
      </c>
      <c r="B937" s="25">
        <v>464</v>
      </c>
      <c r="C937" s="25" t="str">
        <f t="shared" si="981"/>
        <v>Catégorie 43</v>
      </c>
      <c r="D937" s="26" t="s">
        <v>137</v>
      </c>
      <c r="F937" s="25" t="str">
        <f t="shared" ref="F937" si="1001">_xlfn.CONCAT("FretFluv",LEFT(C937,3),IF(INT(B937/11)&lt;8,RIGHT(C937,1),RIGHT(C937,2)),"Cap")</f>
        <v>FretFluvCat43Cap</v>
      </c>
      <c r="G937" s="26" t="s">
        <v>36</v>
      </c>
      <c r="H937" s="25">
        <f t="shared" si="999"/>
        <v>1</v>
      </c>
      <c r="I937" s="28"/>
      <c r="J937" s="27" t="str">
        <f>VLOOKUP(C937,'Parcs types'!$B$65:$AA$120,4,FALSE)</f>
        <v>&lt;880 kW</v>
      </c>
      <c r="K937" s="25" t="s">
        <v>524</v>
      </c>
      <c r="L937" s="25" t="str">
        <f t="shared" si="1000"/>
        <v>&lt;880 kW</v>
      </c>
    </row>
    <row r="938" spans="1:12" s="25" customFormat="1" outlineLevel="1" x14ac:dyDescent="0.25">
      <c r="A938" s="25" t="s">
        <v>134</v>
      </c>
      <c r="B938" s="25">
        <v>465</v>
      </c>
      <c r="C938" s="25" t="str">
        <f t="shared" si="981"/>
        <v>Catégorie 43</v>
      </c>
      <c r="D938" s="26" t="s">
        <v>525</v>
      </c>
      <c r="F938" s="25" t="str">
        <f t="shared" ref="F938" si="1002">_xlfn.CONCAT("FretFluv",LEFT(C938,3),IF(INT(B938/11)&lt;8,RIGHT(C938,1),RIGHT(C938,2)),"Tech")</f>
        <v>FretFluvCat43Tech</v>
      </c>
      <c r="G938" s="26" t="s">
        <v>20</v>
      </c>
      <c r="H938" s="25">
        <f t="shared" si="999"/>
        <v>1</v>
      </c>
      <c r="I938" s="28"/>
      <c r="J938" s="27" t="str">
        <f>VLOOKUP(C938,'Parcs types'!$B$65:$AA$120,5,FALSE)</f>
        <v>CCNR 2 ou inférieur, diesel</v>
      </c>
      <c r="L938" s="25" t="str">
        <f t="shared" si="1000"/>
        <v>CCNR 2 ou inférieur, diesel</v>
      </c>
    </row>
    <row r="939" spans="1:12" s="25" customFormat="1" outlineLevel="1" x14ac:dyDescent="0.25">
      <c r="A939" s="25" t="s">
        <v>134</v>
      </c>
      <c r="B939" s="25">
        <v>466</v>
      </c>
      <c r="C939" s="25" t="str">
        <f t="shared" si="981"/>
        <v>Catégorie 43</v>
      </c>
      <c r="D939" s="25" t="s">
        <v>140</v>
      </c>
      <c r="F939" s="25" t="str">
        <f t="shared" ref="F939" si="1003">_xlfn.CONCAT("FretFluv",LEFT(C939,3),IF(INT(B939/11)&lt;8,RIGHT(C939,1),RIGHT(C939,2)),"Request")</f>
        <v>FretFluvCat43Request</v>
      </c>
      <c r="G939" s="26" t="s">
        <v>20</v>
      </c>
      <c r="H939" s="25">
        <f>IF($I$15="Oui",1,0)</f>
        <v>1</v>
      </c>
      <c r="J939" s="27" t="s">
        <v>142</v>
      </c>
      <c r="L939" s="28"/>
    </row>
    <row r="940" spans="1:12" s="25" customFormat="1" outlineLevel="1" x14ac:dyDescent="0.25">
      <c r="A940" s="25" t="s">
        <v>134</v>
      </c>
      <c r="B940" s="25">
        <v>467</v>
      </c>
      <c r="C940" s="25" t="str">
        <f t="shared" si="981"/>
        <v>Catégorie 43</v>
      </c>
      <c r="D940" s="25" t="s">
        <v>144</v>
      </c>
      <c r="F940" s="25" t="str">
        <f t="shared" ref="F940" si="1004">_xlfn.CONCAT("FretFluv",LEFT(C940,3),IF(INT(B940/11)&lt;8,RIGHT(C940,1),RIGHT(C940,2)),"NbTraj")</f>
        <v>FretFluvCat43NbTraj</v>
      </c>
      <c r="G940" s="25" t="s">
        <v>17</v>
      </c>
      <c r="H940" s="25">
        <f>IF($I$15="Oui",1,0)*IF(ISNUMBER(SEARCH("Une estimation du nombre annuel de trajets pour ce type de barge",I939)),1,0)</f>
        <v>0</v>
      </c>
      <c r="I940" s="28"/>
      <c r="J940" s="27"/>
      <c r="K940" s="25" t="s">
        <v>145</v>
      </c>
      <c r="L940" s="28"/>
    </row>
    <row r="941" spans="1:12" s="25" customFormat="1" outlineLevel="1" x14ac:dyDescent="0.25">
      <c r="A941" s="25" t="s">
        <v>134</v>
      </c>
      <c r="B941" s="25">
        <v>468</v>
      </c>
      <c r="C941" s="25" t="str">
        <f t="shared" si="981"/>
        <v>Catégorie 43</v>
      </c>
      <c r="D941" s="25" t="s">
        <v>146</v>
      </c>
      <c r="F941" s="25" t="str">
        <f t="shared" ref="F941" si="1005">_xlfn.CONCAT("FretFluv",LEFT(C941,3),IF(INT(B941/11)&lt;8,RIGHT(C941,1),RIGHT(C941,2)),"DistMoy")</f>
        <v>FretFluvCat43DistMoy</v>
      </c>
      <c r="G941" s="25" t="s">
        <v>17</v>
      </c>
      <c r="H941" s="25">
        <f>IF($I$15="Oui",1,0)*IF(ISNUMBER(SEARCH("La distance moyenne d'un trajet",I939)),1,0)</f>
        <v>0</v>
      </c>
      <c r="I941" s="28"/>
      <c r="J941" s="27"/>
      <c r="K941" s="25" t="s">
        <v>88</v>
      </c>
      <c r="L941" s="28"/>
    </row>
    <row r="942" spans="1:12" s="25" customFormat="1" outlineLevel="1" x14ac:dyDescent="0.25">
      <c r="A942" s="25" t="s">
        <v>134</v>
      </c>
      <c r="B942" s="25">
        <v>469</v>
      </c>
      <c r="C942" s="25" t="str">
        <f t="shared" si="981"/>
        <v>Catégorie 43</v>
      </c>
      <c r="D942" s="25" t="s">
        <v>147</v>
      </c>
      <c r="F942" s="25" t="str">
        <f t="shared" ref="F942" si="1006">_xlfn.CONCAT("FretFluv",LEFT(C942,3),IF(INT(B942/11)&lt;8,RIGHT(C942,1),RIGHT(C942,2)),"EmportMoy")</f>
        <v>FretFluvCat43EmportMoy</v>
      </c>
      <c r="G942" s="25" t="s">
        <v>17</v>
      </c>
      <c r="H942" s="25">
        <f>IF($I$15="Oui",1,0)*IF(ISNUMBER(SEARCH("La masse moyenne transportée pour un trajet",I939)),1,0)</f>
        <v>0</v>
      </c>
      <c r="I942" s="28"/>
      <c r="J942" s="27"/>
      <c r="K942" s="25" t="s">
        <v>148</v>
      </c>
      <c r="L942" s="28"/>
    </row>
    <row r="943" spans="1:12" s="25" customFormat="1" outlineLevel="1" x14ac:dyDescent="0.25">
      <c r="A943" s="25" t="s">
        <v>134</v>
      </c>
      <c r="B943" s="25">
        <v>470</v>
      </c>
      <c r="C943" s="25" t="str">
        <f t="shared" si="981"/>
        <v>Catégorie 43</v>
      </c>
      <c r="D943" s="25" t="s">
        <v>149</v>
      </c>
      <c r="F943" s="25" t="str">
        <f t="shared" ref="F943" si="1007">_xlfn.CONCAT("FretFluv",LEFT(C943,3),IF(INT(B943/11)&lt;8,RIGHT(C943,1),RIGHT(C943,2)),"DistAn")</f>
        <v>FretFluvCat43DistAn</v>
      </c>
      <c r="G943" s="25" t="s">
        <v>17</v>
      </c>
      <c r="H943" s="25">
        <f>IF($I$15="Oui",1,0)*IF(ISNUMBER(SEARCH("La distance parcourue annuellement pour ce type de barge",I939)),1,0)</f>
        <v>0</v>
      </c>
      <c r="I943" s="28"/>
      <c r="J943" s="27"/>
      <c r="K943" s="25" t="s">
        <v>88</v>
      </c>
    </row>
    <row r="944" spans="1:12" s="25" customFormat="1" outlineLevel="1" x14ac:dyDescent="0.25">
      <c r="A944" s="25" t="s">
        <v>134</v>
      </c>
      <c r="B944" s="25">
        <v>471</v>
      </c>
      <c r="C944" s="25" t="str">
        <f t="shared" si="981"/>
        <v>Catégorie 43</v>
      </c>
      <c r="D944" s="25" t="s">
        <v>150</v>
      </c>
      <c r="F944" s="25" t="str">
        <f t="shared" ref="F944" si="1008">_xlfn.CONCAT("FretFluv",LEFT(C944,3),IF(INT(B944/11)&lt;8,RIGHT(C944,1),RIGHT(C944,2)),"TauxChargeMoy")</f>
        <v>FretFluvCat43TauxChargeMoy</v>
      </c>
      <c r="G944" s="25" t="s">
        <v>17</v>
      </c>
      <c r="H944" s="25">
        <f>IF($I$15="Oui",1,0)*IF(ISNUMBER(SEARCH("Le taux de chargement moyen",I939)),1,0)</f>
        <v>0</v>
      </c>
      <c r="I944" s="28"/>
      <c r="J944" s="27"/>
      <c r="K944" s="25" t="s">
        <v>70</v>
      </c>
    </row>
    <row r="945" spans="1:12" s="25" customFormat="1" outlineLevel="1" x14ac:dyDescent="0.25">
      <c r="A945" s="25" t="s">
        <v>134</v>
      </c>
      <c r="B945" s="25">
        <v>472</v>
      </c>
      <c r="C945" s="25" t="str">
        <f t="shared" si="981"/>
        <v>Catégorie 43</v>
      </c>
      <c r="D945" s="26" t="s">
        <v>526</v>
      </c>
      <c r="F945" s="25" t="str">
        <f t="shared" ref="F945" si="1009">_xlfn.CONCAT("FretFluv",LEFT(C945,3),IF(INT(B945/11)&lt;8,RIGHT(C945,1),RIGHT(C945,2)),"NbBarges")</f>
        <v>FretFluvCat43NbBarges</v>
      </c>
      <c r="G945" s="25" t="s">
        <v>17</v>
      </c>
      <c r="H945" s="25">
        <f>IF($I$15="Oui",1,0)</f>
        <v>1</v>
      </c>
      <c r="I945" s="28"/>
      <c r="J945" s="27"/>
      <c r="K945" s="25" t="s">
        <v>151</v>
      </c>
    </row>
    <row r="946" spans="1:12" s="25" customFormat="1" outlineLevel="1" x14ac:dyDescent="0.25">
      <c r="A946" s="25" t="s">
        <v>134</v>
      </c>
      <c r="B946" s="25">
        <v>473</v>
      </c>
      <c r="C946" s="25" t="str">
        <f t="shared" si="981"/>
        <v>Catégorie 44</v>
      </c>
      <c r="D946" s="25" t="s">
        <v>135</v>
      </c>
      <c r="F946" s="25" t="str">
        <f t="shared" ref="F946" si="1010">_xlfn.CONCAT("FretFluv",LEFT(C946,3),IF(INT(B946/11)&lt;8,RIGHT(C946,1),RIGHT(C946,2)),"Nom")</f>
        <v>FretFluvCat44Nom</v>
      </c>
      <c r="G946" s="26" t="s">
        <v>20</v>
      </c>
      <c r="H946" s="25">
        <f>IF($I$15="Oui",1,0)</f>
        <v>1</v>
      </c>
      <c r="I946" s="28"/>
      <c r="J946" s="27" t="str">
        <f>VLOOKUP(C946,'Parcs types'!$B$65:$AA$120,2,FALSE)</f>
        <v>Pousseurs &lt;880 kW CCNR 2 + SCR, diesel</v>
      </c>
      <c r="L946" s="25" t="str">
        <f>J946</f>
        <v>Pousseurs &lt;880 kW CCNR 2 + SCR, diesel</v>
      </c>
    </row>
    <row r="947" spans="1:12" s="25" customFormat="1" outlineLevel="1" x14ac:dyDescent="0.25">
      <c r="A947" s="25" t="s">
        <v>134</v>
      </c>
      <c r="B947" s="25">
        <v>474</v>
      </c>
      <c r="C947" s="25" t="str">
        <f t="shared" si="981"/>
        <v>Catégorie 44</v>
      </c>
      <c r="D947" s="25" t="s">
        <v>136</v>
      </c>
      <c r="F947" s="25" t="str">
        <f t="shared" ref="F947" si="1011">_xlfn.CONCAT("FretFluv",LEFT(C947,3),IF(INT(B947/11)&lt;8,RIGHT(C947,1),RIGHT(C947,2)),"Type")</f>
        <v>FretFluvCat44Type</v>
      </c>
      <c r="G947" s="25" t="s">
        <v>20</v>
      </c>
      <c r="H947" s="25">
        <f t="shared" ref="H947:H949" si="1012">IF($I$15="Oui",1,0)</f>
        <v>1</v>
      </c>
      <c r="I947" s="28"/>
      <c r="J947" s="27" t="str">
        <f>VLOOKUP(C947,'Parcs types'!$B$65:$AA$120,3,FALSE)</f>
        <v>Pousseurs</v>
      </c>
      <c r="L947" s="25" t="str">
        <f t="shared" ref="L947:L949" si="1013">J947</f>
        <v>Pousseurs</v>
      </c>
    </row>
    <row r="948" spans="1:12" s="25" customFormat="1" outlineLevel="1" x14ac:dyDescent="0.25">
      <c r="A948" s="25" t="s">
        <v>134</v>
      </c>
      <c r="B948" s="25">
        <v>475</v>
      </c>
      <c r="C948" s="25" t="str">
        <f t="shared" si="981"/>
        <v>Catégorie 44</v>
      </c>
      <c r="D948" s="26" t="s">
        <v>137</v>
      </c>
      <c r="F948" s="25" t="str">
        <f t="shared" ref="F948" si="1014">_xlfn.CONCAT("FretFluv",LEFT(C948,3),IF(INT(B948/11)&lt;8,RIGHT(C948,1),RIGHT(C948,2)),"Cap")</f>
        <v>FretFluvCat44Cap</v>
      </c>
      <c r="G948" s="26" t="s">
        <v>36</v>
      </c>
      <c r="H948" s="25">
        <f t="shared" si="1012"/>
        <v>1</v>
      </c>
      <c r="I948" s="28"/>
      <c r="J948" s="27" t="str">
        <f>VLOOKUP(C948,'Parcs types'!$B$65:$AA$120,4,FALSE)</f>
        <v>&lt;880 kW</v>
      </c>
      <c r="K948" s="25" t="s">
        <v>524</v>
      </c>
      <c r="L948" s="25" t="str">
        <f t="shared" si="1013"/>
        <v>&lt;880 kW</v>
      </c>
    </row>
    <row r="949" spans="1:12" s="25" customFormat="1" outlineLevel="1" x14ac:dyDescent="0.25">
      <c r="A949" s="25" t="s">
        <v>134</v>
      </c>
      <c r="B949" s="25">
        <v>476</v>
      </c>
      <c r="C949" s="25" t="str">
        <f t="shared" si="981"/>
        <v>Catégorie 44</v>
      </c>
      <c r="D949" s="26" t="s">
        <v>525</v>
      </c>
      <c r="F949" s="25" t="str">
        <f t="shared" ref="F949" si="1015">_xlfn.CONCAT("FretFluv",LEFT(C949,3),IF(INT(B949/11)&lt;8,RIGHT(C949,1),RIGHT(C949,2)),"Tech")</f>
        <v>FretFluvCat44Tech</v>
      </c>
      <c r="G949" s="26" t="s">
        <v>20</v>
      </c>
      <c r="H949" s="25">
        <f t="shared" si="1012"/>
        <v>1</v>
      </c>
      <c r="I949" s="28"/>
      <c r="J949" s="27" t="str">
        <f>VLOOKUP(C949,'Parcs types'!$B$65:$AA$120,5,FALSE)</f>
        <v>CCNR 2 + SCR, diesel</v>
      </c>
      <c r="L949" s="25" t="str">
        <f t="shared" si="1013"/>
        <v>CCNR 2 + SCR, diesel</v>
      </c>
    </row>
    <row r="950" spans="1:12" s="25" customFormat="1" outlineLevel="1" x14ac:dyDescent="0.25">
      <c r="A950" s="25" t="s">
        <v>134</v>
      </c>
      <c r="B950" s="25">
        <v>477</v>
      </c>
      <c r="C950" s="25" t="str">
        <f t="shared" si="981"/>
        <v>Catégorie 44</v>
      </c>
      <c r="D950" s="25" t="s">
        <v>140</v>
      </c>
      <c r="F950" s="25" t="str">
        <f t="shared" ref="F950" si="1016">_xlfn.CONCAT("FretFluv",LEFT(C950,3),IF(INT(B950/11)&lt;8,RIGHT(C950,1),RIGHT(C950,2)),"Request")</f>
        <v>FretFluvCat44Request</v>
      </c>
      <c r="G950" s="26" t="s">
        <v>20</v>
      </c>
      <c r="H950" s="25">
        <f>IF($I$15="Oui",1,0)</f>
        <v>1</v>
      </c>
      <c r="J950" s="27" t="s">
        <v>142</v>
      </c>
      <c r="L950" s="28"/>
    </row>
    <row r="951" spans="1:12" s="25" customFormat="1" outlineLevel="1" x14ac:dyDescent="0.25">
      <c r="A951" s="25" t="s">
        <v>134</v>
      </c>
      <c r="B951" s="25">
        <v>478</v>
      </c>
      <c r="C951" s="25" t="str">
        <f t="shared" si="981"/>
        <v>Catégorie 44</v>
      </c>
      <c r="D951" s="25" t="s">
        <v>144</v>
      </c>
      <c r="F951" s="25" t="str">
        <f t="shared" ref="F951" si="1017">_xlfn.CONCAT("FretFluv",LEFT(C951,3),IF(INT(B951/11)&lt;8,RIGHT(C951,1),RIGHT(C951,2)),"NbTraj")</f>
        <v>FretFluvCat44NbTraj</v>
      </c>
      <c r="G951" s="25" t="s">
        <v>17</v>
      </c>
      <c r="H951" s="25">
        <f>IF($I$15="Oui",1,0)*IF(ISNUMBER(SEARCH("Une estimation du nombre annuel de trajets pour ce type de barge",I950)),1,0)</f>
        <v>0</v>
      </c>
      <c r="I951" s="28"/>
      <c r="J951" s="27"/>
      <c r="K951" s="25" t="s">
        <v>145</v>
      </c>
      <c r="L951" s="28"/>
    </row>
    <row r="952" spans="1:12" s="25" customFormat="1" outlineLevel="1" x14ac:dyDescent="0.25">
      <c r="A952" s="25" t="s">
        <v>134</v>
      </c>
      <c r="B952" s="25">
        <v>479</v>
      </c>
      <c r="C952" s="25" t="str">
        <f t="shared" si="981"/>
        <v>Catégorie 44</v>
      </c>
      <c r="D952" s="25" t="s">
        <v>146</v>
      </c>
      <c r="F952" s="25" t="str">
        <f t="shared" ref="F952" si="1018">_xlfn.CONCAT("FretFluv",LEFT(C952,3),IF(INT(B952/11)&lt;8,RIGHT(C952,1),RIGHT(C952,2)),"DistMoy")</f>
        <v>FretFluvCat44DistMoy</v>
      </c>
      <c r="G952" s="25" t="s">
        <v>17</v>
      </c>
      <c r="H952" s="25">
        <f>IF($I$15="Oui",1,0)*IF(ISNUMBER(SEARCH("La distance moyenne d'un trajet",I950)),1,0)</f>
        <v>0</v>
      </c>
      <c r="I952" s="28"/>
      <c r="J952" s="27"/>
      <c r="K952" s="25" t="s">
        <v>88</v>
      </c>
      <c r="L952" s="28"/>
    </row>
    <row r="953" spans="1:12" s="25" customFormat="1" outlineLevel="1" x14ac:dyDescent="0.25">
      <c r="A953" s="25" t="s">
        <v>134</v>
      </c>
      <c r="B953" s="25">
        <v>480</v>
      </c>
      <c r="C953" s="25" t="str">
        <f t="shared" si="981"/>
        <v>Catégorie 44</v>
      </c>
      <c r="D953" s="25" t="s">
        <v>147</v>
      </c>
      <c r="F953" s="25" t="str">
        <f t="shared" ref="F953" si="1019">_xlfn.CONCAT("FretFluv",LEFT(C953,3),IF(INT(B953/11)&lt;8,RIGHT(C953,1),RIGHT(C953,2)),"EmportMoy")</f>
        <v>FretFluvCat44EmportMoy</v>
      </c>
      <c r="G953" s="25" t="s">
        <v>17</v>
      </c>
      <c r="H953" s="25">
        <f>IF($I$15="Oui",1,0)*IF(ISNUMBER(SEARCH("La masse moyenne transportée pour un trajet",I950)),1,0)</f>
        <v>0</v>
      </c>
      <c r="I953" s="28"/>
      <c r="J953" s="27"/>
      <c r="K953" s="25" t="s">
        <v>148</v>
      </c>
      <c r="L953" s="28"/>
    </row>
    <row r="954" spans="1:12" s="25" customFormat="1" outlineLevel="1" x14ac:dyDescent="0.25">
      <c r="A954" s="25" t="s">
        <v>134</v>
      </c>
      <c r="B954" s="25">
        <v>481</v>
      </c>
      <c r="C954" s="25" t="str">
        <f t="shared" si="981"/>
        <v>Catégorie 44</v>
      </c>
      <c r="D954" s="25" t="s">
        <v>149</v>
      </c>
      <c r="F954" s="25" t="str">
        <f t="shared" ref="F954" si="1020">_xlfn.CONCAT("FretFluv",LEFT(C954,3),IF(INT(B954/11)&lt;8,RIGHT(C954,1),RIGHT(C954,2)),"DistAn")</f>
        <v>FretFluvCat44DistAn</v>
      </c>
      <c r="G954" s="25" t="s">
        <v>17</v>
      </c>
      <c r="H954" s="25">
        <f>IF($I$15="Oui",1,0)*IF(ISNUMBER(SEARCH("La distance parcourue annuellement pour ce type de barge",I950)),1,0)</f>
        <v>0</v>
      </c>
      <c r="I954" s="28"/>
      <c r="J954" s="27"/>
      <c r="K954" s="25" t="s">
        <v>88</v>
      </c>
      <c r="L954" s="28"/>
    </row>
    <row r="955" spans="1:12" s="25" customFormat="1" outlineLevel="1" x14ac:dyDescent="0.25">
      <c r="A955" s="25" t="s">
        <v>134</v>
      </c>
      <c r="B955" s="25">
        <v>482</v>
      </c>
      <c r="C955" s="25" t="str">
        <f t="shared" si="981"/>
        <v>Catégorie 44</v>
      </c>
      <c r="D955" s="25" t="s">
        <v>150</v>
      </c>
      <c r="F955" s="25" t="str">
        <f t="shared" ref="F955" si="1021">_xlfn.CONCAT("FretFluv",LEFT(C955,3),IF(INT(B955/11)&lt;8,RIGHT(C955,1),RIGHT(C955,2)),"TauxChargeMoy")</f>
        <v>FretFluvCat44TauxChargeMoy</v>
      </c>
      <c r="G955" s="25" t="s">
        <v>17</v>
      </c>
      <c r="H955" s="25">
        <f>IF($I$15="Oui",1,0)*IF(ISNUMBER(SEARCH("Le taux de chargement moyen",I950)),1,0)</f>
        <v>0</v>
      </c>
      <c r="I955" s="28"/>
      <c r="J955" s="27"/>
      <c r="K955" s="25" t="s">
        <v>70</v>
      </c>
      <c r="L955" s="28"/>
    </row>
    <row r="956" spans="1:12" s="25" customFormat="1" outlineLevel="1" x14ac:dyDescent="0.25">
      <c r="A956" s="25" t="s">
        <v>134</v>
      </c>
      <c r="B956" s="25">
        <v>483</v>
      </c>
      <c r="C956" s="25" t="str">
        <f t="shared" si="981"/>
        <v>Catégorie 44</v>
      </c>
      <c r="D956" s="26" t="s">
        <v>526</v>
      </c>
      <c r="F956" s="25" t="str">
        <f t="shared" ref="F956" si="1022">_xlfn.CONCAT("FretFluv",LEFT(C956,3),IF(INT(B956/11)&lt;8,RIGHT(C956,1),RIGHT(C956,2)),"NbBarges")</f>
        <v>FretFluvCat44NbBarges</v>
      </c>
      <c r="G956" s="25" t="s">
        <v>17</v>
      </c>
      <c r="H956" s="25">
        <f>IF($I$15="Oui",1,0)</f>
        <v>1</v>
      </c>
      <c r="I956" s="28"/>
      <c r="J956" s="27"/>
      <c r="K956" s="25" t="s">
        <v>151</v>
      </c>
      <c r="L956" s="28"/>
    </row>
    <row r="957" spans="1:12" s="25" customFormat="1" outlineLevel="1" x14ac:dyDescent="0.25">
      <c r="A957" s="25" t="s">
        <v>134</v>
      </c>
      <c r="B957" s="25">
        <v>484</v>
      </c>
      <c r="C957" s="25" t="str">
        <f t="shared" si="981"/>
        <v>Catégorie 45</v>
      </c>
      <c r="D957" s="25" t="s">
        <v>135</v>
      </c>
      <c r="F957" s="25" t="str">
        <f t="shared" ref="F957" si="1023">_xlfn.CONCAT("FretFluv",LEFT(C957,3),IF(INT(B957/11)&lt;8,RIGHT(C957,1),RIGHT(C957,2)),"Nom")</f>
        <v>FretFluvCat45Nom</v>
      </c>
      <c r="G957" s="26" t="s">
        <v>20</v>
      </c>
      <c r="H957" s="25">
        <f>IF($I$15="Oui",1,0)</f>
        <v>1</v>
      </c>
      <c r="I957" s="28"/>
      <c r="J957" s="27" t="str">
        <f>VLOOKUP(C957,'Parcs types'!$B$65:$AA$120,2,FALSE)</f>
        <v>Pousseurs &lt;880 kW Phase V, diesel</v>
      </c>
      <c r="L957" s="25" t="str">
        <f>J957</f>
        <v>Pousseurs &lt;880 kW Phase V, diesel</v>
      </c>
    </row>
    <row r="958" spans="1:12" s="25" customFormat="1" outlineLevel="1" x14ac:dyDescent="0.25">
      <c r="A958" s="25" t="s">
        <v>134</v>
      </c>
      <c r="B958" s="25">
        <v>485</v>
      </c>
      <c r="C958" s="25" t="str">
        <f t="shared" si="981"/>
        <v>Catégorie 45</v>
      </c>
      <c r="D958" s="25" t="s">
        <v>136</v>
      </c>
      <c r="F958" s="25" t="str">
        <f t="shared" ref="F958" si="1024">_xlfn.CONCAT("FretFluv",LEFT(C958,3),IF(INT(B958/11)&lt;8,RIGHT(C958,1),RIGHT(C958,2)),"Type")</f>
        <v>FretFluvCat45Type</v>
      </c>
      <c r="G958" s="25" t="s">
        <v>20</v>
      </c>
      <c r="H958" s="25">
        <f t="shared" ref="H958:H960" si="1025">IF($I$15="Oui",1,0)</f>
        <v>1</v>
      </c>
      <c r="I958" s="28"/>
      <c r="J958" s="27" t="str">
        <f>VLOOKUP(C958,'Parcs types'!$B$65:$AA$120,3,FALSE)</f>
        <v>Pousseurs</v>
      </c>
      <c r="L958" s="25" t="str">
        <f t="shared" ref="L958:L960" si="1026">J958</f>
        <v>Pousseurs</v>
      </c>
    </row>
    <row r="959" spans="1:12" s="25" customFormat="1" outlineLevel="1" x14ac:dyDescent="0.25">
      <c r="A959" s="25" t="s">
        <v>134</v>
      </c>
      <c r="B959" s="25">
        <v>486</v>
      </c>
      <c r="C959" s="25" t="str">
        <f t="shared" si="981"/>
        <v>Catégorie 45</v>
      </c>
      <c r="D959" s="26" t="s">
        <v>137</v>
      </c>
      <c r="F959" s="25" t="str">
        <f t="shared" ref="F959" si="1027">_xlfn.CONCAT("FretFluv",LEFT(C959,3),IF(INT(B959/11)&lt;8,RIGHT(C959,1),RIGHT(C959,2)),"Cap")</f>
        <v>FretFluvCat45Cap</v>
      </c>
      <c r="G959" s="26" t="s">
        <v>36</v>
      </c>
      <c r="H959" s="25">
        <f t="shared" si="1025"/>
        <v>1</v>
      </c>
      <c r="I959" s="28"/>
      <c r="J959" s="27" t="str">
        <f>VLOOKUP(C959,'Parcs types'!$B$65:$AA$120,4,FALSE)</f>
        <v>&lt;880 kW</v>
      </c>
      <c r="K959" s="25" t="s">
        <v>524</v>
      </c>
      <c r="L959" s="25" t="str">
        <f t="shared" si="1026"/>
        <v>&lt;880 kW</v>
      </c>
    </row>
    <row r="960" spans="1:12" s="25" customFormat="1" outlineLevel="1" x14ac:dyDescent="0.25">
      <c r="A960" s="25" t="s">
        <v>134</v>
      </c>
      <c r="B960" s="25">
        <v>487</v>
      </c>
      <c r="C960" s="25" t="str">
        <f t="shared" si="981"/>
        <v>Catégorie 45</v>
      </c>
      <c r="D960" s="26" t="s">
        <v>525</v>
      </c>
      <c r="F960" s="25" t="str">
        <f t="shared" ref="F960" si="1028">_xlfn.CONCAT("FretFluv",LEFT(C960,3),IF(INT(B960/11)&lt;8,RIGHT(C960,1),RIGHT(C960,2)),"Tech")</f>
        <v>FretFluvCat45Tech</v>
      </c>
      <c r="G960" s="26" t="s">
        <v>20</v>
      </c>
      <c r="H960" s="25">
        <f t="shared" si="1025"/>
        <v>1</v>
      </c>
      <c r="I960" s="28"/>
      <c r="J960" s="27" t="str">
        <f>VLOOKUP(C960,'Parcs types'!$B$65:$AA$120,5,FALSE)</f>
        <v>Phase V, diesel</v>
      </c>
      <c r="L960" s="25" t="str">
        <f t="shared" si="1026"/>
        <v>Phase V, diesel</v>
      </c>
    </row>
    <row r="961" spans="1:12" s="25" customFormat="1" outlineLevel="1" x14ac:dyDescent="0.25">
      <c r="A961" s="25" t="s">
        <v>134</v>
      </c>
      <c r="B961" s="25">
        <v>488</v>
      </c>
      <c r="C961" s="25" t="str">
        <f t="shared" si="981"/>
        <v>Catégorie 45</v>
      </c>
      <c r="D961" s="25" t="s">
        <v>140</v>
      </c>
      <c r="F961" s="25" t="str">
        <f t="shared" ref="F961" si="1029">_xlfn.CONCAT("FretFluv",LEFT(C961,3),IF(INT(B961/11)&lt;8,RIGHT(C961,1),RIGHT(C961,2)),"Request")</f>
        <v>FretFluvCat45Request</v>
      </c>
      <c r="G961" s="26" t="s">
        <v>20</v>
      </c>
      <c r="H961" s="25">
        <f>IF($I$15="Oui",1,0)</f>
        <v>1</v>
      </c>
      <c r="J961" s="27" t="s">
        <v>142</v>
      </c>
      <c r="L961" s="28"/>
    </row>
    <row r="962" spans="1:12" s="25" customFormat="1" outlineLevel="1" x14ac:dyDescent="0.25">
      <c r="A962" s="25" t="s">
        <v>134</v>
      </c>
      <c r="B962" s="25">
        <v>489</v>
      </c>
      <c r="C962" s="25" t="str">
        <f t="shared" si="981"/>
        <v>Catégorie 45</v>
      </c>
      <c r="D962" s="25" t="s">
        <v>144</v>
      </c>
      <c r="F962" s="25" t="str">
        <f t="shared" ref="F962" si="1030">_xlfn.CONCAT("FretFluv",LEFT(C962,3),IF(INT(B962/11)&lt;8,RIGHT(C962,1),RIGHT(C962,2)),"NbTraj")</f>
        <v>FretFluvCat45NbTraj</v>
      </c>
      <c r="G962" s="25" t="s">
        <v>17</v>
      </c>
      <c r="H962" s="25">
        <f>IF($I$15="Oui",1,0)*IF(ISNUMBER(SEARCH("Une estimation du nombre annuel de trajets pour ce type de barge",I961)),1,0)</f>
        <v>0</v>
      </c>
      <c r="I962" s="28"/>
      <c r="J962" s="27"/>
      <c r="K962" s="25" t="s">
        <v>145</v>
      </c>
      <c r="L962" s="28"/>
    </row>
    <row r="963" spans="1:12" s="25" customFormat="1" outlineLevel="1" x14ac:dyDescent="0.25">
      <c r="A963" s="25" t="s">
        <v>134</v>
      </c>
      <c r="B963" s="25">
        <v>490</v>
      </c>
      <c r="C963" s="25" t="str">
        <f t="shared" si="981"/>
        <v>Catégorie 45</v>
      </c>
      <c r="D963" s="25" t="s">
        <v>146</v>
      </c>
      <c r="F963" s="25" t="str">
        <f t="shared" ref="F963" si="1031">_xlfn.CONCAT("FretFluv",LEFT(C963,3),IF(INT(B963/11)&lt;8,RIGHT(C963,1),RIGHT(C963,2)),"DistMoy")</f>
        <v>FretFluvCat45DistMoy</v>
      </c>
      <c r="G963" s="25" t="s">
        <v>17</v>
      </c>
      <c r="H963" s="25">
        <f>IF($I$15="Oui",1,0)*IF(ISNUMBER(SEARCH("La distance moyenne d'un trajet",I961)),1,0)</f>
        <v>0</v>
      </c>
      <c r="I963" s="28"/>
      <c r="J963" s="27"/>
      <c r="K963" s="25" t="s">
        <v>88</v>
      </c>
      <c r="L963" s="28"/>
    </row>
    <row r="964" spans="1:12" s="25" customFormat="1" outlineLevel="1" x14ac:dyDescent="0.25">
      <c r="A964" s="25" t="s">
        <v>134</v>
      </c>
      <c r="B964" s="25">
        <v>491</v>
      </c>
      <c r="C964" s="25" t="str">
        <f t="shared" si="981"/>
        <v>Catégorie 45</v>
      </c>
      <c r="D964" s="25" t="s">
        <v>147</v>
      </c>
      <c r="F964" s="25" t="str">
        <f t="shared" ref="F964" si="1032">_xlfn.CONCAT("FretFluv",LEFT(C964,3),IF(INT(B964/11)&lt;8,RIGHT(C964,1),RIGHT(C964,2)),"EmportMoy")</f>
        <v>FretFluvCat45EmportMoy</v>
      </c>
      <c r="G964" s="25" t="s">
        <v>17</v>
      </c>
      <c r="H964" s="25">
        <f>IF($I$15="Oui",1,0)*IF(ISNUMBER(SEARCH("La masse moyenne transportée pour un trajet",I961)),1,0)</f>
        <v>0</v>
      </c>
      <c r="I964" s="28"/>
      <c r="J964" s="27"/>
      <c r="K964" s="25" t="s">
        <v>148</v>
      </c>
      <c r="L964" s="28"/>
    </row>
    <row r="965" spans="1:12" s="25" customFormat="1" outlineLevel="1" x14ac:dyDescent="0.25">
      <c r="A965" s="25" t="s">
        <v>134</v>
      </c>
      <c r="B965" s="25">
        <v>492</v>
      </c>
      <c r="C965" s="25" t="str">
        <f t="shared" si="981"/>
        <v>Catégorie 45</v>
      </c>
      <c r="D965" s="25" t="s">
        <v>149</v>
      </c>
      <c r="F965" s="25" t="str">
        <f t="shared" ref="F965" si="1033">_xlfn.CONCAT("FretFluv",LEFT(C965,3),IF(INT(B965/11)&lt;8,RIGHT(C965,1),RIGHT(C965,2)),"DistAn")</f>
        <v>FretFluvCat45DistAn</v>
      </c>
      <c r="G965" s="25" t="s">
        <v>17</v>
      </c>
      <c r="H965" s="25">
        <f>IF($I$15="Oui",1,0)*IF(ISNUMBER(SEARCH("La distance parcourue annuellement pour ce type de barge",I961)),1,0)</f>
        <v>0</v>
      </c>
      <c r="I965" s="28"/>
      <c r="J965" s="27"/>
      <c r="K965" s="25" t="s">
        <v>88</v>
      </c>
    </row>
    <row r="966" spans="1:12" s="25" customFormat="1" outlineLevel="1" x14ac:dyDescent="0.25">
      <c r="A966" s="25" t="s">
        <v>134</v>
      </c>
      <c r="B966" s="25">
        <v>493</v>
      </c>
      <c r="C966" s="25" t="str">
        <f t="shared" si="981"/>
        <v>Catégorie 45</v>
      </c>
      <c r="D966" s="25" t="s">
        <v>150</v>
      </c>
      <c r="F966" s="25" t="str">
        <f t="shared" ref="F966" si="1034">_xlfn.CONCAT("FretFluv",LEFT(C966,3),IF(INT(B966/11)&lt;8,RIGHT(C966,1),RIGHT(C966,2)),"TauxChargeMoy")</f>
        <v>FretFluvCat45TauxChargeMoy</v>
      </c>
      <c r="G966" s="25" t="s">
        <v>17</v>
      </c>
      <c r="H966" s="25">
        <f>IF($I$15="Oui",1,0)*IF(ISNUMBER(SEARCH("Le taux de chargement moyen",I961)),1,0)</f>
        <v>0</v>
      </c>
      <c r="I966" s="28"/>
      <c r="J966" s="27"/>
      <c r="K966" s="25" t="s">
        <v>70</v>
      </c>
    </row>
    <row r="967" spans="1:12" s="25" customFormat="1" outlineLevel="1" x14ac:dyDescent="0.25">
      <c r="A967" s="25" t="s">
        <v>134</v>
      </c>
      <c r="B967" s="25">
        <v>494</v>
      </c>
      <c r="C967" s="25" t="str">
        <f t="shared" si="981"/>
        <v>Catégorie 45</v>
      </c>
      <c r="D967" s="26" t="s">
        <v>526</v>
      </c>
      <c r="F967" s="25" t="str">
        <f t="shared" ref="F967" si="1035">_xlfn.CONCAT("FretFluv",LEFT(C967,3),IF(INT(B967/11)&lt;8,RIGHT(C967,1),RIGHT(C967,2)),"NbBarges")</f>
        <v>FretFluvCat45NbBarges</v>
      </c>
      <c r="G967" s="25" t="s">
        <v>17</v>
      </c>
      <c r="H967" s="25">
        <f>IF($I$15="Oui",1,0)</f>
        <v>1</v>
      </c>
      <c r="I967" s="28"/>
      <c r="J967" s="27"/>
      <c r="K967" s="25" t="s">
        <v>151</v>
      </c>
    </row>
    <row r="968" spans="1:12" s="25" customFormat="1" outlineLevel="1" x14ac:dyDescent="0.25">
      <c r="A968" s="25" t="s">
        <v>134</v>
      </c>
      <c r="B968" s="25">
        <v>495</v>
      </c>
      <c r="C968" s="25" t="str">
        <f t="shared" si="981"/>
        <v>Catégorie 46</v>
      </c>
      <c r="D968" s="25" t="s">
        <v>135</v>
      </c>
      <c r="F968" s="25" t="str">
        <f t="shared" ref="F968" si="1036">_xlfn.CONCAT("FretFluv",LEFT(C968,3),IF(INT(B968/11)&lt;8,RIGHT(C968,1),RIGHT(C968,2)),"Nom")</f>
        <v>FretFluvCat46Nom</v>
      </c>
      <c r="G968" s="26" t="s">
        <v>20</v>
      </c>
      <c r="H968" s="25">
        <f>IF($I$15="Oui",1,0)</f>
        <v>1</v>
      </c>
      <c r="I968" s="28"/>
      <c r="J968" s="27" t="str">
        <f>VLOOKUP(C968,'Parcs types'!$B$65:$AA$120,2,FALSE)</f>
        <v>Pousseurs &lt;880 kW Phase V, HVO</v>
      </c>
      <c r="L968" s="25" t="str">
        <f>J968</f>
        <v>Pousseurs &lt;880 kW Phase V, HVO</v>
      </c>
    </row>
    <row r="969" spans="1:12" s="25" customFormat="1" outlineLevel="1" x14ac:dyDescent="0.25">
      <c r="A969" s="25" t="s">
        <v>134</v>
      </c>
      <c r="B969" s="25">
        <v>496</v>
      </c>
      <c r="C969" s="25" t="str">
        <f t="shared" si="981"/>
        <v>Catégorie 46</v>
      </c>
      <c r="D969" s="25" t="s">
        <v>136</v>
      </c>
      <c r="F969" s="25" t="str">
        <f t="shared" ref="F969" si="1037">_xlfn.CONCAT("FretFluv",LEFT(C969,3),IF(INT(B969/11)&lt;8,RIGHT(C969,1),RIGHT(C969,2)),"Type")</f>
        <v>FretFluvCat46Type</v>
      </c>
      <c r="G969" s="25" t="s">
        <v>20</v>
      </c>
      <c r="H969" s="25">
        <f t="shared" ref="H969:H971" si="1038">IF($I$15="Oui",1,0)</f>
        <v>1</v>
      </c>
      <c r="I969" s="28"/>
      <c r="J969" s="27" t="str">
        <f>VLOOKUP(C969,'Parcs types'!$B$65:$AA$120,3,FALSE)</f>
        <v>Pousseurs</v>
      </c>
      <c r="L969" s="25" t="str">
        <f t="shared" ref="L969:L971" si="1039">J969</f>
        <v>Pousseurs</v>
      </c>
    </row>
    <row r="970" spans="1:12" s="25" customFormat="1" outlineLevel="1" x14ac:dyDescent="0.25">
      <c r="A970" s="25" t="s">
        <v>134</v>
      </c>
      <c r="B970" s="25">
        <v>497</v>
      </c>
      <c r="C970" s="25" t="str">
        <f t="shared" si="981"/>
        <v>Catégorie 46</v>
      </c>
      <c r="D970" s="26" t="s">
        <v>137</v>
      </c>
      <c r="F970" s="25" t="str">
        <f t="shared" ref="F970" si="1040">_xlfn.CONCAT("FretFluv",LEFT(C970,3),IF(INT(B970/11)&lt;8,RIGHT(C970,1),RIGHT(C970,2)),"Cap")</f>
        <v>FretFluvCat46Cap</v>
      </c>
      <c r="G970" s="26" t="s">
        <v>36</v>
      </c>
      <c r="H970" s="25">
        <f t="shared" si="1038"/>
        <v>1</v>
      </c>
      <c r="I970" s="28"/>
      <c r="J970" s="27" t="str">
        <f>VLOOKUP(C970,'Parcs types'!$B$65:$AA$120,4,FALSE)</f>
        <v>&lt;880 kW</v>
      </c>
      <c r="K970" s="25" t="s">
        <v>524</v>
      </c>
      <c r="L970" s="25" t="str">
        <f t="shared" si="1039"/>
        <v>&lt;880 kW</v>
      </c>
    </row>
    <row r="971" spans="1:12" s="25" customFormat="1" outlineLevel="1" x14ac:dyDescent="0.25">
      <c r="A971" s="25" t="s">
        <v>134</v>
      </c>
      <c r="B971" s="25">
        <v>498</v>
      </c>
      <c r="C971" s="25" t="str">
        <f t="shared" si="981"/>
        <v>Catégorie 46</v>
      </c>
      <c r="D971" s="26" t="s">
        <v>525</v>
      </c>
      <c r="F971" s="25" t="str">
        <f t="shared" ref="F971" si="1041">_xlfn.CONCAT("FretFluv",LEFT(C971,3),IF(INT(B971/11)&lt;8,RIGHT(C971,1),RIGHT(C971,2)),"Tech")</f>
        <v>FretFluvCat46Tech</v>
      </c>
      <c r="G971" s="26" t="s">
        <v>20</v>
      </c>
      <c r="H971" s="25">
        <f t="shared" si="1038"/>
        <v>1</v>
      </c>
      <c r="I971" s="28"/>
      <c r="J971" s="27" t="str">
        <f>VLOOKUP(C971,'Parcs types'!$B$65:$AA$120,5,FALSE)</f>
        <v>Phase V, HVO</v>
      </c>
      <c r="L971" s="25" t="str">
        <f t="shared" si="1039"/>
        <v>Phase V, HVO</v>
      </c>
    </row>
    <row r="972" spans="1:12" s="25" customFormat="1" outlineLevel="1" x14ac:dyDescent="0.25">
      <c r="A972" s="25" t="s">
        <v>134</v>
      </c>
      <c r="B972" s="25">
        <v>499</v>
      </c>
      <c r="C972" s="25" t="str">
        <f t="shared" si="981"/>
        <v>Catégorie 46</v>
      </c>
      <c r="D972" s="25" t="s">
        <v>140</v>
      </c>
      <c r="F972" s="25" t="str">
        <f t="shared" ref="F972" si="1042">_xlfn.CONCAT("FretFluv",LEFT(C972,3),IF(INT(B972/11)&lt;8,RIGHT(C972,1),RIGHT(C972,2)),"Request")</f>
        <v>FretFluvCat46Request</v>
      </c>
      <c r="G972" s="26" t="s">
        <v>20</v>
      </c>
      <c r="H972" s="25">
        <f>IF($I$15="Oui",1,0)</f>
        <v>1</v>
      </c>
      <c r="J972" s="27" t="s">
        <v>142</v>
      </c>
      <c r="L972" s="28"/>
    </row>
    <row r="973" spans="1:12" s="25" customFormat="1" outlineLevel="1" x14ac:dyDescent="0.25">
      <c r="A973" s="25" t="s">
        <v>134</v>
      </c>
      <c r="B973" s="25">
        <v>500</v>
      </c>
      <c r="C973" s="25" t="str">
        <f t="shared" si="981"/>
        <v>Catégorie 46</v>
      </c>
      <c r="D973" s="25" t="s">
        <v>144</v>
      </c>
      <c r="F973" s="25" t="str">
        <f t="shared" ref="F973" si="1043">_xlfn.CONCAT("FretFluv",LEFT(C973,3),IF(INT(B973/11)&lt;8,RIGHT(C973,1),RIGHT(C973,2)),"NbTraj")</f>
        <v>FretFluvCat46NbTraj</v>
      </c>
      <c r="G973" s="25" t="s">
        <v>17</v>
      </c>
      <c r="H973" s="25">
        <f>IF($I$15="Oui",1,0)*IF(ISNUMBER(SEARCH("Une estimation du nombre annuel de trajets pour ce type de barge",I972)),1,0)</f>
        <v>0</v>
      </c>
      <c r="I973" s="28"/>
      <c r="J973" s="27"/>
      <c r="K973" s="25" t="s">
        <v>145</v>
      </c>
      <c r="L973" s="28"/>
    </row>
    <row r="974" spans="1:12" s="25" customFormat="1" outlineLevel="1" x14ac:dyDescent="0.25">
      <c r="A974" s="25" t="s">
        <v>134</v>
      </c>
      <c r="B974" s="25">
        <v>501</v>
      </c>
      <c r="C974" s="25" t="str">
        <f t="shared" si="981"/>
        <v>Catégorie 46</v>
      </c>
      <c r="D974" s="25" t="s">
        <v>146</v>
      </c>
      <c r="F974" s="25" t="str">
        <f t="shared" ref="F974" si="1044">_xlfn.CONCAT("FretFluv",LEFT(C974,3),IF(INT(B974/11)&lt;8,RIGHT(C974,1),RIGHT(C974,2)),"DistMoy")</f>
        <v>FretFluvCat46DistMoy</v>
      </c>
      <c r="G974" s="25" t="s">
        <v>17</v>
      </c>
      <c r="H974" s="25">
        <f>IF($I$15="Oui",1,0)*IF(ISNUMBER(SEARCH("La distance moyenne d'un trajet",I972)),1,0)</f>
        <v>0</v>
      </c>
      <c r="I974" s="28"/>
      <c r="J974" s="27"/>
      <c r="K974" s="25" t="s">
        <v>88</v>
      </c>
      <c r="L974" s="28"/>
    </row>
    <row r="975" spans="1:12" s="25" customFormat="1" outlineLevel="1" x14ac:dyDescent="0.25">
      <c r="A975" s="25" t="s">
        <v>134</v>
      </c>
      <c r="B975" s="25">
        <v>502</v>
      </c>
      <c r="C975" s="25" t="str">
        <f t="shared" si="981"/>
        <v>Catégorie 46</v>
      </c>
      <c r="D975" s="25" t="s">
        <v>147</v>
      </c>
      <c r="F975" s="25" t="str">
        <f t="shared" ref="F975" si="1045">_xlfn.CONCAT("FretFluv",LEFT(C975,3),IF(INT(B975/11)&lt;8,RIGHT(C975,1),RIGHT(C975,2)),"EmportMoy")</f>
        <v>FretFluvCat46EmportMoy</v>
      </c>
      <c r="G975" s="25" t="s">
        <v>17</v>
      </c>
      <c r="H975" s="25">
        <f>IF($I$15="Oui",1,0)*IF(ISNUMBER(SEARCH("La masse moyenne transportée pour un trajet",I972)),1,0)</f>
        <v>0</v>
      </c>
      <c r="I975" s="28"/>
      <c r="J975" s="27"/>
      <c r="K975" s="25" t="s">
        <v>148</v>
      </c>
      <c r="L975" s="28"/>
    </row>
    <row r="976" spans="1:12" s="25" customFormat="1" outlineLevel="1" x14ac:dyDescent="0.25">
      <c r="A976" s="25" t="s">
        <v>134</v>
      </c>
      <c r="B976" s="25">
        <v>503</v>
      </c>
      <c r="C976" s="25" t="str">
        <f t="shared" si="981"/>
        <v>Catégorie 46</v>
      </c>
      <c r="D976" s="25" t="s">
        <v>149</v>
      </c>
      <c r="F976" s="25" t="str">
        <f t="shared" ref="F976" si="1046">_xlfn.CONCAT("FretFluv",LEFT(C976,3),IF(INT(B976/11)&lt;8,RIGHT(C976,1),RIGHT(C976,2)),"DistAn")</f>
        <v>FretFluvCat46DistAn</v>
      </c>
      <c r="G976" s="25" t="s">
        <v>17</v>
      </c>
      <c r="H976" s="25">
        <f>IF($I$15="Oui",1,0)*IF(ISNUMBER(SEARCH("La distance parcourue annuellement pour ce type de barge",I972)),1,0)</f>
        <v>0</v>
      </c>
      <c r="I976" s="28"/>
      <c r="J976" s="27"/>
      <c r="K976" s="25" t="s">
        <v>88</v>
      </c>
      <c r="L976" s="28"/>
    </row>
    <row r="977" spans="1:12" s="25" customFormat="1" outlineLevel="1" x14ac:dyDescent="0.25">
      <c r="A977" s="25" t="s">
        <v>134</v>
      </c>
      <c r="B977" s="25">
        <v>504</v>
      </c>
      <c r="C977" s="25" t="str">
        <f t="shared" si="981"/>
        <v>Catégorie 46</v>
      </c>
      <c r="D977" s="25" t="s">
        <v>150</v>
      </c>
      <c r="F977" s="25" t="str">
        <f t="shared" ref="F977" si="1047">_xlfn.CONCAT("FretFluv",LEFT(C977,3),IF(INT(B977/11)&lt;8,RIGHT(C977,1),RIGHT(C977,2)),"TauxChargeMoy")</f>
        <v>FretFluvCat46TauxChargeMoy</v>
      </c>
      <c r="G977" s="25" t="s">
        <v>17</v>
      </c>
      <c r="H977" s="25">
        <f>IF($I$15="Oui",1,0)*IF(ISNUMBER(SEARCH("Le taux de chargement moyen",I972)),1,0)</f>
        <v>0</v>
      </c>
      <c r="I977" s="28"/>
      <c r="J977" s="27"/>
      <c r="K977" s="25" t="s">
        <v>70</v>
      </c>
      <c r="L977" s="28"/>
    </row>
    <row r="978" spans="1:12" s="25" customFormat="1" outlineLevel="1" x14ac:dyDescent="0.25">
      <c r="A978" s="25" t="s">
        <v>134</v>
      </c>
      <c r="B978" s="25">
        <v>505</v>
      </c>
      <c r="C978" s="25" t="str">
        <f t="shared" si="981"/>
        <v>Catégorie 46</v>
      </c>
      <c r="D978" s="26" t="s">
        <v>526</v>
      </c>
      <c r="F978" s="25" t="str">
        <f t="shared" ref="F978" si="1048">_xlfn.CONCAT("FretFluv",LEFT(C978,3),IF(INT(B978/11)&lt;8,RIGHT(C978,1),RIGHT(C978,2)),"NbBarges")</f>
        <v>FretFluvCat46NbBarges</v>
      </c>
      <c r="G978" s="25" t="s">
        <v>17</v>
      </c>
      <c r="H978" s="25">
        <f>IF($I$15="Oui",1,0)</f>
        <v>1</v>
      </c>
      <c r="I978" s="28"/>
      <c r="J978" s="27"/>
      <c r="K978" s="25" t="s">
        <v>151</v>
      </c>
      <c r="L978" s="28"/>
    </row>
    <row r="979" spans="1:12" s="25" customFormat="1" outlineLevel="1" x14ac:dyDescent="0.25">
      <c r="A979" s="25" t="s">
        <v>134</v>
      </c>
      <c r="B979" s="25">
        <v>506</v>
      </c>
      <c r="C979" s="25" t="str">
        <f t="shared" si="981"/>
        <v>Catégorie 47</v>
      </c>
      <c r="D979" s="25" t="s">
        <v>135</v>
      </c>
      <c r="F979" s="25" t="str">
        <f t="shared" ref="F979" si="1049">_xlfn.CONCAT("FretFluv",LEFT(C979,3),IF(INT(B979/11)&lt;8,RIGHT(C979,1),RIGHT(C979,2)),"Nom")</f>
        <v>FretFluvCat47Nom</v>
      </c>
      <c r="G979" s="26" t="s">
        <v>20</v>
      </c>
      <c r="H979" s="25">
        <f>IF($I$15="Oui",1,0)</f>
        <v>1</v>
      </c>
      <c r="I979" s="28"/>
      <c r="J979" s="27" t="str">
        <f>VLOOKUP(C979,'Parcs types'!$B$65:$AA$120,2,FALSE)</f>
        <v>Pousseurs &lt;880 kW Batterie</v>
      </c>
      <c r="L979" s="25" t="str">
        <f>J979</f>
        <v>Pousseurs &lt;880 kW Batterie</v>
      </c>
    </row>
    <row r="980" spans="1:12" s="25" customFormat="1" outlineLevel="1" x14ac:dyDescent="0.25">
      <c r="A980" s="25" t="s">
        <v>134</v>
      </c>
      <c r="B980" s="25">
        <v>507</v>
      </c>
      <c r="C980" s="25" t="str">
        <f t="shared" si="981"/>
        <v>Catégorie 47</v>
      </c>
      <c r="D980" s="25" t="s">
        <v>136</v>
      </c>
      <c r="F980" s="25" t="str">
        <f t="shared" ref="F980" si="1050">_xlfn.CONCAT("FretFluv",LEFT(C980,3),IF(INT(B980/11)&lt;8,RIGHT(C980,1),RIGHT(C980,2)),"Type")</f>
        <v>FretFluvCat47Type</v>
      </c>
      <c r="G980" s="25" t="s">
        <v>20</v>
      </c>
      <c r="H980" s="25">
        <f t="shared" ref="H980:H982" si="1051">IF($I$15="Oui",1,0)</f>
        <v>1</v>
      </c>
      <c r="I980" s="28"/>
      <c r="J980" s="27" t="str">
        <f>VLOOKUP(C980,'Parcs types'!$B$65:$AA$120,3,FALSE)</f>
        <v>Pousseurs</v>
      </c>
      <c r="L980" s="25" t="str">
        <f t="shared" ref="L980:L982" si="1052">J980</f>
        <v>Pousseurs</v>
      </c>
    </row>
    <row r="981" spans="1:12" s="25" customFormat="1" outlineLevel="1" x14ac:dyDescent="0.25">
      <c r="A981" s="25" t="s">
        <v>134</v>
      </c>
      <c r="B981" s="25">
        <v>508</v>
      </c>
      <c r="C981" s="25" t="str">
        <f t="shared" si="981"/>
        <v>Catégorie 47</v>
      </c>
      <c r="D981" s="26" t="s">
        <v>137</v>
      </c>
      <c r="F981" s="25" t="str">
        <f t="shared" ref="F981" si="1053">_xlfn.CONCAT("FretFluv",LEFT(C981,3),IF(INT(B981/11)&lt;8,RIGHT(C981,1),RIGHT(C981,2)),"Cap")</f>
        <v>FretFluvCat47Cap</v>
      </c>
      <c r="G981" s="26" t="s">
        <v>36</v>
      </c>
      <c r="H981" s="25">
        <f t="shared" si="1051"/>
        <v>1</v>
      </c>
      <c r="I981" s="28"/>
      <c r="J981" s="27" t="str">
        <f>VLOOKUP(C981,'Parcs types'!$B$65:$AA$120,4,FALSE)</f>
        <v>&lt;880 kW</v>
      </c>
      <c r="K981" s="25" t="s">
        <v>524</v>
      </c>
      <c r="L981" s="25" t="str">
        <f t="shared" si="1052"/>
        <v>&lt;880 kW</v>
      </c>
    </row>
    <row r="982" spans="1:12" s="25" customFormat="1" outlineLevel="1" x14ac:dyDescent="0.25">
      <c r="A982" s="25" t="s">
        <v>134</v>
      </c>
      <c r="B982" s="25">
        <v>509</v>
      </c>
      <c r="C982" s="25" t="str">
        <f t="shared" si="981"/>
        <v>Catégorie 47</v>
      </c>
      <c r="D982" s="26" t="s">
        <v>525</v>
      </c>
      <c r="F982" s="25" t="str">
        <f t="shared" ref="F982" si="1054">_xlfn.CONCAT("FretFluv",LEFT(C982,3),IF(INT(B982/11)&lt;8,RIGHT(C982,1),RIGHT(C982,2)),"Tech")</f>
        <v>FretFluvCat47Tech</v>
      </c>
      <c r="G982" s="26" t="s">
        <v>20</v>
      </c>
      <c r="H982" s="25">
        <f t="shared" si="1051"/>
        <v>1</v>
      </c>
      <c r="I982" s="28"/>
      <c r="J982" s="27" t="str">
        <f>VLOOKUP(C982,'Parcs types'!$B$65:$AA$120,5,FALSE)</f>
        <v>Batterie</v>
      </c>
      <c r="L982" s="25" t="str">
        <f t="shared" si="1052"/>
        <v>Batterie</v>
      </c>
    </row>
    <row r="983" spans="1:12" s="25" customFormat="1" outlineLevel="1" x14ac:dyDescent="0.25">
      <c r="A983" s="25" t="s">
        <v>134</v>
      </c>
      <c r="B983" s="25">
        <v>510</v>
      </c>
      <c r="C983" s="25" t="str">
        <f t="shared" si="981"/>
        <v>Catégorie 47</v>
      </c>
      <c r="D983" s="25" t="s">
        <v>140</v>
      </c>
      <c r="F983" s="25" t="str">
        <f t="shared" ref="F983" si="1055">_xlfn.CONCAT("FretFluv",LEFT(C983,3),IF(INT(B983/11)&lt;8,RIGHT(C983,1),RIGHT(C983,2)),"Request")</f>
        <v>FretFluvCat47Request</v>
      </c>
      <c r="G983" s="26" t="s">
        <v>20</v>
      </c>
      <c r="H983" s="25">
        <f>IF($I$15="Oui",1,0)</f>
        <v>1</v>
      </c>
      <c r="J983" s="27" t="s">
        <v>142</v>
      </c>
      <c r="L983" s="28"/>
    </row>
    <row r="984" spans="1:12" s="25" customFormat="1" outlineLevel="1" x14ac:dyDescent="0.25">
      <c r="A984" s="25" t="s">
        <v>134</v>
      </c>
      <c r="B984" s="25">
        <v>511</v>
      </c>
      <c r="C984" s="25" t="str">
        <f t="shared" si="981"/>
        <v>Catégorie 47</v>
      </c>
      <c r="D984" s="25" t="s">
        <v>144</v>
      </c>
      <c r="F984" s="25" t="str">
        <f t="shared" ref="F984" si="1056">_xlfn.CONCAT("FretFluv",LEFT(C984,3),IF(INT(B984/11)&lt;8,RIGHT(C984,1),RIGHT(C984,2)),"NbTraj")</f>
        <v>FretFluvCat47NbTraj</v>
      </c>
      <c r="G984" s="25" t="s">
        <v>17</v>
      </c>
      <c r="H984" s="25">
        <f>IF($I$15="Oui",1,0)*IF(ISNUMBER(SEARCH("Une estimation du nombre annuel de trajets pour ce type de barge",I983)),1,0)</f>
        <v>0</v>
      </c>
      <c r="I984" s="28"/>
      <c r="J984" s="27"/>
      <c r="K984" s="25" t="s">
        <v>145</v>
      </c>
      <c r="L984" s="28"/>
    </row>
    <row r="985" spans="1:12" s="25" customFormat="1" outlineLevel="1" x14ac:dyDescent="0.25">
      <c r="A985" s="25" t="s">
        <v>134</v>
      </c>
      <c r="B985" s="25">
        <v>512</v>
      </c>
      <c r="C985" s="25" t="str">
        <f t="shared" si="981"/>
        <v>Catégorie 47</v>
      </c>
      <c r="D985" s="25" t="s">
        <v>146</v>
      </c>
      <c r="F985" s="25" t="str">
        <f t="shared" ref="F985" si="1057">_xlfn.CONCAT("FretFluv",LEFT(C985,3),IF(INT(B985/11)&lt;8,RIGHT(C985,1),RIGHT(C985,2)),"DistMoy")</f>
        <v>FretFluvCat47DistMoy</v>
      </c>
      <c r="G985" s="25" t="s">
        <v>17</v>
      </c>
      <c r="H985" s="25">
        <f>IF($I$15="Oui",1,0)*IF(ISNUMBER(SEARCH("La distance moyenne d'un trajet",I983)),1,0)</f>
        <v>0</v>
      </c>
      <c r="J985" s="27"/>
      <c r="K985" s="25" t="s">
        <v>88</v>
      </c>
      <c r="L985" s="28"/>
    </row>
    <row r="986" spans="1:12" s="25" customFormat="1" outlineLevel="1" x14ac:dyDescent="0.25">
      <c r="A986" s="25" t="s">
        <v>134</v>
      </c>
      <c r="B986" s="25">
        <v>513</v>
      </c>
      <c r="C986" s="25" t="str">
        <f t="shared" ref="C986:C1049" si="1058">"Catégorie "&amp;INT(B986/11)+1</f>
        <v>Catégorie 47</v>
      </c>
      <c r="D986" s="25" t="s">
        <v>147</v>
      </c>
      <c r="F986" s="25" t="str">
        <f t="shared" ref="F986" si="1059">_xlfn.CONCAT("FretFluv",LEFT(C986,3),IF(INT(B986/11)&lt;8,RIGHT(C986,1),RIGHT(C986,2)),"EmportMoy")</f>
        <v>FretFluvCat47EmportMoy</v>
      </c>
      <c r="G986" s="25" t="s">
        <v>17</v>
      </c>
      <c r="H986" s="25">
        <f>IF($I$15="Oui",1,0)*IF(ISNUMBER(SEARCH("La masse moyenne transportée pour un trajet",I983)),1,0)</f>
        <v>0</v>
      </c>
      <c r="J986" s="27"/>
      <c r="K986" s="25" t="s">
        <v>148</v>
      </c>
      <c r="L986" s="28"/>
    </row>
    <row r="987" spans="1:12" s="25" customFormat="1" outlineLevel="1" x14ac:dyDescent="0.25">
      <c r="A987" s="25" t="s">
        <v>134</v>
      </c>
      <c r="B987" s="25">
        <v>514</v>
      </c>
      <c r="C987" s="25" t="str">
        <f t="shared" si="1058"/>
        <v>Catégorie 47</v>
      </c>
      <c r="D987" s="25" t="s">
        <v>149</v>
      </c>
      <c r="F987" s="25" t="str">
        <f t="shared" ref="F987" si="1060">_xlfn.CONCAT("FretFluv",LEFT(C987,3),IF(INT(B987/11)&lt;8,RIGHT(C987,1),RIGHT(C987,2)),"DistAn")</f>
        <v>FretFluvCat47DistAn</v>
      </c>
      <c r="G987" s="25" t="s">
        <v>17</v>
      </c>
      <c r="H987" s="25">
        <f>IF($I$15="Oui",1,0)*IF(ISNUMBER(SEARCH("La distance parcourue annuellement pour ce type de barge",I983)),1,0)</f>
        <v>0</v>
      </c>
      <c r="J987" s="27"/>
      <c r="K987" s="25" t="s">
        <v>88</v>
      </c>
    </row>
    <row r="988" spans="1:12" s="25" customFormat="1" outlineLevel="1" x14ac:dyDescent="0.25">
      <c r="A988" s="25" t="s">
        <v>134</v>
      </c>
      <c r="B988" s="25">
        <v>515</v>
      </c>
      <c r="C988" s="25" t="str">
        <f t="shared" si="1058"/>
        <v>Catégorie 47</v>
      </c>
      <c r="D988" s="25" t="s">
        <v>150</v>
      </c>
      <c r="F988" s="25" t="str">
        <f t="shared" ref="F988" si="1061">_xlfn.CONCAT("FretFluv",LEFT(C988,3),IF(INT(B988/11)&lt;8,RIGHT(C988,1),RIGHT(C988,2)),"TauxChargeMoy")</f>
        <v>FretFluvCat47TauxChargeMoy</v>
      </c>
      <c r="G988" s="25" t="s">
        <v>17</v>
      </c>
      <c r="H988" s="25">
        <f>IF($I$15="Oui",1,0)*IF(ISNUMBER(SEARCH("Le taux de chargement moyen",I983)),1,0)</f>
        <v>0</v>
      </c>
      <c r="J988" s="27"/>
      <c r="K988" s="25" t="s">
        <v>70</v>
      </c>
    </row>
    <row r="989" spans="1:12" s="25" customFormat="1" outlineLevel="1" x14ac:dyDescent="0.25">
      <c r="A989" s="25" t="s">
        <v>134</v>
      </c>
      <c r="B989" s="25">
        <v>516</v>
      </c>
      <c r="C989" s="25" t="str">
        <f t="shared" si="1058"/>
        <v>Catégorie 47</v>
      </c>
      <c r="D989" s="26" t="s">
        <v>526</v>
      </c>
      <c r="F989" s="25" t="str">
        <f t="shared" ref="F989" si="1062">_xlfn.CONCAT("FretFluv",LEFT(C989,3),IF(INT(B989/11)&lt;8,RIGHT(C989,1),RIGHT(C989,2)),"NbBarges")</f>
        <v>FretFluvCat47NbBarges</v>
      </c>
      <c r="G989" s="25" t="s">
        <v>17</v>
      </c>
      <c r="H989" s="25">
        <f>IF($I$15="Oui",1,0)</f>
        <v>1</v>
      </c>
      <c r="J989" s="27"/>
      <c r="K989" s="25" t="s">
        <v>151</v>
      </c>
    </row>
    <row r="990" spans="1:12" s="25" customFormat="1" outlineLevel="1" x14ac:dyDescent="0.25">
      <c r="A990" s="25" t="s">
        <v>134</v>
      </c>
      <c r="B990" s="25">
        <v>517</v>
      </c>
      <c r="C990" s="25" t="str">
        <f t="shared" si="1058"/>
        <v>Catégorie 48</v>
      </c>
      <c r="D990" s="25" t="s">
        <v>135</v>
      </c>
      <c r="F990" s="25" t="str">
        <f t="shared" ref="F990" si="1063">_xlfn.CONCAT("FretFluv",LEFT(C990,3),IF(INT(B990/11)&lt;8,RIGHT(C990,1),RIGHT(C990,2)),"Nom")</f>
        <v>FretFluvCat48Nom</v>
      </c>
      <c r="G990" s="26" t="s">
        <v>20</v>
      </c>
      <c r="H990" s="25">
        <f>IF($I$15="Oui",1,0)</f>
        <v>1</v>
      </c>
      <c r="J990" s="27" t="str">
        <f>VLOOKUP(C990,'Parcs types'!$B$65:$AA$120,2,FALSE)</f>
        <v>Pousseurs &lt;880 kW H2 , PAC</v>
      </c>
      <c r="L990" s="25" t="str">
        <f>J990</f>
        <v>Pousseurs &lt;880 kW H2 , PAC</v>
      </c>
    </row>
    <row r="991" spans="1:12" s="25" customFormat="1" outlineLevel="1" x14ac:dyDescent="0.25">
      <c r="A991" s="25" t="s">
        <v>134</v>
      </c>
      <c r="B991" s="25">
        <v>518</v>
      </c>
      <c r="C991" s="25" t="str">
        <f t="shared" si="1058"/>
        <v>Catégorie 48</v>
      </c>
      <c r="D991" s="25" t="s">
        <v>136</v>
      </c>
      <c r="F991" s="25" t="str">
        <f t="shared" ref="F991" si="1064">_xlfn.CONCAT("FretFluv",LEFT(C991,3),IF(INT(B991/11)&lt;8,RIGHT(C991,1),RIGHT(C991,2)),"Type")</f>
        <v>FretFluvCat48Type</v>
      </c>
      <c r="G991" s="25" t="s">
        <v>20</v>
      </c>
      <c r="H991" s="25">
        <f t="shared" ref="H991:H993" si="1065">IF($I$15="Oui",1,0)</f>
        <v>1</v>
      </c>
      <c r="J991" s="27" t="str">
        <f>VLOOKUP(C991,'Parcs types'!$B$65:$AA$120,3,FALSE)</f>
        <v>Pousseurs</v>
      </c>
      <c r="L991" s="25" t="str">
        <f t="shared" ref="L991:L993" si="1066">J991</f>
        <v>Pousseurs</v>
      </c>
    </row>
    <row r="992" spans="1:12" s="25" customFormat="1" outlineLevel="1" x14ac:dyDescent="0.25">
      <c r="A992" s="25" t="s">
        <v>134</v>
      </c>
      <c r="B992" s="25">
        <v>519</v>
      </c>
      <c r="C992" s="25" t="str">
        <f t="shared" si="1058"/>
        <v>Catégorie 48</v>
      </c>
      <c r="D992" s="26" t="s">
        <v>137</v>
      </c>
      <c r="F992" s="25" t="str">
        <f t="shared" ref="F992" si="1067">_xlfn.CONCAT("FretFluv",LEFT(C992,3),IF(INT(B992/11)&lt;8,RIGHT(C992,1),RIGHT(C992,2)),"Cap")</f>
        <v>FretFluvCat48Cap</v>
      </c>
      <c r="G992" s="26" t="s">
        <v>36</v>
      </c>
      <c r="H992" s="25">
        <f t="shared" si="1065"/>
        <v>1</v>
      </c>
      <c r="J992" s="27" t="str">
        <f>VLOOKUP(C992,'Parcs types'!$B$65:$AA$120,4,FALSE)</f>
        <v>&lt;880 kW</v>
      </c>
      <c r="K992" s="25" t="s">
        <v>524</v>
      </c>
      <c r="L992" s="25" t="str">
        <f t="shared" si="1066"/>
        <v>&lt;880 kW</v>
      </c>
    </row>
    <row r="993" spans="1:12" s="25" customFormat="1" outlineLevel="1" x14ac:dyDescent="0.25">
      <c r="A993" s="25" t="s">
        <v>134</v>
      </c>
      <c r="B993" s="25">
        <v>520</v>
      </c>
      <c r="C993" s="25" t="str">
        <f t="shared" si="1058"/>
        <v>Catégorie 48</v>
      </c>
      <c r="D993" s="26" t="s">
        <v>525</v>
      </c>
      <c r="F993" s="25" t="str">
        <f t="shared" ref="F993" si="1068">_xlfn.CONCAT("FretFluv",LEFT(C993,3),IF(INT(B993/11)&lt;8,RIGHT(C993,1),RIGHT(C993,2)),"Tech")</f>
        <v>FretFluvCat48Tech</v>
      </c>
      <c r="G993" s="26" t="s">
        <v>20</v>
      </c>
      <c r="H993" s="25">
        <f t="shared" si="1065"/>
        <v>1</v>
      </c>
      <c r="J993" s="27" t="str">
        <f>VLOOKUP(C993,'Parcs types'!$B$65:$AA$120,5,FALSE)</f>
        <v>H2 , PAC</v>
      </c>
      <c r="L993" s="25" t="str">
        <f t="shared" si="1066"/>
        <v>H2 , PAC</v>
      </c>
    </row>
    <row r="994" spans="1:12" s="25" customFormat="1" outlineLevel="1" x14ac:dyDescent="0.25">
      <c r="A994" s="25" t="s">
        <v>134</v>
      </c>
      <c r="B994" s="25">
        <v>521</v>
      </c>
      <c r="C994" s="25" t="str">
        <f t="shared" si="1058"/>
        <v>Catégorie 48</v>
      </c>
      <c r="D994" s="25" t="s">
        <v>140</v>
      </c>
      <c r="F994" s="25" t="str">
        <f t="shared" ref="F994" si="1069">_xlfn.CONCAT("FretFluv",LEFT(C994,3),IF(INT(B994/11)&lt;8,RIGHT(C994,1),RIGHT(C994,2)),"Request")</f>
        <v>FretFluvCat48Request</v>
      </c>
      <c r="G994" s="26" t="s">
        <v>20</v>
      </c>
      <c r="H994" s="25">
        <f>IF($I$15="Oui",1,0)</f>
        <v>1</v>
      </c>
      <c r="J994" s="27" t="s">
        <v>142</v>
      </c>
      <c r="L994" s="30"/>
    </row>
    <row r="995" spans="1:12" s="25" customFormat="1" outlineLevel="1" x14ac:dyDescent="0.25">
      <c r="A995" s="25" t="s">
        <v>134</v>
      </c>
      <c r="B995" s="25">
        <v>522</v>
      </c>
      <c r="C995" s="25" t="str">
        <f t="shared" si="1058"/>
        <v>Catégorie 48</v>
      </c>
      <c r="D995" s="25" t="s">
        <v>144</v>
      </c>
      <c r="F995" s="25" t="str">
        <f t="shared" ref="F995" si="1070">_xlfn.CONCAT("FretFluv",LEFT(C995,3),IF(INT(B995/11)&lt;8,RIGHT(C995,1),RIGHT(C995,2)),"NbTraj")</f>
        <v>FretFluvCat48NbTraj</v>
      </c>
      <c r="G995" s="25" t="s">
        <v>17</v>
      </c>
      <c r="H995" s="25">
        <f>IF($I$15="Oui",1,0)*IF(ISNUMBER(SEARCH("Une estimation du nombre annuel de trajets pour ce type de barge",I994)),1,0)</f>
        <v>0</v>
      </c>
      <c r="I995" s="28"/>
      <c r="J995" s="27"/>
      <c r="K995" s="25" t="s">
        <v>145</v>
      </c>
      <c r="L995" s="28"/>
    </row>
    <row r="996" spans="1:12" s="25" customFormat="1" outlineLevel="1" x14ac:dyDescent="0.25">
      <c r="A996" s="25" t="s">
        <v>134</v>
      </c>
      <c r="B996" s="25">
        <v>523</v>
      </c>
      <c r="C996" s="25" t="str">
        <f t="shared" si="1058"/>
        <v>Catégorie 48</v>
      </c>
      <c r="D996" s="25" t="s">
        <v>146</v>
      </c>
      <c r="F996" s="25" t="str">
        <f t="shared" ref="F996" si="1071">_xlfn.CONCAT("FretFluv",LEFT(C996,3),IF(INT(B996/11)&lt;8,RIGHT(C996,1),RIGHT(C996,2)),"DistMoy")</f>
        <v>FretFluvCat48DistMoy</v>
      </c>
      <c r="G996" s="25" t="s">
        <v>17</v>
      </c>
      <c r="H996" s="25">
        <f>IF($I$15="Oui",1,0)*IF(ISNUMBER(SEARCH("La distance moyenne d'un trajet",I994)),1,0)</f>
        <v>0</v>
      </c>
      <c r="J996" s="27"/>
      <c r="K996" s="25" t="s">
        <v>88</v>
      </c>
    </row>
    <row r="997" spans="1:12" s="25" customFormat="1" outlineLevel="1" x14ac:dyDescent="0.25">
      <c r="A997" s="25" t="s">
        <v>134</v>
      </c>
      <c r="B997" s="25">
        <v>524</v>
      </c>
      <c r="C997" s="25" t="str">
        <f t="shared" si="1058"/>
        <v>Catégorie 48</v>
      </c>
      <c r="D997" s="25" t="s">
        <v>147</v>
      </c>
      <c r="F997" s="25" t="str">
        <f t="shared" ref="F997" si="1072">_xlfn.CONCAT("FretFluv",LEFT(C997,3),IF(INT(B997/11)&lt;8,RIGHT(C997,1),RIGHT(C997,2)),"EmportMoy")</f>
        <v>FretFluvCat48EmportMoy</v>
      </c>
      <c r="G997" s="25" t="s">
        <v>17</v>
      </c>
      <c r="H997" s="25">
        <f>IF($I$15="Oui",1,0)*IF(ISNUMBER(SEARCH("La masse moyenne transportée pour un trajet",I994)),1,0)</f>
        <v>0</v>
      </c>
      <c r="J997" s="27"/>
      <c r="K997" s="25" t="s">
        <v>148</v>
      </c>
    </row>
    <row r="998" spans="1:12" s="25" customFormat="1" outlineLevel="1" x14ac:dyDescent="0.25">
      <c r="A998" s="25" t="s">
        <v>134</v>
      </c>
      <c r="B998" s="25">
        <v>525</v>
      </c>
      <c r="C998" s="25" t="str">
        <f t="shared" si="1058"/>
        <v>Catégorie 48</v>
      </c>
      <c r="D998" s="25" t="s">
        <v>149</v>
      </c>
      <c r="F998" s="25" t="str">
        <f t="shared" ref="F998" si="1073">_xlfn.CONCAT("FretFluv",LEFT(C998,3),IF(INT(B998/11)&lt;8,RIGHT(C998,1),RIGHT(C998,2)),"DistAn")</f>
        <v>FretFluvCat48DistAn</v>
      </c>
      <c r="G998" s="25" t="s">
        <v>17</v>
      </c>
      <c r="H998" s="25">
        <f>IF($I$15="Oui",1,0)*IF(ISNUMBER(SEARCH("La distance parcourue annuellement pour ce type de barge",I994)),1,0)</f>
        <v>0</v>
      </c>
      <c r="J998" s="27"/>
      <c r="K998" s="25" t="s">
        <v>88</v>
      </c>
    </row>
    <row r="999" spans="1:12" s="25" customFormat="1" outlineLevel="1" x14ac:dyDescent="0.25">
      <c r="A999" s="25" t="s">
        <v>134</v>
      </c>
      <c r="B999" s="25">
        <v>526</v>
      </c>
      <c r="C999" s="25" t="str">
        <f t="shared" si="1058"/>
        <v>Catégorie 48</v>
      </c>
      <c r="D999" s="25" t="s">
        <v>150</v>
      </c>
      <c r="F999" s="25" t="str">
        <f t="shared" ref="F999" si="1074">_xlfn.CONCAT("FretFluv",LEFT(C999,3),IF(INT(B999/11)&lt;8,RIGHT(C999,1),RIGHT(C999,2)),"TauxChargeMoy")</f>
        <v>FretFluvCat48TauxChargeMoy</v>
      </c>
      <c r="G999" s="25" t="s">
        <v>17</v>
      </c>
      <c r="H999" s="25">
        <f>IF($I$15="Oui",1,0)*IF(ISNUMBER(SEARCH("Le taux de chargement moyen",I994)),1,0)</f>
        <v>0</v>
      </c>
      <c r="J999" s="27"/>
      <c r="K999" s="25" t="s">
        <v>70</v>
      </c>
    </row>
    <row r="1000" spans="1:12" s="25" customFormat="1" outlineLevel="1" x14ac:dyDescent="0.25">
      <c r="A1000" s="25" t="s">
        <v>134</v>
      </c>
      <c r="B1000" s="25">
        <v>527</v>
      </c>
      <c r="C1000" s="25" t="str">
        <f t="shared" si="1058"/>
        <v>Catégorie 48</v>
      </c>
      <c r="D1000" s="26" t="s">
        <v>526</v>
      </c>
      <c r="F1000" s="25" t="str">
        <f t="shared" ref="F1000" si="1075">_xlfn.CONCAT("FretFluv",LEFT(C1000,3),IF(INT(B1000/11)&lt;8,RIGHT(C1000,1),RIGHT(C1000,2)),"NbBarges")</f>
        <v>FretFluvCat48NbBarges</v>
      </c>
      <c r="G1000" s="25" t="s">
        <v>17</v>
      </c>
      <c r="H1000" s="25">
        <f>IF($I$15="Oui",1,0)</f>
        <v>1</v>
      </c>
      <c r="J1000" s="27"/>
      <c r="K1000" s="25" t="s">
        <v>151</v>
      </c>
    </row>
    <row r="1001" spans="1:12" s="25" customFormat="1" outlineLevel="1" x14ac:dyDescent="0.25">
      <c r="A1001" s="25" t="s">
        <v>134</v>
      </c>
      <c r="B1001" s="25">
        <v>528</v>
      </c>
      <c r="C1001" s="25" t="str">
        <f t="shared" si="1058"/>
        <v>Catégorie 49</v>
      </c>
      <c r="D1001" s="25" t="s">
        <v>135</v>
      </c>
      <c r="F1001" s="25" t="str">
        <f t="shared" ref="F1001" si="1076">_xlfn.CONCAT("FretFluv",LEFT(C1001,3),IF(INT(B1001/11)&lt;8,RIGHT(C1001,1),RIGHT(C1001,2)),"Nom")</f>
        <v>FretFluvCat49Nom</v>
      </c>
      <c r="G1001" s="26" t="s">
        <v>20</v>
      </c>
      <c r="H1001" s="25">
        <f>IF($I$15="Oui",1,0)</f>
        <v>1</v>
      </c>
      <c r="J1001" s="27" t="str">
        <f>VLOOKUP(C1001,'Parcs types'!$B$65:$AA$120,2,FALSE)</f>
        <v>Pousseurs &lt;880 kW H2 , ICE</v>
      </c>
      <c r="L1001" s="25" t="str">
        <f>J1001</f>
        <v>Pousseurs &lt;880 kW H2 , ICE</v>
      </c>
    </row>
    <row r="1002" spans="1:12" s="25" customFormat="1" outlineLevel="1" x14ac:dyDescent="0.25">
      <c r="A1002" s="25" t="s">
        <v>134</v>
      </c>
      <c r="B1002" s="25">
        <v>529</v>
      </c>
      <c r="C1002" s="25" t="str">
        <f t="shared" si="1058"/>
        <v>Catégorie 49</v>
      </c>
      <c r="D1002" s="25" t="s">
        <v>136</v>
      </c>
      <c r="F1002" s="25" t="str">
        <f t="shared" ref="F1002" si="1077">_xlfn.CONCAT("FretFluv",LEFT(C1002,3),IF(INT(B1002/11)&lt;8,RIGHT(C1002,1),RIGHT(C1002,2)),"Type")</f>
        <v>FretFluvCat49Type</v>
      </c>
      <c r="G1002" s="25" t="s">
        <v>20</v>
      </c>
      <c r="H1002" s="25">
        <f t="shared" ref="H1002:H1004" si="1078">IF($I$15="Oui",1,0)</f>
        <v>1</v>
      </c>
      <c r="J1002" s="27" t="str">
        <f>VLOOKUP(C1002,'Parcs types'!$B$65:$AA$120,3,FALSE)</f>
        <v>Pousseurs</v>
      </c>
      <c r="L1002" s="25" t="str">
        <f t="shared" ref="L1002:L1004" si="1079">J1002</f>
        <v>Pousseurs</v>
      </c>
    </row>
    <row r="1003" spans="1:12" s="25" customFormat="1" outlineLevel="1" x14ac:dyDescent="0.25">
      <c r="A1003" s="25" t="s">
        <v>134</v>
      </c>
      <c r="B1003" s="25">
        <v>530</v>
      </c>
      <c r="C1003" s="25" t="str">
        <f t="shared" si="1058"/>
        <v>Catégorie 49</v>
      </c>
      <c r="D1003" s="26" t="s">
        <v>137</v>
      </c>
      <c r="F1003" s="25" t="str">
        <f t="shared" ref="F1003" si="1080">_xlfn.CONCAT("FretFluv",LEFT(C1003,3),IF(INT(B1003/11)&lt;8,RIGHT(C1003,1),RIGHT(C1003,2)),"Cap")</f>
        <v>FretFluvCat49Cap</v>
      </c>
      <c r="G1003" s="26" t="s">
        <v>36</v>
      </c>
      <c r="H1003" s="25">
        <f t="shared" si="1078"/>
        <v>1</v>
      </c>
      <c r="J1003" s="27" t="str">
        <f>VLOOKUP(C1003,'Parcs types'!$B$65:$AA$120,4,FALSE)</f>
        <v>&lt;880 kW</v>
      </c>
      <c r="K1003" s="25" t="s">
        <v>524</v>
      </c>
      <c r="L1003" s="25" t="str">
        <f t="shared" si="1079"/>
        <v>&lt;880 kW</v>
      </c>
    </row>
    <row r="1004" spans="1:12" s="25" customFormat="1" outlineLevel="1" x14ac:dyDescent="0.25">
      <c r="A1004" s="25" t="s">
        <v>134</v>
      </c>
      <c r="B1004" s="25">
        <v>531</v>
      </c>
      <c r="C1004" s="25" t="str">
        <f t="shared" si="1058"/>
        <v>Catégorie 49</v>
      </c>
      <c r="D1004" s="26" t="s">
        <v>525</v>
      </c>
      <c r="F1004" s="25" t="str">
        <f t="shared" ref="F1004" si="1081">_xlfn.CONCAT("FretFluv",LEFT(C1004,3),IF(INT(B1004/11)&lt;8,RIGHT(C1004,1),RIGHT(C1004,2)),"Tech")</f>
        <v>FretFluvCat49Tech</v>
      </c>
      <c r="G1004" s="26" t="s">
        <v>20</v>
      </c>
      <c r="H1004" s="25">
        <f t="shared" si="1078"/>
        <v>1</v>
      </c>
      <c r="J1004" s="27" t="str">
        <f>VLOOKUP(C1004,'Parcs types'!$B$65:$AA$120,5,FALSE)</f>
        <v>H2 , ICE</v>
      </c>
      <c r="L1004" s="25" t="str">
        <f t="shared" si="1079"/>
        <v>H2 , ICE</v>
      </c>
    </row>
    <row r="1005" spans="1:12" s="25" customFormat="1" outlineLevel="1" x14ac:dyDescent="0.25">
      <c r="A1005" s="25" t="s">
        <v>134</v>
      </c>
      <c r="B1005" s="25">
        <v>532</v>
      </c>
      <c r="C1005" s="25" t="str">
        <f t="shared" si="1058"/>
        <v>Catégorie 49</v>
      </c>
      <c r="D1005" s="25" t="s">
        <v>140</v>
      </c>
      <c r="F1005" s="25" t="str">
        <f t="shared" ref="F1005" si="1082">_xlfn.CONCAT("FretFluv",LEFT(C1005,3),IF(INT(B1005/11)&lt;8,RIGHT(C1005,1),RIGHT(C1005,2)),"Request")</f>
        <v>FretFluvCat49Request</v>
      </c>
      <c r="G1005" s="26" t="s">
        <v>20</v>
      </c>
      <c r="H1005" s="25">
        <f>IF($I$15="Oui",1,0)</f>
        <v>1</v>
      </c>
      <c r="J1005" s="27" t="s">
        <v>142</v>
      </c>
      <c r="L1005" s="28"/>
    </row>
    <row r="1006" spans="1:12" s="25" customFormat="1" outlineLevel="1" x14ac:dyDescent="0.25">
      <c r="A1006" s="25" t="s">
        <v>134</v>
      </c>
      <c r="B1006" s="25">
        <v>533</v>
      </c>
      <c r="C1006" s="25" t="str">
        <f t="shared" si="1058"/>
        <v>Catégorie 49</v>
      </c>
      <c r="D1006" s="25" t="s">
        <v>144</v>
      </c>
      <c r="F1006" s="25" t="str">
        <f t="shared" ref="F1006" si="1083">_xlfn.CONCAT("FretFluv",LEFT(C1006,3),IF(INT(B1006/11)&lt;8,RIGHT(C1006,1),RIGHT(C1006,2)),"NbTraj")</f>
        <v>FretFluvCat49NbTraj</v>
      </c>
      <c r="G1006" s="25" t="s">
        <v>17</v>
      </c>
      <c r="H1006" s="25">
        <f>IF($I$15="Oui",1,0)*IF(ISNUMBER(SEARCH("Une estimation du nombre annuel de trajets pour ce type de barge",I1005)),1,0)</f>
        <v>0</v>
      </c>
      <c r="I1006" s="28"/>
      <c r="J1006" s="27"/>
      <c r="K1006" s="25" t="s">
        <v>145</v>
      </c>
      <c r="L1006" s="28"/>
    </row>
    <row r="1007" spans="1:12" s="25" customFormat="1" outlineLevel="1" x14ac:dyDescent="0.25">
      <c r="A1007" s="25" t="s">
        <v>134</v>
      </c>
      <c r="B1007" s="25">
        <v>534</v>
      </c>
      <c r="C1007" s="25" t="str">
        <f t="shared" si="1058"/>
        <v>Catégorie 49</v>
      </c>
      <c r="D1007" s="25" t="s">
        <v>146</v>
      </c>
      <c r="F1007" s="25" t="str">
        <f t="shared" ref="F1007" si="1084">_xlfn.CONCAT("FretFluv",LEFT(C1007,3),IF(INT(B1007/11)&lt;8,RIGHT(C1007,1),RIGHT(C1007,2)),"DistMoy")</f>
        <v>FretFluvCat49DistMoy</v>
      </c>
      <c r="G1007" s="25" t="s">
        <v>17</v>
      </c>
      <c r="H1007" s="25">
        <f>IF($I$15="Oui",1,0)*IF(ISNUMBER(SEARCH("La distance moyenne d'un trajet",I1005)),1,0)</f>
        <v>0</v>
      </c>
      <c r="J1007" s="27"/>
      <c r="K1007" s="25" t="s">
        <v>88</v>
      </c>
      <c r="L1007" s="28"/>
    </row>
    <row r="1008" spans="1:12" s="25" customFormat="1" outlineLevel="1" x14ac:dyDescent="0.25">
      <c r="A1008" s="25" t="s">
        <v>134</v>
      </c>
      <c r="B1008" s="25">
        <v>535</v>
      </c>
      <c r="C1008" s="25" t="str">
        <f t="shared" si="1058"/>
        <v>Catégorie 49</v>
      </c>
      <c r="D1008" s="25" t="s">
        <v>147</v>
      </c>
      <c r="F1008" s="25" t="str">
        <f t="shared" ref="F1008" si="1085">_xlfn.CONCAT("FretFluv",LEFT(C1008,3),IF(INT(B1008/11)&lt;8,RIGHT(C1008,1),RIGHT(C1008,2)),"EmportMoy")</f>
        <v>FretFluvCat49EmportMoy</v>
      </c>
      <c r="G1008" s="25" t="s">
        <v>17</v>
      </c>
      <c r="H1008" s="25">
        <f>IF($I$15="Oui",1,0)*IF(ISNUMBER(SEARCH("La masse moyenne transportée pour un trajet",I1005)),1,0)</f>
        <v>0</v>
      </c>
      <c r="J1008" s="27"/>
      <c r="K1008" s="25" t="s">
        <v>148</v>
      </c>
      <c r="L1008" s="28"/>
    </row>
    <row r="1009" spans="1:12" s="25" customFormat="1" outlineLevel="1" x14ac:dyDescent="0.25">
      <c r="A1009" s="25" t="s">
        <v>134</v>
      </c>
      <c r="B1009" s="25">
        <v>536</v>
      </c>
      <c r="C1009" s="25" t="str">
        <f t="shared" si="1058"/>
        <v>Catégorie 49</v>
      </c>
      <c r="D1009" s="25" t="s">
        <v>149</v>
      </c>
      <c r="F1009" s="25" t="str">
        <f t="shared" ref="F1009" si="1086">_xlfn.CONCAT("FretFluv",LEFT(C1009,3),IF(INT(B1009/11)&lt;8,RIGHT(C1009,1),RIGHT(C1009,2)),"DistAn")</f>
        <v>FretFluvCat49DistAn</v>
      </c>
      <c r="G1009" s="25" t="s">
        <v>17</v>
      </c>
      <c r="H1009" s="25">
        <f>IF($I$15="Oui",1,0)*IF(ISNUMBER(SEARCH("La distance parcourue annuellement pour ce type de barge",I1005)),1,0)</f>
        <v>0</v>
      </c>
      <c r="J1009" s="27"/>
      <c r="K1009" s="25" t="s">
        <v>88</v>
      </c>
    </row>
    <row r="1010" spans="1:12" s="25" customFormat="1" outlineLevel="1" x14ac:dyDescent="0.25">
      <c r="A1010" s="25" t="s">
        <v>134</v>
      </c>
      <c r="B1010" s="25">
        <v>537</v>
      </c>
      <c r="C1010" s="25" t="str">
        <f t="shared" si="1058"/>
        <v>Catégorie 49</v>
      </c>
      <c r="D1010" s="25" t="s">
        <v>150</v>
      </c>
      <c r="F1010" s="25" t="str">
        <f t="shared" ref="F1010" si="1087">_xlfn.CONCAT("FretFluv",LEFT(C1010,3),IF(INT(B1010/11)&lt;8,RIGHT(C1010,1),RIGHT(C1010,2)),"TauxChargeMoy")</f>
        <v>FretFluvCat49TauxChargeMoy</v>
      </c>
      <c r="G1010" s="25" t="s">
        <v>17</v>
      </c>
      <c r="H1010" s="25">
        <f>IF($I$15="Oui",1,0)*IF(ISNUMBER(SEARCH("Le taux de chargement moyen",I1005)),1,0)</f>
        <v>0</v>
      </c>
      <c r="J1010" s="27"/>
      <c r="K1010" s="25" t="s">
        <v>70</v>
      </c>
    </row>
    <row r="1011" spans="1:12" s="25" customFormat="1" outlineLevel="1" x14ac:dyDescent="0.25">
      <c r="A1011" s="25" t="s">
        <v>134</v>
      </c>
      <c r="B1011" s="25">
        <v>538</v>
      </c>
      <c r="C1011" s="25" t="str">
        <f t="shared" si="1058"/>
        <v>Catégorie 49</v>
      </c>
      <c r="D1011" s="26" t="s">
        <v>526</v>
      </c>
      <c r="F1011" s="25" t="str">
        <f t="shared" ref="F1011" si="1088">_xlfn.CONCAT("FretFluv",LEFT(C1011,3),IF(INT(B1011/11)&lt;8,RIGHT(C1011,1),RIGHT(C1011,2)),"NbBarges")</f>
        <v>FretFluvCat49NbBarges</v>
      </c>
      <c r="G1011" s="25" t="s">
        <v>17</v>
      </c>
      <c r="H1011" s="25">
        <f>IF($I$15="Oui",1,0)</f>
        <v>1</v>
      </c>
      <c r="J1011" s="27"/>
      <c r="K1011" s="25" t="s">
        <v>151</v>
      </c>
    </row>
    <row r="1012" spans="1:12" s="25" customFormat="1" outlineLevel="1" x14ac:dyDescent="0.25">
      <c r="A1012" s="25" t="s">
        <v>134</v>
      </c>
      <c r="B1012" s="25">
        <v>539</v>
      </c>
      <c r="C1012" s="25" t="str">
        <f t="shared" si="1058"/>
        <v>Catégorie 50</v>
      </c>
      <c r="D1012" s="25" t="s">
        <v>135</v>
      </c>
      <c r="F1012" s="25" t="str">
        <f t="shared" ref="F1012" si="1089">_xlfn.CONCAT("FretFluv",LEFT(C1012,3),IF(INT(B1012/11)&lt;8,RIGHT(C1012,1),RIGHT(C1012,2)),"Nom")</f>
        <v>FretFluvCat50Nom</v>
      </c>
      <c r="G1012" s="26" t="s">
        <v>20</v>
      </c>
      <c r="H1012" s="25">
        <f>IF($I$15="Oui",1,0)</f>
        <v>1</v>
      </c>
      <c r="J1012" s="27" t="str">
        <f>VLOOKUP(C1012,'Parcs types'!$B$65:$AA$120,2,FALSE)</f>
        <v>Pousseurs &gt;880 kW CCNR 2 ou inférieur, diesel</v>
      </c>
      <c r="L1012" s="25" t="str">
        <f>J1012</f>
        <v>Pousseurs &gt;880 kW CCNR 2 ou inférieur, diesel</v>
      </c>
    </row>
    <row r="1013" spans="1:12" s="25" customFormat="1" outlineLevel="1" x14ac:dyDescent="0.25">
      <c r="A1013" s="25" t="s">
        <v>134</v>
      </c>
      <c r="B1013" s="25">
        <v>540</v>
      </c>
      <c r="C1013" s="25" t="str">
        <f t="shared" si="1058"/>
        <v>Catégorie 50</v>
      </c>
      <c r="D1013" s="25" t="s">
        <v>136</v>
      </c>
      <c r="F1013" s="25" t="str">
        <f t="shared" ref="F1013" si="1090">_xlfn.CONCAT("FretFluv",LEFT(C1013,3),IF(INT(B1013/11)&lt;8,RIGHT(C1013,1),RIGHT(C1013,2)),"Type")</f>
        <v>FretFluvCat50Type</v>
      </c>
      <c r="G1013" s="25" t="s">
        <v>20</v>
      </c>
      <c r="H1013" s="25">
        <f t="shared" ref="H1013:H1015" si="1091">IF($I$15="Oui",1,0)</f>
        <v>1</v>
      </c>
      <c r="J1013" s="27" t="str">
        <f>VLOOKUP(C1013,'Parcs types'!$B$65:$AA$120,3,FALSE)</f>
        <v>Pousseurs</v>
      </c>
      <c r="L1013" s="25" t="str">
        <f t="shared" ref="L1013:L1015" si="1092">J1013</f>
        <v>Pousseurs</v>
      </c>
    </row>
    <row r="1014" spans="1:12" s="25" customFormat="1" outlineLevel="1" x14ac:dyDescent="0.25">
      <c r="A1014" s="25" t="s">
        <v>134</v>
      </c>
      <c r="B1014" s="25">
        <v>541</v>
      </c>
      <c r="C1014" s="25" t="str">
        <f t="shared" si="1058"/>
        <v>Catégorie 50</v>
      </c>
      <c r="D1014" s="26" t="s">
        <v>137</v>
      </c>
      <c r="F1014" s="25" t="str">
        <f t="shared" ref="F1014" si="1093">_xlfn.CONCAT("FretFluv",LEFT(C1014,3),IF(INT(B1014/11)&lt;8,RIGHT(C1014,1),RIGHT(C1014,2)),"Cap")</f>
        <v>FretFluvCat50Cap</v>
      </c>
      <c r="G1014" s="26" t="s">
        <v>36</v>
      </c>
      <c r="H1014" s="25">
        <f t="shared" si="1091"/>
        <v>1</v>
      </c>
      <c r="J1014" s="27" t="str">
        <f>VLOOKUP(C1014,'Parcs types'!$B$65:$AA$120,4,FALSE)</f>
        <v>&gt;880 kW</v>
      </c>
      <c r="K1014" s="25" t="s">
        <v>524</v>
      </c>
      <c r="L1014" s="25" t="str">
        <f t="shared" si="1092"/>
        <v>&gt;880 kW</v>
      </c>
    </row>
    <row r="1015" spans="1:12" s="25" customFormat="1" outlineLevel="1" x14ac:dyDescent="0.25">
      <c r="A1015" s="25" t="s">
        <v>134</v>
      </c>
      <c r="B1015" s="25">
        <v>542</v>
      </c>
      <c r="C1015" s="25" t="str">
        <f t="shared" si="1058"/>
        <v>Catégorie 50</v>
      </c>
      <c r="D1015" s="26" t="s">
        <v>525</v>
      </c>
      <c r="F1015" s="25" t="str">
        <f t="shared" ref="F1015" si="1094">_xlfn.CONCAT("FretFluv",LEFT(C1015,3),IF(INT(B1015/11)&lt;8,RIGHT(C1015,1),RIGHT(C1015,2)),"Tech")</f>
        <v>FretFluvCat50Tech</v>
      </c>
      <c r="G1015" s="26" t="s">
        <v>20</v>
      </c>
      <c r="H1015" s="25">
        <f t="shared" si="1091"/>
        <v>1</v>
      </c>
      <c r="J1015" s="27" t="str">
        <f>VLOOKUP(C1015,'Parcs types'!$B$65:$AA$120,5,FALSE)</f>
        <v>CCNR 2 ou inférieur, diesel</v>
      </c>
      <c r="L1015" s="25" t="str">
        <f t="shared" si="1092"/>
        <v>CCNR 2 ou inférieur, diesel</v>
      </c>
    </row>
    <row r="1016" spans="1:12" s="25" customFormat="1" outlineLevel="1" x14ac:dyDescent="0.25">
      <c r="A1016" s="25" t="s">
        <v>134</v>
      </c>
      <c r="B1016" s="25">
        <v>543</v>
      </c>
      <c r="C1016" s="25" t="str">
        <f t="shared" si="1058"/>
        <v>Catégorie 50</v>
      </c>
      <c r="D1016" s="25" t="s">
        <v>140</v>
      </c>
      <c r="F1016" s="25" t="str">
        <f t="shared" ref="F1016" si="1095">_xlfn.CONCAT("FretFluv",LEFT(C1016,3),IF(INT(B1016/11)&lt;8,RIGHT(C1016,1),RIGHT(C1016,2)),"Request")</f>
        <v>FretFluvCat50Request</v>
      </c>
      <c r="G1016" s="26" t="s">
        <v>20</v>
      </c>
      <c r="H1016" s="25">
        <f>IF($I$15="Oui",1,0)</f>
        <v>1</v>
      </c>
      <c r="J1016" s="27" t="s">
        <v>142</v>
      </c>
      <c r="L1016" s="30"/>
    </row>
    <row r="1017" spans="1:12" s="25" customFormat="1" outlineLevel="1" x14ac:dyDescent="0.25">
      <c r="A1017" s="25" t="s">
        <v>134</v>
      </c>
      <c r="B1017" s="25">
        <v>544</v>
      </c>
      <c r="C1017" s="25" t="str">
        <f t="shared" si="1058"/>
        <v>Catégorie 50</v>
      </c>
      <c r="D1017" s="25" t="s">
        <v>144</v>
      </c>
      <c r="F1017" s="25" t="str">
        <f t="shared" ref="F1017" si="1096">_xlfn.CONCAT("FretFluv",LEFT(C1017,3),IF(INT(B1017/11)&lt;8,RIGHT(C1017,1),RIGHT(C1017,2)),"NbTraj")</f>
        <v>FretFluvCat50NbTraj</v>
      </c>
      <c r="G1017" s="25" t="s">
        <v>17</v>
      </c>
      <c r="H1017" s="25">
        <f>IF($I$15="Oui",1,0)*IF(ISNUMBER(SEARCH("Une estimation du nombre annuel de trajets pour ce type de barge",I1016)),1,0)</f>
        <v>0</v>
      </c>
      <c r="I1017" s="28"/>
      <c r="J1017" s="27"/>
      <c r="K1017" s="25" t="s">
        <v>145</v>
      </c>
      <c r="L1017" s="28"/>
    </row>
    <row r="1018" spans="1:12" s="25" customFormat="1" outlineLevel="1" x14ac:dyDescent="0.25">
      <c r="A1018" s="25" t="s">
        <v>134</v>
      </c>
      <c r="B1018" s="25">
        <v>545</v>
      </c>
      <c r="C1018" s="25" t="str">
        <f t="shared" si="1058"/>
        <v>Catégorie 50</v>
      </c>
      <c r="D1018" s="25" t="s">
        <v>146</v>
      </c>
      <c r="F1018" s="25" t="str">
        <f t="shared" ref="F1018" si="1097">_xlfn.CONCAT("FretFluv",LEFT(C1018,3),IF(INT(B1018/11)&lt;8,RIGHT(C1018,1),RIGHT(C1018,2)),"DistMoy")</f>
        <v>FretFluvCat50DistMoy</v>
      </c>
      <c r="G1018" s="25" t="s">
        <v>17</v>
      </c>
      <c r="H1018" s="25">
        <f>IF($I$15="Oui",1,0)*IF(ISNUMBER(SEARCH("La distance moyenne d'un trajet",I1016)),1,0)</f>
        <v>0</v>
      </c>
      <c r="I1018" s="28"/>
      <c r="J1018" s="27"/>
      <c r="K1018" s="25" t="s">
        <v>88</v>
      </c>
      <c r="L1018" s="28"/>
    </row>
    <row r="1019" spans="1:12" s="25" customFormat="1" outlineLevel="1" x14ac:dyDescent="0.25">
      <c r="A1019" s="25" t="s">
        <v>134</v>
      </c>
      <c r="B1019" s="25">
        <v>546</v>
      </c>
      <c r="C1019" s="25" t="str">
        <f t="shared" si="1058"/>
        <v>Catégorie 50</v>
      </c>
      <c r="D1019" s="25" t="s">
        <v>147</v>
      </c>
      <c r="F1019" s="25" t="str">
        <f t="shared" ref="F1019" si="1098">_xlfn.CONCAT("FretFluv",LEFT(C1019,3),IF(INT(B1019/11)&lt;8,RIGHT(C1019,1),RIGHT(C1019,2)),"EmportMoy")</f>
        <v>FretFluvCat50EmportMoy</v>
      </c>
      <c r="G1019" s="25" t="s">
        <v>17</v>
      </c>
      <c r="H1019" s="25">
        <f>IF($I$15="Oui",1,0)*IF(ISNUMBER(SEARCH("La masse moyenne transportée pour un trajet",I1016)),1,0)</f>
        <v>0</v>
      </c>
      <c r="I1019" s="28"/>
      <c r="J1019" s="27"/>
      <c r="K1019" s="25" t="s">
        <v>148</v>
      </c>
      <c r="L1019" s="28"/>
    </row>
    <row r="1020" spans="1:12" s="25" customFormat="1" outlineLevel="1" x14ac:dyDescent="0.25">
      <c r="A1020" s="25" t="s">
        <v>134</v>
      </c>
      <c r="B1020" s="25">
        <v>547</v>
      </c>
      <c r="C1020" s="25" t="str">
        <f t="shared" si="1058"/>
        <v>Catégorie 50</v>
      </c>
      <c r="D1020" s="25" t="s">
        <v>149</v>
      </c>
      <c r="F1020" s="25" t="str">
        <f t="shared" ref="F1020" si="1099">_xlfn.CONCAT("FretFluv",LEFT(C1020,3),IF(INT(B1020/11)&lt;8,RIGHT(C1020,1),RIGHT(C1020,2)),"DistAn")</f>
        <v>FretFluvCat50DistAn</v>
      </c>
      <c r="G1020" s="25" t="s">
        <v>17</v>
      </c>
      <c r="H1020" s="25">
        <f>IF($I$15="Oui",1,0)*IF(ISNUMBER(SEARCH("La distance parcourue annuellement pour ce type de barge",I1016)),1,0)</f>
        <v>0</v>
      </c>
      <c r="I1020" s="28"/>
      <c r="J1020" s="27"/>
      <c r="K1020" s="25" t="s">
        <v>88</v>
      </c>
      <c r="L1020" s="28"/>
    </row>
    <row r="1021" spans="1:12" s="25" customFormat="1" outlineLevel="1" x14ac:dyDescent="0.25">
      <c r="A1021" s="25" t="s">
        <v>134</v>
      </c>
      <c r="B1021" s="25">
        <v>548</v>
      </c>
      <c r="C1021" s="25" t="str">
        <f t="shared" si="1058"/>
        <v>Catégorie 50</v>
      </c>
      <c r="D1021" s="25" t="s">
        <v>150</v>
      </c>
      <c r="F1021" s="25" t="str">
        <f t="shared" ref="F1021" si="1100">_xlfn.CONCAT("FretFluv",LEFT(C1021,3),IF(INT(B1021/11)&lt;8,RIGHT(C1021,1),RIGHT(C1021,2)),"TauxChargeMoy")</f>
        <v>FretFluvCat50TauxChargeMoy</v>
      </c>
      <c r="G1021" s="25" t="s">
        <v>17</v>
      </c>
      <c r="H1021" s="25">
        <f>IF($I$15="Oui",1,0)*IF(ISNUMBER(SEARCH("Le taux de chargement moyen",I1016)),1,0)</f>
        <v>0</v>
      </c>
      <c r="I1021" s="28"/>
      <c r="J1021" s="27"/>
      <c r="K1021" s="25" t="s">
        <v>70</v>
      </c>
      <c r="L1021" s="28"/>
    </row>
    <row r="1022" spans="1:12" s="25" customFormat="1" outlineLevel="1" x14ac:dyDescent="0.25">
      <c r="A1022" s="25" t="s">
        <v>134</v>
      </c>
      <c r="B1022" s="25">
        <v>549</v>
      </c>
      <c r="C1022" s="25" t="str">
        <f t="shared" si="1058"/>
        <v>Catégorie 50</v>
      </c>
      <c r="D1022" s="26" t="s">
        <v>526</v>
      </c>
      <c r="F1022" s="25" t="str">
        <f t="shared" ref="F1022" si="1101">_xlfn.CONCAT("FretFluv",LEFT(C1022,3),IF(INT(B1022/11)&lt;8,RIGHT(C1022,1),RIGHT(C1022,2)),"NbBarges")</f>
        <v>FretFluvCat50NbBarges</v>
      </c>
      <c r="G1022" s="25" t="s">
        <v>17</v>
      </c>
      <c r="H1022" s="25">
        <f>IF($I$15="Oui",1,0)</f>
        <v>1</v>
      </c>
      <c r="I1022" s="28"/>
      <c r="J1022" s="27"/>
      <c r="K1022" s="25" t="s">
        <v>151</v>
      </c>
      <c r="L1022" s="28"/>
    </row>
    <row r="1023" spans="1:12" s="25" customFormat="1" outlineLevel="1" x14ac:dyDescent="0.25">
      <c r="A1023" s="25" t="s">
        <v>134</v>
      </c>
      <c r="B1023" s="25">
        <v>550</v>
      </c>
      <c r="C1023" s="25" t="str">
        <f t="shared" si="1058"/>
        <v>Catégorie 51</v>
      </c>
      <c r="D1023" s="25" t="s">
        <v>135</v>
      </c>
      <c r="F1023" s="25" t="str">
        <f t="shared" ref="F1023" si="1102">_xlfn.CONCAT("FretFluv",LEFT(C1023,3),IF(INT(B1023/11)&lt;8,RIGHT(C1023,1),RIGHT(C1023,2)),"Nom")</f>
        <v>FretFluvCat51Nom</v>
      </c>
      <c r="G1023" s="26" t="s">
        <v>20</v>
      </c>
      <c r="H1023" s="25">
        <f>IF($I$15="Oui",1,0)</f>
        <v>1</v>
      </c>
      <c r="I1023" s="28"/>
      <c r="J1023" s="27" t="str">
        <f>VLOOKUP(C1023,'Parcs types'!$B$65:$AA$120,2,FALSE)</f>
        <v>Pousseurs &gt;880 kW CCNR 2 + SCR, diesel</v>
      </c>
      <c r="L1023" s="25" t="str">
        <f>J1023</f>
        <v>Pousseurs &gt;880 kW CCNR 2 + SCR, diesel</v>
      </c>
    </row>
    <row r="1024" spans="1:12" s="25" customFormat="1" outlineLevel="1" x14ac:dyDescent="0.25">
      <c r="A1024" s="25" t="s">
        <v>134</v>
      </c>
      <c r="B1024" s="25">
        <v>551</v>
      </c>
      <c r="C1024" s="25" t="str">
        <f t="shared" si="1058"/>
        <v>Catégorie 51</v>
      </c>
      <c r="D1024" s="25" t="s">
        <v>136</v>
      </c>
      <c r="F1024" s="25" t="str">
        <f t="shared" ref="F1024" si="1103">_xlfn.CONCAT("FretFluv",LEFT(C1024,3),IF(INT(B1024/11)&lt;8,RIGHT(C1024,1),RIGHT(C1024,2)),"Type")</f>
        <v>FretFluvCat51Type</v>
      </c>
      <c r="G1024" s="25" t="s">
        <v>20</v>
      </c>
      <c r="H1024" s="25">
        <f t="shared" ref="H1024:H1026" si="1104">IF($I$15="Oui",1,0)</f>
        <v>1</v>
      </c>
      <c r="I1024" s="28"/>
      <c r="J1024" s="27" t="str">
        <f>VLOOKUP(C1024,'Parcs types'!$B$65:$AA$120,3,FALSE)</f>
        <v>Pousseurs</v>
      </c>
      <c r="L1024" s="25" t="str">
        <f t="shared" ref="L1024:L1026" si="1105">J1024</f>
        <v>Pousseurs</v>
      </c>
    </row>
    <row r="1025" spans="1:12" s="25" customFormat="1" outlineLevel="1" x14ac:dyDescent="0.25">
      <c r="A1025" s="25" t="s">
        <v>134</v>
      </c>
      <c r="B1025" s="25">
        <v>552</v>
      </c>
      <c r="C1025" s="25" t="str">
        <f t="shared" si="1058"/>
        <v>Catégorie 51</v>
      </c>
      <c r="D1025" s="26" t="s">
        <v>137</v>
      </c>
      <c r="F1025" s="25" t="str">
        <f t="shared" ref="F1025" si="1106">_xlfn.CONCAT("FretFluv",LEFT(C1025,3),IF(INT(B1025/11)&lt;8,RIGHT(C1025,1),RIGHT(C1025,2)),"Cap")</f>
        <v>FretFluvCat51Cap</v>
      </c>
      <c r="G1025" s="26" t="s">
        <v>36</v>
      </c>
      <c r="H1025" s="25">
        <f t="shared" si="1104"/>
        <v>1</v>
      </c>
      <c r="I1025" s="28"/>
      <c r="J1025" s="27" t="str">
        <f>VLOOKUP(C1025,'Parcs types'!$B$65:$AA$120,4,FALSE)</f>
        <v>&gt;880 kW</v>
      </c>
      <c r="K1025" s="25" t="s">
        <v>524</v>
      </c>
      <c r="L1025" s="25" t="str">
        <f t="shared" si="1105"/>
        <v>&gt;880 kW</v>
      </c>
    </row>
    <row r="1026" spans="1:12" s="25" customFormat="1" outlineLevel="1" x14ac:dyDescent="0.25">
      <c r="A1026" s="25" t="s">
        <v>134</v>
      </c>
      <c r="B1026" s="25">
        <v>553</v>
      </c>
      <c r="C1026" s="25" t="str">
        <f t="shared" si="1058"/>
        <v>Catégorie 51</v>
      </c>
      <c r="D1026" s="26" t="s">
        <v>525</v>
      </c>
      <c r="F1026" s="25" t="str">
        <f t="shared" ref="F1026" si="1107">_xlfn.CONCAT("FretFluv",LEFT(C1026,3),IF(INT(B1026/11)&lt;8,RIGHT(C1026,1),RIGHT(C1026,2)),"Tech")</f>
        <v>FretFluvCat51Tech</v>
      </c>
      <c r="G1026" s="26" t="s">
        <v>20</v>
      </c>
      <c r="H1026" s="25">
        <f t="shared" si="1104"/>
        <v>1</v>
      </c>
      <c r="I1026" s="28"/>
      <c r="J1026" s="27" t="str">
        <f>VLOOKUP(C1026,'Parcs types'!$B$65:$AA$120,5,FALSE)</f>
        <v>CCNR 2 + SCR, diesel</v>
      </c>
      <c r="L1026" s="25" t="str">
        <f t="shared" si="1105"/>
        <v>CCNR 2 + SCR, diesel</v>
      </c>
    </row>
    <row r="1027" spans="1:12" s="25" customFormat="1" outlineLevel="1" x14ac:dyDescent="0.25">
      <c r="A1027" s="25" t="s">
        <v>134</v>
      </c>
      <c r="B1027" s="25">
        <v>554</v>
      </c>
      <c r="C1027" s="25" t="str">
        <f t="shared" si="1058"/>
        <v>Catégorie 51</v>
      </c>
      <c r="D1027" s="25" t="s">
        <v>140</v>
      </c>
      <c r="F1027" s="25" t="str">
        <f t="shared" ref="F1027" si="1108">_xlfn.CONCAT("FretFluv",LEFT(C1027,3),IF(INT(B1027/11)&lt;8,RIGHT(C1027,1),RIGHT(C1027,2)),"Request")</f>
        <v>FretFluvCat51Request</v>
      </c>
      <c r="G1027" s="26" t="s">
        <v>20</v>
      </c>
      <c r="H1027" s="25">
        <f>IF($I$15="Oui",1,0)</f>
        <v>1</v>
      </c>
      <c r="J1027" s="27" t="s">
        <v>142</v>
      </c>
      <c r="L1027" s="28"/>
    </row>
    <row r="1028" spans="1:12" s="25" customFormat="1" outlineLevel="1" x14ac:dyDescent="0.25">
      <c r="A1028" s="25" t="s">
        <v>134</v>
      </c>
      <c r="B1028" s="25">
        <v>555</v>
      </c>
      <c r="C1028" s="25" t="str">
        <f t="shared" si="1058"/>
        <v>Catégorie 51</v>
      </c>
      <c r="D1028" s="25" t="s">
        <v>144</v>
      </c>
      <c r="F1028" s="25" t="str">
        <f t="shared" ref="F1028" si="1109">_xlfn.CONCAT("FretFluv",LEFT(C1028,3),IF(INT(B1028/11)&lt;8,RIGHT(C1028,1),RIGHT(C1028,2)),"NbTraj")</f>
        <v>FretFluvCat51NbTraj</v>
      </c>
      <c r="G1028" s="25" t="s">
        <v>17</v>
      </c>
      <c r="H1028" s="25">
        <f>IF($I$15="Oui",1,0)*IF(ISNUMBER(SEARCH("Une estimation du nombre annuel de trajets pour ce type de barge",I1027)),1,0)</f>
        <v>0</v>
      </c>
      <c r="I1028" s="28"/>
      <c r="J1028" s="27"/>
      <c r="K1028" s="25" t="s">
        <v>145</v>
      </c>
      <c r="L1028" s="28"/>
    </row>
    <row r="1029" spans="1:12" s="25" customFormat="1" outlineLevel="1" x14ac:dyDescent="0.25">
      <c r="A1029" s="25" t="s">
        <v>134</v>
      </c>
      <c r="B1029" s="25">
        <v>556</v>
      </c>
      <c r="C1029" s="25" t="str">
        <f t="shared" si="1058"/>
        <v>Catégorie 51</v>
      </c>
      <c r="D1029" s="25" t="s">
        <v>146</v>
      </c>
      <c r="F1029" s="25" t="str">
        <f t="shared" ref="F1029" si="1110">_xlfn.CONCAT("FretFluv",LEFT(C1029,3),IF(INT(B1029/11)&lt;8,RIGHT(C1029,1),RIGHT(C1029,2)),"DistMoy")</f>
        <v>FretFluvCat51DistMoy</v>
      </c>
      <c r="G1029" s="25" t="s">
        <v>17</v>
      </c>
      <c r="H1029" s="25">
        <f>IF($I$15="Oui",1,0)*IF(ISNUMBER(SEARCH("La distance moyenne d'un trajet",I1027)),1,0)</f>
        <v>0</v>
      </c>
      <c r="I1029" s="28"/>
      <c r="J1029" s="27"/>
      <c r="K1029" s="25" t="s">
        <v>88</v>
      </c>
      <c r="L1029" s="28"/>
    </row>
    <row r="1030" spans="1:12" s="25" customFormat="1" outlineLevel="1" x14ac:dyDescent="0.25">
      <c r="A1030" s="25" t="s">
        <v>134</v>
      </c>
      <c r="B1030" s="25">
        <v>557</v>
      </c>
      <c r="C1030" s="25" t="str">
        <f t="shared" si="1058"/>
        <v>Catégorie 51</v>
      </c>
      <c r="D1030" s="25" t="s">
        <v>147</v>
      </c>
      <c r="F1030" s="25" t="str">
        <f t="shared" ref="F1030" si="1111">_xlfn.CONCAT("FretFluv",LEFT(C1030,3),IF(INT(B1030/11)&lt;8,RIGHT(C1030,1),RIGHT(C1030,2)),"EmportMoy")</f>
        <v>FretFluvCat51EmportMoy</v>
      </c>
      <c r="G1030" s="25" t="s">
        <v>17</v>
      </c>
      <c r="H1030" s="25">
        <f>IF($I$15="Oui",1,0)*IF(ISNUMBER(SEARCH("La masse moyenne transportée pour un trajet",I1027)),1,0)</f>
        <v>0</v>
      </c>
      <c r="I1030" s="28"/>
      <c r="J1030" s="27"/>
      <c r="K1030" s="25" t="s">
        <v>148</v>
      </c>
      <c r="L1030" s="28"/>
    </row>
    <row r="1031" spans="1:12" s="25" customFormat="1" outlineLevel="1" x14ac:dyDescent="0.25">
      <c r="A1031" s="25" t="s">
        <v>134</v>
      </c>
      <c r="B1031" s="25">
        <v>558</v>
      </c>
      <c r="C1031" s="25" t="str">
        <f t="shared" si="1058"/>
        <v>Catégorie 51</v>
      </c>
      <c r="D1031" s="25" t="s">
        <v>149</v>
      </c>
      <c r="F1031" s="25" t="str">
        <f t="shared" ref="F1031" si="1112">_xlfn.CONCAT("FretFluv",LEFT(C1031,3),IF(INT(B1031/11)&lt;8,RIGHT(C1031,1),RIGHT(C1031,2)),"DistAn")</f>
        <v>FretFluvCat51DistAn</v>
      </c>
      <c r="G1031" s="25" t="s">
        <v>17</v>
      </c>
      <c r="H1031" s="25">
        <f>IF($I$15="Oui",1,0)*IF(ISNUMBER(SEARCH("La distance parcourue annuellement pour ce type de barge",I1027)),1,0)</f>
        <v>0</v>
      </c>
      <c r="I1031" s="28"/>
      <c r="J1031" s="27"/>
      <c r="K1031" s="25" t="s">
        <v>88</v>
      </c>
    </row>
    <row r="1032" spans="1:12" s="25" customFormat="1" outlineLevel="1" x14ac:dyDescent="0.25">
      <c r="A1032" s="25" t="s">
        <v>134</v>
      </c>
      <c r="B1032" s="25">
        <v>559</v>
      </c>
      <c r="C1032" s="25" t="str">
        <f t="shared" si="1058"/>
        <v>Catégorie 51</v>
      </c>
      <c r="D1032" s="25" t="s">
        <v>150</v>
      </c>
      <c r="F1032" s="25" t="str">
        <f t="shared" ref="F1032" si="1113">_xlfn.CONCAT("FretFluv",LEFT(C1032,3),IF(INT(B1032/11)&lt;8,RIGHT(C1032,1),RIGHT(C1032,2)),"TauxChargeMoy")</f>
        <v>FretFluvCat51TauxChargeMoy</v>
      </c>
      <c r="G1032" s="25" t="s">
        <v>17</v>
      </c>
      <c r="H1032" s="25">
        <f>IF($I$15="Oui",1,0)*IF(ISNUMBER(SEARCH("Le taux de chargement moyen",I1027)),1,0)</f>
        <v>0</v>
      </c>
      <c r="I1032" s="28"/>
      <c r="J1032" s="27"/>
      <c r="K1032" s="25" t="s">
        <v>70</v>
      </c>
    </row>
    <row r="1033" spans="1:12" s="25" customFormat="1" outlineLevel="1" x14ac:dyDescent="0.25">
      <c r="A1033" s="25" t="s">
        <v>134</v>
      </c>
      <c r="B1033" s="25">
        <v>560</v>
      </c>
      <c r="C1033" s="25" t="str">
        <f t="shared" si="1058"/>
        <v>Catégorie 51</v>
      </c>
      <c r="D1033" s="26" t="s">
        <v>526</v>
      </c>
      <c r="F1033" s="25" t="str">
        <f t="shared" ref="F1033" si="1114">_xlfn.CONCAT("FretFluv",LEFT(C1033,3),IF(INT(B1033/11)&lt;8,RIGHT(C1033,1),RIGHT(C1033,2)),"NbBarges")</f>
        <v>FretFluvCat51NbBarges</v>
      </c>
      <c r="G1033" s="25" t="s">
        <v>17</v>
      </c>
      <c r="H1033" s="25">
        <f>IF($I$15="Oui",1,0)</f>
        <v>1</v>
      </c>
      <c r="I1033" s="28"/>
      <c r="J1033" s="27"/>
      <c r="K1033" s="25" t="s">
        <v>151</v>
      </c>
    </row>
    <row r="1034" spans="1:12" s="25" customFormat="1" outlineLevel="1" x14ac:dyDescent="0.25">
      <c r="A1034" s="25" t="s">
        <v>134</v>
      </c>
      <c r="B1034" s="25">
        <v>561</v>
      </c>
      <c r="C1034" s="25" t="str">
        <f t="shared" si="1058"/>
        <v>Catégorie 52</v>
      </c>
      <c r="D1034" s="25" t="s">
        <v>135</v>
      </c>
      <c r="F1034" s="25" t="str">
        <f t="shared" ref="F1034" si="1115">_xlfn.CONCAT("FretFluv",LEFT(C1034,3),IF(INT(B1034/11)&lt;8,RIGHT(C1034,1),RIGHT(C1034,2)),"Nom")</f>
        <v>FretFluvCat52Nom</v>
      </c>
      <c r="G1034" s="26" t="s">
        <v>20</v>
      </c>
      <c r="H1034" s="25">
        <f>IF($I$15="Oui",1,0)</f>
        <v>1</v>
      </c>
      <c r="I1034" s="28"/>
      <c r="J1034" s="27" t="str">
        <f>VLOOKUP(C1034,'Parcs types'!$B$65:$AA$120,2,FALSE)</f>
        <v>Pousseurs &gt;880 kW Phase V, diesel</v>
      </c>
      <c r="L1034" s="25" t="str">
        <f>J1034</f>
        <v>Pousseurs &gt;880 kW Phase V, diesel</v>
      </c>
    </row>
    <row r="1035" spans="1:12" s="25" customFormat="1" outlineLevel="1" x14ac:dyDescent="0.25">
      <c r="A1035" s="25" t="s">
        <v>134</v>
      </c>
      <c r="B1035" s="25">
        <v>562</v>
      </c>
      <c r="C1035" s="25" t="str">
        <f t="shared" si="1058"/>
        <v>Catégorie 52</v>
      </c>
      <c r="D1035" s="25" t="s">
        <v>136</v>
      </c>
      <c r="F1035" s="25" t="str">
        <f t="shared" ref="F1035" si="1116">_xlfn.CONCAT("FretFluv",LEFT(C1035,3),IF(INT(B1035/11)&lt;8,RIGHT(C1035,1),RIGHT(C1035,2)),"Type")</f>
        <v>FretFluvCat52Type</v>
      </c>
      <c r="G1035" s="25" t="s">
        <v>20</v>
      </c>
      <c r="H1035" s="25">
        <f t="shared" ref="H1035:H1037" si="1117">IF($I$15="Oui",1,0)</f>
        <v>1</v>
      </c>
      <c r="I1035" s="28"/>
      <c r="J1035" s="27" t="str">
        <f>VLOOKUP(C1035,'Parcs types'!$B$65:$AA$120,3,FALSE)</f>
        <v>Pousseurs</v>
      </c>
      <c r="L1035" s="25" t="str">
        <f t="shared" ref="L1035:L1037" si="1118">J1035</f>
        <v>Pousseurs</v>
      </c>
    </row>
    <row r="1036" spans="1:12" s="25" customFormat="1" outlineLevel="1" x14ac:dyDescent="0.25">
      <c r="A1036" s="25" t="s">
        <v>134</v>
      </c>
      <c r="B1036" s="25">
        <v>563</v>
      </c>
      <c r="C1036" s="25" t="str">
        <f t="shared" si="1058"/>
        <v>Catégorie 52</v>
      </c>
      <c r="D1036" s="26" t="s">
        <v>137</v>
      </c>
      <c r="F1036" s="25" t="str">
        <f t="shared" ref="F1036" si="1119">_xlfn.CONCAT("FretFluv",LEFT(C1036,3),IF(INT(B1036/11)&lt;8,RIGHT(C1036,1),RIGHT(C1036,2)),"Cap")</f>
        <v>FretFluvCat52Cap</v>
      </c>
      <c r="G1036" s="26" t="s">
        <v>36</v>
      </c>
      <c r="H1036" s="25">
        <f t="shared" si="1117"/>
        <v>1</v>
      </c>
      <c r="I1036" s="28"/>
      <c r="J1036" s="27" t="str">
        <f>VLOOKUP(C1036,'Parcs types'!$B$65:$AA$120,4,FALSE)</f>
        <v>&gt;880 kW</v>
      </c>
      <c r="K1036" s="25" t="s">
        <v>524</v>
      </c>
      <c r="L1036" s="25" t="str">
        <f t="shared" si="1118"/>
        <v>&gt;880 kW</v>
      </c>
    </row>
    <row r="1037" spans="1:12" s="25" customFormat="1" outlineLevel="1" x14ac:dyDescent="0.25">
      <c r="A1037" s="25" t="s">
        <v>134</v>
      </c>
      <c r="B1037" s="25">
        <v>564</v>
      </c>
      <c r="C1037" s="25" t="str">
        <f t="shared" si="1058"/>
        <v>Catégorie 52</v>
      </c>
      <c r="D1037" s="26" t="s">
        <v>525</v>
      </c>
      <c r="F1037" s="25" t="str">
        <f t="shared" ref="F1037" si="1120">_xlfn.CONCAT("FretFluv",LEFT(C1037,3),IF(INT(B1037/11)&lt;8,RIGHT(C1037,1),RIGHT(C1037,2)),"Tech")</f>
        <v>FretFluvCat52Tech</v>
      </c>
      <c r="G1037" s="26" t="s">
        <v>20</v>
      </c>
      <c r="H1037" s="25">
        <f t="shared" si="1117"/>
        <v>1</v>
      </c>
      <c r="I1037" s="28"/>
      <c r="J1037" s="27" t="str">
        <f>VLOOKUP(C1037,'Parcs types'!$B$65:$AA$120,5,FALSE)</f>
        <v>Phase V, diesel</v>
      </c>
      <c r="L1037" s="25" t="str">
        <f t="shared" si="1118"/>
        <v>Phase V, diesel</v>
      </c>
    </row>
    <row r="1038" spans="1:12" s="25" customFormat="1" outlineLevel="1" x14ac:dyDescent="0.25">
      <c r="A1038" s="25" t="s">
        <v>134</v>
      </c>
      <c r="B1038" s="25">
        <v>565</v>
      </c>
      <c r="C1038" s="25" t="str">
        <f t="shared" si="1058"/>
        <v>Catégorie 52</v>
      </c>
      <c r="D1038" s="25" t="s">
        <v>140</v>
      </c>
      <c r="F1038" s="25" t="str">
        <f t="shared" ref="F1038" si="1121">_xlfn.CONCAT("FretFluv",LEFT(C1038,3),IF(INT(B1038/11)&lt;8,RIGHT(C1038,1),RIGHT(C1038,2)),"Request")</f>
        <v>FretFluvCat52Request</v>
      </c>
      <c r="G1038" s="26" t="s">
        <v>20</v>
      </c>
      <c r="H1038" s="25">
        <f>IF($I$15="Oui",1,0)</f>
        <v>1</v>
      </c>
      <c r="J1038" s="27" t="s">
        <v>142</v>
      </c>
      <c r="L1038" s="28"/>
    </row>
    <row r="1039" spans="1:12" s="25" customFormat="1" outlineLevel="1" x14ac:dyDescent="0.25">
      <c r="A1039" s="25" t="s">
        <v>134</v>
      </c>
      <c r="B1039" s="25">
        <v>566</v>
      </c>
      <c r="C1039" s="25" t="str">
        <f t="shared" si="1058"/>
        <v>Catégorie 52</v>
      </c>
      <c r="D1039" s="25" t="s">
        <v>144</v>
      </c>
      <c r="F1039" s="25" t="str">
        <f t="shared" ref="F1039" si="1122">_xlfn.CONCAT("FretFluv",LEFT(C1039,3),IF(INT(B1039/11)&lt;8,RIGHT(C1039,1),RIGHT(C1039,2)),"NbTraj")</f>
        <v>FretFluvCat52NbTraj</v>
      </c>
      <c r="G1039" s="25" t="s">
        <v>17</v>
      </c>
      <c r="H1039" s="25">
        <f>IF($I$15="Oui",1,0)*IF(ISNUMBER(SEARCH("Une estimation du nombre annuel de trajets pour ce type de barge",I1038)),1,0)</f>
        <v>0</v>
      </c>
      <c r="I1039" s="28"/>
      <c r="J1039" s="27"/>
      <c r="K1039" s="25" t="s">
        <v>145</v>
      </c>
      <c r="L1039" s="28"/>
    </row>
    <row r="1040" spans="1:12" s="25" customFormat="1" outlineLevel="1" x14ac:dyDescent="0.25">
      <c r="A1040" s="25" t="s">
        <v>134</v>
      </c>
      <c r="B1040" s="25">
        <v>567</v>
      </c>
      <c r="C1040" s="25" t="str">
        <f t="shared" si="1058"/>
        <v>Catégorie 52</v>
      </c>
      <c r="D1040" s="25" t="s">
        <v>146</v>
      </c>
      <c r="F1040" s="25" t="str">
        <f t="shared" ref="F1040" si="1123">_xlfn.CONCAT("FretFluv",LEFT(C1040,3),IF(INT(B1040/11)&lt;8,RIGHT(C1040,1),RIGHT(C1040,2)),"DistMoy")</f>
        <v>FretFluvCat52DistMoy</v>
      </c>
      <c r="G1040" s="25" t="s">
        <v>17</v>
      </c>
      <c r="H1040" s="25">
        <f>IF($I$15="Oui",1,0)*IF(ISNUMBER(SEARCH("La distance moyenne d'un trajet",I1038)),1,0)</f>
        <v>0</v>
      </c>
      <c r="I1040" s="28"/>
      <c r="J1040" s="27"/>
      <c r="K1040" s="25" t="s">
        <v>88</v>
      </c>
      <c r="L1040" s="28"/>
    </row>
    <row r="1041" spans="1:12" s="25" customFormat="1" outlineLevel="1" x14ac:dyDescent="0.25">
      <c r="A1041" s="25" t="s">
        <v>134</v>
      </c>
      <c r="B1041" s="25">
        <v>568</v>
      </c>
      <c r="C1041" s="25" t="str">
        <f t="shared" si="1058"/>
        <v>Catégorie 52</v>
      </c>
      <c r="D1041" s="25" t="s">
        <v>147</v>
      </c>
      <c r="F1041" s="25" t="str">
        <f t="shared" ref="F1041" si="1124">_xlfn.CONCAT("FretFluv",LEFT(C1041,3),IF(INT(B1041/11)&lt;8,RIGHT(C1041,1),RIGHT(C1041,2)),"EmportMoy")</f>
        <v>FretFluvCat52EmportMoy</v>
      </c>
      <c r="G1041" s="25" t="s">
        <v>17</v>
      </c>
      <c r="H1041" s="25">
        <f>IF($I$15="Oui",1,0)*IF(ISNUMBER(SEARCH("La masse moyenne transportée pour un trajet",I1038)),1,0)</f>
        <v>0</v>
      </c>
      <c r="I1041" s="28"/>
      <c r="J1041" s="27"/>
      <c r="K1041" s="25" t="s">
        <v>148</v>
      </c>
      <c r="L1041" s="28"/>
    </row>
    <row r="1042" spans="1:12" s="25" customFormat="1" outlineLevel="1" x14ac:dyDescent="0.25">
      <c r="A1042" s="25" t="s">
        <v>134</v>
      </c>
      <c r="B1042" s="25">
        <v>569</v>
      </c>
      <c r="C1042" s="25" t="str">
        <f t="shared" si="1058"/>
        <v>Catégorie 52</v>
      </c>
      <c r="D1042" s="25" t="s">
        <v>149</v>
      </c>
      <c r="F1042" s="25" t="str">
        <f t="shared" ref="F1042" si="1125">_xlfn.CONCAT("FretFluv",LEFT(C1042,3),IF(INT(B1042/11)&lt;8,RIGHT(C1042,1),RIGHT(C1042,2)),"DistAn")</f>
        <v>FretFluvCat52DistAn</v>
      </c>
      <c r="G1042" s="25" t="s">
        <v>17</v>
      </c>
      <c r="H1042" s="25">
        <f>IF($I$15="Oui",1,0)*IF(ISNUMBER(SEARCH("La distance parcourue annuellement pour ce type de barge",I1038)),1,0)</f>
        <v>0</v>
      </c>
      <c r="I1042" s="28"/>
      <c r="J1042" s="27"/>
      <c r="K1042" s="25" t="s">
        <v>88</v>
      </c>
      <c r="L1042" s="28"/>
    </row>
    <row r="1043" spans="1:12" s="25" customFormat="1" outlineLevel="1" x14ac:dyDescent="0.25">
      <c r="A1043" s="25" t="s">
        <v>134</v>
      </c>
      <c r="B1043" s="25">
        <v>570</v>
      </c>
      <c r="C1043" s="25" t="str">
        <f t="shared" si="1058"/>
        <v>Catégorie 52</v>
      </c>
      <c r="D1043" s="25" t="s">
        <v>150</v>
      </c>
      <c r="F1043" s="25" t="str">
        <f t="shared" ref="F1043" si="1126">_xlfn.CONCAT("FretFluv",LEFT(C1043,3),IF(INT(B1043/11)&lt;8,RIGHT(C1043,1),RIGHT(C1043,2)),"TauxChargeMoy")</f>
        <v>FretFluvCat52TauxChargeMoy</v>
      </c>
      <c r="G1043" s="25" t="s">
        <v>17</v>
      </c>
      <c r="H1043" s="25">
        <f>IF($I$15="Oui",1,0)*IF(ISNUMBER(SEARCH("Le taux de chargement moyen",I1038)),1,0)</f>
        <v>0</v>
      </c>
      <c r="I1043" s="28"/>
      <c r="J1043" s="27"/>
      <c r="K1043" s="25" t="s">
        <v>70</v>
      </c>
      <c r="L1043" s="28"/>
    </row>
    <row r="1044" spans="1:12" s="25" customFormat="1" outlineLevel="1" x14ac:dyDescent="0.25">
      <c r="A1044" s="25" t="s">
        <v>134</v>
      </c>
      <c r="B1044" s="25">
        <v>571</v>
      </c>
      <c r="C1044" s="25" t="str">
        <f t="shared" si="1058"/>
        <v>Catégorie 52</v>
      </c>
      <c r="D1044" s="26" t="s">
        <v>526</v>
      </c>
      <c r="F1044" s="25" t="str">
        <f t="shared" ref="F1044" si="1127">_xlfn.CONCAT("FretFluv",LEFT(C1044,3),IF(INT(B1044/11)&lt;8,RIGHT(C1044,1),RIGHT(C1044,2)),"NbBarges")</f>
        <v>FretFluvCat52NbBarges</v>
      </c>
      <c r="G1044" s="25" t="s">
        <v>17</v>
      </c>
      <c r="H1044" s="25">
        <f>IF($I$15="Oui",1,0)</f>
        <v>1</v>
      </c>
      <c r="I1044" s="28"/>
      <c r="J1044" s="27"/>
      <c r="K1044" s="25" t="s">
        <v>151</v>
      </c>
      <c r="L1044" s="28"/>
    </row>
    <row r="1045" spans="1:12" s="25" customFormat="1" outlineLevel="1" x14ac:dyDescent="0.25">
      <c r="A1045" s="25" t="s">
        <v>134</v>
      </c>
      <c r="B1045" s="25">
        <v>572</v>
      </c>
      <c r="C1045" s="25" t="str">
        <f t="shared" si="1058"/>
        <v>Catégorie 53</v>
      </c>
      <c r="D1045" s="25" t="s">
        <v>135</v>
      </c>
      <c r="F1045" s="25" t="str">
        <f t="shared" ref="F1045" si="1128">_xlfn.CONCAT("FretFluv",LEFT(C1045,3),IF(INT(B1045/11)&lt;8,RIGHT(C1045,1),RIGHT(C1045,2)),"Nom")</f>
        <v>FretFluvCat53Nom</v>
      </c>
      <c r="G1045" s="26" t="s">
        <v>20</v>
      </c>
      <c r="H1045" s="25">
        <f>IF($I$15="Oui",1,0)</f>
        <v>1</v>
      </c>
      <c r="I1045" s="28"/>
      <c r="J1045" s="27" t="str">
        <f>VLOOKUP(C1045,'Parcs types'!$B$65:$AA$120,2,FALSE)</f>
        <v>Pousseurs &gt;880 kW Phase V, HVO</v>
      </c>
      <c r="L1045" s="25" t="str">
        <f>J1045</f>
        <v>Pousseurs &gt;880 kW Phase V, HVO</v>
      </c>
    </row>
    <row r="1046" spans="1:12" s="25" customFormat="1" outlineLevel="1" x14ac:dyDescent="0.25">
      <c r="A1046" s="25" t="s">
        <v>134</v>
      </c>
      <c r="B1046" s="25">
        <v>573</v>
      </c>
      <c r="C1046" s="25" t="str">
        <f t="shared" si="1058"/>
        <v>Catégorie 53</v>
      </c>
      <c r="D1046" s="25" t="s">
        <v>136</v>
      </c>
      <c r="F1046" s="25" t="str">
        <f t="shared" ref="F1046" si="1129">_xlfn.CONCAT("FretFluv",LEFT(C1046,3),IF(INT(B1046/11)&lt;8,RIGHT(C1046,1),RIGHT(C1046,2)),"Type")</f>
        <v>FretFluvCat53Type</v>
      </c>
      <c r="G1046" s="25" t="s">
        <v>20</v>
      </c>
      <c r="H1046" s="25">
        <f t="shared" ref="H1046:H1048" si="1130">IF($I$15="Oui",1,0)</f>
        <v>1</v>
      </c>
      <c r="I1046" s="28"/>
      <c r="J1046" s="27" t="str">
        <f>VLOOKUP(C1046,'Parcs types'!$B$65:$AA$120,3,FALSE)</f>
        <v>Pousseurs</v>
      </c>
      <c r="L1046" s="25" t="str">
        <f t="shared" ref="L1046:L1048" si="1131">J1046</f>
        <v>Pousseurs</v>
      </c>
    </row>
    <row r="1047" spans="1:12" s="25" customFormat="1" outlineLevel="1" x14ac:dyDescent="0.25">
      <c r="A1047" s="25" t="s">
        <v>134</v>
      </c>
      <c r="B1047" s="25">
        <v>574</v>
      </c>
      <c r="C1047" s="25" t="str">
        <f t="shared" si="1058"/>
        <v>Catégorie 53</v>
      </c>
      <c r="D1047" s="26" t="s">
        <v>137</v>
      </c>
      <c r="F1047" s="25" t="str">
        <f t="shared" ref="F1047" si="1132">_xlfn.CONCAT("FretFluv",LEFT(C1047,3),IF(INT(B1047/11)&lt;8,RIGHT(C1047,1),RIGHT(C1047,2)),"Cap")</f>
        <v>FretFluvCat53Cap</v>
      </c>
      <c r="G1047" s="26" t="s">
        <v>36</v>
      </c>
      <c r="H1047" s="25">
        <f t="shared" si="1130"/>
        <v>1</v>
      </c>
      <c r="I1047" s="28"/>
      <c r="J1047" s="27" t="str">
        <f>VLOOKUP(C1047,'Parcs types'!$B$65:$AA$120,4,FALSE)</f>
        <v>&gt;880 kW</v>
      </c>
      <c r="K1047" s="25" t="s">
        <v>524</v>
      </c>
      <c r="L1047" s="25" t="str">
        <f t="shared" si="1131"/>
        <v>&gt;880 kW</v>
      </c>
    </row>
    <row r="1048" spans="1:12" s="25" customFormat="1" outlineLevel="1" x14ac:dyDescent="0.25">
      <c r="A1048" s="25" t="s">
        <v>134</v>
      </c>
      <c r="B1048" s="25">
        <v>575</v>
      </c>
      <c r="C1048" s="25" t="str">
        <f t="shared" si="1058"/>
        <v>Catégorie 53</v>
      </c>
      <c r="D1048" s="26" t="s">
        <v>525</v>
      </c>
      <c r="F1048" s="25" t="str">
        <f t="shared" ref="F1048" si="1133">_xlfn.CONCAT("FretFluv",LEFT(C1048,3),IF(INT(B1048/11)&lt;8,RIGHT(C1048,1),RIGHT(C1048,2)),"Tech")</f>
        <v>FretFluvCat53Tech</v>
      </c>
      <c r="G1048" s="26" t="s">
        <v>20</v>
      </c>
      <c r="H1048" s="25">
        <f t="shared" si="1130"/>
        <v>1</v>
      </c>
      <c r="I1048" s="28"/>
      <c r="J1048" s="27" t="str">
        <f>VLOOKUP(C1048,'Parcs types'!$B$65:$AA$120,5,FALSE)</f>
        <v>Phase V, HVO</v>
      </c>
      <c r="L1048" s="25" t="str">
        <f t="shared" si="1131"/>
        <v>Phase V, HVO</v>
      </c>
    </row>
    <row r="1049" spans="1:12" s="25" customFormat="1" outlineLevel="1" x14ac:dyDescent="0.25">
      <c r="A1049" s="25" t="s">
        <v>134</v>
      </c>
      <c r="B1049" s="25">
        <v>576</v>
      </c>
      <c r="C1049" s="25" t="str">
        <f t="shared" si="1058"/>
        <v>Catégorie 53</v>
      </c>
      <c r="D1049" s="25" t="s">
        <v>140</v>
      </c>
      <c r="F1049" s="25" t="str">
        <f t="shared" ref="F1049" si="1134">_xlfn.CONCAT("FretFluv",LEFT(C1049,3),IF(INT(B1049/11)&lt;8,RIGHT(C1049,1),RIGHT(C1049,2)),"Request")</f>
        <v>FretFluvCat53Request</v>
      </c>
      <c r="G1049" s="26" t="s">
        <v>20</v>
      </c>
      <c r="H1049" s="25">
        <f>IF($I$15="Oui",1,0)</f>
        <v>1</v>
      </c>
      <c r="J1049" s="27" t="s">
        <v>142</v>
      </c>
      <c r="L1049" s="28"/>
    </row>
    <row r="1050" spans="1:12" s="25" customFormat="1" outlineLevel="1" x14ac:dyDescent="0.25">
      <c r="A1050" s="25" t="s">
        <v>134</v>
      </c>
      <c r="B1050" s="25">
        <v>577</v>
      </c>
      <c r="C1050" s="25" t="str">
        <f t="shared" ref="C1050:C1088" si="1135">"Catégorie "&amp;INT(B1050/11)+1</f>
        <v>Catégorie 53</v>
      </c>
      <c r="D1050" s="25" t="s">
        <v>144</v>
      </c>
      <c r="F1050" s="25" t="str">
        <f t="shared" ref="F1050" si="1136">_xlfn.CONCAT("FretFluv",LEFT(C1050,3),IF(INT(B1050/11)&lt;8,RIGHT(C1050,1),RIGHT(C1050,2)),"NbTraj")</f>
        <v>FretFluvCat53NbTraj</v>
      </c>
      <c r="G1050" s="25" t="s">
        <v>17</v>
      </c>
      <c r="H1050" s="25">
        <f>IF($I$15="Oui",1,0)*IF(ISNUMBER(SEARCH("Une estimation du nombre annuel de trajets pour ce type de barge",I1049)),1,0)</f>
        <v>0</v>
      </c>
      <c r="I1050" s="28"/>
      <c r="J1050" s="27"/>
      <c r="K1050" s="25" t="s">
        <v>145</v>
      </c>
      <c r="L1050" s="28"/>
    </row>
    <row r="1051" spans="1:12" s="25" customFormat="1" outlineLevel="1" x14ac:dyDescent="0.25">
      <c r="A1051" s="25" t="s">
        <v>134</v>
      </c>
      <c r="B1051" s="25">
        <v>578</v>
      </c>
      <c r="C1051" s="25" t="str">
        <f t="shared" si="1135"/>
        <v>Catégorie 53</v>
      </c>
      <c r="D1051" s="25" t="s">
        <v>146</v>
      </c>
      <c r="F1051" s="25" t="str">
        <f t="shared" ref="F1051" si="1137">_xlfn.CONCAT("FretFluv",LEFT(C1051,3),IF(INT(B1051/11)&lt;8,RIGHT(C1051,1),RIGHT(C1051,2)),"DistMoy")</f>
        <v>FretFluvCat53DistMoy</v>
      </c>
      <c r="G1051" s="25" t="s">
        <v>17</v>
      </c>
      <c r="H1051" s="25">
        <f>IF($I$15="Oui",1,0)*IF(ISNUMBER(SEARCH("La distance moyenne d'un trajet",I1049)),1,0)</f>
        <v>0</v>
      </c>
      <c r="I1051" s="28"/>
      <c r="J1051" s="27"/>
      <c r="K1051" s="25" t="s">
        <v>88</v>
      </c>
      <c r="L1051" s="28"/>
    </row>
    <row r="1052" spans="1:12" s="25" customFormat="1" outlineLevel="1" x14ac:dyDescent="0.25">
      <c r="A1052" s="25" t="s">
        <v>134</v>
      </c>
      <c r="B1052" s="25">
        <v>579</v>
      </c>
      <c r="C1052" s="25" t="str">
        <f t="shared" si="1135"/>
        <v>Catégorie 53</v>
      </c>
      <c r="D1052" s="25" t="s">
        <v>147</v>
      </c>
      <c r="F1052" s="25" t="str">
        <f t="shared" ref="F1052" si="1138">_xlfn.CONCAT("FretFluv",LEFT(C1052,3),IF(INT(B1052/11)&lt;8,RIGHT(C1052,1),RIGHT(C1052,2)),"EmportMoy")</f>
        <v>FretFluvCat53EmportMoy</v>
      </c>
      <c r="G1052" s="25" t="s">
        <v>17</v>
      </c>
      <c r="H1052" s="25">
        <f>IF($I$15="Oui",1,0)*IF(ISNUMBER(SEARCH("La masse moyenne transportée pour un trajet",I1049)),1,0)</f>
        <v>0</v>
      </c>
      <c r="I1052" s="28"/>
      <c r="J1052" s="27"/>
      <c r="K1052" s="25" t="s">
        <v>148</v>
      </c>
      <c r="L1052" s="28"/>
    </row>
    <row r="1053" spans="1:12" s="25" customFormat="1" outlineLevel="1" x14ac:dyDescent="0.25">
      <c r="A1053" s="25" t="s">
        <v>134</v>
      </c>
      <c r="B1053" s="25">
        <v>580</v>
      </c>
      <c r="C1053" s="25" t="str">
        <f t="shared" si="1135"/>
        <v>Catégorie 53</v>
      </c>
      <c r="D1053" s="25" t="s">
        <v>149</v>
      </c>
      <c r="F1053" s="25" t="str">
        <f t="shared" ref="F1053" si="1139">_xlfn.CONCAT("FretFluv",LEFT(C1053,3),IF(INT(B1053/11)&lt;8,RIGHT(C1053,1),RIGHT(C1053,2)),"DistAn")</f>
        <v>FretFluvCat53DistAn</v>
      </c>
      <c r="G1053" s="25" t="s">
        <v>17</v>
      </c>
      <c r="H1053" s="25">
        <f>IF($I$15="Oui",1,0)*IF(ISNUMBER(SEARCH("La distance parcourue annuellement pour ce type de barge",I1049)),1,0)</f>
        <v>0</v>
      </c>
      <c r="I1053" s="28"/>
      <c r="J1053" s="27"/>
      <c r="K1053" s="25" t="s">
        <v>88</v>
      </c>
    </row>
    <row r="1054" spans="1:12" s="25" customFormat="1" outlineLevel="1" x14ac:dyDescent="0.25">
      <c r="A1054" s="25" t="s">
        <v>134</v>
      </c>
      <c r="B1054" s="25">
        <v>581</v>
      </c>
      <c r="C1054" s="25" t="str">
        <f t="shared" si="1135"/>
        <v>Catégorie 53</v>
      </c>
      <c r="D1054" s="25" t="s">
        <v>150</v>
      </c>
      <c r="F1054" s="25" t="str">
        <f t="shared" ref="F1054" si="1140">_xlfn.CONCAT("FretFluv",LEFT(C1054,3),IF(INT(B1054/11)&lt;8,RIGHT(C1054,1),RIGHT(C1054,2)),"TauxChargeMoy")</f>
        <v>FretFluvCat53TauxChargeMoy</v>
      </c>
      <c r="G1054" s="25" t="s">
        <v>17</v>
      </c>
      <c r="H1054" s="25">
        <f>IF($I$15="Oui",1,0)*IF(ISNUMBER(SEARCH("Le taux de chargement moyen",I1049)),1,0)</f>
        <v>0</v>
      </c>
      <c r="I1054" s="28"/>
      <c r="J1054" s="27"/>
      <c r="K1054" s="25" t="s">
        <v>70</v>
      </c>
    </row>
    <row r="1055" spans="1:12" s="25" customFormat="1" outlineLevel="1" x14ac:dyDescent="0.25">
      <c r="A1055" s="25" t="s">
        <v>134</v>
      </c>
      <c r="B1055" s="25">
        <v>582</v>
      </c>
      <c r="C1055" s="25" t="str">
        <f t="shared" si="1135"/>
        <v>Catégorie 53</v>
      </c>
      <c r="D1055" s="26" t="s">
        <v>526</v>
      </c>
      <c r="F1055" s="25" t="str">
        <f t="shared" ref="F1055" si="1141">_xlfn.CONCAT("FretFluv",LEFT(C1055,3),IF(INT(B1055/11)&lt;8,RIGHT(C1055,1),RIGHT(C1055,2)),"NbBarges")</f>
        <v>FretFluvCat53NbBarges</v>
      </c>
      <c r="G1055" s="25" t="s">
        <v>17</v>
      </c>
      <c r="H1055" s="25">
        <f>IF($I$15="Oui",1,0)</f>
        <v>1</v>
      </c>
      <c r="I1055" s="28"/>
      <c r="J1055" s="27"/>
      <c r="K1055" s="25" t="s">
        <v>151</v>
      </c>
    </row>
    <row r="1056" spans="1:12" s="25" customFormat="1" outlineLevel="1" x14ac:dyDescent="0.25">
      <c r="A1056" s="25" t="s">
        <v>134</v>
      </c>
      <c r="B1056" s="25">
        <v>583</v>
      </c>
      <c r="C1056" s="25" t="str">
        <f t="shared" si="1135"/>
        <v>Catégorie 54</v>
      </c>
      <c r="D1056" s="25" t="s">
        <v>135</v>
      </c>
      <c r="F1056" s="25" t="str">
        <f t="shared" ref="F1056" si="1142">_xlfn.CONCAT("FretFluv",LEFT(C1056,3),IF(INT(B1056/11)&lt;8,RIGHT(C1056,1),RIGHT(C1056,2)),"Nom")</f>
        <v>FretFluvCat54Nom</v>
      </c>
      <c r="G1056" s="26" t="s">
        <v>20</v>
      </c>
      <c r="H1056" s="25">
        <f>IF($I$15="Oui",1,0)</f>
        <v>1</v>
      </c>
      <c r="I1056" s="28"/>
      <c r="J1056" s="27" t="str">
        <f>VLOOKUP(C1056,'Parcs types'!$B$65:$AA$120,2,FALSE)</f>
        <v>Pousseurs &gt;880 kW Batterie</v>
      </c>
      <c r="L1056" s="25" t="str">
        <f>J1056</f>
        <v>Pousseurs &gt;880 kW Batterie</v>
      </c>
    </row>
    <row r="1057" spans="1:12" s="25" customFormat="1" outlineLevel="1" x14ac:dyDescent="0.25">
      <c r="A1057" s="25" t="s">
        <v>134</v>
      </c>
      <c r="B1057" s="25">
        <v>584</v>
      </c>
      <c r="C1057" s="25" t="str">
        <f t="shared" si="1135"/>
        <v>Catégorie 54</v>
      </c>
      <c r="D1057" s="25" t="s">
        <v>136</v>
      </c>
      <c r="F1057" s="25" t="str">
        <f t="shared" ref="F1057" si="1143">_xlfn.CONCAT("FretFluv",LEFT(C1057,3),IF(INT(B1057/11)&lt;8,RIGHT(C1057,1),RIGHT(C1057,2)),"Type")</f>
        <v>FretFluvCat54Type</v>
      </c>
      <c r="G1057" s="25" t="s">
        <v>20</v>
      </c>
      <c r="H1057" s="25">
        <f t="shared" ref="H1057:H1059" si="1144">IF($I$15="Oui",1,0)</f>
        <v>1</v>
      </c>
      <c r="I1057" s="28"/>
      <c r="J1057" s="27" t="str">
        <f>VLOOKUP(C1057,'Parcs types'!$B$65:$AA$120,3,FALSE)</f>
        <v>Pousseurs</v>
      </c>
      <c r="L1057" s="25" t="str">
        <f t="shared" ref="L1057:L1059" si="1145">J1057</f>
        <v>Pousseurs</v>
      </c>
    </row>
    <row r="1058" spans="1:12" s="25" customFormat="1" outlineLevel="1" x14ac:dyDescent="0.25">
      <c r="A1058" s="25" t="s">
        <v>134</v>
      </c>
      <c r="B1058" s="25">
        <v>585</v>
      </c>
      <c r="C1058" s="25" t="str">
        <f t="shared" si="1135"/>
        <v>Catégorie 54</v>
      </c>
      <c r="D1058" s="26" t="s">
        <v>137</v>
      </c>
      <c r="F1058" s="25" t="str">
        <f t="shared" ref="F1058" si="1146">_xlfn.CONCAT("FretFluv",LEFT(C1058,3),IF(INT(B1058/11)&lt;8,RIGHT(C1058,1),RIGHT(C1058,2)),"Cap")</f>
        <v>FretFluvCat54Cap</v>
      </c>
      <c r="G1058" s="26" t="s">
        <v>36</v>
      </c>
      <c r="H1058" s="25">
        <f t="shared" si="1144"/>
        <v>1</v>
      </c>
      <c r="I1058" s="28"/>
      <c r="J1058" s="27" t="str">
        <f>VLOOKUP(C1058,'Parcs types'!$B$65:$AA$120,4,FALSE)</f>
        <v>&gt;880 kW</v>
      </c>
      <c r="K1058" s="25" t="s">
        <v>524</v>
      </c>
      <c r="L1058" s="25" t="str">
        <f t="shared" si="1145"/>
        <v>&gt;880 kW</v>
      </c>
    </row>
    <row r="1059" spans="1:12" s="25" customFormat="1" outlineLevel="1" x14ac:dyDescent="0.25">
      <c r="A1059" s="25" t="s">
        <v>134</v>
      </c>
      <c r="B1059" s="25">
        <v>586</v>
      </c>
      <c r="C1059" s="25" t="str">
        <f t="shared" si="1135"/>
        <v>Catégorie 54</v>
      </c>
      <c r="D1059" s="26" t="s">
        <v>525</v>
      </c>
      <c r="F1059" s="25" t="str">
        <f t="shared" ref="F1059" si="1147">_xlfn.CONCAT("FretFluv",LEFT(C1059,3),IF(INT(B1059/11)&lt;8,RIGHT(C1059,1),RIGHT(C1059,2)),"Tech")</f>
        <v>FretFluvCat54Tech</v>
      </c>
      <c r="G1059" s="26" t="s">
        <v>20</v>
      </c>
      <c r="H1059" s="25">
        <f t="shared" si="1144"/>
        <v>1</v>
      </c>
      <c r="I1059" s="28"/>
      <c r="J1059" s="27" t="str">
        <f>VLOOKUP(C1059,'Parcs types'!$B$65:$AA$120,5,FALSE)</f>
        <v>Batterie</v>
      </c>
      <c r="L1059" s="25" t="str">
        <f t="shared" si="1145"/>
        <v>Batterie</v>
      </c>
    </row>
    <row r="1060" spans="1:12" s="25" customFormat="1" outlineLevel="1" x14ac:dyDescent="0.25">
      <c r="A1060" s="25" t="s">
        <v>134</v>
      </c>
      <c r="B1060" s="25">
        <v>587</v>
      </c>
      <c r="C1060" s="25" t="str">
        <f t="shared" si="1135"/>
        <v>Catégorie 54</v>
      </c>
      <c r="D1060" s="25" t="s">
        <v>140</v>
      </c>
      <c r="F1060" s="25" t="str">
        <f t="shared" ref="F1060" si="1148">_xlfn.CONCAT("FretFluv",LEFT(C1060,3),IF(INT(B1060/11)&lt;8,RIGHT(C1060,1),RIGHT(C1060,2)),"Request")</f>
        <v>FretFluvCat54Request</v>
      </c>
      <c r="G1060" s="26" t="s">
        <v>20</v>
      </c>
      <c r="H1060" s="25">
        <f>IF($I$15="Oui",1,0)</f>
        <v>1</v>
      </c>
      <c r="J1060" s="27" t="s">
        <v>142</v>
      </c>
      <c r="L1060" s="28"/>
    </row>
    <row r="1061" spans="1:12" s="25" customFormat="1" outlineLevel="1" x14ac:dyDescent="0.25">
      <c r="A1061" s="25" t="s">
        <v>134</v>
      </c>
      <c r="B1061" s="25">
        <v>588</v>
      </c>
      <c r="C1061" s="25" t="str">
        <f t="shared" si="1135"/>
        <v>Catégorie 54</v>
      </c>
      <c r="D1061" s="25" t="s">
        <v>144</v>
      </c>
      <c r="F1061" s="25" t="str">
        <f t="shared" ref="F1061" si="1149">_xlfn.CONCAT("FretFluv",LEFT(C1061,3),IF(INT(B1061/11)&lt;8,RIGHT(C1061,1),RIGHT(C1061,2)),"NbTraj")</f>
        <v>FretFluvCat54NbTraj</v>
      </c>
      <c r="G1061" s="25" t="s">
        <v>17</v>
      </c>
      <c r="H1061" s="25">
        <f>IF($I$15="Oui",1,0)*IF(ISNUMBER(SEARCH("Une estimation du nombre annuel de trajets pour ce type de barge",I1060)),1,0)</f>
        <v>0</v>
      </c>
      <c r="I1061" s="28"/>
      <c r="J1061" s="27"/>
      <c r="K1061" s="25" t="s">
        <v>145</v>
      </c>
      <c r="L1061" s="28"/>
    </row>
    <row r="1062" spans="1:12" s="25" customFormat="1" outlineLevel="1" x14ac:dyDescent="0.25">
      <c r="A1062" s="25" t="s">
        <v>134</v>
      </c>
      <c r="B1062" s="25">
        <v>589</v>
      </c>
      <c r="C1062" s="25" t="str">
        <f t="shared" si="1135"/>
        <v>Catégorie 54</v>
      </c>
      <c r="D1062" s="25" t="s">
        <v>146</v>
      </c>
      <c r="F1062" s="25" t="str">
        <f t="shared" ref="F1062" si="1150">_xlfn.CONCAT("FretFluv",LEFT(C1062,3),IF(INT(B1062/11)&lt;8,RIGHT(C1062,1),RIGHT(C1062,2)),"DistMoy")</f>
        <v>FretFluvCat54DistMoy</v>
      </c>
      <c r="G1062" s="25" t="s">
        <v>17</v>
      </c>
      <c r="H1062" s="25">
        <f>IF($I$15="Oui",1,0)*IF(ISNUMBER(SEARCH("La distance moyenne d'un trajet",I1060)),1,0)</f>
        <v>0</v>
      </c>
      <c r="I1062" s="28"/>
      <c r="J1062" s="27"/>
      <c r="K1062" s="25" t="s">
        <v>88</v>
      </c>
      <c r="L1062" s="28"/>
    </row>
    <row r="1063" spans="1:12" s="25" customFormat="1" outlineLevel="1" x14ac:dyDescent="0.25">
      <c r="A1063" s="25" t="s">
        <v>134</v>
      </c>
      <c r="B1063" s="25">
        <v>590</v>
      </c>
      <c r="C1063" s="25" t="str">
        <f t="shared" si="1135"/>
        <v>Catégorie 54</v>
      </c>
      <c r="D1063" s="25" t="s">
        <v>147</v>
      </c>
      <c r="F1063" s="25" t="str">
        <f t="shared" ref="F1063" si="1151">_xlfn.CONCAT("FretFluv",LEFT(C1063,3),IF(INT(B1063/11)&lt;8,RIGHT(C1063,1),RIGHT(C1063,2)),"EmportMoy")</f>
        <v>FretFluvCat54EmportMoy</v>
      </c>
      <c r="G1063" s="25" t="s">
        <v>17</v>
      </c>
      <c r="H1063" s="25">
        <f>IF($I$15="Oui",1,0)*IF(ISNUMBER(SEARCH("La masse moyenne transportée pour un trajet",I1060)),1,0)</f>
        <v>0</v>
      </c>
      <c r="I1063" s="28"/>
      <c r="J1063" s="27"/>
      <c r="K1063" s="25" t="s">
        <v>148</v>
      </c>
      <c r="L1063" s="28"/>
    </row>
    <row r="1064" spans="1:12" s="25" customFormat="1" outlineLevel="1" x14ac:dyDescent="0.25">
      <c r="A1064" s="25" t="s">
        <v>134</v>
      </c>
      <c r="B1064" s="25">
        <v>591</v>
      </c>
      <c r="C1064" s="25" t="str">
        <f t="shared" si="1135"/>
        <v>Catégorie 54</v>
      </c>
      <c r="D1064" s="25" t="s">
        <v>149</v>
      </c>
      <c r="F1064" s="25" t="str">
        <f t="shared" ref="F1064" si="1152">_xlfn.CONCAT("FretFluv",LEFT(C1064,3),IF(INT(B1064/11)&lt;8,RIGHT(C1064,1),RIGHT(C1064,2)),"DistAn")</f>
        <v>FretFluvCat54DistAn</v>
      </c>
      <c r="G1064" s="25" t="s">
        <v>17</v>
      </c>
      <c r="H1064" s="25">
        <f>IF($I$15="Oui",1,0)*IF(ISNUMBER(SEARCH("La distance parcourue annuellement pour ce type de barge",I1060)),1,0)</f>
        <v>0</v>
      </c>
      <c r="I1064" s="28"/>
      <c r="J1064" s="27"/>
      <c r="K1064" s="25" t="s">
        <v>88</v>
      </c>
      <c r="L1064" s="28"/>
    </row>
    <row r="1065" spans="1:12" s="25" customFormat="1" outlineLevel="1" x14ac:dyDescent="0.25">
      <c r="A1065" s="25" t="s">
        <v>134</v>
      </c>
      <c r="B1065" s="25">
        <v>592</v>
      </c>
      <c r="C1065" s="25" t="str">
        <f t="shared" si="1135"/>
        <v>Catégorie 54</v>
      </c>
      <c r="D1065" s="25" t="s">
        <v>150</v>
      </c>
      <c r="F1065" s="25" t="str">
        <f t="shared" ref="F1065" si="1153">_xlfn.CONCAT("FretFluv",LEFT(C1065,3),IF(INT(B1065/11)&lt;8,RIGHT(C1065,1),RIGHT(C1065,2)),"TauxChargeMoy")</f>
        <v>FretFluvCat54TauxChargeMoy</v>
      </c>
      <c r="G1065" s="25" t="s">
        <v>17</v>
      </c>
      <c r="H1065" s="25">
        <f>IF($I$15="Oui",1,0)*IF(ISNUMBER(SEARCH("Le taux de chargement moyen",I1060)),1,0)</f>
        <v>0</v>
      </c>
      <c r="I1065" s="28"/>
      <c r="J1065" s="27"/>
      <c r="K1065" s="25" t="s">
        <v>70</v>
      </c>
      <c r="L1065" s="28"/>
    </row>
    <row r="1066" spans="1:12" s="25" customFormat="1" outlineLevel="1" x14ac:dyDescent="0.25">
      <c r="A1066" s="25" t="s">
        <v>134</v>
      </c>
      <c r="B1066" s="25">
        <v>593</v>
      </c>
      <c r="C1066" s="25" t="str">
        <f t="shared" si="1135"/>
        <v>Catégorie 54</v>
      </c>
      <c r="D1066" s="26" t="s">
        <v>526</v>
      </c>
      <c r="F1066" s="25" t="str">
        <f t="shared" ref="F1066" si="1154">_xlfn.CONCAT("FretFluv",LEFT(C1066,3),IF(INT(B1066/11)&lt;8,RIGHT(C1066,1),RIGHT(C1066,2)),"NbBarges")</f>
        <v>FretFluvCat54NbBarges</v>
      </c>
      <c r="G1066" s="25" t="s">
        <v>17</v>
      </c>
      <c r="H1066" s="25">
        <f>IF($I$15="Oui",1,0)</f>
        <v>1</v>
      </c>
      <c r="I1066" s="28"/>
      <c r="J1066" s="27"/>
      <c r="K1066" s="25" t="s">
        <v>151</v>
      </c>
      <c r="L1066" s="28"/>
    </row>
    <row r="1067" spans="1:12" s="25" customFormat="1" outlineLevel="1" x14ac:dyDescent="0.25">
      <c r="A1067" s="25" t="s">
        <v>134</v>
      </c>
      <c r="B1067" s="25">
        <v>594</v>
      </c>
      <c r="C1067" s="25" t="str">
        <f t="shared" si="1135"/>
        <v>Catégorie 55</v>
      </c>
      <c r="D1067" s="25" t="s">
        <v>135</v>
      </c>
      <c r="F1067" s="25" t="str">
        <f t="shared" ref="F1067" si="1155">_xlfn.CONCAT("FretFluv",LEFT(C1067,3),IF(INT(B1067/11)&lt;8,RIGHT(C1067,1),RIGHT(C1067,2)),"Nom")</f>
        <v>FretFluvCat55Nom</v>
      </c>
      <c r="G1067" s="26" t="s">
        <v>20</v>
      </c>
      <c r="H1067" s="25">
        <f>IF($I$15="Oui",1,0)</f>
        <v>1</v>
      </c>
      <c r="I1067" s="28"/>
      <c r="J1067" s="27" t="str">
        <f>VLOOKUP(C1067,'Parcs types'!$B$65:$AA$120,2,FALSE)</f>
        <v>Pousseurs &gt;880 kW H2 , PAC</v>
      </c>
      <c r="L1067" s="25" t="str">
        <f>J1067</f>
        <v>Pousseurs &gt;880 kW H2 , PAC</v>
      </c>
    </row>
    <row r="1068" spans="1:12" s="25" customFormat="1" outlineLevel="1" x14ac:dyDescent="0.25">
      <c r="A1068" s="25" t="s">
        <v>134</v>
      </c>
      <c r="B1068" s="25">
        <v>595</v>
      </c>
      <c r="C1068" s="25" t="str">
        <f t="shared" si="1135"/>
        <v>Catégorie 55</v>
      </c>
      <c r="D1068" s="25" t="s">
        <v>136</v>
      </c>
      <c r="F1068" s="25" t="str">
        <f t="shared" ref="F1068" si="1156">_xlfn.CONCAT("FretFluv",LEFT(C1068,3),IF(INT(B1068/11)&lt;8,RIGHT(C1068,1),RIGHT(C1068,2)),"Type")</f>
        <v>FretFluvCat55Type</v>
      </c>
      <c r="G1068" s="25" t="s">
        <v>20</v>
      </c>
      <c r="H1068" s="25">
        <f t="shared" ref="H1068:H1070" si="1157">IF($I$15="Oui",1,0)</f>
        <v>1</v>
      </c>
      <c r="I1068" s="28"/>
      <c r="J1068" s="27" t="str">
        <f>VLOOKUP(C1068,'Parcs types'!$B$65:$AA$120,3,FALSE)</f>
        <v>Pousseurs</v>
      </c>
      <c r="L1068" s="25" t="str">
        <f t="shared" ref="L1068:L1070" si="1158">J1068</f>
        <v>Pousseurs</v>
      </c>
    </row>
    <row r="1069" spans="1:12" s="25" customFormat="1" outlineLevel="1" x14ac:dyDescent="0.25">
      <c r="A1069" s="25" t="s">
        <v>134</v>
      </c>
      <c r="B1069" s="25">
        <v>596</v>
      </c>
      <c r="C1069" s="25" t="str">
        <f t="shared" si="1135"/>
        <v>Catégorie 55</v>
      </c>
      <c r="D1069" s="26" t="s">
        <v>137</v>
      </c>
      <c r="F1069" s="25" t="str">
        <f t="shared" ref="F1069" si="1159">_xlfn.CONCAT("FretFluv",LEFT(C1069,3),IF(INT(B1069/11)&lt;8,RIGHT(C1069,1),RIGHT(C1069,2)),"Cap")</f>
        <v>FretFluvCat55Cap</v>
      </c>
      <c r="G1069" s="26" t="s">
        <v>36</v>
      </c>
      <c r="H1069" s="25">
        <f t="shared" si="1157"/>
        <v>1</v>
      </c>
      <c r="I1069" s="28"/>
      <c r="J1069" s="27" t="str">
        <f>VLOOKUP(C1069,'Parcs types'!$B$65:$AA$120,4,FALSE)</f>
        <v>&gt;880 kW</v>
      </c>
      <c r="K1069" s="25" t="s">
        <v>524</v>
      </c>
      <c r="L1069" s="25" t="str">
        <f t="shared" si="1158"/>
        <v>&gt;880 kW</v>
      </c>
    </row>
    <row r="1070" spans="1:12" s="25" customFormat="1" outlineLevel="1" x14ac:dyDescent="0.25">
      <c r="A1070" s="25" t="s">
        <v>134</v>
      </c>
      <c r="B1070" s="25">
        <v>597</v>
      </c>
      <c r="C1070" s="25" t="str">
        <f t="shared" si="1135"/>
        <v>Catégorie 55</v>
      </c>
      <c r="D1070" s="26" t="s">
        <v>525</v>
      </c>
      <c r="F1070" s="25" t="str">
        <f t="shared" ref="F1070" si="1160">_xlfn.CONCAT("FretFluv",LEFT(C1070,3),IF(INT(B1070/11)&lt;8,RIGHT(C1070,1),RIGHT(C1070,2)),"Tech")</f>
        <v>FretFluvCat55Tech</v>
      </c>
      <c r="G1070" s="26" t="s">
        <v>20</v>
      </c>
      <c r="H1070" s="25">
        <f t="shared" si="1157"/>
        <v>1</v>
      </c>
      <c r="I1070" s="28"/>
      <c r="J1070" s="27" t="str">
        <f>VLOOKUP(C1070,'Parcs types'!$B$65:$AA$120,5,FALSE)</f>
        <v>H2 , PAC</v>
      </c>
      <c r="L1070" s="25" t="str">
        <f t="shared" si="1158"/>
        <v>H2 , PAC</v>
      </c>
    </row>
    <row r="1071" spans="1:12" s="25" customFormat="1" outlineLevel="1" x14ac:dyDescent="0.25">
      <c r="A1071" s="25" t="s">
        <v>134</v>
      </c>
      <c r="B1071" s="25">
        <v>598</v>
      </c>
      <c r="C1071" s="25" t="str">
        <f t="shared" si="1135"/>
        <v>Catégorie 55</v>
      </c>
      <c r="D1071" s="25" t="s">
        <v>140</v>
      </c>
      <c r="F1071" s="25" t="str">
        <f t="shared" ref="F1071" si="1161">_xlfn.CONCAT("FretFluv",LEFT(C1071,3),IF(INT(B1071/11)&lt;8,RIGHT(C1071,1),RIGHT(C1071,2)),"Request")</f>
        <v>FretFluvCat55Request</v>
      </c>
      <c r="G1071" s="26" t="s">
        <v>20</v>
      </c>
      <c r="H1071" s="25">
        <f>IF($I$15="Oui",1,0)</f>
        <v>1</v>
      </c>
      <c r="J1071" s="27" t="s">
        <v>142</v>
      </c>
      <c r="L1071" s="28"/>
    </row>
    <row r="1072" spans="1:12" s="25" customFormat="1" outlineLevel="1" x14ac:dyDescent="0.25">
      <c r="A1072" s="25" t="s">
        <v>134</v>
      </c>
      <c r="B1072" s="25">
        <v>599</v>
      </c>
      <c r="C1072" s="25" t="str">
        <f t="shared" si="1135"/>
        <v>Catégorie 55</v>
      </c>
      <c r="D1072" s="25" t="s">
        <v>144</v>
      </c>
      <c r="F1072" s="25" t="str">
        <f t="shared" ref="F1072" si="1162">_xlfn.CONCAT("FretFluv",LEFT(C1072,3),IF(INT(B1072/11)&lt;8,RIGHT(C1072,1),RIGHT(C1072,2)),"NbTraj")</f>
        <v>FretFluvCat55NbTraj</v>
      </c>
      <c r="G1072" s="25" t="s">
        <v>17</v>
      </c>
      <c r="H1072" s="25">
        <f>IF($I$15="Oui",1,0)*IF(ISNUMBER(SEARCH("Une estimation du nombre annuel de trajets pour ce type de barge",I1071)),1,0)</f>
        <v>0</v>
      </c>
      <c r="I1072" s="28"/>
      <c r="J1072" s="27"/>
      <c r="K1072" s="25" t="s">
        <v>145</v>
      </c>
      <c r="L1072" s="28"/>
    </row>
    <row r="1073" spans="1:12" s="25" customFormat="1" outlineLevel="1" x14ac:dyDescent="0.25">
      <c r="A1073" s="25" t="s">
        <v>134</v>
      </c>
      <c r="B1073" s="25">
        <v>600</v>
      </c>
      <c r="C1073" s="25" t="str">
        <f t="shared" si="1135"/>
        <v>Catégorie 55</v>
      </c>
      <c r="D1073" s="25" t="s">
        <v>146</v>
      </c>
      <c r="F1073" s="25" t="str">
        <f t="shared" ref="F1073" si="1163">_xlfn.CONCAT("FretFluv",LEFT(C1073,3),IF(INT(B1073/11)&lt;8,RIGHT(C1073,1),RIGHT(C1073,2)),"DistMoy")</f>
        <v>FretFluvCat55DistMoy</v>
      </c>
      <c r="G1073" s="25" t="s">
        <v>17</v>
      </c>
      <c r="H1073" s="25">
        <f>IF($I$15="Oui",1,0)*IF(ISNUMBER(SEARCH("La distance moyenne d'un trajet",I1071)),1,0)</f>
        <v>0</v>
      </c>
      <c r="I1073" s="28"/>
      <c r="J1073" s="27"/>
      <c r="K1073" s="25" t="s">
        <v>88</v>
      </c>
      <c r="L1073" s="28"/>
    </row>
    <row r="1074" spans="1:12" s="25" customFormat="1" outlineLevel="1" x14ac:dyDescent="0.25">
      <c r="A1074" s="25" t="s">
        <v>134</v>
      </c>
      <c r="B1074" s="25">
        <v>601</v>
      </c>
      <c r="C1074" s="25" t="str">
        <f t="shared" si="1135"/>
        <v>Catégorie 55</v>
      </c>
      <c r="D1074" s="25" t="s">
        <v>147</v>
      </c>
      <c r="F1074" s="25" t="str">
        <f t="shared" ref="F1074" si="1164">_xlfn.CONCAT("FretFluv",LEFT(C1074,3),IF(INT(B1074/11)&lt;8,RIGHT(C1074,1),RIGHT(C1074,2)),"EmportMoy")</f>
        <v>FretFluvCat55EmportMoy</v>
      </c>
      <c r="G1074" s="25" t="s">
        <v>17</v>
      </c>
      <c r="H1074" s="25">
        <f>IF($I$15="Oui",1,0)*IF(ISNUMBER(SEARCH("La masse moyenne transportée pour un trajet",I1071)),1,0)</f>
        <v>0</v>
      </c>
      <c r="I1074" s="28"/>
      <c r="J1074" s="27"/>
      <c r="K1074" s="25" t="s">
        <v>148</v>
      </c>
      <c r="L1074" s="28"/>
    </row>
    <row r="1075" spans="1:12" s="25" customFormat="1" outlineLevel="1" x14ac:dyDescent="0.25">
      <c r="A1075" s="25" t="s">
        <v>134</v>
      </c>
      <c r="B1075" s="25">
        <v>602</v>
      </c>
      <c r="C1075" s="25" t="str">
        <f t="shared" si="1135"/>
        <v>Catégorie 55</v>
      </c>
      <c r="D1075" s="25" t="s">
        <v>149</v>
      </c>
      <c r="F1075" s="25" t="str">
        <f t="shared" ref="F1075" si="1165">_xlfn.CONCAT("FretFluv",LEFT(C1075,3),IF(INT(B1075/11)&lt;8,RIGHT(C1075,1),RIGHT(C1075,2)),"DistAn")</f>
        <v>FretFluvCat55DistAn</v>
      </c>
      <c r="G1075" s="25" t="s">
        <v>17</v>
      </c>
      <c r="H1075" s="25">
        <f>IF($I$15="Oui",1,0)*IF(ISNUMBER(SEARCH("La distance parcourue annuellement pour ce type de barge",I1071)),1,0)</f>
        <v>0</v>
      </c>
      <c r="I1075" s="28"/>
      <c r="J1075" s="27"/>
      <c r="K1075" s="25" t="s">
        <v>88</v>
      </c>
    </row>
    <row r="1076" spans="1:12" s="25" customFormat="1" outlineLevel="1" x14ac:dyDescent="0.25">
      <c r="A1076" s="25" t="s">
        <v>134</v>
      </c>
      <c r="B1076" s="25">
        <v>603</v>
      </c>
      <c r="C1076" s="25" t="str">
        <f t="shared" si="1135"/>
        <v>Catégorie 55</v>
      </c>
      <c r="D1076" s="25" t="s">
        <v>150</v>
      </c>
      <c r="F1076" s="25" t="str">
        <f t="shared" ref="F1076" si="1166">_xlfn.CONCAT("FretFluv",LEFT(C1076,3),IF(INT(B1076/11)&lt;8,RIGHT(C1076,1),RIGHT(C1076,2)),"TauxChargeMoy")</f>
        <v>FretFluvCat55TauxChargeMoy</v>
      </c>
      <c r="G1076" s="25" t="s">
        <v>17</v>
      </c>
      <c r="H1076" s="25">
        <f>IF($I$15="Oui",1,0)*IF(ISNUMBER(SEARCH("Le taux de chargement moyen",I1071)),1,0)</f>
        <v>0</v>
      </c>
      <c r="I1076" s="28"/>
      <c r="J1076" s="27"/>
      <c r="K1076" s="25" t="s">
        <v>70</v>
      </c>
    </row>
    <row r="1077" spans="1:12" s="25" customFormat="1" outlineLevel="1" x14ac:dyDescent="0.25">
      <c r="A1077" s="25" t="s">
        <v>134</v>
      </c>
      <c r="B1077" s="25">
        <v>604</v>
      </c>
      <c r="C1077" s="25" t="str">
        <f t="shared" si="1135"/>
        <v>Catégorie 55</v>
      </c>
      <c r="D1077" s="26" t="s">
        <v>526</v>
      </c>
      <c r="F1077" s="25" t="str">
        <f t="shared" ref="F1077" si="1167">_xlfn.CONCAT("FretFluv",LEFT(C1077,3),IF(INT(B1077/11)&lt;8,RIGHT(C1077,1),RIGHT(C1077,2)),"NbBarges")</f>
        <v>FretFluvCat55NbBarges</v>
      </c>
      <c r="G1077" s="25" t="s">
        <v>17</v>
      </c>
      <c r="H1077" s="25">
        <f>IF($I$15="Oui",1,0)</f>
        <v>1</v>
      </c>
      <c r="I1077" s="28"/>
      <c r="J1077" s="27"/>
      <c r="K1077" s="25" t="s">
        <v>151</v>
      </c>
    </row>
    <row r="1078" spans="1:12" s="25" customFormat="1" outlineLevel="1" x14ac:dyDescent="0.25">
      <c r="A1078" s="25" t="s">
        <v>134</v>
      </c>
      <c r="B1078" s="25">
        <v>605</v>
      </c>
      <c r="C1078" s="25" t="str">
        <f t="shared" si="1135"/>
        <v>Catégorie 56</v>
      </c>
      <c r="D1078" s="25" t="s">
        <v>135</v>
      </c>
      <c r="F1078" s="25" t="str">
        <f t="shared" ref="F1078" si="1168">_xlfn.CONCAT("FretFluv",LEFT(C1078,3),IF(INT(B1078/11)&lt;8,RIGHT(C1078,1),RIGHT(C1078,2)),"Nom")</f>
        <v>FretFluvCat56Nom</v>
      </c>
      <c r="G1078" s="26" t="s">
        <v>20</v>
      </c>
      <c r="H1078" s="25">
        <f>IF($I$15="Oui",1,0)</f>
        <v>1</v>
      </c>
      <c r="I1078" s="28"/>
      <c r="J1078" s="27" t="str">
        <f>VLOOKUP(C1078,'Parcs types'!$B$65:$AA$120,2,FALSE)</f>
        <v>Pousseurs &gt;880 kW H2 , ICE</v>
      </c>
      <c r="L1078" s="25" t="str">
        <f>J1078</f>
        <v>Pousseurs &gt;880 kW H2 , ICE</v>
      </c>
    </row>
    <row r="1079" spans="1:12" s="25" customFormat="1" outlineLevel="1" x14ac:dyDescent="0.25">
      <c r="A1079" s="25" t="s">
        <v>134</v>
      </c>
      <c r="B1079" s="25">
        <v>606</v>
      </c>
      <c r="C1079" s="25" t="str">
        <f t="shared" si="1135"/>
        <v>Catégorie 56</v>
      </c>
      <c r="D1079" s="25" t="s">
        <v>136</v>
      </c>
      <c r="F1079" s="25" t="str">
        <f t="shared" ref="F1079" si="1169">_xlfn.CONCAT("FretFluv",LEFT(C1079,3),IF(INT(B1079/11)&lt;8,RIGHT(C1079,1),RIGHT(C1079,2)),"Type")</f>
        <v>FretFluvCat56Type</v>
      </c>
      <c r="G1079" s="25" t="s">
        <v>20</v>
      </c>
      <c r="H1079" s="25">
        <f t="shared" ref="H1079:H1081" si="1170">IF($I$15="Oui",1,0)</f>
        <v>1</v>
      </c>
      <c r="I1079" s="28"/>
      <c r="J1079" s="27" t="str">
        <f>VLOOKUP(C1079,'Parcs types'!$B$65:$AA$120,3,FALSE)</f>
        <v>Pousseurs</v>
      </c>
      <c r="L1079" s="25" t="str">
        <f t="shared" ref="L1079:L1081" si="1171">J1079</f>
        <v>Pousseurs</v>
      </c>
    </row>
    <row r="1080" spans="1:12" s="25" customFormat="1" outlineLevel="1" x14ac:dyDescent="0.25">
      <c r="A1080" s="25" t="s">
        <v>134</v>
      </c>
      <c r="B1080" s="25">
        <v>607</v>
      </c>
      <c r="C1080" s="25" t="str">
        <f t="shared" si="1135"/>
        <v>Catégorie 56</v>
      </c>
      <c r="D1080" s="26" t="s">
        <v>137</v>
      </c>
      <c r="F1080" s="25" t="str">
        <f t="shared" ref="F1080" si="1172">_xlfn.CONCAT("FretFluv",LEFT(C1080,3),IF(INT(B1080/11)&lt;8,RIGHT(C1080,1),RIGHT(C1080,2)),"Cap")</f>
        <v>FretFluvCat56Cap</v>
      </c>
      <c r="G1080" s="26" t="s">
        <v>36</v>
      </c>
      <c r="H1080" s="25">
        <f t="shared" si="1170"/>
        <v>1</v>
      </c>
      <c r="I1080" s="28"/>
      <c r="J1080" s="27" t="str">
        <f>VLOOKUP(C1080,'Parcs types'!$B$65:$AA$120,4,FALSE)</f>
        <v>&gt;880 kW</v>
      </c>
      <c r="K1080" s="25" t="s">
        <v>524</v>
      </c>
      <c r="L1080" s="25" t="str">
        <f t="shared" si="1171"/>
        <v>&gt;880 kW</v>
      </c>
    </row>
    <row r="1081" spans="1:12" s="25" customFormat="1" outlineLevel="1" x14ac:dyDescent="0.25">
      <c r="A1081" s="25" t="s">
        <v>134</v>
      </c>
      <c r="B1081" s="25">
        <v>608</v>
      </c>
      <c r="C1081" s="25" t="str">
        <f t="shared" si="1135"/>
        <v>Catégorie 56</v>
      </c>
      <c r="D1081" s="26" t="s">
        <v>525</v>
      </c>
      <c r="F1081" s="25" t="str">
        <f t="shared" ref="F1081" si="1173">_xlfn.CONCAT("FretFluv",LEFT(C1081,3),IF(INT(B1081/11)&lt;8,RIGHT(C1081,1),RIGHT(C1081,2)),"Tech")</f>
        <v>FretFluvCat56Tech</v>
      </c>
      <c r="G1081" s="26" t="s">
        <v>20</v>
      </c>
      <c r="H1081" s="25">
        <f t="shared" si="1170"/>
        <v>1</v>
      </c>
      <c r="I1081" s="28"/>
      <c r="J1081" s="27" t="str">
        <f>VLOOKUP(C1081,'Parcs types'!$B$65:$AA$120,5,FALSE)</f>
        <v>H2 , ICE</v>
      </c>
      <c r="L1081" s="25" t="str">
        <f t="shared" si="1171"/>
        <v>H2 , ICE</v>
      </c>
    </row>
    <row r="1082" spans="1:12" s="25" customFormat="1" outlineLevel="1" x14ac:dyDescent="0.25">
      <c r="A1082" s="25" t="s">
        <v>134</v>
      </c>
      <c r="B1082" s="25">
        <v>609</v>
      </c>
      <c r="C1082" s="25" t="str">
        <f t="shared" si="1135"/>
        <v>Catégorie 56</v>
      </c>
      <c r="D1082" s="25" t="s">
        <v>140</v>
      </c>
      <c r="F1082" s="25" t="str">
        <f t="shared" ref="F1082" si="1174">_xlfn.CONCAT("FretFluv",LEFT(C1082,3),IF(INT(B1082/11)&lt;8,RIGHT(C1082,1),RIGHT(C1082,2)),"Request")</f>
        <v>FretFluvCat56Request</v>
      </c>
      <c r="G1082" s="26" t="s">
        <v>20</v>
      </c>
      <c r="H1082" s="25">
        <f>IF($I$15="Oui",1,0)</f>
        <v>1</v>
      </c>
      <c r="J1082" s="27" t="s">
        <v>142</v>
      </c>
      <c r="L1082" s="28"/>
    </row>
    <row r="1083" spans="1:12" s="25" customFormat="1" outlineLevel="1" x14ac:dyDescent="0.25">
      <c r="A1083" s="25" t="s">
        <v>134</v>
      </c>
      <c r="B1083" s="25">
        <v>610</v>
      </c>
      <c r="C1083" s="25" t="str">
        <f t="shared" si="1135"/>
        <v>Catégorie 56</v>
      </c>
      <c r="D1083" s="25" t="s">
        <v>144</v>
      </c>
      <c r="F1083" s="25" t="str">
        <f t="shared" ref="F1083" si="1175">_xlfn.CONCAT("FretFluv",LEFT(C1083,3),IF(INT(B1083/11)&lt;8,RIGHT(C1083,1),RIGHT(C1083,2)),"NbTraj")</f>
        <v>FretFluvCat56NbTraj</v>
      </c>
      <c r="G1083" s="25" t="s">
        <v>17</v>
      </c>
      <c r="H1083" s="25">
        <f>IF($I$15="Oui",1,0)*IF(ISNUMBER(SEARCH("Une estimation du nombre annuel de trajets pour ce type de barge",I1082)),1,0)</f>
        <v>0</v>
      </c>
      <c r="I1083" s="28"/>
      <c r="J1083" s="27"/>
      <c r="K1083" s="25" t="s">
        <v>145</v>
      </c>
      <c r="L1083" s="28"/>
    </row>
    <row r="1084" spans="1:12" s="25" customFormat="1" outlineLevel="1" x14ac:dyDescent="0.25">
      <c r="A1084" s="25" t="s">
        <v>134</v>
      </c>
      <c r="B1084" s="25">
        <v>611</v>
      </c>
      <c r="C1084" s="25" t="str">
        <f t="shared" si="1135"/>
        <v>Catégorie 56</v>
      </c>
      <c r="D1084" s="25" t="s">
        <v>146</v>
      </c>
      <c r="F1084" s="25" t="str">
        <f t="shared" ref="F1084" si="1176">_xlfn.CONCAT("FretFluv",LEFT(C1084,3),IF(INT(B1084/11)&lt;8,RIGHT(C1084,1),RIGHT(C1084,2)),"DistMoy")</f>
        <v>FretFluvCat56DistMoy</v>
      </c>
      <c r="G1084" s="25" t="s">
        <v>17</v>
      </c>
      <c r="H1084" s="25">
        <f>IF($I$15="Oui",1,0)*IF(ISNUMBER(SEARCH("La distance moyenne d'un trajet",I1082)),1,0)</f>
        <v>0</v>
      </c>
      <c r="I1084" s="28"/>
      <c r="J1084" s="27"/>
      <c r="K1084" s="25" t="s">
        <v>88</v>
      </c>
      <c r="L1084" s="28"/>
    </row>
    <row r="1085" spans="1:12" s="25" customFormat="1" outlineLevel="1" x14ac:dyDescent="0.25">
      <c r="A1085" s="25" t="s">
        <v>134</v>
      </c>
      <c r="B1085" s="25">
        <v>612</v>
      </c>
      <c r="C1085" s="25" t="str">
        <f t="shared" si="1135"/>
        <v>Catégorie 56</v>
      </c>
      <c r="D1085" s="25" t="s">
        <v>147</v>
      </c>
      <c r="F1085" s="25" t="str">
        <f t="shared" ref="F1085" si="1177">_xlfn.CONCAT("FretFluv",LEFT(C1085,3),IF(INT(B1085/11)&lt;8,RIGHT(C1085,1),RIGHT(C1085,2)),"EmportMoy")</f>
        <v>FretFluvCat56EmportMoy</v>
      </c>
      <c r="G1085" s="25" t="s">
        <v>17</v>
      </c>
      <c r="H1085" s="25">
        <f>IF($I$15="Oui",1,0)*IF(ISNUMBER(SEARCH("La masse moyenne transportée pour un trajet",I1082)),1,0)</f>
        <v>0</v>
      </c>
      <c r="I1085" s="28"/>
      <c r="J1085" s="27"/>
      <c r="K1085" s="25" t="s">
        <v>148</v>
      </c>
      <c r="L1085" s="28"/>
    </row>
    <row r="1086" spans="1:12" s="25" customFormat="1" outlineLevel="1" x14ac:dyDescent="0.25">
      <c r="A1086" s="25" t="s">
        <v>134</v>
      </c>
      <c r="B1086" s="25">
        <v>613</v>
      </c>
      <c r="C1086" s="25" t="str">
        <f t="shared" si="1135"/>
        <v>Catégorie 56</v>
      </c>
      <c r="D1086" s="25" t="s">
        <v>149</v>
      </c>
      <c r="F1086" s="25" t="str">
        <f t="shared" ref="F1086" si="1178">_xlfn.CONCAT("FretFluv",LEFT(C1086,3),IF(INT(B1086/11)&lt;8,RIGHT(C1086,1),RIGHT(C1086,2)),"DistAn")</f>
        <v>FretFluvCat56DistAn</v>
      </c>
      <c r="G1086" s="25" t="s">
        <v>17</v>
      </c>
      <c r="H1086" s="25">
        <f>IF($I$15="Oui",1,0)*IF(ISNUMBER(SEARCH("La distance parcourue annuellement pour ce type de barge",I1082)),1,0)</f>
        <v>0</v>
      </c>
      <c r="I1086" s="28"/>
      <c r="J1086" s="27"/>
      <c r="K1086" s="25" t="s">
        <v>88</v>
      </c>
      <c r="L1086" s="28"/>
    </row>
    <row r="1087" spans="1:12" s="25" customFormat="1" outlineLevel="1" x14ac:dyDescent="0.25">
      <c r="A1087" s="25" t="s">
        <v>134</v>
      </c>
      <c r="B1087" s="25">
        <v>614</v>
      </c>
      <c r="C1087" s="25" t="str">
        <f t="shared" si="1135"/>
        <v>Catégorie 56</v>
      </c>
      <c r="D1087" s="25" t="s">
        <v>150</v>
      </c>
      <c r="F1087" s="25" t="str">
        <f t="shared" ref="F1087" si="1179">_xlfn.CONCAT("FretFluv",LEFT(C1087,3),IF(INT(B1087/11)&lt;8,RIGHT(C1087,1),RIGHT(C1087,2)),"TauxChargeMoy")</f>
        <v>FretFluvCat56TauxChargeMoy</v>
      </c>
      <c r="G1087" s="25" t="s">
        <v>17</v>
      </c>
      <c r="H1087" s="25">
        <f>IF($I$15="Oui",1,0)*IF(ISNUMBER(SEARCH("Le taux de chargement moyen",I1082)),1,0)</f>
        <v>0</v>
      </c>
      <c r="I1087" s="28"/>
      <c r="J1087" s="27"/>
      <c r="K1087" s="25" t="s">
        <v>70</v>
      </c>
      <c r="L1087" s="28"/>
    </row>
    <row r="1088" spans="1:12" s="25" customFormat="1" outlineLevel="1" x14ac:dyDescent="0.25">
      <c r="A1088" s="25" t="s">
        <v>134</v>
      </c>
      <c r="B1088" s="25">
        <v>615</v>
      </c>
      <c r="C1088" s="25" t="str">
        <f t="shared" si="1135"/>
        <v>Catégorie 56</v>
      </c>
      <c r="D1088" s="26" t="s">
        <v>526</v>
      </c>
      <c r="F1088" s="25" t="str">
        <f t="shared" ref="F1088" si="1180">_xlfn.CONCAT("FretFluv",LEFT(C1088,3),IF(INT(B1088/11)&lt;8,RIGHT(C1088,1),RIGHT(C1088,2)),"NbBarges")</f>
        <v>FretFluvCat56NbBarges</v>
      </c>
      <c r="G1088" s="25" t="s">
        <v>17</v>
      </c>
      <c r="H1088" s="25">
        <f>IF($I$15="Oui",1,0)</f>
        <v>1</v>
      </c>
      <c r="I1088" s="28"/>
      <c r="J1088" s="27"/>
      <c r="K1088" s="25" t="s">
        <v>151</v>
      </c>
      <c r="L1088" s="28"/>
    </row>
    <row r="1089" spans="1:14" outlineLevel="1" x14ac:dyDescent="0.25">
      <c r="A1089" t="s">
        <v>152</v>
      </c>
      <c r="D1089" t="s">
        <v>81</v>
      </c>
      <c r="F1089" t="s">
        <v>153</v>
      </c>
      <c r="G1089" t="s">
        <v>60</v>
      </c>
      <c r="H1089">
        <f>IF($I$16="Oui",1,0)</f>
        <v>1</v>
      </c>
      <c r="I1089" t="s">
        <v>154</v>
      </c>
      <c r="J1089" t="s">
        <v>154</v>
      </c>
    </row>
    <row r="1090" spans="1:14" outlineLevel="1" x14ac:dyDescent="0.25">
      <c r="A1090" t="s">
        <v>152</v>
      </c>
      <c r="D1090" t="s">
        <v>155</v>
      </c>
      <c r="F1090" t="s">
        <v>156</v>
      </c>
      <c r="G1090" t="s">
        <v>17</v>
      </c>
      <c r="H1090">
        <f>IF($I$16="Oui",1,0)*IF(ISNUMBER(SEARCH("Electrique",$I$433)),1,0)</f>
        <v>0</v>
      </c>
      <c r="I1090">
        <v>200</v>
      </c>
      <c r="K1090" t="s">
        <v>148</v>
      </c>
      <c r="L1090" s="6"/>
    </row>
    <row r="1091" spans="1:14" outlineLevel="1" x14ac:dyDescent="0.25">
      <c r="A1091" t="s">
        <v>152</v>
      </c>
      <c r="D1091" t="s">
        <v>157</v>
      </c>
      <c r="F1091" t="s">
        <v>158</v>
      </c>
      <c r="G1091" t="s">
        <v>17</v>
      </c>
      <c r="H1091">
        <f>IF($I$16="Oui",1,0)*IF(ISNUMBER(SEARCH("Diesel",$I$433)),1,0)</f>
        <v>0</v>
      </c>
      <c r="I1091">
        <v>350</v>
      </c>
      <c r="K1091" t="s">
        <v>148</v>
      </c>
      <c r="L1091" s="6"/>
    </row>
    <row r="1092" spans="1:14" outlineLevel="1" x14ac:dyDescent="0.25">
      <c r="A1092" t="s">
        <v>152</v>
      </c>
      <c r="D1092" t="s">
        <v>159</v>
      </c>
      <c r="F1092" t="s">
        <v>160</v>
      </c>
      <c r="G1092" t="s">
        <v>17</v>
      </c>
      <c r="H1092">
        <f>IF($I$16="Oui",1,0)*IF(ISNUMBER(SEARCH("Electrique",$I$433)),1,0)</f>
        <v>0</v>
      </c>
      <c r="I1092">
        <v>300</v>
      </c>
      <c r="K1092" t="s">
        <v>88</v>
      </c>
      <c r="L1092" s="11">
        <f>SQRT($I$7)*365</f>
        <v>8348.8514180095463</v>
      </c>
    </row>
    <row r="1093" spans="1:14" outlineLevel="1" x14ac:dyDescent="0.25">
      <c r="A1093" t="s">
        <v>152</v>
      </c>
      <c r="D1093" t="s">
        <v>161</v>
      </c>
      <c r="F1093" t="s">
        <v>162</v>
      </c>
      <c r="G1093" t="s">
        <v>17</v>
      </c>
      <c r="H1093">
        <f>IF($I$16="Oui",1,0)*IF(ISNUMBER(SEARCH("Diesel",$I$433)),1,0)</f>
        <v>0</v>
      </c>
      <c r="I1093">
        <v>400</v>
      </c>
      <c r="K1093" t="s">
        <v>88</v>
      </c>
      <c r="L1093" s="11">
        <f>SQRT($I$7)*365</f>
        <v>8348.8514180095463</v>
      </c>
    </row>
    <row r="1094" spans="1:14" outlineLevel="1" x14ac:dyDescent="0.25">
      <c r="A1094" t="s">
        <v>163</v>
      </c>
      <c r="D1094" t="s">
        <v>164</v>
      </c>
      <c r="F1094" t="s">
        <v>165</v>
      </c>
      <c r="G1094" t="s">
        <v>36</v>
      </c>
      <c r="H1094">
        <v>1</v>
      </c>
      <c r="I1094" t="s">
        <v>54</v>
      </c>
      <c r="J1094" t="s">
        <v>55</v>
      </c>
    </row>
    <row r="1095" spans="1:14" outlineLevel="1" x14ac:dyDescent="0.25">
      <c r="A1095" t="s">
        <v>163</v>
      </c>
      <c r="D1095" t="s">
        <v>166</v>
      </c>
      <c r="F1095" t="s">
        <v>167</v>
      </c>
      <c r="G1095" t="s">
        <v>17</v>
      </c>
      <c r="H1095">
        <f>IF($I$438="Oui",1,0)</f>
        <v>0</v>
      </c>
      <c r="I1095">
        <v>90</v>
      </c>
      <c r="K1095" t="s">
        <v>148</v>
      </c>
    </row>
    <row r="1096" spans="1:14" outlineLevel="1" x14ac:dyDescent="0.25">
      <c r="A1096" t="s">
        <v>163</v>
      </c>
      <c r="D1096" t="s">
        <v>168</v>
      </c>
      <c r="F1096" t="s">
        <v>169</v>
      </c>
      <c r="G1096" t="s">
        <v>17</v>
      </c>
      <c r="H1096">
        <f>IF($I$438="Oui",1,0)</f>
        <v>0</v>
      </c>
      <c r="I1096">
        <v>1</v>
      </c>
      <c r="K1096" t="s">
        <v>170</v>
      </c>
    </row>
    <row r="1097" spans="1:14" outlineLevel="1" x14ac:dyDescent="0.25">
      <c r="A1097" t="s">
        <v>171</v>
      </c>
      <c r="C1097" t="s">
        <v>172</v>
      </c>
      <c r="D1097" t="s">
        <v>173</v>
      </c>
      <c r="F1097" t="s">
        <v>174</v>
      </c>
      <c r="G1097" t="s">
        <v>17</v>
      </c>
      <c r="H1097">
        <v>1</v>
      </c>
      <c r="I1097" s="3">
        <v>0.1</v>
      </c>
      <c r="K1097" t="s">
        <v>70</v>
      </c>
    </row>
    <row r="1098" spans="1:14" outlineLevel="1" x14ac:dyDescent="0.25">
      <c r="A1098" t="s">
        <v>171</v>
      </c>
      <c r="C1098" t="s">
        <v>172</v>
      </c>
      <c r="D1098" t="s">
        <v>175</v>
      </c>
      <c r="F1098" t="s">
        <v>176</v>
      </c>
      <c r="G1098" t="s">
        <v>17</v>
      </c>
      <c r="H1098">
        <v>1</v>
      </c>
      <c r="I1098" s="3">
        <v>0.03</v>
      </c>
      <c r="K1098" t="s">
        <v>70</v>
      </c>
    </row>
    <row r="1099" spans="1:14" outlineLevel="1" x14ac:dyDescent="0.25">
      <c r="A1099" t="s">
        <v>171</v>
      </c>
      <c r="C1099" t="s">
        <v>172</v>
      </c>
      <c r="D1099" t="s">
        <v>177</v>
      </c>
      <c r="F1099" t="s">
        <v>178</v>
      </c>
      <c r="G1099" t="s">
        <v>17</v>
      </c>
      <c r="H1099">
        <v>1</v>
      </c>
      <c r="I1099" s="3">
        <v>0.03</v>
      </c>
      <c r="K1099" t="s">
        <v>70</v>
      </c>
    </row>
    <row r="1100" spans="1:14" outlineLevel="1" x14ac:dyDescent="0.25">
      <c r="A1100" t="s">
        <v>171</v>
      </c>
      <c r="C1100" t="s">
        <v>172</v>
      </c>
      <c r="D1100" t="s">
        <v>179</v>
      </c>
      <c r="F1100" t="s">
        <v>180</v>
      </c>
      <c r="G1100" t="s">
        <v>17</v>
      </c>
      <c r="H1100">
        <v>1</v>
      </c>
      <c r="I1100" s="3">
        <v>0.7</v>
      </c>
      <c r="K1100" t="s">
        <v>70</v>
      </c>
    </row>
    <row r="1101" spans="1:14" outlineLevel="1" x14ac:dyDescent="0.25">
      <c r="A1101" t="s">
        <v>171</v>
      </c>
      <c r="C1101" t="s">
        <v>172</v>
      </c>
      <c r="D1101" t="s">
        <v>181</v>
      </c>
      <c r="F1101" t="s">
        <v>182</v>
      </c>
      <c r="G1101" t="s">
        <v>17</v>
      </c>
      <c r="H1101">
        <v>1</v>
      </c>
      <c r="I1101" s="3">
        <v>0.14000000000000001</v>
      </c>
      <c r="K1101" t="s">
        <v>70</v>
      </c>
    </row>
    <row r="1102" spans="1:14" outlineLevel="1" x14ac:dyDescent="0.25">
      <c r="A1102" t="s">
        <v>183</v>
      </c>
      <c r="D1102" t="s">
        <v>184</v>
      </c>
      <c r="F1102" t="s">
        <v>185</v>
      </c>
      <c r="G1102" t="s">
        <v>17</v>
      </c>
      <c r="H1102">
        <f>IF(OR(ISNUMBER(SEARCH("B2",$I$18)),ISNUMBER(SEARCH("B2",$I$17))),1,0)</f>
        <v>0</v>
      </c>
      <c r="I1102" s="12">
        <v>20</v>
      </c>
      <c r="K1102" t="s">
        <v>186</v>
      </c>
      <c r="L1102" s="13" t="s">
        <v>187</v>
      </c>
      <c r="N1102" t="s">
        <v>188</v>
      </c>
    </row>
    <row r="1103" spans="1:14" outlineLevel="1" x14ac:dyDescent="0.25">
      <c r="A1103" t="s">
        <v>183</v>
      </c>
      <c r="D1103" t="s">
        <v>189</v>
      </c>
      <c r="F1103" t="s">
        <v>190</v>
      </c>
      <c r="G1103" t="s">
        <v>17</v>
      </c>
      <c r="H1103">
        <f>IF(OR(ISNUMBER(SEARCH("B2",$I$18)),ISNUMBER(SEARCH("B2",$I$17))),1,0)</f>
        <v>0</v>
      </c>
      <c r="I1103" s="14">
        <v>10</v>
      </c>
      <c r="K1103" t="s">
        <v>186</v>
      </c>
      <c r="L1103">
        <f>I1102</f>
        <v>20</v>
      </c>
      <c r="N1103" t="s">
        <v>188</v>
      </c>
    </row>
    <row r="1104" spans="1:14" x14ac:dyDescent="0.25">
      <c r="A1104" t="s">
        <v>183</v>
      </c>
      <c r="D1104" t="s">
        <v>191</v>
      </c>
      <c r="F1104" t="s">
        <v>192</v>
      </c>
      <c r="G1104" t="s">
        <v>17</v>
      </c>
      <c r="H1104">
        <f>IF(OR(ISNUMBER(SEARCH("B2",$I$18)),ISNUMBER(SEARCH("B2",$I$17))),1,0)</f>
        <v>0</v>
      </c>
      <c r="I1104" s="12">
        <v>4</v>
      </c>
      <c r="K1104" t="s">
        <v>193</v>
      </c>
      <c r="L1104">
        <v>4</v>
      </c>
      <c r="N1104" t="s">
        <v>188</v>
      </c>
    </row>
    <row r="1105" spans="1:14" x14ac:dyDescent="0.25">
      <c r="A1105" t="s">
        <v>183</v>
      </c>
      <c r="D1105" t="s">
        <v>194</v>
      </c>
      <c r="F1105" t="s">
        <v>195</v>
      </c>
      <c r="G1105" t="s">
        <v>17</v>
      </c>
      <c r="H1105">
        <f>IF(OR(ISNUMBER(SEARCH("B2",$I$18)),ISNUMBER(SEARCH("B2",$I$17))),1,0)</f>
        <v>0</v>
      </c>
      <c r="I1105" s="12">
        <v>6</v>
      </c>
      <c r="K1105" t="s">
        <v>196</v>
      </c>
      <c r="L1105">
        <f>I1103/I1102*I1102</f>
        <v>10</v>
      </c>
      <c r="N1105" t="s">
        <v>188</v>
      </c>
    </row>
    <row r="1106" spans="1:14" x14ac:dyDescent="0.25">
      <c r="A1106" t="s">
        <v>183</v>
      </c>
      <c r="D1106" s="2" t="s">
        <v>197</v>
      </c>
      <c r="F1106" s="2" t="s">
        <v>198</v>
      </c>
      <c r="G1106" t="s">
        <v>36</v>
      </c>
      <c r="H1106">
        <f>IF(OR(ISNUMBER(SEARCH("B2",$I$18)),ISNUMBER(SEARCH("B2",$I$17))),1,0)</f>
        <v>0</v>
      </c>
      <c r="I1106" s="2" t="s">
        <v>199</v>
      </c>
      <c r="J1106" t="s">
        <v>55</v>
      </c>
      <c r="L1106" s="13" t="s">
        <v>187</v>
      </c>
      <c r="N1106" t="s">
        <v>188</v>
      </c>
    </row>
    <row r="1107" spans="1:14" ht="30" x14ac:dyDescent="0.25">
      <c r="A1107" t="s">
        <v>183</v>
      </c>
      <c r="D1107" s="2" t="s">
        <v>200</v>
      </c>
      <c r="F1107" s="2" t="s">
        <v>201</v>
      </c>
      <c r="G1107" t="s">
        <v>36</v>
      </c>
      <c r="H1107">
        <f>IF(I1106="Non",1,0)</f>
        <v>1</v>
      </c>
      <c r="I1107" s="2" t="s">
        <v>202</v>
      </c>
      <c r="J1107" s="2" t="s">
        <v>203</v>
      </c>
      <c r="L1107" s="15" t="s">
        <v>204</v>
      </c>
      <c r="N1107" t="s">
        <v>188</v>
      </c>
    </row>
    <row r="1108" spans="1:14" outlineLevel="1" x14ac:dyDescent="0.25">
      <c r="A1108" t="s">
        <v>183</v>
      </c>
      <c r="D1108" t="s">
        <v>205</v>
      </c>
      <c r="F1108" t="s">
        <v>206</v>
      </c>
      <c r="G1108" t="s">
        <v>17</v>
      </c>
      <c r="H1108">
        <f>IF(I1106="Oui",1,0)</f>
        <v>0</v>
      </c>
      <c r="I1108" s="2">
        <v>1000</v>
      </c>
      <c r="K1108" t="s">
        <v>207</v>
      </c>
      <c r="L1108" cm="1">
        <f t="array" ref="L1108">_xlfn.SWITCH(I1107, "Faible",200, "Moyen",600, "Élevé",1000, NA())</f>
        <v>1000</v>
      </c>
      <c r="N1108" t="s">
        <v>188</v>
      </c>
    </row>
    <row r="1109" spans="1:14" outlineLevel="1" x14ac:dyDescent="0.25">
      <c r="A1109" t="s">
        <v>208</v>
      </c>
      <c r="D1109" t="s">
        <v>209</v>
      </c>
      <c r="F1109" t="s">
        <v>210</v>
      </c>
      <c r="G1109" t="s">
        <v>17</v>
      </c>
      <c r="H1109">
        <f>IF(OR(ISNUMBER(SEARCH("B3",$I$18)),ISNUMBER(SEARCH("B3",$I$17))),1,0)</f>
        <v>1</v>
      </c>
      <c r="I1109" s="2">
        <v>5</v>
      </c>
      <c r="K1109" t="s">
        <v>211</v>
      </c>
      <c r="L1109">
        <v>15</v>
      </c>
      <c r="N1109" t="s">
        <v>212</v>
      </c>
    </row>
    <row r="1110" spans="1:14" outlineLevel="1" x14ac:dyDescent="0.25">
      <c r="A1110" t="s">
        <v>208</v>
      </c>
      <c r="D1110" t="s">
        <v>213</v>
      </c>
      <c r="F1110" t="s">
        <v>214</v>
      </c>
      <c r="G1110" t="s">
        <v>17</v>
      </c>
      <c r="H1110">
        <f>IF(OR(ISNUMBER(SEARCH("B3",$I$18)),ISNUMBER(SEARCH("B3",$I$17))),1,0)</f>
        <v>1</v>
      </c>
      <c r="I1110" s="16">
        <v>0.5</v>
      </c>
      <c r="K1110" t="s">
        <v>70</v>
      </c>
      <c r="L1110" s="7">
        <v>0.5</v>
      </c>
      <c r="N1110" t="s">
        <v>212</v>
      </c>
    </row>
    <row r="1111" spans="1:14" outlineLevel="1" x14ac:dyDescent="0.25">
      <c r="A1111" t="s">
        <v>215</v>
      </c>
      <c r="C1111" t="s">
        <v>216</v>
      </c>
      <c r="D1111" t="s">
        <v>217</v>
      </c>
      <c r="F1111" t="s">
        <v>218</v>
      </c>
      <c r="G1111" t="s">
        <v>17</v>
      </c>
      <c r="H1111">
        <f>IF(OR(ISNUMBER(SEARCH("B4",$I$18)),ISNUMBER(SEARCH("B4",$I$17))),1,0)</f>
        <v>1</v>
      </c>
      <c r="I1111" s="2">
        <v>4</v>
      </c>
      <c r="K1111" t="s">
        <v>219</v>
      </c>
      <c r="L1111" s="13" t="s">
        <v>187</v>
      </c>
      <c r="N1111" t="s">
        <v>220</v>
      </c>
    </row>
    <row r="1112" spans="1:14" outlineLevel="1" x14ac:dyDescent="0.25">
      <c r="A1112" t="s">
        <v>215</v>
      </c>
      <c r="C1112" t="s">
        <v>216</v>
      </c>
      <c r="D1112" t="s">
        <v>221</v>
      </c>
      <c r="F1112" t="s">
        <v>222</v>
      </c>
      <c r="G1112" t="s">
        <v>17</v>
      </c>
      <c r="H1112">
        <f t="shared" ref="H1112:H1117" si="1181">IF(OR(ISNUMBER(SEARCH("B4",$I$18)),ISNUMBER(SEARCH("B4",$I$17))),1,0)</f>
        <v>1</v>
      </c>
      <c r="I1112" s="2">
        <v>30</v>
      </c>
      <c r="K1112" t="s">
        <v>223</v>
      </c>
      <c r="L1112">
        <v>90</v>
      </c>
      <c r="N1112" t="s">
        <v>220</v>
      </c>
    </row>
    <row r="1113" spans="1:14" outlineLevel="1" x14ac:dyDescent="0.25">
      <c r="A1113" t="s">
        <v>215</v>
      </c>
      <c r="C1113" t="s">
        <v>216</v>
      </c>
      <c r="D1113" t="s">
        <v>224</v>
      </c>
      <c r="F1113" t="s">
        <v>225</v>
      </c>
      <c r="G1113" t="s">
        <v>17</v>
      </c>
      <c r="H1113">
        <f t="shared" si="1181"/>
        <v>1</v>
      </c>
      <c r="K1113" t="s">
        <v>226</v>
      </c>
      <c r="L1113" s="17">
        <v>1000</v>
      </c>
      <c r="M1113" s="17"/>
      <c r="N1113" s="17" t="s">
        <v>220</v>
      </c>
    </row>
    <row r="1114" spans="1:14" outlineLevel="1" x14ac:dyDescent="0.25">
      <c r="A1114" t="s">
        <v>215</v>
      </c>
      <c r="C1114" t="s">
        <v>216</v>
      </c>
      <c r="D1114" t="s">
        <v>227</v>
      </c>
      <c r="F1114" t="s">
        <v>228</v>
      </c>
      <c r="G1114" t="s">
        <v>17</v>
      </c>
      <c r="H1114">
        <f t="shared" si="1181"/>
        <v>1</v>
      </c>
      <c r="K1114" t="s">
        <v>148</v>
      </c>
      <c r="L1114" s="17" t="s">
        <v>229</v>
      </c>
      <c r="M1114" s="17"/>
      <c r="N1114" s="17" t="s">
        <v>220</v>
      </c>
    </row>
    <row r="1115" spans="1:14" outlineLevel="1" x14ac:dyDescent="0.25">
      <c r="A1115" t="s">
        <v>215</v>
      </c>
      <c r="C1115" t="s">
        <v>216</v>
      </c>
      <c r="D1115" t="s">
        <v>230</v>
      </c>
      <c r="F1115" t="s">
        <v>231</v>
      </c>
      <c r="G1115" t="s">
        <v>17</v>
      </c>
      <c r="H1115">
        <f t="shared" si="1181"/>
        <v>1</v>
      </c>
      <c r="I1115" t="s">
        <v>384</v>
      </c>
      <c r="J1115" t="s">
        <v>385</v>
      </c>
      <c r="K1115" t="s">
        <v>148</v>
      </c>
      <c r="L1115" s="17" t="s">
        <v>229</v>
      </c>
      <c r="M1115" s="17"/>
      <c r="N1115" s="17" t="s">
        <v>220</v>
      </c>
    </row>
    <row r="1116" spans="1:14" outlineLevel="1" x14ac:dyDescent="0.25">
      <c r="A1116" t="s">
        <v>215</v>
      </c>
      <c r="C1116" t="s">
        <v>216</v>
      </c>
      <c r="D1116" t="s">
        <v>232</v>
      </c>
      <c r="F1116" t="s">
        <v>233</v>
      </c>
      <c r="G1116" t="s">
        <v>17</v>
      </c>
      <c r="H1116">
        <f t="shared" si="1181"/>
        <v>1</v>
      </c>
      <c r="I1116" s="3"/>
      <c r="K1116" t="s">
        <v>70</v>
      </c>
      <c r="L1116" s="17" t="s">
        <v>229</v>
      </c>
      <c r="M1116" s="17"/>
      <c r="N1116" s="17" t="s">
        <v>220</v>
      </c>
    </row>
    <row r="1117" spans="1:14" outlineLevel="1" x14ac:dyDescent="0.25">
      <c r="A1117" t="s">
        <v>215</v>
      </c>
      <c r="C1117" t="s">
        <v>216</v>
      </c>
      <c r="D1117" t="s">
        <v>234</v>
      </c>
      <c r="F1117" t="s">
        <v>235</v>
      </c>
      <c r="G1117" t="s">
        <v>20</v>
      </c>
      <c r="H1117">
        <f t="shared" si="1181"/>
        <v>1</v>
      </c>
      <c r="I1117" t="s">
        <v>199</v>
      </c>
      <c r="J1117" t="s">
        <v>55</v>
      </c>
      <c r="K1117" t="s">
        <v>199</v>
      </c>
      <c r="L1117" s="13" t="s">
        <v>187</v>
      </c>
      <c r="N1117" t="s">
        <v>220</v>
      </c>
    </row>
    <row r="1118" spans="1:14" outlineLevel="1" x14ac:dyDescent="0.25">
      <c r="A1118" t="s">
        <v>215</v>
      </c>
      <c r="C1118" t="s">
        <v>236</v>
      </c>
      <c r="D1118" t="s">
        <v>237</v>
      </c>
      <c r="F1118" t="s">
        <v>238</v>
      </c>
      <c r="G1118" t="s">
        <v>20</v>
      </c>
      <c r="H1118">
        <f>IF(ISBLANK($I$459),0,1)</f>
        <v>0</v>
      </c>
      <c r="I1118" t="s">
        <v>430</v>
      </c>
      <c r="J1118" t="s">
        <v>383</v>
      </c>
      <c r="N1118" t="s">
        <v>220</v>
      </c>
    </row>
    <row r="1119" spans="1:14" outlineLevel="1" x14ac:dyDescent="0.25">
      <c r="A1119" t="s">
        <v>215</v>
      </c>
      <c r="C1119" t="s">
        <v>236</v>
      </c>
      <c r="D1119" t="s">
        <v>240</v>
      </c>
      <c r="F1119" t="s">
        <v>241</v>
      </c>
      <c r="G1119" t="s">
        <v>36</v>
      </c>
      <c r="H1119">
        <f>IF(OR(ISNUMBER(SEARCH("C3",$I$18)),ISNUMBER(SEARCH("C3",$I$17))),1,0)</f>
        <v>1</v>
      </c>
      <c r="I1119" t="s">
        <v>291</v>
      </c>
      <c r="J1119" s="2" t="s">
        <v>243</v>
      </c>
      <c r="L1119" s="13" t="s">
        <v>187</v>
      </c>
      <c r="N1119" t="s">
        <v>220</v>
      </c>
    </row>
    <row r="1120" spans="1:14" outlineLevel="1" x14ac:dyDescent="0.25">
      <c r="A1120" t="s">
        <v>215</v>
      </c>
      <c r="C1120" t="s">
        <v>236</v>
      </c>
      <c r="D1120" t="s">
        <v>244</v>
      </c>
      <c r="F1120" t="s">
        <v>245</v>
      </c>
      <c r="G1120" t="s">
        <v>17</v>
      </c>
      <c r="H1120">
        <f t="shared" ref="H1120" si="1182">IF(OR(ISNUMBER(SEARCH("B4",$I$18)),ISNUMBER(SEARCH("B4",$I$17))),1,0)</f>
        <v>1</v>
      </c>
      <c r="I1120">
        <v>60</v>
      </c>
      <c r="K1120" t="s">
        <v>88</v>
      </c>
      <c r="L1120">
        <v>20</v>
      </c>
      <c r="N1120" t="s">
        <v>220</v>
      </c>
    </row>
    <row r="1121" spans="1:14" outlineLevel="1" x14ac:dyDescent="0.25">
      <c r="A1121" t="s">
        <v>215</v>
      </c>
      <c r="C1121" t="s">
        <v>236</v>
      </c>
      <c r="D1121" t="s">
        <v>246</v>
      </c>
      <c r="F1121" t="s">
        <v>247</v>
      </c>
      <c r="G1121" t="s">
        <v>17</v>
      </c>
      <c r="H1121">
        <f>IF(ISNUMBER(SEARCH("Proposer un ordre de grandeur commun à toutes les catégories de véhicules",$I$461)),1,0)</f>
        <v>0</v>
      </c>
      <c r="I1121" s="3">
        <v>0.5</v>
      </c>
      <c r="K1121" t="s">
        <v>70</v>
      </c>
      <c r="L1121" s="7">
        <v>0.33</v>
      </c>
      <c r="N1121" t="s">
        <v>220</v>
      </c>
    </row>
    <row r="1122" spans="1:14" outlineLevel="1" x14ac:dyDescent="0.25">
      <c r="A1122" t="s">
        <v>215</v>
      </c>
      <c r="C1122" t="s">
        <v>236</v>
      </c>
      <c r="D1122" t="s">
        <v>248</v>
      </c>
      <c r="F1122" t="s">
        <v>249</v>
      </c>
      <c r="G1122" t="s">
        <v>17</v>
      </c>
      <c r="H1122">
        <f>IF(ISNUMBER(SEARCH("Proposer un ordre de grandeur commun à toutes les catégories de véhicules",$I$461)),1,0)</f>
        <v>0</v>
      </c>
      <c r="I1122">
        <v>30</v>
      </c>
      <c r="K1122" t="s">
        <v>145</v>
      </c>
      <c r="L1122">
        <v>5</v>
      </c>
      <c r="N1122" t="s">
        <v>220</v>
      </c>
    </row>
    <row r="1123" spans="1:14" outlineLevel="1" x14ac:dyDescent="0.25">
      <c r="A1123" t="s">
        <v>215</v>
      </c>
      <c r="C1123" t="s">
        <v>382</v>
      </c>
      <c r="D1123" t="str">
        <f>_xlfn.CONCAT("Taux de chargement moyen des véhicules pour l'accès direct au(x) chantier(s)"," (",'Remplissage - Sit. Init.'!$C$23,")")</f>
        <v>Taux de chargement moyen des véhicules pour l'accès direct au(x) chantier(s) (Catégorie 1)</v>
      </c>
      <c r="F1123" t="str">
        <f>_xlfn.CONCAT("LogChantAccDirTC",RIGHT(LEFT(D1123,LEN(D1123)-1),1))</f>
        <v>LogChantAccDirTC1</v>
      </c>
      <c r="G1123" t="s">
        <v>17</v>
      </c>
      <c r="H1123" s="14">
        <f>(IF(ISNUMBER(SEARCH($C1123,$I$1118)),1,0))*(IF(ISNUMBER(SEARCH("Par catégorie de véhicule sélectionnée",$I$1119)),1,0))</f>
        <v>1</v>
      </c>
      <c r="I1123" s="3"/>
      <c r="K1123" t="s">
        <v>70</v>
      </c>
      <c r="L1123" s="7">
        <v>0.33</v>
      </c>
      <c r="N1123" t="s">
        <v>220</v>
      </c>
    </row>
    <row r="1124" spans="1:14" outlineLevel="1" x14ac:dyDescent="0.25">
      <c r="A1124" t="s">
        <v>215</v>
      </c>
      <c r="C1124" t="s">
        <v>382</v>
      </c>
      <c r="D1124" t="str">
        <f>_xlfn.CONCAT("Nombre de trajets associés"," (",'Remplissage - Sit. Init.'!$C$23,")")</f>
        <v>Nombre de trajets associés (Catégorie 1)</v>
      </c>
      <c r="F1124" t="str">
        <f>_xlfn.CONCAT("LogChantAccDirNbTraj",RIGHT(LEFT(D1124,LEN(D1124)-1),1))</f>
        <v>LogChantAccDirNbTraj1</v>
      </c>
      <c r="G1124" t="s">
        <v>17</v>
      </c>
      <c r="H1124" s="14">
        <f t="shared" ref="H1124:H1187" si="1183">(IF(ISNUMBER(SEARCH($C1124,$I$1118)),1,0))*(IF(ISNUMBER(SEARCH("Par catégorie de véhicule sélectionnée",$I$1119)),1,0))</f>
        <v>1</v>
      </c>
      <c r="I1124" s="3"/>
      <c r="K1124" t="s">
        <v>145</v>
      </c>
      <c r="L1124">
        <v>3</v>
      </c>
      <c r="N1124" t="s">
        <v>220</v>
      </c>
    </row>
    <row r="1125" spans="1:14" outlineLevel="1" x14ac:dyDescent="0.25">
      <c r="A1125" t="s">
        <v>215</v>
      </c>
      <c r="C1125" t="s">
        <v>386</v>
      </c>
      <c r="D1125" t="str">
        <f>_xlfn.CONCAT("Taux de chargement moyen des véhicules pour l'accès direct au(x) chantier(s)"," (",'Remplissage - Sit. Init.'!$C$33,")")</f>
        <v>Taux de chargement moyen des véhicules pour l'accès direct au(x) chantier(s) (Catégorie 2)</v>
      </c>
      <c r="F1125" t="str">
        <f>_xlfn.CONCAT("LogChantAccDirTC",RIGHT(LEFT(D1125,LEN(D1125)-1),1))</f>
        <v>LogChantAccDirTC2</v>
      </c>
      <c r="G1125" t="s">
        <v>17</v>
      </c>
      <c r="H1125" s="14">
        <f t="shared" si="1183"/>
        <v>0</v>
      </c>
      <c r="I1125" s="3"/>
      <c r="K1125" t="s">
        <v>70</v>
      </c>
      <c r="L1125" s="7">
        <v>0.33</v>
      </c>
      <c r="N1125" t="s">
        <v>220</v>
      </c>
    </row>
    <row r="1126" spans="1:14" outlineLevel="1" x14ac:dyDescent="0.25">
      <c r="A1126" t="s">
        <v>215</v>
      </c>
      <c r="C1126" t="s">
        <v>386</v>
      </c>
      <c r="D1126" t="str">
        <f>_xlfn.CONCAT("Nombre de trajets associés"," (",'Remplissage - Sit. Init.'!$C$33,")")</f>
        <v>Nombre de trajets associés (Catégorie 2)</v>
      </c>
      <c r="F1126" t="str">
        <f>_xlfn.CONCAT("LogChantAccDirNbTraj",RIGHT(LEFT(D1126,LEN(D1126)-1),1))</f>
        <v>LogChantAccDirNbTraj2</v>
      </c>
      <c r="G1126" t="s">
        <v>17</v>
      </c>
      <c r="H1126" s="14">
        <f t="shared" si="1183"/>
        <v>0</v>
      </c>
      <c r="K1126" t="s">
        <v>145</v>
      </c>
      <c r="L1126">
        <v>3</v>
      </c>
      <c r="N1126" t="s">
        <v>220</v>
      </c>
    </row>
    <row r="1127" spans="1:14" outlineLevel="1" x14ac:dyDescent="0.25">
      <c r="A1127" t="s">
        <v>215</v>
      </c>
      <c r="C1127" t="s">
        <v>388</v>
      </c>
      <c r="D1127" t="str">
        <f>_xlfn.CONCAT("Taux de chargement moyen des véhicules pour l'accès direct au(x) chantier(s)"," (",'Remplissage - Sit. Init.'!$C$43,")")</f>
        <v>Taux de chargement moyen des véhicules pour l'accès direct au(x) chantier(s) (Catégorie 3)</v>
      </c>
      <c r="F1127" t="str">
        <f>_xlfn.CONCAT("LogChantAccDirTC",RIGHT(LEFT(D1127,LEN(D1127)-1),1))</f>
        <v>LogChantAccDirTC3</v>
      </c>
      <c r="G1127" t="s">
        <v>17</v>
      </c>
      <c r="H1127" s="14">
        <f t="shared" si="1183"/>
        <v>1</v>
      </c>
      <c r="I1127" s="3"/>
      <c r="K1127" t="s">
        <v>70</v>
      </c>
      <c r="L1127" s="7">
        <v>0.33</v>
      </c>
      <c r="N1127" t="s">
        <v>220</v>
      </c>
    </row>
    <row r="1128" spans="1:14" x14ac:dyDescent="0.25">
      <c r="A1128" t="s">
        <v>215</v>
      </c>
      <c r="C1128" t="s">
        <v>388</v>
      </c>
      <c r="D1128" t="str">
        <f>_xlfn.CONCAT("Nombre de trajets associés"," (",'Remplissage - Sit. Init.'!$C$43,")")</f>
        <v>Nombre de trajets associés (Catégorie 3)</v>
      </c>
      <c r="F1128" t="str">
        <f>_xlfn.CONCAT("LogChantAccDirNbTraj",RIGHT(LEFT(D1128,LEN(D1128)-1),1))</f>
        <v>LogChantAccDirNbTraj3</v>
      </c>
      <c r="G1128" t="s">
        <v>17</v>
      </c>
      <c r="H1128" s="14">
        <f t="shared" si="1183"/>
        <v>1</v>
      </c>
      <c r="K1128" t="s">
        <v>145</v>
      </c>
      <c r="L1128">
        <v>3</v>
      </c>
      <c r="N1128" t="s">
        <v>220</v>
      </c>
    </row>
    <row r="1129" spans="1:14" x14ac:dyDescent="0.25">
      <c r="A1129" t="s">
        <v>215</v>
      </c>
      <c r="C1129" t="s">
        <v>389</v>
      </c>
      <c r="D1129" t="str">
        <f>_xlfn.CONCAT("Taux de chargement moyen des véhicules pour l'accès direct au(x) chantier(s)"," (",'Remplissage - Sit. Init.'!$C$53,")")</f>
        <v>Taux de chargement moyen des véhicules pour l'accès direct au(x) chantier(s) (Catégorie 4)</v>
      </c>
      <c r="F1129" t="str">
        <f>_xlfn.CONCAT("LogChantAccDirTC",RIGHT(LEFT(D1129,LEN(D1129)-1),1))</f>
        <v>LogChantAccDirTC4</v>
      </c>
      <c r="G1129" t="s">
        <v>17</v>
      </c>
      <c r="H1129" s="14">
        <f t="shared" si="1183"/>
        <v>0</v>
      </c>
      <c r="I1129" s="3"/>
      <c r="K1129" t="s">
        <v>70</v>
      </c>
      <c r="L1129" s="7">
        <v>0.33</v>
      </c>
      <c r="N1129" t="s">
        <v>220</v>
      </c>
    </row>
    <row r="1130" spans="1:14" x14ac:dyDescent="0.25">
      <c r="A1130" t="s">
        <v>215</v>
      </c>
      <c r="C1130" t="s">
        <v>389</v>
      </c>
      <c r="D1130" t="str">
        <f>_xlfn.CONCAT("Nombre de trajets associés"," (",'Remplissage - Sit. Init.'!$C$53,")")</f>
        <v>Nombre de trajets associés (Catégorie 4)</v>
      </c>
      <c r="F1130" t="str">
        <f>_xlfn.CONCAT("LogChantAccDirNbTraj",RIGHT(LEFT(D1130,LEN(D1130)-1),1))</f>
        <v>LogChantAccDirNbTraj4</v>
      </c>
      <c r="G1130" t="s">
        <v>17</v>
      </c>
      <c r="H1130" s="14">
        <f t="shared" si="1183"/>
        <v>0</v>
      </c>
      <c r="K1130" t="s">
        <v>145</v>
      </c>
      <c r="L1130">
        <v>3</v>
      </c>
      <c r="N1130" t="s">
        <v>220</v>
      </c>
    </row>
    <row r="1131" spans="1:14" x14ac:dyDescent="0.25">
      <c r="A1131" t="s">
        <v>215</v>
      </c>
      <c r="C1131" t="s">
        <v>390</v>
      </c>
      <c r="D1131" t="str">
        <f>_xlfn.CONCAT("Taux de chargement moyen des véhicules pour l'accès direct au(x) chantier(s)"," (",'Remplissage - Sit. Init.'!$C$63,")")</f>
        <v>Taux de chargement moyen des véhicules pour l'accès direct au(x) chantier(s) (Catégorie 5)</v>
      </c>
      <c r="F1131" t="str">
        <f>_xlfn.CONCAT("LogChantAccDirTC",RIGHT(LEFT(D1131,LEN(D1131)-1),1))</f>
        <v>LogChantAccDirTC5</v>
      </c>
      <c r="G1131" t="s">
        <v>17</v>
      </c>
      <c r="H1131" s="14">
        <f t="shared" si="1183"/>
        <v>0</v>
      </c>
      <c r="I1131" s="3"/>
      <c r="K1131" t="s">
        <v>70</v>
      </c>
      <c r="L1131" s="7">
        <v>0.33</v>
      </c>
      <c r="N1131" t="s">
        <v>220</v>
      </c>
    </row>
    <row r="1132" spans="1:14" outlineLevel="1" x14ac:dyDescent="0.25">
      <c r="A1132" t="s">
        <v>215</v>
      </c>
      <c r="C1132" t="s">
        <v>390</v>
      </c>
      <c r="D1132" t="str">
        <f>_xlfn.CONCAT("Nombre de trajets associés"," (",'Remplissage - Sit. Init.'!$C$63,")")</f>
        <v>Nombre de trajets associés (Catégorie 5)</v>
      </c>
      <c r="F1132" t="str">
        <f>_xlfn.CONCAT("LogChantAccDirNbTraj",RIGHT(LEFT(D1132,LEN(D1132)-1),1))</f>
        <v>LogChantAccDirNbTraj5</v>
      </c>
      <c r="G1132" t="s">
        <v>17</v>
      </c>
      <c r="H1132" s="14">
        <f t="shared" si="1183"/>
        <v>0</v>
      </c>
      <c r="K1132" t="s">
        <v>145</v>
      </c>
      <c r="L1132">
        <v>3</v>
      </c>
      <c r="N1132" t="s">
        <v>220</v>
      </c>
    </row>
    <row r="1133" spans="1:14" outlineLevel="1" x14ac:dyDescent="0.25">
      <c r="A1133" t="s">
        <v>215</v>
      </c>
      <c r="C1133" t="s">
        <v>391</v>
      </c>
      <c r="D1133" t="str">
        <f>_xlfn.CONCAT("Taux de chargement moyen des véhicules pour l'accès direct au(x) chantier(s)"," (",'Remplissage - Sit. Init.'!$C$73,")")</f>
        <v>Taux de chargement moyen des véhicules pour l'accès direct au(x) chantier(s) (Catégorie 6)</v>
      </c>
      <c r="F1133" t="str">
        <f>_xlfn.CONCAT("LogChantAccDirTC",RIGHT(LEFT(D1133,LEN(D1133)-1),1))</f>
        <v>LogChantAccDirTC6</v>
      </c>
      <c r="G1133" t="s">
        <v>17</v>
      </c>
      <c r="H1133" s="14">
        <f t="shared" si="1183"/>
        <v>0</v>
      </c>
      <c r="I1133" s="3"/>
      <c r="K1133" t="s">
        <v>70</v>
      </c>
      <c r="L1133" s="7">
        <v>0.33</v>
      </c>
      <c r="N1133" t="s">
        <v>220</v>
      </c>
    </row>
    <row r="1134" spans="1:14" outlineLevel="1" x14ac:dyDescent="0.25">
      <c r="A1134" t="s">
        <v>215</v>
      </c>
      <c r="C1134" t="s">
        <v>391</v>
      </c>
      <c r="D1134" t="str">
        <f>_xlfn.CONCAT("Nombre de trajets associés"," (",'Remplissage - Sit. Init.'!$C$73,")")</f>
        <v>Nombre de trajets associés (Catégorie 6)</v>
      </c>
      <c r="F1134" t="str">
        <f>_xlfn.CONCAT("LogChantAccDirNbTraj",RIGHT(LEFT(D1134,LEN(D1134)-1),1))</f>
        <v>LogChantAccDirNbTraj6</v>
      </c>
      <c r="G1134" t="s">
        <v>17</v>
      </c>
      <c r="H1134" s="14">
        <f t="shared" si="1183"/>
        <v>0</v>
      </c>
      <c r="K1134" t="s">
        <v>145</v>
      </c>
      <c r="L1134">
        <v>3</v>
      </c>
      <c r="N1134" t="s">
        <v>220</v>
      </c>
    </row>
    <row r="1135" spans="1:14" outlineLevel="1" x14ac:dyDescent="0.25">
      <c r="A1135" t="s">
        <v>215</v>
      </c>
      <c r="C1135" t="s">
        <v>392</v>
      </c>
      <c r="D1135" t="str">
        <f>_xlfn.CONCAT("Taux de chargement moyen des véhicules pour l'accès direct au(x) chantier(s)"," (",'Remplissage - Sit. Init.'!$C$83,")")</f>
        <v>Taux de chargement moyen des véhicules pour l'accès direct au(x) chantier(s) (Catégorie 7)</v>
      </c>
      <c r="F1135" t="str">
        <f>_xlfn.CONCAT("LogChantAccDirTC",RIGHT(LEFT(D1135,LEN(D1135)-1),1))</f>
        <v>LogChantAccDirTC7</v>
      </c>
      <c r="G1135" t="s">
        <v>17</v>
      </c>
      <c r="H1135" s="14">
        <f t="shared" si="1183"/>
        <v>0</v>
      </c>
      <c r="I1135" s="3"/>
      <c r="K1135" t="s">
        <v>70</v>
      </c>
      <c r="L1135" s="7">
        <v>0.33</v>
      </c>
      <c r="N1135" t="s">
        <v>220</v>
      </c>
    </row>
    <row r="1136" spans="1:14" outlineLevel="1" x14ac:dyDescent="0.25">
      <c r="A1136" t="s">
        <v>215</v>
      </c>
      <c r="C1136" t="s">
        <v>392</v>
      </c>
      <c r="D1136" t="str">
        <f>_xlfn.CONCAT("Nombre de trajets associés"," (",'Remplissage - Sit. Init.'!$C$83,")")</f>
        <v>Nombre de trajets associés (Catégorie 7)</v>
      </c>
      <c r="F1136" t="str">
        <f>_xlfn.CONCAT("LogChantAccDirNbTraj",RIGHT(LEFT(D1136,LEN(D1136)-1),1))</f>
        <v>LogChantAccDirNbTraj7</v>
      </c>
      <c r="G1136" t="s">
        <v>17</v>
      </c>
      <c r="H1136" s="14">
        <f t="shared" si="1183"/>
        <v>0</v>
      </c>
      <c r="K1136" t="s">
        <v>145</v>
      </c>
      <c r="L1136">
        <v>3</v>
      </c>
      <c r="N1136" t="s">
        <v>220</v>
      </c>
    </row>
    <row r="1137" spans="1:14" outlineLevel="1" x14ac:dyDescent="0.25">
      <c r="A1137" t="s">
        <v>215</v>
      </c>
      <c r="C1137" t="s">
        <v>393</v>
      </c>
      <c r="D1137" t="str">
        <f>_xlfn.CONCAT("Taux de chargement moyen des véhicules pour l'accès direct au(x) chantier(s)"," (",'Remplissage - Sit. Init.'!$C$93,")")</f>
        <v>Taux de chargement moyen des véhicules pour l'accès direct au(x) chantier(s) (Catégorie 8)</v>
      </c>
      <c r="F1137" t="str">
        <f>_xlfn.CONCAT("LogChantAccDirTC",RIGHT(LEFT(D1137,LEN(D1137)-1),1))</f>
        <v>LogChantAccDirTC8</v>
      </c>
      <c r="G1137" t="s">
        <v>17</v>
      </c>
      <c r="H1137" s="14">
        <f t="shared" si="1183"/>
        <v>0</v>
      </c>
      <c r="I1137" s="3"/>
      <c r="K1137" t="s">
        <v>70</v>
      </c>
      <c r="L1137" s="7">
        <v>0.33</v>
      </c>
      <c r="N1137" t="s">
        <v>220</v>
      </c>
    </row>
    <row r="1138" spans="1:14" outlineLevel="1" x14ac:dyDescent="0.25">
      <c r="A1138" t="s">
        <v>215</v>
      </c>
      <c r="C1138" t="s">
        <v>393</v>
      </c>
      <c r="D1138" t="str">
        <f>_xlfn.CONCAT("Nombre de trajets associés"," (",'Remplissage - Sit. Init.'!$C$93,")")</f>
        <v>Nombre de trajets associés (Catégorie 8)</v>
      </c>
      <c r="F1138" t="str">
        <f>_xlfn.CONCAT("LogChantAccDirNbTraj",RIGHT(LEFT(D1138,LEN(D1138)-1),1))</f>
        <v>LogChantAccDirNbTraj8</v>
      </c>
      <c r="G1138" t="s">
        <v>17</v>
      </c>
      <c r="H1138" s="14">
        <f t="shared" si="1183"/>
        <v>0</v>
      </c>
      <c r="K1138" t="s">
        <v>145</v>
      </c>
      <c r="L1138">
        <v>3</v>
      </c>
      <c r="N1138" t="s">
        <v>220</v>
      </c>
    </row>
    <row r="1139" spans="1:14" outlineLevel="1" x14ac:dyDescent="0.25">
      <c r="A1139" t="s">
        <v>215</v>
      </c>
      <c r="C1139" t="s">
        <v>394</v>
      </c>
      <c r="D1139" t="str">
        <f>_xlfn.CONCAT("Taux de chargement moyen des véhicules pour l'accès direct au(x) chantier(s)"," (",'Remplissage - Sit. Init.'!$C$103,")")</f>
        <v>Taux de chargement moyen des véhicules pour l'accès direct au(x) chantier(s) (Catégorie 9)</v>
      </c>
      <c r="F1139" t="str">
        <f>_xlfn.CONCAT("LogChantAccDirTC",RIGHT(LEFT(D1139,LEN(D1139)-1),1))</f>
        <v>LogChantAccDirTC9</v>
      </c>
      <c r="G1139" t="s">
        <v>17</v>
      </c>
      <c r="H1139" s="14">
        <f t="shared" si="1183"/>
        <v>0</v>
      </c>
      <c r="I1139" s="3"/>
      <c r="K1139" t="s">
        <v>70</v>
      </c>
      <c r="L1139" s="7">
        <v>0.33</v>
      </c>
      <c r="N1139" t="s">
        <v>220</v>
      </c>
    </row>
    <row r="1140" spans="1:14" outlineLevel="1" x14ac:dyDescent="0.25">
      <c r="A1140" t="s">
        <v>215</v>
      </c>
      <c r="C1140" t="s">
        <v>394</v>
      </c>
      <c r="D1140" t="str">
        <f>_xlfn.CONCAT("Nombre de trajets associés"," (",'Remplissage - Sit. Init.'!$C$103,")")</f>
        <v>Nombre de trajets associés (Catégorie 9)</v>
      </c>
      <c r="F1140" t="str">
        <f>_xlfn.CONCAT("LogChantAccDirNbTraj",RIGHT(LEFT(D1140,LEN(D1140)-1),1))</f>
        <v>LogChantAccDirNbTraj9</v>
      </c>
      <c r="G1140" t="s">
        <v>17</v>
      </c>
      <c r="H1140" s="14">
        <f t="shared" si="1183"/>
        <v>0</v>
      </c>
      <c r="K1140" t="s">
        <v>145</v>
      </c>
      <c r="L1140">
        <v>3</v>
      </c>
      <c r="N1140" t="s">
        <v>220</v>
      </c>
    </row>
    <row r="1141" spans="1:14" outlineLevel="1" x14ac:dyDescent="0.25">
      <c r="A1141" t="s">
        <v>215</v>
      </c>
      <c r="C1141" t="s">
        <v>395</v>
      </c>
      <c r="D1141" t="str">
        <f>_xlfn.CONCAT("Taux de chargement moyen des véhicules pour l'accès direct au(x) chantier(s)"," (",'Remplissage - Sit. Init.'!$C$113,")")</f>
        <v>Taux de chargement moyen des véhicules pour l'accès direct au(x) chantier(s) (Catégorie 10)</v>
      </c>
      <c r="F1141" t="str">
        <f>_xlfn.CONCAT("LogChantAccDirTC",RIGHT(LEFT(D1141,LEN(D1141)-1),2))</f>
        <v>LogChantAccDirTC10</v>
      </c>
      <c r="G1141" t="s">
        <v>17</v>
      </c>
      <c r="H1141" s="14">
        <f t="shared" si="1183"/>
        <v>0</v>
      </c>
      <c r="I1141" s="3"/>
      <c r="K1141" t="s">
        <v>70</v>
      </c>
      <c r="L1141" s="7">
        <v>0.33</v>
      </c>
      <c r="N1141" t="s">
        <v>220</v>
      </c>
    </row>
    <row r="1142" spans="1:14" outlineLevel="1" x14ac:dyDescent="0.25">
      <c r="A1142" t="s">
        <v>215</v>
      </c>
      <c r="C1142" t="s">
        <v>395</v>
      </c>
      <c r="D1142" t="str">
        <f>_xlfn.CONCAT("Nombre de trajets associés"," (",'Remplissage - Sit. Init.'!$C$113,")")</f>
        <v>Nombre de trajets associés (Catégorie 10)</v>
      </c>
      <c r="F1142" t="str">
        <f>_xlfn.CONCAT("LogChantAccDirNbTraj",RIGHT(LEFT(D1142,LEN(D1142)-1),2))</f>
        <v>LogChantAccDirNbTraj10</v>
      </c>
      <c r="G1142" t="s">
        <v>17</v>
      </c>
      <c r="H1142" s="14">
        <f t="shared" si="1183"/>
        <v>0</v>
      </c>
      <c r="K1142" t="s">
        <v>145</v>
      </c>
      <c r="L1142">
        <v>3</v>
      </c>
      <c r="N1142" t="s">
        <v>220</v>
      </c>
    </row>
    <row r="1143" spans="1:14" outlineLevel="1" x14ac:dyDescent="0.25">
      <c r="A1143" t="s">
        <v>215</v>
      </c>
      <c r="C1143" t="s">
        <v>396</v>
      </c>
      <c r="D1143" t="str">
        <f>_xlfn.CONCAT("Taux de chargement moyen des véhicules pour l'accès direct au(x) chantier(s)"," (",'Remplissage - Sit. Init.'!$C$123,")")</f>
        <v>Taux de chargement moyen des véhicules pour l'accès direct au(x) chantier(s) (Catégorie 11)</v>
      </c>
      <c r="F1143" t="str">
        <f t="shared" ref="F1143" si="1184">_xlfn.CONCAT("LogChantAccDirTC",RIGHT(LEFT(D1143,LEN(D1143)-1),2))</f>
        <v>LogChantAccDirTC11</v>
      </c>
      <c r="G1143" t="s">
        <v>17</v>
      </c>
      <c r="H1143" s="14">
        <f t="shared" si="1183"/>
        <v>0</v>
      </c>
      <c r="I1143" s="3"/>
      <c r="K1143" t="s">
        <v>70</v>
      </c>
      <c r="L1143" s="7">
        <v>0.33</v>
      </c>
      <c r="N1143" t="s">
        <v>220</v>
      </c>
    </row>
    <row r="1144" spans="1:14" outlineLevel="1" x14ac:dyDescent="0.25">
      <c r="A1144" t="s">
        <v>215</v>
      </c>
      <c r="C1144" t="s">
        <v>396</v>
      </c>
      <c r="D1144" t="str">
        <f>_xlfn.CONCAT("Nombre de trajets associés"," (",'Remplissage - Sit. Init.'!$C$123,")")</f>
        <v>Nombre de trajets associés (Catégorie 11)</v>
      </c>
      <c r="F1144" t="str">
        <f t="shared" ref="F1144" si="1185">_xlfn.CONCAT("LogChantAccDirNbTraj",RIGHT(LEFT(D1144,LEN(D1144)-1),2))</f>
        <v>LogChantAccDirNbTraj11</v>
      </c>
      <c r="G1144" t="s">
        <v>17</v>
      </c>
      <c r="H1144" s="14">
        <f t="shared" si="1183"/>
        <v>0</v>
      </c>
      <c r="K1144" t="s">
        <v>145</v>
      </c>
      <c r="L1144">
        <v>3</v>
      </c>
      <c r="N1144" t="s">
        <v>220</v>
      </c>
    </row>
    <row r="1145" spans="1:14" outlineLevel="1" x14ac:dyDescent="0.25">
      <c r="A1145" t="s">
        <v>215</v>
      </c>
      <c r="C1145" t="s">
        <v>397</v>
      </c>
      <c r="D1145" t="str">
        <f>_xlfn.CONCAT("Taux de chargement moyen des véhicules pour l'accès direct au(x) chantier(s)"," (",'Remplissage - Sit. Init.'!$C$133,")")</f>
        <v>Taux de chargement moyen des véhicules pour l'accès direct au(x) chantier(s) (Catégorie 12)</v>
      </c>
      <c r="F1145" t="str">
        <f t="shared" ref="F1145" si="1186">_xlfn.CONCAT("LogChantAccDirTC",RIGHT(LEFT(D1145,LEN(D1145)-1),2))</f>
        <v>LogChantAccDirTC12</v>
      </c>
      <c r="G1145" t="s">
        <v>17</v>
      </c>
      <c r="H1145" s="14">
        <f t="shared" si="1183"/>
        <v>0</v>
      </c>
      <c r="I1145" s="3"/>
      <c r="K1145" t="s">
        <v>70</v>
      </c>
      <c r="L1145" s="7">
        <v>0.33</v>
      </c>
      <c r="N1145" t="s">
        <v>220</v>
      </c>
    </row>
    <row r="1146" spans="1:14" outlineLevel="1" x14ac:dyDescent="0.25">
      <c r="A1146" t="s">
        <v>215</v>
      </c>
      <c r="C1146" t="s">
        <v>397</v>
      </c>
      <c r="D1146" t="str">
        <f>_xlfn.CONCAT("Nombre de trajets associés"," (",'Remplissage - Sit. Init.'!$C$133,")")</f>
        <v>Nombre de trajets associés (Catégorie 12)</v>
      </c>
      <c r="F1146" t="str">
        <f t="shared" ref="F1146" si="1187">_xlfn.CONCAT("LogChantAccDirNbTraj",RIGHT(LEFT(D1146,LEN(D1146)-1),2))</f>
        <v>LogChantAccDirNbTraj12</v>
      </c>
      <c r="G1146" t="s">
        <v>17</v>
      </c>
      <c r="H1146" s="14">
        <f t="shared" si="1183"/>
        <v>0</v>
      </c>
      <c r="K1146" t="s">
        <v>145</v>
      </c>
      <c r="L1146">
        <v>3</v>
      </c>
      <c r="N1146" t="s">
        <v>220</v>
      </c>
    </row>
    <row r="1147" spans="1:14" outlineLevel="1" x14ac:dyDescent="0.25">
      <c r="A1147" t="s">
        <v>215</v>
      </c>
      <c r="C1147" t="s">
        <v>398</v>
      </c>
      <c r="D1147" t="str">
        <f>_xlfn.CONCAT("Taux de chargement moyen des véhicules pour l'accès direct au(x) chantier(s)"," (",'Remplissage - Sit. Init.'!$C$143,")")</f>
        <v>Taux de chargement moyen des véhicules pour l'accès direct au(x) chantier(s) (Catégorie 13)</v>
      </c>
      <c r="F1147" t="str">
        <f t="shared" ref="F1147" si="1188">_xlfn.CONCAT("LogChantAccDirTC",RIGHT(LEFT(D1147,LEN(D1147)-1),2))</f>
        <v>LogChantAccDirTC13</v>
      </c>
      <c r="G1147" t="s">
        <v>17</v>
      </c>
      <c r="H1147" s="14">
        <f t="shared" si="1183"/>
        <v>0</v>
      </c>
      <c r="I1147" s="3"/>
      <c r="K1147" t="s">
        <v>70</v>
      </c>
      <c r="L1147" s="7">
        <v>0.33</v>
      </c>
      <c r="N1147" t="s">
        <v>220</v>
      </c>
    </row>
    <row r="1148" spans="1:14" outlineLevel="1" x14ac:dyDescent="0.25">
      <c r="A1148" t="s">
        <v>215</v>
      </c>
      <c r="C1148" t="s">
        <v>398</v>
      </c>
      <c r="D1148" t="str">
        <f>_xlfn.CONCAT("Nombre de trajets associés"," (",'Remplissage - Sit. Init.'!$C$143,")")</f>
        <v>Nombre de trajets associés (Catégorie 13)</v>
      </c>
      <c r="F1148" t="str">
        <f t="shared" ref="F1148" si="1189">_xlfn.CONCAT("LogChantAccDirNbTraj",RIGHT(LEFT(D1148,LEN(D1148)-1),2))</f>
        <v>LogChantAccDirNbTraj13</v>
      </c>
      <c r="G1148" t="s">
        <v>17</v>
      </c>
      <c r="H1148" s="14">
        <f t="shared" si="1183"/>
        <v>0</v>
      </c>
      <c r="K1148" t="s">
        <v>145</v>
      </c>
      <c r="L1148">
        <v>3</v>
      </c>
      <c r="N1148" t="s">
        <v>220</v>
      </c>
    </row>
    <row r="1149" spans="1:14" outlineLevel="1" x14ac:dyDescent="0.25">
      <c r="A1149" t="s">
        <v>215</v>
      </c>
      <c r="C1149" t="s">
        <v>399</v>
      </c>
      <c r="D1149" t="str">
        <f>_xlfn.CONCAT("Taux de chargement moyen des véhicules pour l'accès direct au(x) chantier(s)"," (",'Remplissage - Sit. Init.'!$C$153,")")</f>
        <v>Taux de chargement moyen des véhicules pour l'accès direct au(x) chantier(s) (Catégorie 14)</v>
      </c>
      <c r="F1149" t="str">
        <f t="shared" ref="F1149" si="1190">_xlfn.CONCAT("LogChantAccDirTC",RIGHT(LEFT(D1149,LEN(D1149)-1),2))</f>
        <v>LogChantAccDirTC14</v>
      </c>
      <c r="G1149" t="s">
        <v>17</v>
      </c>
      <c r="H1149" s="14">
        <f t="shared" si="1183"/>
        <v>0</v>
      </c>
      <c r="I1149" s="3"/>
      <c r="K1149" t="s">
        <v>70</v>
      </c>
      <c r="L1149" s="7">
        <v>0.33</v>
      </c>
      <c r="N1149" t="s">
        <v>220</v>
      </c>
    </row>
    <row r="1150" spans="1:14" outlineLevel="1" x14ac:dyDescent="0.25">
      <c r="A1150" t="s">
        <v>215</v>
      </c>
      <c r="C1150" t="s">
        <v>399</v>
      </c>
      <c r="D1150" t="str">
        <f>_xlfn.CONCAT("Nombre de trajets associés"," (",'Remplissage - Sit. Init.'!$C$153,")")</f>
        <v>Nombre de trajets associés (Catégorie 14)</v>
      </c>
      <c r="F1150" t="str">
        <f t="shared" ref="F1150" si="1191">_xlfn.CONCAT("LogChantAccDirNbTraj",RIGHT(LEFT(D1150,LEN(D1150)-1),2))</f>
        <v>LogChantAccDirNbTraj14</v>
      </c>
      <c r="G1150" t="s">
        <v>17</v>
      </c>
      <c r="H1150" s="14">
        <f t="shared" si="1183"/>
        <v>0</v>
      </c>
      <c r="K1150" t="s">
        <v>145</v>
      </c>
      <c r="L1150">
        <v>3</v>
      </c>
      <c r="N1150" t="s">
        <v>220</v>
      </c>
    </row>
    <row r="1151" spans="1:14" outlineLevel="1" x14ac:dyDescent="0.25">
      <c r="A1151" t="s">
        <v>215</v>
      </c>
      <c r="C1151" t="s">
        <v>400</v>
      </c>
      <c r="D1151" t="str">
        <f>_xlfn.CONCAT("Taux de chargement moyen des véhicules pour l'accès direct au(x) chantier(s)"," (",'Remplissage - Sit. Init.'!$C$163,")")</f>
        <v>Taux de chargement moyen des véhicules pour l'accès direct au(x) chantier(s) (Catégorie 15)</v>
      </c>
      <c r="F1151" t="str">
        <f t="shared" ref="F1151" si="1192">_xlfn.CONCAT("LogChantAccDirTC",RIGHT(LEFT(D1151,LEN(D1151)-1),2))</f>
        <v>LogChantAccDirTC15</v>
      </c>
      <c r="G1151" t="s">
        <v>17</v>
      </c>
      <c r="H1151" s="14">
        <f t="shared" si="1183"/>
        <v>0</v>
      </c>
      <c r="I1151" s="3"/>
      <c r="K1151" t="s">
        <v>70</v>
      </c>
      <c r="L1151" s="7">
        <v>0.33</v>
      </c>
      <c r="N1151" t="s">
        <v>220</v>
      </c>
    </row>
    <row r="1152" spans="1:14" outlineLevel="1" x14ac:dyDescent="0.25">
      <c r="A1152" t="s">
        <v>215</v>
      </c>
      <c r="C1152" t="s">
        <v>400</v>
      </c>
      <c r="D1152" t="str">
        <f>_xlfn.CONCAT("Nombre de trajets associés"," (",'Remplissage - Sit. Init.'!$C$163,")")</f>
        <v>Nombre de trajets associés (Catégorie 15)</v>
      </c>
      <c r="F1152" t="str">
        <f t="shared" ref="F1152" si="1193">_xlfn.CONCAT("LogChantAccDirNbTraj",RIGHT(LEFT(D1152,LEN(D1152)-1),2))</f>
        <v>LogChantAccDirNbTraj15</v>
      </c>
      <c r="G1152" t="s">
        <v>17</v>
      </c>
      <c r="H1152" s="14">
        <f t="shared" si="1183"/>
        <v>0</v>
      </c>
      <c r="K1152" t="s">
        <v>145</v>
      </c>
      <c r="L1152">
        <v>3</v>
      </c>
      <c r="N1152" t="s">
        <v>220</v>
      </c>
    </row>
    <row r="1153" spans="1:14" outlineLevel="1" x14ac:dyDescent="0.25">
      <c r="A1153" t="s">
        <v>215</v>
      </c>
      <c r="C1153" t="s">
        <v>401</v>
      </c>
      <c r="D1153" t="str">
        <f>_xlfn.CONCAT("Taux de chargement moyen des véhicules pour l'accès direct au(x) chantier(s)"," (",'Remplissage - Sit. Init.'!$C$173,")")</f>
        <v>Taux de chargement moyen des véhicules pour l'accès direct au(x) chantier(s) (Catégorie 16)</v>
      </c>
      <c r="F1153" t="str">
        <f t="shared" ref="F1153" si="1194">_xlfn.CONCAT("LogChantAccDirTC",RIGHT(LEFT(D1153,LEN(D1153)-1),2))</f>
        <v>LogChantAccDirTC16</v>
      </c>
      <c r="G1153" t="s">
        <v>17</v>
      </c>
      <c r="H1153" s="14">
        <f t="shared" si="1183"/>
        <v>0</v>
      </c>
      <c r="I1153" s="3"/>
      <c r="K1153" t="s">
        <v>70</v>
      </c>
      <c r="L1153" s="7">
        <v>0.33</v>
      </c>
      <c r="N1153" t="s">
        <v>220</v>
      </c>
    </row>
    <row r="1154" spans="1:14" outlineLevel="1" x14ac:dyDescent="0.25">
      <c r="A1154" t="s">
        <v>215</v>
      </c>
      <c r="C1154" t="s">
        <v>401</v>
      </c>
      <c r="D1154" t="str">
        <f>_xlfn.CONCAT("Nombre de trajets associés"," (",'Remplissage - Sit. Init.'!$C$173,")")</f>
        <v>Nombre de trajets associés (Catégorie 16)</v>
      </c>
      <c r="F1154" t="str">
        <f t="shared" ref="F1154" si="1195">_xlfn.CONCAT("LogChantAccDirNbTraj",RIGHT(LEFT(D1154,LEN(D1154)-1),2))</f>
        <v>LogChantAccDirNbTraj16</v>
      </c>
      <c r="G1154" t="s">
        <v>17</v>
      </c>
      <c r="H1154" s="14">
        <f t="shared" si="1183"/>
        <v>0</v>
      </c>
      <c r="K1154" t="s">
        <v>145</v>
      </c>
      <c r="L1154">
        <v>3</v>
      </c>
      <c r="N1154" t="s">
        <v>220</v>
      </c>
    </row>
    <row r="1155" spans="1:14" outlineLevel="1" x14ac:dyDescent="0.25">
      <c r="A1155" t="s">
        <v>215</v>
      </c>
      <c r="C1155" t="s">
        <v>402</v>
      </c>
      <c r="D1155" t="str">
        <f>_xlfn.CONCAT("Taux de chargement moyen des véhicules pour l'accès direct au(x) chantier(s)"," (",'Remplissage - Sit. Init.'!$C$183,")")</f>
        <v>Taux de chargement moyen des véhicules pour l'accès direct au(x) chantier(s) (Catégorie 17)</v>
      </c>
      <c r="F1155" t="str">
        <f t="shared" ref="F1155" si="1196">_xlfn.CONCAT("LogChantAccDirTC",RIGHT(LEFT(D1155,LEN(D1155)-1),2))</f>
        <v>LogChantAccDirTC17</v>
      </c>
      <c r="G1155" t="s">
        <v>17</v>
      </c>
      <c r="H1155" s="14">
        <f t="shared" si="1183"/>
        <v>0</v>
      </c>
      <c r="I1155" s="3"/>
      <c r="K1155" t="s">
        <v>70</v>
      </c>
      <c r="L1155" s="7">
        <v>0.33</v>
      </c>
      <c r="N1155" t="s">
        <v>220</v>
      </c>
    </row>
    <row r="1156" spans="1:14" outlineLevel="1" x14ac:dyDescent="0.25">
      <c r="A1156" t="s">
        <v>215</v>
      </c>
      <c r="C1156" t="s">
        <v>402</v>
      </c>
      <c r="D1156" t="str">
        <f>_xlfn.CONCAT("Nombre de trajets associés"," (",'Remplissage - Sit. Init.'!$C$183,")")</f>
        <v>Nombre de trajets associés (Catégorie 17)</v>
      </c>
      <c r="F1156" t="str">
        <f t="shared" ref="F1156" si="1197">_xlfn.CONCAT("LogChantAccDirNbTraj",RIGHT(LEFT(D1156,LEN(D1156)-1),2))</f>
        <v>LogChantAccDirNbTraj17</v>
      </c>
      <c r="G1156" t="s">
        <v>17</v>
      </c>
      <c r="H1156" s="14">
        <f t="shared" si="1183"/>
        <v>0</v>
      </c>
      <c r="K1156" t="s">
        <v>145</v>
      </c>
      <c r="L1156">
        <v>3</v>
      </c>
      <c r="N1156" t="s">
        <v>220</v>
      </c>
    </row>
    <row r="1157" spans="1:14" outlineLevel="1" x14ac:dyDescent="0.25">
      <c r="A1157" t="s">
        <v>215</v>
      </c>
      <c r="C1157" t="s">
        <v>403</v>
      </c>
      <c r="D1157" t="str">
        <f>_xlfn.CONCAT("Taux de chargement moyen des véhicules pour l'accès direct au(x) chantier(s)"," (",'Remplissage - Sit. Init.'!$C$193,")")</f>
        <v>Taux de chargement moyen des véhicules pour l'accès direct au(x) chantier(s) (Catégorie 18)</v>
      </c>
      <c r="F1157" t="str">
        <f t="shared" ref="F1157" si="1198">_xlfn.CONCAT("LogChantAccDirTC",RIGHT(LEFT(D1157,LEN(D1157)-1),2))</f>
        <v>LogChantAccDirTC18</v>
      </c>
      <c r="G1157" t="s">
        <v>17</v>
      </c>
      <c r="H1157" s="14">
        <f t="shared" si="1183"/>
        <v>0</v>
      </c>
      <c r="I1157" s="3"/>
      <c r="K1157" t="s">
        <v>70</v>
      </c>
      <c r="L1157" s="7">
        <v>0.33</v>
      </c>
      <c r="N1157" t="s">
        <v>220</v>
      </c>
    </row>
    <row r="1158" spans="1:14" outlineLevel="1" x14ac:dyDescent="0.25">
      <c r="A1158" t="s">
        <v>215</v>
      </c>
      <c r="C1158" t="s">
        <v>403</v>
      </c>
      <c r="D1158" t="str">
        <f>_xlfn.CONCAT("Nombre de trajets associés"," (",'Remplissage - Sit. Init.'!$C$193,")")</f>
        <v>Nombre de trajets associés (Catégorie 18)</v>
      </c>
      <c r="F1158" t="str">
        <f t="shared" ref="F1158" si="1199">_xlfn.CONCAT("LogChantAccDirNbTraj",RIGHT(LEFT(D1158,LEN(D1158)-1),2))</f>
        <v>LogChantAccDirNbTraj18</v>
      </c>
      <c r="G1158" t="s">
        <v>17</v>
      </c>
      <c r="H1158" s="14">
        <f t="shared" si="1183"/>
        <v>0</v>
      </c>
      <c r="K1158" t="s">
        <v>145</v>
      </c>
      <c r="L1158">
        <v>3</v>
      </c>
      <c r="N1158" t="s">
        <v>220</v>
      </c>
    </row>
    <row r="1159" spans="1:14" outlineLevel="1" x14ac:dyDescent="0.25">
      <c r="A1159" t="s">
        <v>215</v>
      </c>
      <c r="C1159" t="s">
        <v>404</v>
      </c>
      <c r="D1159" t="str">
        <f>_xlfn.CONCAT("Taux de chargement moyen des véhicules pour l'accès direct au(x) chantier(s)"," (",'Remplissage - Sit. Init.'!$C$203,")")</f>
        <v>Taux de chargement moyen des véhicules pour l'accès direct au(x) chantier(s) (Catégorie 19)</v>
      </c>
      <c r="F1159" t="str">
        <f t="shared" ref="F1159" si="1200">_xlfn.CONCAT("LogChantAccDirTC",RIGHT(LEFT(D1159,LEN(D1159)-1),2))</f>
        <v>LogChantAccDirTC19</v>
      </c>
      <c r="G1159" t="s">
        <v>17</v>
      </c>
      <c r="H1159" s="14">
        <f t="shared" si="1183"/>
        <v>0</v>
      </c>
      <c r="I1159" s="3"/>
      <c r="K1159" t="s">
        <v>70</v>
      </c>
      <c r="L1159" s="7">
        <v>0.33</v>
      </c>
      <c r="N1159" t="s">
        <v>220</v>
      </c>
    </row>
    <row r="1160" spans="1:14" outlineLevel="1" x14ac:dyDescent="0.25">
      <c r="A1160" t="s">
        <v>215</v>
      </c>
      <c r="C1160" t="s">
        <v>404</v>
      </c>
      <c r="D1160" t="str">
        <f>_xlfn.CONCAT("Nombre de trajets associés"," (",'Remplissage - Sit. Init.'!$C$203,")")</f>
        <v>Nombre de trajets associés (Catégorie 19)</v>
      </c>
      <c r="F1160" t="str">
        <f t="shared" ref="F1160" si="1201">_xlfn.CONCAT("LogChantAccDirNbTraj",RIGHT(LEFT(D1160,LEN(D1160)-1),2))</f>
        <v>LogChantAccDirNbTraj19</v>
      </c>
      <c r="G1160" t="s">
        <v>17</v>
      </c>
      <c r="H1160" s="14">
        <f t="shared" si="1183"/>
        <v>0</v>
      </c>
      <c r="K1160" t="s">
        <v>145</v>
      </c>
      <c r="L1160">
        <v>3</v>
      </c>
      <c r="N1160" t="s">
        <v>220</v>
      </c>
    </row>
    <row r="1161" spans="1:14" outlineLevel="1" x14ac:dyDescent="0.25">
      <c r="A1161" t="s">
        <v>215</v>
      </c>
      <c r="C1161" t="s">
        <v>405</v>
      </c>
      <c r="D1161" t="str">
        <f>_xlfn.CONCAT("Taux de chargement moyen des véhicules pour l'accès direct au(x) chantier(s)"," (",'Remplissage - Sit. Init.'!$C$213,")")</f>
        <v>Taux de chargement moyen des véhicules pour l'accès direct au(x) chantier(s) (Catégorie 20)</v>
      </c>
      <c r="F1161" t="str">
        <f t="shared" ref="F1161" si="1202">_xlfn.CONCAT("LogChantAccDirTC",RIGHT(LEFT(D1161,LEN(D1161)-1),2))</f>
        <v>LogChantAccDirTC20</v>
      </c>
      <c r="G1161" t="s">
        <v>17</v>
      </c>
      <c r="H1161" s="14">
        <f t="shared" si="1183"/>
        <v>0</v>
      </c>
      <c r="I1161" s="3"/>
      <c r="K1161" t="s">
        <v>70</v>
      </c>
      <c r="L1161" s="7">
        <v>0.33</v>
      </c>
      <c r="N1161" t="s">
        <v>220</v>
      </c>
    </row>
    <row r="1162" spans="1:14" outlineLevel="1" x14ac:dyDescent="0.25">
      <c r="A1162" t="s">
        <v>215</v>
      </c>
      <c r="C1162" t="s">
        <v>405</v>
      </c>
      <c r="D1162" t="str">
        <f>_xlfn.CONCAT("Nombre de trajets associés"," (",'Remplissage - Sit. Init.'!$C$213,")")</f>
        <v>Nombre de trajets associés (Catégorie 20)</v>
      </c>
      <c r="F1162" t="str">
        <f t="shared" ref="F1162" si="1203">_xlfn.CONCAT("LogChantAccDirNbTraj",RIGHT(LEFT(D1162,LEN(D1162)-1),2))</f>
        <v>LogChantAccDirNbTraj20</v>
      </c>
      <c r="G1162" t="s">
        <v>17</v>
      </c>
      <c r="H1162" s="14">
        <f t="shared" si="1183"/>
        <v>0</v>
      </c>
      <c r="K1162" t="s">
        <v>145</v>
      </c>
      <c r="L1162">
        <v>3</v>
      </c>
      <c r="N1162" t="s">
        <v>220</v>
      </c>
    </row>
    <row r="1163" spans="1:14" outlineLevel="1" x14ac:dyDescent="0.25">
      <c r="A1163" t="s">
        <v>215</v>
      </c>
      <c r="C1163" t="s">
        <v>406</v>
      </c>
      <c r="D1163" t="str">
        <f>_xlfn.CONCAT("Taux de chargement moyen des véhicules pour l'accès direct au(x) chantier(s)"," (",'Remplissage - Sit. Init.'!$C$223,")")</f>
        <v>Taux de chargement moyen des véhicules pour l'accès direct au(x) chantier(s) (Catégorie 21)</v>
      </c>
      <c r="F1163" t="str">
        <f t="shared" ref="F1163" si="1204">_xlfn.CONCAT("LogChantAccDirTC",RIGHT(LEFT(D1163,LEN(D1163)-1),2))</f>
        <v>LogChantAccDirTC21</v>
      </c>
      <c r="G1163" t="s">
        <v>17</v>
      </c>
      <c r="H1163" s="14">
        <f t="shared" si="1183"/>
        <v>0</v>
      </c>
      <c r="I1163" s="3"/>
      <c r="K1163" t="s">
        <v>70</v>
      </c>
      <c r="L1163" s="7">
        <v>0.33</v>
      </c>
      <c r="N1163" t="s">
        <v>220</v>
      </c>
    </row>
    <row r="1164" spans="1:14" outlineLevel="1" x14ac:dyDescent="0.25">
      <c r="A1164" t="s">
        <v>215</v>
      </c>
      <c r="C1164" t="s">
        <v>406</v>
      </c>
      <c r="D1164" t="str">
        <f>_xlfn.CONCAT("Nombre de trajets associés"," (",'Remplissage - Sit. Init.'!$C$223,")")</f>
        <v>Nombre de trajets associés (Catégorie 21)</v>
      </c>
      <c r="F1164" t="str">
        <f t="shared" ref="F1164" si="1205">_xlfn.CONCAT("LogChantAccDirNbTraj",RIGHT(LEFT(D1164,LEN(D1164)-1),2))</f>
        <v>LogChantAccDirNbTraj21</v>
      </c>
      <c r="G1164" t="s">
        <v>17</v>
      </c>
      <c r="H1164" s="14">
        <f t="shared" si="1183"/>
        <v>0</v>
      </c>
      <c r="K1164" t="s">
        <v>145</v>
      </c>
      <c r="L1164">
        <v>3</v>
      </c>
      <c r="N1164" t="s">
        <v>220</v>
      </c>
    </row>
    <row r="1165" spans="1:14" outlineLevel="1" x14ac:dyDescent="0.25">
      <c r="A1165" t="s">
        <v>215</v>
      </c>
      <c r="C1165" t="s">
        <v>407</v>
      </c>
      <c r="D1165" t="str">
        <f>_xlfn.CONCAT("Taux de chargement moyen des véhicules pour l'accès direct au(x) chantier(s)"," (",'Remplissage - Sit. Init.'!$C$233,")")</f>
        <v>Taux de chargement moyen des véhicules pour l'accès direct au(x) chantier(s) (Catégorie 22)</v>
      </c>
      <c r="F1165" t="str">
        <f t="shared" ref="F1165" si="1206">_xlfn.CONCAT("LogChantAccDirTC",RIGHT(LEFT(D1165,LEN(D1165)-1),2))</f>
        <v>LogChantAccDirTC22</v>
      </c>
      <c r="G1165" t="s">
        <v>17</v>
      </c>
      <c r="H1165" s="14">
        <f t="shared" si="1183"/>
        <v>0</v>
      </c>
      <c r="I1165" s="3"/>
      <c r="K1165" t="s">
        <v>70</v>
      </c>
      <c r="L1165" s="7">
        <v>0.33</v>
      </c>
      <c r="N1165" t="s">
        <v>220</v>
      </c>
    </row>
    <row r="1166" spans="1:14" outlineLevel="1" x14ac:dyDescent="0.25">
      <c r="A1166" t="s">
        <v>215</v>
      </c>
      <c r="C1166" t="s">
        <v>407</v>
      </c>
      <c r="D1166" t="str">
        <f>_xlfn.CONCAT("Nombre de trajets associés"," (",'Remplissage - Sit. Init.'!$C$233,")")</f>
        <v>Nombre de trajets associés (Catégorie 22)</v>
      </c>
      <c r="F1166" t="str">
        <f t="shared" ref="F1166" si="1207">_xlfn.CONCAT("LogChantAccDirNbTraj",RIGHT(LEFT(D1166,LEN(D1166)-1),2))</f>
        <v>LogChantAccDirNbTraj22</v>
      </c>
      <c r="G1166" t="s">
        <v>17</v>
      </c>
      <c r="H1166" s="14">
        <f t="shared" si="1183"/>
        <v>0</v>
      </c>
      <c r="K1166" t="s">
        <v>145</v>
      </c>
      <c r="L1166">
        <v>3</v>
      </c>
      <c r="N1166" t="s">
        <v>220</v>
      </c>
    </row>
    <row r="1167" spans="1:14" outlineLevel="1" x14ac:dyDescent="0.25">
      <c r="A1167" t="s">
        <v>215</v>
      </c>
      <c r="C1167" t="s">
        <v>408</v>
      </c>
      <c r="D1167" t="str">
        <f>_xlfn.CONCAT("Taux de chargement moyen des véhicules pour l'accès direct au(x) chantier(s)"," (",'Remplissage - Sit. Init.'!$C$243,")")</f>
        <v>Taux de chargement moyen des véhicules pour l'accès direct au(x) chantier(s) (Catégorie 23)</v>
      </c>
      <c r="F1167" t="str">
        <f t="shared" ref="F1167" si="1208">_xlfn.CONCAT("LogChantAccDirTC",RIGHT(LEFT(D1167,LEN(D1167)-1),2))</f>
        <v>LogChantAccDirTC23</v>
      </c>
      <c r="G1167" t="s">
        <v>17</v>
      </c>
      <c r="H1167" s="14">
        <f t="shared" si="1183"/>
        <v>0</v>
      </c>
      <c r="I1167" s="3"/>
      <c r="K1167" t="s">
        <v>70</v>
      </c>
      <c r="L1167" s="7">
        <v>0.33</v>
      </c>
      <c r="N1167" t="s">
        <v>220</v>
      </c>
    </row>
    <row r="1168" spans="1:14" outlineLevel="1" x14ac:dyDescent="0.25">
      <c r="A1168" t="s">
        <v>215</v>
      </c>
      <c r="C1168" t="s">
        <v>408</v>
      </c>
      <c r="D1168" t="str">
        <f>_xlfn.CONCAT("Nombre de trajets associés"," (",'Remplissage - Sit. Init.'!$C$243,")")</f>
        <v>Nombre de trajets associés (Catégorie 23)</v>
      </c>
      <c r="F1168" t="str">
        <f t="shared" ref="F1168" si="1209">_xlfn.CONCAT("LogChantAccDirNbTraj",RIGHT(LEFT(D1168,LEN(D1168)-1),2))</f>
        <v>LogChantAccDirNbTraj23</v>
      </c>
      <c r="G1168" t="s">
        <v>17</v>
      </c>
      <c r="H1168" s="14">
        <f t="shared" si="1183"/>
        <v>0</v>
      </c>
      <c r="K1168" t="s">
        <v>145</v>
      </c>
      <c r="L1168">
        <v>3</v>
      </c>
      <c r="N1168" t="s">
        <v>220</v>
      </c>
    </row>
    <row r="1169" spans="1:14" outlineLevel="1" x14ac:dyDescent="0.25">
      <c r="A1169" t="s">
        <v>215</v>
      </c>
      <c r="C1169" t="s">
        <v>409</v>
      </c>
      <c r="D1169" t="str">
        <f>_xlfn.CONCAT("Taux de chargement moyen des véhicules pour l'accès direct au(x) chantier(s)"," (",'Remplissage - Sit. Init.'!$C$253,")")</f>
        <v>Taux de chargement moyen des véhicules pour l'accès direct au(x) chantier(s) (Catégorie 24)</v>
      </c>
      <c r="F1169" t="str">
        <f t="shared" ref="F1169" si="1210">_xlfn.CONCAT("LogChantAccDirTC",RIGHT(LEFT(D1169,LEN(D1169)-1),2))</f>
        <v>LogChantAccDirTC24</v>
      </c>
      <c r="G1169" t="s">
        <v>17</v>
      </c>
      <c r="H1169" s="14">
        <f t="shared" si="1183"/>
        <v>0</v>
      </c>
      <c r="I1169" s="3"/>
      <c r="K1169" t="s">
        <v>70</v>
      </c>
      <c r="L1169" s="7">
        <v>0.33</v>
      </c>
      <c r="N1169" t="s">
        <v>220</v>
      </c>
    </row>
    <row r="1170" spans="1:14" outlineLevel="1" x14ac:dyDescent="0.25">
      <c r="A1170" t="s">
        <v>215</v>
      </c>
      <c r="C1170" t="s">
        <v>409</v>
      </c>
      <c r="D1170" t="str">
        <f>_xlfn.CONCAT("Nombre de trajets associés"," (",'Remplissage - Sit. Init.'!$C$253,")")</f>
        <v>Nombre de trajets associés (Catégorie 24)</v>
      </c>
      <c r="F1170" t="str">
        <f t="shared" ref="F1170" si="1211">_xlfn.CONCAT("LogChantAccDirNbTraj",RIGHT(LEFT(D1170,LEN(D1170)-1),2))</f>
        <v>LogChantAccDirNbTraj24</v>
      </c>
      <c r="G1170" t="s">
        <v>17</v>
      </c>
      <c r="H1170" s="14">
        <f t="shared" si="1183"/>
        <v>0</v>
      </c>
      <c r="K1170" t="s">
        <v>145</v>
      </c>
      <c r="L1170">
        <v>3</v>
      </c>
      <c r="N1170" t="s">
        <v>220</v>
      </c>
    </row>
    <row r="1171" spans="1:14" outlineLevel="1" x14ac:dyDescent="0.25">
      <c r="A1171" t="s">
        <v>215</v>
      </c>
      <c r="C1171" t="s">
        <v>410</v>
      </c>
      <c r="D1171" t="str">
        <f>_xlfn.CONCAT("Taux de chargement moyen des véhicules pour l'accès direct au(x) chantier(s)"," (",'Remplissage - Sit. Init.'!$C$263,")")</f>
        <v>Taux de chargement moyen des véhicules pour l'accès direct au(x) chantier(s) (Catégorie 25)</v>
      </c>
      <c r="F1171" t="str">
        <f t="shared" ref="F1171" si="1212">_xlfn.CONCAT("LogChantAccDirTC",RIGHT(LEFT(D1171,LEN(D1171)-1),2))</f>
        <v>LogChantAccDirTC25</v>
      </c>
      <c r="G1171" t="s">
        <v>17</v>
      </c>
      <c r="H1171" s="14">
        <f t="shared" si="1183"/>
        <v>0</v>
      </c>
      <c r="I1171" s="3"/>
      <c r="K1171" t="s">
        <v>70</v>
      </c>
      <c r="L1171" s="7">
        <v>0.33</v>
      </c>
      <c r="N1171" t="s">
        <v>220</v>
      </c>
    </row>
    <row r="1172" spans="1:14" outlineLevel="1" x14ac:dyDescent="0.25">
      <c r="A1172" t="s">
        <v>215</v>
      </c>
      <c r="C1172" t="s">
        <v>410</v>
      </c>
      <c r="D1172" t="str">
        <f>_xlfn.CONCAT("Nombre de trajets associés"," (",'Remplissage - Sit. Init.'!$C$263,")")</f>
        <v>Nombre de trajets associés (Catégorie 25)</v>
      </c>
      <c r="F1172" t="str">
        <f t="shared" ref="F1172" si="1213">_xlfn.CONCAT("LogChantAccDirNbTraj",RIGHT(LEFT(D1172,LEN(D1172)-1),2))</f>
        <v>LogChantAccDirNbTraj25</v>
      </c>
      <c r="G1172" t="s">
        <v>17</v>
      </c>
      <c r="H1172" s="14">
        <f t="shared" si="1183"/>
        <v>0</v>
      </c>
      <c r="K1172" t="s">
        <v>145</v>
      </c>
      <c r="L1172">
        <v>3</v>
      </c>
      <c r="N1172" t="s">
        <v>220</v>
      </c>
    </row>
    <row r="1173" spans="1:14" outlineLevel="1" x14ac:dyDescent="0.25">
      <c r="A1173" t="s">
        <v>215</v>
      </c>
      <c r="C1173" t="s">
        <v>411</v>
      </c>
      <c r="D1173" t="str">
        <f>_xlfn.CONCAT("Taux de chargement moyen des véhicules pour l'accès direct au(x) chantier(s)"," (",'Remplissage - Sit. Init.'!$C$273,")")</f>
        <v>Taux de chargement moyen des véhicules pour l'accès direct au(x) chantier(s) (Catégorie 26)</v>
      </c>
      <c r="F1173" t="str">
        <f t="shared" ref="F1173" si="1214">_xlfn.CONCAT("LogChantAccDirTC",RIGHT(LEFT(D1173,LEN(D1173)-1),2))</f>
        <v>LogChantAccDirTC26</v>
      </c>
      <c r="G1173" t="s">
        <v>17</v>
      </c>
      <c r="H1173" s="14">
        <f t="shared" si="1183"/>
        <v>0</v>
      </c>
      <c r="I1173" s="3"/>
      <c r="K1173" t="s">
        <v>70</v>
      </c>
      <c r="L1173" s="7">
        <v>0.33</v>
      </c>
      <c r="N1173" t="s">
        <v>220</v>
      </c>
    </row>
    <row r="1174" spans="1:14" outlineLevel="1" x14ac:dyDescent="0.25">
      <c r="A1174" t="s">
        <v>215</v>
      </c>
      <c r="C1174" t="s">
        <v>411</v>
      </c>
      <c r="D1174" t="str">
        <f>_xlfn.CONCAT("Nombre de trajets associés"," (",'Remplissage - Sit. Init.'!$C$273,")")</f>
        <v>Nombre de trajets associés (Catégorie 26)</v>
      </c>
      <c r="F1174" t="str">
        <f t="shared" ref="F1174" si="1215">_xlfn.CONCAT("LogChantAccDirNbTraj",RIGHT(LEFT(D1174,LEN(D1174)-1),2))</f>
        <v>LogChantAccDirNbTraj26</v>
      </c>
      <c r="G1174" t="s">
        <v>17</v>
      </c>
      <c r="H1174" s="14">
        <f t="shared" si="1183"/>
        <v>0</v>
      </c>
      <c r="K1174" t="s">
        <v>145</v>
      </c>
      <c r="L1174">
        <v>3</v>
      </c>
      <c r="N1174" t="s">
        <v>220</v>
      </c>
    </row>
    <row r="1175" spans="1:14" outlineLevel="1" x14ac:dyDescent="0.25">
      <c r="A1175" t="s">
        <v>215</v>
      </c>
      <c r="C1175" t="s">
        <v>412</v>
      </c>
      <c r="D1175" t="str">
        <f>_xlfn.CONCAT("Taux de chargement moyen des véhicules pour l'accès direct au(x) chantier(s)"," (",'Remplissage - Sit. Init.'!$C$283,")")</f>
        <v>Taux de chargement moyen des véhicules pour l'accès direct au(x) chantier(s) (Catégorie 27)</v>
      </c>
      <c r="F1175" t="str">
        <f t="shared" ref="F1175" si="1216">_xlfn.CONCAT("LogChantAccDirTC",RIGHT(LEFT(D1175,LEN(D1175)-1),2))</f>
        <v>LogChantAccDirTC27</v>
      </c>
      <c r="G1175" t="s">
        <v>17</v>
      </c>
      <c r="H1175" s="14">
        <f t="shared" si="1183"/>
        <v>0</v>
      </c>
      <c r="I1175" s="3"/>
      <c r="K1175" t="s">
        <v>70</v>
      </c>
      <c r="L1175" s="7">
        <v>0.33</v>
      </c>
      <c r="N1175" t="s">
        <v>220</v>
      </c>
    </row>
    <row r="1176" spans="1:14" outlineLevel="1" x14ac:dyDescent="0.25">
      <c r="A1176" t="s">
        <v>215</v>
      </c>
      <c r="C1176" t="s">
        <v>412</v>
      </c>
      <c r="D1176" t="str">
        <f>_xlfn.CONCAT("Nombre de trajets associés"," (",'Remplissage - Sit. Init.'!$C$283,")")</f>
        <v>Nombre de trajets associés (Catégorie 27)</v>
      </c>
      <c r="F1176" t="str">
        <f t="shared" ref="F1176" si="1217">_xlfn.CONCAT("LogChantAccDirNbTraj",RIGHT(LEFT(D1176,LEN(D1176)-1),2))</f>
        <v>LogChantAccDirNbTraj27</v>
      </c>
      <c r="G1176" t="s">
        <v>17</v>
      </c>
      <c r="H1176" s="14">
        <f t="shared" si="1183"/>
        <v>0</v>
      </c>
      <c r="K1176" t="s">
        <v>145</v>
      </c>
      <c r="L1176">
        <v>3</v>
      </c>
      <c r="N1176" t="s">
        <v>220</v>
      </c>
    </row>
    <row r="1177" spans="1:14" outlineLevel="1" x14ac:dyDescent="0.25">
      <c r="A1177" t="s">
        <v>215</v>
      </c>
      <c r="C1177" t="s">
        <v>413</v>
      </c>
      <c r="D1177" t="str">
        <f>_xlfn.CONCAT("Taux de chargement moyen des véhicules pour l'accès direct au(x) chantier(s)"," (",'Remplissage - Sit. Init.'!$C$293,")")</f>
        <v>Taux de chargement moyen des véhicules pour l'accès direct au(x) chantier(s) (Catégorie 28)</v>
      </c>
      <c r="F1177" t="str">
        <f t="shared" ref="F1177" si="1218">_xlfn.CONCAT("LogChantAccDirTC",RIGHT(LEFT(D1177,LEN(D1177)-1),2))</f>
        <v>LogChantAccDirTC28</v>
      </c>
      <c r="G1177" t="s">
        <v>17</v>
      </c>
      <c r="H1177" s="14">
        <f t="shared" si="1183"/>
        <v>0</v>
      </c>
      <c r="I1177" s="3"/>
      <c r="K1177" t="s">
        <v>70</v>
      </c>
      <c r="L1177" s="7">
        <v>0.33</v>
      </c>
      <c r="N1177" t="s">
        <v>220</v>
      </c>
    </row>
    <row r="1178" spans="1:14" outlineLevel="1" x14ac:dyDescent="0.25">
      <c r="A1178" t="s">
        <v>215</v>
      </c>
      <c r="C1178" t="s">
        <v>413</v>
      </c>
      <c r="D1178" t="str">
        <f>_xlfn.CONCAT("Nombre de trajets associés"," (",'Remplissage - Sit. Init.'!$C$293,")")</f>
        <v>Nombre de trajets associés (Catégorie 28)</v>
      </c>
      <c r="F1178" t="str">
        <f t="shared" ref="F1178" si="1219">_xlfn.CONCAT("LogChantAccDirNbTraj",RIGHT(LEFT(D1178,LEN(D1178)-1),2))</f>
        <v>LogChantAccDirNbTraj28</v>
      </c>
      <c r="G1178" t="s">
        <v>17</v>
      </c>
      <c r="H1178" s="14">
        <f t="shared" si="1183"/>
        <v>0</v>
      </c>
      <c r="K1178" t="s">
        <v>145</v>
      </c>
      <c r="L1178">
        <v>3</v>
      </c>
      <c r="N1178" t="s">
        <v>220</v>
      </c>
    </row>
    <row r="1179" spans="1:14" outlineLevel="1" x14ac:dyDescent="0.25">
      <c r="A1179" t="s">
        <v>215</v>
      </c>
      <c r="C1179" t="s">
        <v>414</v>
      </c>
      <c r="D1179" t="str">
        <f>_xlfn.CONCAT("Taux de chargement moyen des véhicules pour l'accès direct au(x) chantier(s)"," (",'Remplissage - Sit. Init.'!$C$303,")")</f>
        <v>Taux de chargement moyen des véhicules pour l'accès direct au(x) chantier(s) (Catégorie 29)</v>
      </c>
      <c r="F1179" t="str">
        <f t="shared" ref="F1179" si="1220">_xlfn.CONCAT("LogChantAccDirTC",RIGHT(LEFT(D1179,LEN(D1179)-1),2))</f>
        <v>LogChantAccDirTC29</v>
      </c>
      <c r="G1179" t="s">
        <v>17</v>
      </c>
      <c r="H1179" s="14">
        <f t="shared" si="1183"/>
        <v>0</v>
      </c>
      <c r="I1179" s="3"/>
      <c r="K1179" t="s">
        <v>70</v>
      </c>
      <c r="L1179" s="7">
        <v>0.33</v>
      </c>
      <c r="N1179" t="s">
        <v>220</v>
      </c>
    </row>
    <row r="1180" spans="1:14" outlineLevel="1" x14ac:dyDescent="0.25">
      <c r="A1180" t="s">
        <v>215</v>
      </c>
      <c r="C1180" t="s">
        <v>414</v>
      </c>
      <c r="D1180" t="str">
        <f>_xlfn.CONCAT("Nombre de trajets associés"," (",'Remplissage - Sit. Init.'!$C$303,")")</f>
        <v>Nombre de trajets associés (Catégorie 29)</v>
      </c>
      <c r="F1180" t="str">
        <f t="shared" ref="F1180" si="1221">_xlfn.CONCAT("LogChantAccDirNbTraj",RIGHT(LEFT(D1180,LEN(D1180)-1),2))</f>
        <v>LogChantAccDirNbTraj29</v>
      </c>
      <c r="G1180" t="s">
        <v>17</v>
      </c>
      <c r="H1180" s="14">
        <f t="shared" si="1183"/>
        <v>0</v>
      </c>
      <c r="K1180" t="s">
        <v>145</v>
      </c>
      <c r="L1180">
        <v>3</v>
      </c>
      <c r="N1180" t="s">
        <v>220</v>
      </c>
    </row>
    <row r="1181" spans="1:14" outlineLevel="1" x14ac:dyDescent="0.25">
      <c r="A1181" t="s">
        <v>215</v>
      </c>
      <c r="C1181" t="s">
        <v>415</v>
      </c>
      <c r="D1181" t="str">
        <f>_xlfn.CONCAT("Taux de chargement moyen des véhicules pour l'accès direct au(x) chantier(s)"," (",'Remplissage - Sit. Init.'!$C$313,")")</f>
        <v>Taux de chargement moyen des véhicules pour l'accès direct au(x) chantier(s) (Catégorie 30)</v>
      </c>
      <c r="F1181" t="str">
        <f t="shared" ref="F1181" si="1222">_xlfn.CONCAT("LogChantAccDirTC",RIGHT(LEFT(D1181,LEN(D1181)-1),2))</f>
        <v>LogChantAccDirTC30</v>
      </c>
      <c r="G1181" t="s">
        <v>17</v>
      </c>
      <c r="H1181" s="14">
        <f t="shared" si="1183"/>
        <v>0</v>
      </c>
      <c r="I1181" s="3"/>
      <c r="K1181" t="s">
        <v>70</v>
      </c>
      <c r="L1181" s="7">
        <v>0.33</v>
      </c>
      <c r="N1181" t="s">
        <v>220</v>
      </c>
    </row>
    <row r="1182" spans="1:14" outlineLevel="1" x14ac:dyDescent="0.25">
      <c r="A1182" t="s">
        <v>215</v>
      </c>
      <c r="C1182" t="s">
        <v>415</v>
      </c>
      <c r="D1182" t="str">
        <f>_xlfn.CONCAT("Nombre de trajets associés"," (",'Remplissage - Sit. Init.'!$C$313,")")</f>
        <v>Nombre de trajets associés (Catégorie 30)</v>
      </c>
      <c r="F1182" t="str">
        <f t="shared" ref="F1182" si="1223">_xlfn.CONCAT("LogChantAccDirNbTraj",RIGHT(LEFT(D1182,LEN(D1182)-1),2))</f>
        <v>LogChantAccDirNbTraj30</v>
      </c>
      <c r="G1182" t="s">
        <v>17</v>
      </c>
      <c r="H1182" s="14">
        <f t="shared" si="1183"/>
        <v>0</v>
      </c>
      <c r="K1182" t="s">
        <v>145</v>
      </c>
      <c r="L1182">
        <v>3</v>
      </c>
      <c r="N1182" t="s">
        <v>220</v>
      </c>
    </row>
    <row r="1183" spans="1:14" outlineLevel="1" x14ac:dyDescent="0.25">
      <c r="A1183" t="s">
        <v>215</v>
      </c>
      <c r="C1183" t="s">
        <v>416</v>
      </c>
      <c r="D1183" t="str">
        <f>_xlfn.CONCAT("Taux de chargement moyen des véhicules pour l'accès direct au(x) chantier(s)"," (",'Remplissage - Sit. Init.'!$C$323,")")</f>
        <v>Taux de chargement moyen des véhicules pour l'accès direct au(x) chantier(s) (Catégorie 31)</v>
      </c>
      <c r="F1183" t="str">
        <f t="shared" ref="F1183" si="1224">_xlfn.CONCAT("LogChantAccDirTC",RIGHT(LEFT(D1183,LEN(D1183)-1),2))</f>
        <v>LogChantAccDirTC31</v>
      </c>
      <c r="G1183" t="s">
        <v>17</v>
      </c>
      <c r="H1183" s="14">
        <f t="shared" si="1183"/>
        <v>0</v>
      </c>
      <c r="I1183" s="3"/>
      <c r="K1183" t="s">
        <v>70</v>
      </c>
      <c r="L1183" s="7">
        <v>0.33</v>
      </c>
      <c r="N1183" t="s">
        <v>220</v>
      </c>
    </row>
    <row r="1184" spans="1:14" outlineLevel="1" x14ac:dyDescent="0.25">
      <c r="A1184" t="s">
        <v>215</v>
      </c>
      <c r="C1184" t="s">
        <v>416</v>
      </c>
      <c r="D1184" t="str">
        <f>_xlfn.CONCAT("Nombre de trajets associés"," (",'Remplissage - Sit. Init.'!$C$323,")")</f>
        <v>Nombre de trajets associés (Catégorie 31)</v>
      </c>
      <c r="F1184" t="str">
        <f t="shared" ref="F1184" si="1225">_xlfn.CONCAT("LogChantAccDirNbTraj",RIGHT(LEFT(D1184,LEN(D1184)-1),2))</f>
        <v>LogChantAccDirNbTraj31</v>
      </c>
      <c r="G1184" t="s">
        <v>17</v>
      </c>
      <c r="H1184" s="14">
        <f t="shared" si="1183"/>
        <v>0</v>
      </c>
      <c r="K1184" t="s">
        <v>145</v>
      </c>
      <c r="L1184">
        <v>3</v>
      </c>
      <c r="N1184" t="s">
        <v>220</v>
      </c>
    </row>
    <row r="1185" spans="1:14" outlineLevel="1" x14ac:dyDescent="0.25">
      <c r="A1185" t="s">
        <v>215</v>
      </c>
      <c r="C1185" t="s">
        <v>417</v>
      </c>
      <c r="D1185" t="str">
        <f>_xlfn.CONCAT("Taux de chargement moyen des véhicules pour l'accès direct au(x) chantier(s)"," (",'Remplissage - Sit. Init.'!$C$333,")")</f>
        <v>Taux de chargement moyen des véhicules pour l'accès direct au(x) chantier(s) (Catégorie 32)</v>
      </c>
      <c r="F1185" t="str">
        <f t="shared" ref="F1185" si="1226">_xlfn.CONCAT("LogChantAccDirTC",RIGHT(LEFT(D1185,LEN(D1185)-1),2))</f>
        <v>LogChantAccDirTC32</v>
      </c>
      <c r="G1185" t="s">
        <v>17</v>
      </c>
      <c r="H1185" s="14">
        <f t="shared" si="1183"/>
        <v>0</v>
      </c>
      <c r="I1185" s="3"/>
      <c r="K1185" t="s">
        <v>70</v>
      </c>
      <c r="L1185" s="7">
        <v>0.33</v>
      </c>
      <c r="N1185" t="s">
        <v>220</v>
      </c>
    </row>
    <row r="1186" spans="1:14" outlineLevel="1" x14ac:dyDescent="0.25">
      <c r="A1186" t="s">
        <v>215</v>
      </c>
      <c r="C1186" t="s">
        <v>417</v>
      </c>
      <c r="D1186" t="str">
        <f>_xlfn.CONCAT("Nombre de trajets associés"," (",'Remplissage - Sit. Init.'!$C$333,")")</f>
        <v>Nombre de trajets associés (Catégorie 32)</v>
      </c>
      <c r="F1186" t="str">
        <f t="shared" ref="F1186" si="1227">_xlfn.CONCAT("LogChantAccDirNbTraj",RIGHT(LEFT(D1186,LEN(D1186)-1),2))</f>
        <v>LogChantAccDirNbTraj32</v>
      </c>
      <c r="G1186" t="s">
        <v>17</v>
      </c>
      <c r="H1186" s="14">
        <f t="shared" si="1183"/>
        <v>0</v>
      </c>
      <c r="K1186" t="s">
        <v>145</v>
      </c>
      <c r="L1186">
        <v>3</v>
      </c>
      <c r="N1186" t="s">
        <v>220</v>
      </c>
    </row>
    <row r="1187" spans="1:14" outlineLevel="1" x14ac:dyDescent="0.25">
      <c r="A1187" t="s">
        <v>215</v>
      </c>
      <c r="C1187" t="s">
        <v>418</v>
      </c>
      <c r="D1187" t="str">
        <f>_xlfn.CONCAT("Taux de chargement moyen des véhicules pour l'accès direct au(x) chantier(s)"," (",'Remplissage - Sit. Init.'!$C$343,")")</f>
        <v>Taux de chargement moyen des véhicules pour l'accès direct au(x) chantier(s) (Catégorie 33)</v>
      </c>
      <c r="F1187" t="str">
        <f t="shared" ref="F1187" si="1228">_xlfn.CONCAT("LogChantAccDirTC",RIGHT(LEFT(D1187,LEN(D1187)-1),2))</f>
        <v>LogChantAccDirTC33</v>
      </c>
      <c r="G1187" t="s">
        <v>17</v>
      </c>
      <c r="H1187" s="14">
        <f t="shared" si="1183"/>
        <v>0</v>
      </c>
      <c r="I1187" s="3"/>
      <c r="K1187" t="s">
        <v>70</v>
      </c>
      <c r="L1187" s="7">
        <v>0.33</v>
      </c>
      <c r="N1187" t="s">
        <v>220</v>
      </c>
    </row>
    <row r="1188" spans="1:14" outlineLevel="1" x14ac:dyDescent="0.25">
      <c r="A1188" t="s">
        <v>215</v>
      </c>
      <c r="C1188" t="s">
        <v>418</v>
      </c>
      <c r="D1188" t="str">
        <f>_xlfn.CONCAT("Nombre de trajets associés"," (",'Remplissage - Sit. Init.'!$C$343,")")</f>
        <v>Nombre de trajets associés (Catégorie 33)</v>
      </c>
      <c r="F1188" t="str">
        <f t="shared" ref="F1188" si="1229">_xlfn.CONCAT("LogChantAccDirNbTraj",RIGHT(LEFT(D1188,LEN(D1188)-1),2))</f>
        <v>LogChantAccDirNbTraj33</v>
      </c>
      <c r="G1188" t="s">
        <v>17</v>
      </c>
      <c r="H1188" s="14">
        <f t="shared" ref="H1188:H1212" si="1230">(IF(ISNUMBER(SEARCH($C1188,$I$1118)),1,0))*(IF(ISNUMBER(SEARCH("Par catégorie de véhicule sélectionnée",$I$1119)),1,0))</f>
        <v>0</v>
      </c>
      <c r="K1188" t="s">
        <v>145</v>
      </c>
      <c r="L1188">
        <v>3</v>
      </c>
      <c r="N1188" t="s">
        <v>220</v>
      </c>
    </row>
    <row r="1189" spans="1:14" outlineLevel="1" x14ac:dyDescent="0.25">
      <c r="A1189" t="s">
        <v>215</v>
      </c>
      <c r="C1189" t="s">
        <v>419</v>
      </c>
      <c r="D1189" t="str">
        <f>_xlfn.CONCAT("Taux de chargement moyen des véhicules pour l'accès direct au(x) chantier(s)"," (",'Remplissage - Sit. Init.'!$C$353,")")</f>
        <v>Taux de chargement moyen des véhicules pour l'accès direct au(x) chantier(s) (Catégorie 34)</v>
      </c>
      <c r="F1189" t="str">
        <f t="shared" ref="F1189" si="1231">_xlfn.CONCAT("LogChantAccDirTC",RIGHT(LEFT(D1189,LEN(D1189)-1),2))</f>
        <v>LogChantAccDirTC34</v>
      </c>
      <c r="G1189" t="s">
        <v>17</v>
      </c>
      <c r="H1189" s="14">
        <f t="shared" si="1230"/>
        <v>0</v>
      </c>
      <c r="I1189" s="3"/>
      <c r="K1189" t="s">
        <v>70</v>
      </c>
      <c r="L1189" s="7">
        <v>0.33</v>
      </c>
      <c r="N1189" t="s">
        <v>220</v>
      </c>
    </row>
    <row r="1190" spans="1:14" outlineLevel="1" x14ac:dyDescent="0.25">
      <c r="A1190" t="s">
        <v>215</v>
      </c>
      <c r="C1190" t="s">
        <v>419</v>
      </c>
      <c r="D1190" t="str">
        <f>_xlfn.CONCAT("Nombre de trajets associés"," (",'Remplissage - Sit. Init.'!$C$353,")")</f>
        <v>Nombre de trajets associés (Catégorie 34)</v>
      </c>
      <c r="F1190" t="str">
        <f t="shared" ref="F1190" si="1232">_xlfn.CONCAT("LogChantAccDirNbTraj",RIGHT(LEFT(D1190,LEN(D1190)-1),2))</f>
        <v>LogChantAccDirNbTraj34</v>
      </c>
      <c r="G1190" t="s">
        <v>17</v>
      </c>
      <c r="H1190" s="14">
        <f t="shared" si="1230"/>
        <v>0</v>
      </c>
      <c r="K1190" t="s">
        <v>145</v>
      </c>
      <c r="L1190">
        <v>3</v>
      </c>
      <c r="N1190" t="s">
        <v>220</v>
      </c>
    </row>
    <row r="1191" spans="1:14" outlineLevel="1" x14ac:dyDescent="0.25">
      <c r="A1191" t="s">
        <v>215</v>
      </c>
      <c r="C1191" t="s">
        <v>420</v>
      </c>
      <c r="D1191" t="str">
        <f>_xlfn.CONCAT("Taux de chargement moyen des véhicules pour l'accès direct au(x) chantier(s)"," (",'Remplissage - Sit. Init.'!$C$363,")")</f>
        <v>Taux de chargement moyen des véhicules pour l'accès direct au(x) chantier(s) (Catégorie 35)</v>
      </c>
      <c r="F1191" t="str">
        <f t="shared" ref="F1191" si="1233">_xlfn.CONCAT("LogChantAccDirTC",RIGHT(LEFT(D1191,LEN(D1191)-1),2))</f>
        <v>LogChantAccDirTC35</v>
      </c>
      <c r="G1191" t="s">
        <v>17</v>
      </c>
      <c r="H1191" s="14">
        <f t="shared" si="1230"/>
        <v>0</v>
      </c>
      <c r="I1191" s="3"/>
      <c r="K1191" t="s">
        <v>70</v>
      </c>
      <c r="L1191" s="7">
        <v>0.33</v>
      </c>
      <c r="N1191" t="s">
        <v>220</v>
      </c>
    </row>
    <row r="1192" spans="1:14" outlineLevel="1" x14ac:dyDescent="0.25">
      <c r="A1192" t="s">
        <v>215</v>
      </c>
      <c r="C1192" t="s">
        <v>420</v>
      </c>
      <c r="D1192" t="str">
        <f>_xlfn.CONCAT("Nombre de trajets associés"," (",'Remplissage - Sit. Init.'!$C$363,")")</f>
        <v>Nombre de trajets associés (Catégorie 35)</v>
      </c>
      <c r="F1192" t="str">
        <f t="shared" ref="F1192" si="1234">_xlfn.CONCAT("LogChantAccDirNbTraj",RIGHT(LEFT(D1192,LEN(D1192)-1),2))</f>
        <v>LogChantAccDirNbTraj35</v>
      </c>
      <c r="G1192" t="s">
        <v>17</v>
      </c>
      <c r="H1192" s="14">
        <f t="shared" si="1230"/>
        <v>0</v>
      </c>
      <c r="K1192" t="s">
        <v>145</v>
      </c>
      <c r="L1192">
        <v>3</v>
      </c>
      <c r="N1192" t="s">
        <v>220</v>
      </c>
    </row>
    <row r="1193" spans="1:14" outlineLevel="1" x14ac:dyDescent="0.25">
      <c r="A1193" t="s">
        <v>215</v>
      </c>
      <c r="C1193" t="s">
        <v>421</v>
      </c>
      <c r="D1193" t="str">
        <f>_xlfn.CONCAT("Taux de chargement moyen des véhicules pour l'accès direct au(x) chantier(s)"," (",'Remplissage - Sit. Init.'!$C$373,")")</f>
        <v>Taux de chargement moyen des véhicules pour l'accès direct au(x) chantier(s) (Catégorie 36)</v>
      </c>
      <c r="F1193" t="str">
        <f t="shared" ref="F1193" si="1235">_xlfn.CONCAT("LogChantAccDirTC",RIGHT(LEFT(D1193,LEN(D1193)-1),2))</f>
        <v>LogChantAccDirTC36</v>
      </c>
      <c r="G1193" t="s">
        <v>17</v>
      </c>
      <c r="H1193" s="14">
        <f t="shared" si="1230"/>
        <v>0</v>
      </c>
      <c r="I1193" s="3"/>
      <c r="K1193" t="s">
        <v>70</v>
      </c>
      <c r="L1193" s="7">
        <v>0.33</v>
      </c>
      <c r="N1193" t="s">
        <v>220</v>
      </c>
    </row>
    <row r="1194" spans="1:14" outlineLevel="1" x14ac:dyDescent="0.25">
      <c r="A1194" t="s">
        <v>215</v>
      </c>
      <c r="C1194" t="s">
        <v>421</v>
      </c>
      <c r="D1194" t="str">
        <f>_xlfn.CONCAT("Nombre de trajets associés"," (",'Remplissage - Sit. Init.'!$C$373,")")</f>
        <v>Nombre de trajets associés (Catégorie 36)</v>
      </c>
      <c r="F1194" t="str">
        <f t="shared" ref="F1194" si="1236">_xlfn.CONCAT("LogChantAccDirNbTraj",RIGHT(LEFT(D1194,LEN(D1194)-1),2))</f>
        <v>LogChantAccDirNbTraj36</v>
      </c>
      <c r="G1194" t="s">
        <v>17</v>
      </c>
      <c r="H1194" s="14">
        <f t="shared" si="1230"/>
        <v>0</v>
      </c>
      <c r="K1194" t="s">
        <v>145</v>
      </c>
      <c r="L1194">
        <v>3</v>
      </c>
      <c r="N1194" t="s">
        <v>220</v>
      </c>
    </row>
    <row r="1195" spans="1:14" outlineLevel="1" x14ac:dyDescent="0.25">
      <c r="A1195" t="s">
        <v>215</v>
      </c>
      <c r="C1195" t="s">
        <v>422</v>
      </c>
      <c r="D1195" t="str">
        <f>_xlfn.CONCAT("Taux de chargement moyen des véhicules pour l'accès direct au(x) chantier(s)"," (",'Remplissage - Sit. Init.'!$C$383,")")</f>
        <v>Taux de chargement moyen des véhicules pour l'accès direct au(x) chantier(s) (Catégorie 37)</v>
      </c>
      <c r="F1195" t="str">
        <f t="shared" ref="F1195" si="1237">_xlfn.CONCAT("LogChantAccDirTC",RIGHT(LEFT(D1195,LEN(D1195)-1),2))</f>
        <v>LogChantAccDirTC37</v>
      </c>
      <c r="G1195" t="s">
        <v>17</v>
      </c>
      <c r="H1195" s="14">
        <f t="shared" si="1230"/>
        <v>0</v>
      </c>
      <c r="I1195" s="3"/>
      <c r="K1195" t="s">
        <v>70</v>
      </c>
      <c r="L1195" s="7">
        <v>0.33</v>
      </c>
      <c r="N1195" t="s">
        <v>220</v>
      </c>
    </row>
    <row r="1196" spans="1:14" outlineLevel="1" x14ac:dyDescent="0.25">
      <c r="A1196" t="s">
        <v>215</v>
      </c>
      <c r="C1196" t="s">
        <v>422</v>
      </c>
      <c r="D1196" t="str">
        <f>_xlfn.CONCAT("Nombre de trajets associés"," (",'Remplissage - Sit. Init.'!$C$383,")")</f>
        <v>Nombre de trajets associés (Catégorie 37)</v>
      </c>
      <c r="F1196" t="str">
        <f t="shared" ref="F1196" si="1238">_xlfn.CONCAT("LogChantAccDirNbTraj",RIGHT(LEFT(D1196,LEN(D1196)-1),2))</f>
        <v>LogChantAccDirNbTraj37</v>
      </c>
      <c r="G1196" t="s">
        <v>17</v>
      </c>
      <c r="H1196" s="14">
        <f t="shared" si="1230"/>
        <v>0</v>
      </c>
      <c r="K1196" t="s">
        <v>145</v>
      </c>
      <c r="L1196">
        <v>3</v>
      </c>
      <c r="N1196" t="s">
        <v>220</v>
      </c>
    </row>
    <row r="1197" spans="1:14" outlineLevel="1" x14ac:dyDescent="0.25">
      <c r="A1197" t="s">
        <v>215</v>
      </c>
      <c r="C1197" t="s">
        <v>423</v>
      </c>
      <c r="D1197" t="str">
        <f>_xlfn.CONCAT("Taux de chargement moyen des véhicules pour l'accès direct au(x) chantier(s)"," (",'Remplissage - Sit. Init.'!$C$393,")")</f>
        <v>Taux de chargement moyen des véhicules pour l'accès direct au(x) chantier(s) (Catégorie 38)</v>
      </c>
      <c r="F1197" t="str">
        <f t="shared" ref="F1197" si="1239">_xlfn.CONCAT("LogChantAccDirTC",RIGHT(LEFT(D1197,LEN(D1197)-1),2))</f>
        <v>LogChantAccDirTC38</v>
      </c>
      <c r="G1197" t="s">
        <v>17</v>
      </c>
      <c r="H1197" s="14">
        <f t="shared" si="1230"/>
        <v>0</v>
      </c>
      <c r="I1197" s="3"/>
      <c r="K1197" t="s">
        <v>70</v>
      </c>
      <c r="L1197" s="7">
        <v>0.33</v>
      </c>
      <c r="N1197" t="s">
        <v>220</v>
      </c>
    </row>
    <row r="1198" spans="1:14" outlineLevel="1" x14ac:dyDescent="0.25">
      <c r="A1198" t="s">
        <v>215</v>
      </c>
      <c r="C1198" t="s">
        <v>423</v>
      </c>
      <c r="D1198" t="str">
        <f>_xlfn.CONCAT("Nombre de trajets associés"," (",'Remplissage - Sit. Init.'!$C$393,")")</f>
        <v>Nombre de trajets associés (Catégorie 38)</v>
      </c>
      <c r="F1198" t="str">
        <f t="shared" ref="F1198" si="1240">_xlfn.CONCAT("LogChantAccDirNbTraj",RIGHT(LEFT(D1198,LEN(D1198)-1),2))</f>
        <v>LogChantAccDirNbTraj38</v>
      </c>
      <c r="G1198" t="s">
        <v>17</v>
      </c>
      <c r="H1198" s="14">
        <f t="shared" si="1230"/>
        <v>0</v>
      </c>
      <c r="K1198" t="s">
        <v>145</v>
      </c>
      <c r="L1198">
        <v>3</v>
      </c>
      <c r="N1198" t="s">
        <v>220</v>
      </c>
    </row>
    <row r="1199" spans="1:14" outlineLevel="1" x14ac:dyDescent="0.25">
      <c r="A1199" t="s">
        <v>215</v>
      </c>
      <c r="C1199" t="s">
        <v>424</v>
      </c>
      <c r="D1199" t="str">
        <f>_xlfn.CONCAT("Taux de chargement moyen des véhicules pour l'accès direct au(x) chantier(s)"," (",'Remplissage - Sit. Init.'!$C$403,")")</f>
        <v>Taux de chargement moyen des véhicules pour l'accès direct au(x) chantier(s) (Catégorie 39)</v>
      </c>
      <c r="F1199" t="str">
        <f t="shared" ref="F1199" si="1241">_xlfn.CONCAT("LogChantAccDirTC",RIGHT(LEFT(D1199,LEN(D1199)-1),2))</f>
        <v>LogChantAccDirTC39</v>
      </c>
      <c r="G1199" t="s">
        <v>17</v>
      </c>
      <c r="H1199" s="14">
        <f t="shared" si="1230"/>
        <v>0</v>
      </c>
      <c r="I1199" s="3"/>
      <c r="K1199" t="s">
        <v>70</v>
      </c>
      <c r="L1199" s="7">
        <v>0.33</v>
      </c>
      <c r="N1199" t="s">
        <v>220</v>
      </c>
    </row>
    <row r="1200" spans="1:14" outlineLevel="1" x14ac:dyDescent="0.25">
      <c r="A1200" t="s">
        <v>215</v>
      </c>
      <c r="C1200" t="s">
        <v>424</v>
      </c>
      <c r="D1200" t="str">
        <f>_xlfn.CONCAT("Nombre de trajets associés"," (",'Remplissage - Sit. Init.'!$C$403,")")</f>
        <v>Nombre de trajets associés (Catégorie 39)</v>
      </c>
      <c r="F1200" t="str">
        <f t="shared" ref="F1200" si="1242">_xlfn.CONCAT("LogChantAccDirNbTraj",RIGHT(LEFT(D1200,LEN(D1200)-1),2))</f>
        <v>LogChantAccDirNbTraj39</v>
      </c>
      <c r="G1200" t="s">
        <v>17</v>
      </c>
      <c r="H1200" s="14">
        <f t="shared" si="1230"/>
        <v>0</v>
      </c>
      <c r="K1200" t="s">
        <v>145</v>
      </c>
      <c r="L1200">
        <v>3</v>
      </c>
      <c r="N1200" t="s">
        <v>220</v>
      </c>
    </row>
    <row r="1201" spans="1:14" outlineLevel="1" x14ac:dyDescent="0.25">
      <c r="A1201" t="s">
        <v>215</v>
      </c>
      <c r="C1201" t="s">
        <v>425</v>
      </c>
      <c r="D1201" t="str">
        <f>_xlfn.CONCAT("Taux de chargement moyen des véhicules pour l'accès direct au(x) chantier(s)"," (",'Remplissage - Sit. Init.'!$C$413,")")</f>
        <v>Taux de chargement moyen des véhicules pour l'accès direct au(x) chantier(s) (Catégorie 40)</v>
      </c>
      <c r="F1201" t="str">
        <f t="shared" ref="F1201" si="1243">_xlfn.CONCAT("LogChantAccDirTC",RIGHT(LEFT(D1201,LEN(D1201)-1),2))</f>
        <v>LogChantAccDirTC40</v>
      </c>
      <c r="G1201" t="s">
        <v>17</v>
      </c>
      <c r="H1201" s="14">
        <f t="shared" si="1230"/>
        <v>0</v>
      </c>
      <c r="I1201" s="3"/>
      <c r="K1201" t="s">
        <v>70</v>
      </c>
      <c r="L1201" s="7">
        <v>0.33</v>
      </c>
      <c r="N1201" t="s">
        <v>220</v>
      </c>
    </row>
    <row r="1202" spans="1:14" outlineLevel="1" x14ac:dyDescent="0.25">
      <c r="A1202" t="s">
        <v>215</v>
      </c>
      <c r="C1202" t="s">
        <v>425</v>
      </c>
      <c r="D1202" t="str">
        <f>_xlfn.CONCAT("Nombre de trajets associés"," (",'Remplissage - Sit. Init.'!$C$413,")")</f>
        <v>Nombre de trajets associés (Catégorie 40)</v>
      </c>
      <c r="F1202" t="str">
        <f t="shared" ref="F1202" si="1244">_xlfn.CONCAT("LogChantAccDirNbTraj",RIGHT(LEFT(D1202,LEN(D1202)-1),2))</f>
        <v>LogChantAccDirNbTraj40</v>
      </c>
      <c r="G1202" t="s">
        <v>17</v>
      </c>
      <c r="H1202" s="14">
        <f t="shared" si="1230"/>
        <v>0</v>
      </c>
      <c r="K1202" t="s">
        <v>145</v>
      </c>
      <c r="L1202">
        <v>3</v>
      </c>
      <c r="N1202" t="s">
        <v>220</v>
      </c>
    </row>
    <row r="1203" spans="1:14" outlineLevel="1" x14ac:dyDescent="0.25">
      <c r="A1203" t="s">
        <v>215</v>
      </c>
      <c r="C1203" t="s">
        <v>426</v>
      </c>
      <c r="D1203" t="str">
        <f>_xlfn.CONCAT("Taux de chargement moyen des véhicules pour l'accès direct au(x) chantier(s)"," (",'Remplissage - Sit. Init.'!$C$423,")")</f>
        <v>Taux de chargement moyen des véhicules pour l'accès direct au(x) chantier(s) (Catégorie 41)</v>
      </c>
      <c r="F1203" t="str">
        <f t="shared" ref="F1203" si="1245">_xlfn.CONCAT("LogChantAccDirTC",RIGHT(LEFT(D1203,LEN(D1203)-1),2))</f>
        <v>LogChantAccDirTC41</v>
      </c>
      <c r="G1203" t="s">
        <v>17</v>
      </c>
      <c r="H1203" s="14">
        <f t="shared" si="1230"/>
        <v>0</v>
      </c>
      <c r="I1203" s="3"/>
      <c r="K1203" t="s">
        <v>70</v>
      </c>
      <c r="L1203" s="7">
        <v>0.33</v>
      </c>
      <c r="N1203" t="s">
        <v>220</v>
      </c>
    </row>
    <row r="1204" spans="1:14" outlineLevel="1" x14ac:dyDescent="0.25">
      <c r="A1204" t="s">
        <v>215</v>
      </c>
      <c r="C1204" t="s">
        <v>426</v>
      </c>
      <c r="D1204" t="str">
        <f>_xlfn.CONCAT("Nombre de trajets associés"," (",'Remplissage - Sit. Init.'!$C$423,")")</f>
        <v>Nombre de trajets associés (Catégorie 41)</v>
      </c>
      <c r="F1204" t="str">
        <f t="shared" ref="F1204" si="1246">_xlfn.CONCAT("LogChantAccDirNbTraj",RIGHT(LEFT(D1204,LEN(D1204)-1),2))</f>
        <v>LogChantAccDirNbTraj41</v>
      </c>
      <c r="G1204" t="s">
        <v>17</v>
      </c>
      <c r="H1204" s="14">
        <f t="shared" si="1230"/>
        <v>0</v>
      </c>
      <c r="K1204" t="s">
        <v>145</v>
      </c>
      <c r="L1204">
        <v>3</v>
      </c>
      <c r="N1204" t="s">
        <v>220</v>
      </c>
    </row>
    <row r="1205" spans="1:14" outlineLevel="1" x14ac:dyDescent="0.25">
      <c r="A1205" t="s">
        <v>215</v>
      </c>
      <c r="C1205" t="s">
        <v>427</v>
      </c>
      <c r="D1205" t="str">
        <f>_xlfn.CONCAT("Taux de chargement moyen des véhicules pour l'accès direct au(x) chantier(s)"," (",'Remplissage - Sit. Init.'!$C$433,")")</f>
        <v>Taux de chargement moyen des véhicules pour l'accès direct au(x) chantier(s) (Catégorie 42)</v>
      </c>
      <c r="F1205" t="str">
        <f t="shared" ref="F1205" si="1247">_xlfn.CONCAT("LogChantAccDirTC",RIGHT(LEFT(D1205,LEN(D1205)-1),2))</f>
        <v>LogChantAccDirTC42</v>
      </c>
      <c r="G1205" t="s">
        <v>17</v>
      </c>
      <c r="H1205" s="14">
        <f t="shared" si="1230"/>
        <v>0</v>
      </c>
      <c r="I1205" s="3"/>
      <c r="K1205" t="s">
        <v>70</v>
      </c>
      <c r="L1205" s="7">
        <v>0.33</v>
      </c>
      <c r="N1205" t="s">
        <v>220</v>
      </c>
    </row>
    <row r="1206" spans="1:14" outlineLevel="1" x14ac:dyDescent="0.25">
      <c r="A1206" t="s">
        <v>215</v>
      </c>
      <c r="C1206" t="s">
        <v>427</v>
      </c>
      <c r="D1206" t="str">
        <f>_xlfn.CONCAT("Nombre de trajets associés"," (",'Remplissage - Sit. Init.'!$C$433,")")</f>
        <v>Nombre de trajets associés (Catégorie 42)</v>
      </c>
      <c r="F1206" t="str">
        <f t="shared" ref="F1206" si="1248">_xlfn.CONCAT("LogChantAccDirNbTraj",RIGHT(LEFT(D1206,LEN(D1206)-1),2))</f>
        <v>LogChantAccDirNbTraj42</v>
      </c>
      <c r="G1206" t="s">
        <v>17</v>
      </c>
      <c r="H1206" s="14">
        <f t="shared" si="1230"/>
        <v>0</v>
      </c>
      <c r="K1206" t="s">
        <v>145</v>
      </c>
      <c r="L1206">
        <v>3</v>
      </c>
      <c r="N1206" t="s">
        <v>220</v>
      </c>
    </row>
    <row r="1207" spans="1:14" outlineLevel="1" x14ac:dyDescent="0.25">
      <c r="A1207" t="s">
        <v>215</v>
      </c>
      <c r="C1207" t="s">
        <v>428</v>
      </c>
      <c r="D1207" t="str">
        <f>_xlfn.CONCAT("Taux de chargement moyen des véhicules pour l'accès direct au(x) chantier(s)"," (",'Remplissage - Sit. Init.'!$C$443,")")</f>
        <v>Taux de chargement moyen des véhicules pour l'accès direct au(x) chantier(s) (Catégorie 43)</v>
      </c>
      <c r="F1207" t="str">
        <f t="shared" ref="F1207" si="1249">_xlfn.CONCAT("LogChantAccDirTC",RIGHT(LEFT(D1207,LEN(D1207)-1),2))</f>
        <v>LogChantAccDirTC43</v>
      </c>
      <c r="G1207" t="s">
        <v>17</v>
      </c>
      <c r="H1207" s="14">
        <f t="shared" si="1230"/>
        <v>0</v>
      </c>
      <c r="I1207" s="3"/>
      <c r="K1207" t="s">
        <v>70</v>
      </c>
      <c r="L1207" s="7">
        <v>0.33</v>
      </c>
      <c r="N1207" t="s">
        <v>220</v>
      </c>
    </row>
    <row r="1208" spans="1:14" outlineLevel="1" x14ac:dyDescent="0.25">
      <c r="A1208" t="s">
        <v>215</v>
      </c>
      <c r="C1208" t="s">
        <v>428</v>
      </c>
      <c r="D1208" t="str">
        <f>_xlfn.CONCAT("Nombre de trajets associés"," (",'Remplissage - Sit. Init.'!$C$443,")")</f>
        <v>Nombre de trajets associés (Catégorie 43)</v>
      </c>
      <c r="F1208" t="str">
        <f t="shared" ref="F1208" si="1250">_xlfn.CONCAT("LogChantAccDirNbTraj",RIGHT(LEFT(D1208,LEN(D1208)-1),2))</f>
        <v>LogChantAccDirNbTraj43</v>
      </c>
      <c r="G1208" t="s">
        <v>17</v>
      </c>
      <c r="H1208" s="14">
        <f t="shared" si="1230"/>
        <v>0</v>
      </c>
      <c r="K1208" t="s">
        <v>145</v>
      </c>
      <c r="L1208">
        <v>3</v>
      </c>
      <c r="N1208" t="s">
        <v>220</v>
      </c>
    </row>
    <row r="1209" spans="1:14" outlineLevel="1" x14ac:dyDescent="0.25">
      <c r="A1209" t="s">
        <v>215</v>
      </c>
      <c r="C1209" t="s">
        <v>429</v>
      </c>
      <c r="D1209" t="str">
        <f>_xlfn.CONCAT("Taux de chargement moyen des véhicules pour l'accès direct au(x) chantier(s)"," (",'Remplissage - Sit. Init.'!$C$453,")")</f>
        <v>Taux de chargement moyen des véhicules pour l'accès direct au(x) chantier(s) (Catégorie 44)</v>
      </c>
      <c r="F1209" t="str">
        <f t="shared" ref="F1209" si="1251">_xlfn.CONCAT("LogChantAccDirTC",RIGHT(LEFT(D1209,LEN(D1209)-1),2))</f>
        <v>LogChantAccDirTC44</v>
      </c>
      <c r="G1209" t="s">
        <v>17</v>
      </c>
      <c r="H1209" s="14">
        <f t="shared" si="1230"/>
        <v>1</v>
      </c>
      <c r="I1209" s="3"/>
      <c r="K1209" t="s">
        <v>70</v>
      </c>
      <c r="L1209" s="7">
        <v>0.33</v>
      </c>
      <c r="N1209" t="s">
        <v>220</v>
      </c>
    </row>
    <row r="1210" spans="1:14" outlineLevel="1" x14ac:dyDescent="0.25">
      <c r="A1210" t="s">
        <v>215</v>
      </c>
      <c r="C1210" t="s">
        <v>429</v>
      </c>
      <c r="D1210" t="str">
        <f>_xlfn.CONCAT("Nombre de trajets associés"," (",'Remplissage - Sit. Init.'!$C$453,")")</f>
        <v>Nombre de trajets associés (Catégorie 44)</v>
      </c>
      <c r="F1210" t="str">
        <f t="shared" ref="F1210" si="1252">_xlfn.CONCAT("LogChantAccDirNbTraj",RIGHT(LEFT(D1210,LEN(D1210)-1),2))</f>
        <v>LogChantAccDirNbTraj44</v>
      </c>
      <c r="G1210" t="s">
        <v>17</v>
      </c>
      <c r="H1210" s="14">
        <f t="shared" si="1230"/>
        <v>1</v>
      </c>
      <c r="K1210" t="s">
        <v>145</v>
      </c>
      <c r="L1210">
        <v>3</v>
      </c>
      <c r="N1210" t="s">
        <v>220</v>
      </c>
    </row>
    <row r="1211" spans="1:14" outlineLevel="1" x14ac:dyDescent="0.25">
      <c r="A1211" t="s">
        <v>215</v>
      </c>
      <c r="C1211" t="s">
        <v>387</v>
      </c>
      <c r="D1211" t="str">
        <f>_xlfn.CONCAT("Taux de chargement moyen des véhicules pour l'accès direct au(x) chantier(s)"," (",'Remplissage - Sit. Init.'!$C$463,")")</f>
        <v>Taux de chargement moyen des véhicules pour l'accès direct au(x) chantier(s) (Catégorie 45)</v>
      </c>
      <c r="F1211" t="str">
        <f t="shared" ref="F1211" si="1253">_xlfn.CONCAT("LogChantAccDirTC",RIGHT(LEFT(D1211,LEN(D1211)-1),2))</f>
        <v>LogChantAccDirTC45</v>
      </c>
      <c r="G1211" t="s">
        <v>17</v>
      </c>
      <c r="H1211" s="14">
        <f t="shared" si="1230"/>
        <v>0</v>
      </c>
      <c r="I1211" s="3"/>
      <c r="K1211" t="s">
        <v>70</v>
      </c>
      <c r="L1211" s="7">
        <v>0.33</v>
      </c>
      <c r="N1211" t="s">
        <v>220</v>
      </c>
    </row>
    <row r="1212" spans="1:14" outlineLevel="1" x14ac:dyDescent="0.25">
      <c r="A1212" t="s">
        <v>215</v>
      </c>
      <c r="C1212" t="s">
        <v>387</v>
      </c>
      <c r="D1212" t="str">
        <f>_xlfn.CONCAT("Nombre de trajets associés"," (",'Remplissage - Sit. Init.'!$C$463,")")</f>
        <v>Nombre de trajets associés (Catégorie 45)</v>
      </c>
      <c r="F1212" t="str">
        <f t="shared" ref="F1212" si="1254">_xlfn.CONCAT("LogChantAccDirNbTraj",RIGHT(LEFT(D1212,LEN(D1212)-1),2))</f>
        <v>LogChantAccDirNbTraj45</v>
      </c>
      <c r="G1212" t="s">
        <v>17</v>
      </c>
      <c r="H1212" s="14">
        <f t="shared" si="1230"/>
        <v>0</v>
      </c>
      <c r="K1212" t="s">
        <v>145</v>
      </c>
      <c r="L1212">
        <v>3</v>
      </c>
      <c r="N1212" t="s">
        <v>220</v>
      </c>
    </row>
    <row r="1213" spans="1:14" outlineLevel="1" x14ac:dyDescent="0.25">
      <c r="A1213" t="s">
        <v>215</v>
      </c>
      <c r="C1213" t="s">
        <v>250</v>
      </c>
      <c r="D1213" t="s">
        <v>251</v>
      </c>
      <c r="F1213" t="s">
        <v>252</v>
      </c>
      <c r="G1213" t="s">
        <v>20</v>
      </c>
      <c r="H1213">
        <f>IF(ISNUMBER(SEARCH("Oui",$I$459)),1,0)</f>
        <v>0</v>
      </c>
      <c r="I1213" t="s">
        <v>430</v>
      </c>
      <c r="J1213" t="s">
        <v>383</v>
      </c>
      <c r="N1213" t="s">
        <v>220</v>
      </c>
    </row>
    <row r="1214" spans="1:14" outlineLevel="1" x14ac:dyDescent="0.25">
      <c r="A1214" t="s">
        <v>215</v>
      </c>
      <c r="C1214" t="s">
        <v>250</v>
      </c>
      <c r="D1214" t="s">
        <v>253</v>
      </c>
      <c r="F1214" t="s">
        <v>254</v>
      </c>
      <c r="G1214" t="s">
        <v>17</v>
      </c>
      <c r="H1214">
        <f>IF(ISNUMBER(SEARCH("Oui",$I$1117)),1,0)</f>
        <v>0</v>
      </c>
      <c r="K1214" t="s">
        <v>88</v>
      </c>
      <c r="L1214">
        <v>15</v>
      </c>
      <c r="N1214" t="s">
        <v>220</v>
      </c>
    </row>
    <row r="1215" spans="1:14" outlineLevel="1" x14ac:dyDescent="0.25">
      <c r="A1215" t="s">
        <v>215</v>
      </c>
      <c r="C1215" t="s">
        <v>250</v>
      </c>
      <c r="D1215" t="s">
        <v>255</v>
      </c>
      <c r="F1215" t="s">
        <v>256</v>
      </c>
      <c r="G1215" t="s">
        <v>17</v>
      </c>
      <c r="H1215">
        <f t="shared" ref="H1215:H1216" si="1255">IF(ISNUMBER(SEARCH("Oui",$I$1117)),1,0)</f>
        <v>0</v>
      </c>
      <c r="I1215" s="3"/>
      <c r="K1215" t="s">
        <v>70</v>
      </c>
      <c r="L1215" s="7">
        <v>0.8</v>
      </c>
      <c r="N1215" t="s">
        <v>220</v>
      </c>
    </row>
    <row r="1216" spans="1:14" outlineLevel="1" x14ac:dyDescent="0.25">
      <c r="A1216" t="s">
        <v>215</v>
      </c>
      <c r="C1216" t="s">
        <v>250</v>
      </c>
      <c r="D1216" t="s">
        <v>248</v>
      </c>
      <c r="F1216" t="s">
        <v>257</v>
      </c>
      <c r="G1216" t="s">
        <v>17</v>
      </c>
      <c r="H1216">
        <f t="shared" si="1255"/>
        <v>0</v>
      </c>
      <c r="K1216" t="s">
        <v>145</v>
      </c>
      <c r="L1216">
        <v>2</v>
      </c>
      <c r="N1216" t="s">
        <v>220</v>
      </c>
    </row>
    <row r="1217" spans="1:14" outlineLevel="1" x14ac:dyDescent="0.25">
      <c r="A1217" t="s">
        <v>215</v>
      </c>
      <c r="C1217" t="s">
        <v>382</v>
      </c>
      <c r="D1217" t="str">
        <f>_xlfn.CONCAT("Taux de chargement moyen des véhicules pour l'accès à la plateforme logistique"," (",'Remplissage - Sit. Init.'!$C$23,")")</f>
        <v>Taux de chargement moyen des véhicules pour l'accès à la plateforme logistique (Catégorie 1)</v>
      </c>
      <c r="F1217" t="str">
        <f>_xlfn.CONCAT("LogChantPlatLogTC",RIGHT(LEFT(D1217,LEN(D1217)-1),1))</f>
        <v>LogChantPlatLogTC1</v>
      </c>
      <c r="G1217" t="s">
        <v>17</v>
      </c>
      <c r="H1217">
        <f>(IF(ISNUMBER(SEARCH($C1217,$I$1213)),1,0))*(IF(ISNUMBER(SEARCH("Par catégorie de véhicule sélectionnée (meilleure précision)",$I$1119)),1,0))</f>
        <v>1</v>
      </c>
      <c r="I1217" s="3"/>
      <c r="K1217" t="s">
        <v>70</v>
      </c>
      <c r="L1217" s="7">
        <v>0.8</v>
      </c>
      <c r="N1217" t="s">
        <v>220</v>
      </c>
    </row>
    <row r="1218" spans="1:14" outlineLevel="1" x14ac:dyDescent="0.25">
      <c r="A1218" t="s">
        <v>215</v>
      </c>
      <c r="C1218" t="s">
        <v>382</v>
      </c>
      <c r="D1218" t="str">
        <f>_xlfn.CONCAT("Nombre de trajets associés"," (",'Remplissage - Sit. Init.'!$C$23,")")</f>
        <v>Nombre de trajets associés (Catégorie 1)</v>
      </c>
      <c r="F1218" t="str">
        <f>_xlfn.CONCAT("LogChantPlatLogNbTraj",RIGHT(LEFT(D1218,LEN(D1218)-1),1))</f>
        <v>LogChantPlatLogNbTraj1</v>
      </c>
      <c r="G1218" t="s">
        <v>17</v>
      </c>
      <c r="H1218">
        <f t="shared" ref="H1218:H1281" si="1256">(IF(ISNUMBER(SEARCH($C1218,$I$1213)),1,0))*(IF(ISNUMBER(SEARCH("Par catégorie de véhicule sélectionnée (meilleure précision)",$I$1119)),1,0))</f>
        <v>1</v>
      </c>
      <c r="K1218" t="s">
        <v>145</v>
      </c>
      <c r="L1218">
        <v>1</v>
      </c>
      <c r="N1218" t="s">
        <v>220</v>
      </c>
    </row>
    <row r="1219" spans="1:14" outlineLevel="1" x14ac:dyDescent="0.25">
      <c r="A1219" t="s">
        <v>215</v>
      </c>
      <c r="C1219" t="s">
        <v>386</v>
      </c>
      <c r="D1219" t="str">
        <f>_xlfn.CONCAT("Taux de chargement moyen des véhicules pour l'accès à la plateforme logistique"," (",'Remplissage - Sit. Init.'!$C$33,")")</f>
        <v>Taux de chargement moyen des véhicules pour l'accès à la plateforme logistique (Catégorie 2)</v>
      </c>
      <c r="F1219" t="str">
        <f>_xlfn.CONCAT("LogChantPlatLogTC",RIGHT(LEFT(D1219,LEN(D1219)-1),1))</f>
        <v>LogChantPlatLogTC2</v>
      </c>
      <c r="G1219" t="s">
        <v>17</v>
      </c>
      <c r="H1219">
        <f t="shared" si="1256"/>
        <v>0</v>
      </c>
      <c r="I1219" s="3"/>
      <c r="K1219" t="s">
        <v>70</v>
      </c>
      <c r="L1219" s="7">
        <v>0.8</v>
      </c>
      <c r="N1219" t="s">
        <v>220</v>
      </c>
    </row>
    <row r="1220" spans="1:14" outlineLevel="1" x14ac:dyDescent="0.25">
      <c r="A1220" t="s">
        <v>215</v>
      </c>
      <c r="C1220" t="s">
        <v>386</v>
      </c>
      <c r="D1220" t="str">
        <f>_xlfn.CONCAT("Nombre de trajets associés"," (",'Remplissage - Sit. Init.'!$C$33,")")</f>
        <v>Nombre de trajets associés (Catégorie 2)</v>
      </c>
      <c r="F1220" t="str">
        <f>_xlfn.CONCAT("LogChantPlatLogNbTraj",RIGHT(LEFT(D1220,LEN(D1220)-1),1))</f>
        <v>LogChantPlatLogNbTraj2</v>
      </c>
      <c r="G1220" t="s">
        <v>17</v>
      </c>
      <c r="H1220">
        <f t="shared" si="1256"/>
        <v>0</v>
      </c>
      <c r="K1220" t="s">
        <v>145</v>
      </c>
      <c r="L1220">
        <v>1</v>
      </c>
      <c r="N1220" t="s">
        <v>220</v>
      </c>
    </row>
    <row r="1221" spans="1:14" outlineLevel="1" x14ac:dyDescent="0.25">
      <c r="A1221" t="s">
        <v>215</v>
      </c>
      <c r="C1221" t="s">
        <v>388</v>
      </c>
      <c r="D1221" t="str">
        <f>_xlfn.CONCAT("Taux de chargement moyen des véhicules pour l'accès à la plateforme logistique"," (",'Remplissage - Sit. Init.'!$C$43,")")</f>
        <v>Taux de chargement moyen des véhicules pour l'accès à la plateforme logistique (Catégorie 3)</v>
      </c>
      <c r="F1221" t="str">
        <f>_xlfn.CONCAT("LogChantPlatLogTC",RIGHT(LEFT(D1221,LEN(D1221)-1),1))</f>
        <v>LogChantPlatLogTC3</v>
      </c>
      <c r="G1221" t="s">
        <v>17</v>
      </c>
      <c r="H1221">
        <f t="shared" si="1256"/>
        <v>1</v>
      </c>
      <c r="I1221" s="3"/>
      <c r="K1221" t="s">
        <v>70</v>
      </c>
      <c r="L1221" s="7">
        <v>0.8</v>
      </c>
      <c r="N1221" t="s">
        <v>220</v>
      </c>
    </row>
    <row r="1222" spans="1:14" outlineLevel="1" x14ac:dyDescent="0.25">
      <c r="A1222" t="s">
        <v>215</v>
      </c>
      <c r="C1222" t="s">
        <v>388</v>
      </c>
      <c r="D1222" t="str">
        <f>_xlfn.CONCAT("Nombre de trajets associés"," (",'Remplissage - Sit. Init.'!$C$43,")")</f>
        <v>Nombre de trajets associés (Catégorie 3)</v>
      </c>
      <c r="F1222" t="str">
        <f>_xlfn.CONCAT("LogChantPlatLogNbTraj",RIGHT(LEFT(D1222,LEN(D1222)-1),1))</f>
        <v>LogChantPlatLogNbTraj3</v>
      </c>
      <c r="G1222" t="s">
        <v>17</v>
      </c>
      <c r="H1222">
        <f t="shared" si="1256"/>
        <v>1</v>
      </c>
      <c r="K1222" t="s">
        <v>145</v>
      </c>
      <c r="L1222">
        <v>1</v>
      </c>
      <c r="N1222" t="s">
        <v>220</v>
      </c>
    </row>
    <row r="1223" spans="1:14" outlineLevel="1" x14ac:dyDescent="0.25">
      <c r="A1223" t="s">
        <v>215</v>
      </c>
      <c r="C1223" t="s">
        <v>389</v>
      </c>
      <c r="D1223" t="str">
        <f>_xlfn.CONCAT("Taux de chargement moyen des véhicules pour l'accès à la plateforme logistique"," (",'Remplissage - Sit. Init.'!$C$53,")")</f>
        <v>Taux de chargement moyen des véhicules pour l'accès à la plateforme logistique (Catégorie 4)</v>
      </c>
      <c r="F1223" t="str">
        <f>_xlfn.CONCAT("LogChantPlatLogTC",RIGHT(LEFT(D1223,LEN(D1223)-1),1))</f>
        <v>LogChantPlatLogTC4</v>
      </c>
      <c r="G1223" t="s">
        <v>17</v>
      </c>
      <c r="H1223">
        <f t="shared" si="1256"/>
        <v>0</v>
      </c>
      <c r="I1223" s="3"/>
      <c r="K1223" t="s">
        <v>70</v>
      </c>
      <c r="L1223" s="7">
        <v>0.8</v>
      </c>
      <c r="N1223" t="s">
        <v>220</v>
      </c>
    </row>
    <row r="1224" spans="1:14" outlineLevel="1" x14ac:dyDescent="0.25">
      <c r="A1224" t="s">
        <v>215</v>
      </c>
      <c r="C1224" t="s">
        <v>389</v>
      </c>
      <c r="D1224" t="str">
        <f>_xlfn.CONCAT("Nombre de trajets associés"," (",'Remplissage - Sit. Init.'!$C$53,")")</f>
        <v>Nombre de trajets associés (Catégorie 4)</v>
      </c>
      <c r="F1224" t="str">
        <f>_xlfn.CONCAT("LogChantPlatLogNbTraj",RIGHT(LEFT(D1224,LEN(D1224)-1),1))</f>
        <v>LogChantPlatLogNbTraj4</v>
      </c>
      <c r="G1224" t="s">
        <v>17</v>
      </c>
      <c r="H1224">
        <f t="shared" si="1256"/>
        <v>0</v>
      </c>
      <c r="K1224" t="s">
        <v>145</v>
      </c>
      <c r="L1224">
        <v>1</v>
      </c>
      <c r="N1224" t="s">
        <v>220</v>
      </c>
    </row>
    <row r="1225" spans="1:14" outlineLevel="1" x14ac:dyDescent="0.25">
      <c r="A1225" t="s">
        <v>215</v>
      </c>
      <c r="C1225" t="s">
        <v>390</v>
      </c>
      <c r="D1225" t="str">
        <f>_xlfn.CONCAT("Taux de chargement moyen des véhicules pour l'accès à la plateforme logistique"," (",'Remplissage - Sit. Init.'!$C$63,")")</f>
        <v>Taux de chargement moyen des véhicules pour l'accès à la plateforme logistique (Catégorie 5)</v>
      </c>
      <c r="F1225" t="str">
        <f>_xlfn.CONCAT("LogChantPlatLogTC",RIGHT(LEFT(D1225,LEN(D1225)-1),1))</f>
        <v>LogChantPlatLogTC5</v>
      </c>
      <c r="G1225" t="s">
        <v>17</v>
      </c>
      <c r="H1225">
        <f t="shared" si="1256"/>
        <v>0</v>
      </c>
      <c r="I1225" s="3"/>
      <c r="K1225" t="s">
        <v>70</v>
      </c>
      <c r="L1225" s="7">
        <v>0.8</v>
      </c>
      <c r="N1225" t="s">
        <v>220</v>
      </c>
    </row>
    <row r="1226" spans="1:14" outlineLevel="1" x14ac:dyDescent="0.25">
      <c r="A1226" t="s">
        <v>215</v>
      </c>
      <c r="C1226" t="s">
        <v>390</v>
      </c>
      <c r="D1226" t="str">
        <f>_xlfn.CONCAT("Nombre de trajets associés"," (",'Remplissage - Sit. Init.'!$C$63,")")</f>
        <v>Nombre de trajets associés (Catégorie 5)</v>
      </c>
      <c r="F1226" t="str">
        <f>_xlfn.CONCAT("LogChantPlatLogNbTraj",RIGHT(LEFT(D1226,LEN(D1226)-1),1))</f>
        <v>LogChantPlatLogNbTraj5</v>
      </c>
      <c r="G1226" t="s">
        <v>17</v>
      </c>
      <c r="H1226">
        <f t="shared" si="1256"/>
        <v>0</v>
      </c>
      <c r="K1226" t="s">
        <v>145</v>
      </c>
      <c r="L1226">
        <v>1</v>
      </c>
      <c r="N1226" t="s">
        <v>220</v>
      </c>
    </row>
    <row r="1227" spans="1:14" outlineLevel="1" x14ac:dyDescent="0.25">
      <c r="A1227" t="s">
        <v>215</v>
      </c>
      <c r="C1227" t="s">
        <v>391</v>
      </c>
      <c r="D1227" t="str">
        <f>_xlfn.CONCAT("Taux de chargement moyen des véhicules pour l'accès à la plateforme logistique"," (",'Remplissage - Sit. Init.'!$C$73,")")</f>
        <v>Taux de chargement moyen des véhicules pour l'accès à la plateforme logistique (Catégorie 6)</v>
      </c>
      <c r="F1227" t="str">
        <f>_xlfn.CONCAT("LogChantPlatLogTC",RIGHT(LEFT(D1227,LEN(D1227)-1),1))</f>
        <v>LogChantPlatLogTC6</v>
      </c>
      <c r="G1227" t="s">
        <v>17</v>
      </c>
      <c r="H1227">
        <f t="shared" si="1256"/>
        <v>0</v>
      </c>
      <c r="I1227" s="3"/>
      <c r="K1227" t="s">
        <v>70</v>
      </c>
      <c r="L1227" s="7">
        <v>0.8</v>
      </c>
      <c r="N1227" t="s">
        <v>220</v>
      </c>
    </row>
    <row r="1228" spans="1:14" outlineLevel="1" x14ac:dyDescent="0.25">
      <c r="A1228" t="s">
        <v>215</v>
      </c>
      <c r="C1228" t="s">
        <v>391</v>
      </c>
      <c r="D1228" t="str">
        <f>_xlfn.CONCAT("Nombre de trajets associés"," (",'Remplissage - Sit. Init.'!$C$73,")")</f>
        <v>Nombre de trajets associés (Catégorie 6)</v>
      </c>
      <c r="F1228" t="str">
        <f>_xlfn.CONCAT("LogChantPlatLogNbTraj",RIGHT(LEFT(D1228,LEN(D1228)-1),1))</f>
        <v>LogChantPlatLogNbTraj6</v>
      </c>
      <c r="G1228" t="s">
        <v>17</v>
      </c>
      <c r="H1228">
        <f t="shared" si="1256"/>
        <v>0</v>
      </c>
      <c r="K1228" t="s">
        <v>145</v>
      </c>
      <c r="L1228">
        <v>1</v>
      </c>
      <c r="N1228" t="s">
        <v>220</v>
      </c>
    </row>
    <row r="1229" spans="1:14" outlineLevel="1" x14ac:dyDescent="0.25">
      <c r="A1229" t="s">
        <v>215</v>
      </c>
      <c r="C1229" t="s">
        <v>392</v>
      </c>
      <c r="D1229" t="str">
        <f>_xlfn.CONCAT("Taux de chargement moyen des véhicules pour l'accès à la plateforme logistique"," (",'Remplissage - Sit. Init.'!$C$83,")")</f>
        <v>Taux de chargement moyen des véhicules pour l'accès à la plateforme logistique (Catégorie 7)</v>
      </c>
      <c r="F1229" t="str">
        <f>_xlfn.CONCAT("LogChantPlatLogTC",RIGHT(LEFT(D1229,LEN(D1229)-1),1))</f>
        <v>LogChantPlatLogTC7</v>
      </c>
      <c r="G1229" t="s">
        <v>17</v>
      </c>
      <c r="H1229">
        <f t="shared" si="1256"/>
        <v>0</v>
      </c>
      <c r="I1229" s="3"/>
      <c r="K1229" t="s">
        <v>70</v>
      </c>
      <c r="L1229" s="7">
        <v>0.8</v>
      </c>
      <c r="N1229" t="s">
        <v>220</v>
      </c>
    </row>
    <row r="1230" spans="1:14" outlineLevel="1" x14ac:dyDescent="0.25">
      <c r="A1230" t="s">
        <v>215</v>
      </c>
      <c r="C1230" t="s">
        <v>392</v>
      </c>
      <c r="D1230" t="str">
        <f>_xlfn.CONCAT("Nombre de trajets associés"," (",'Remplissage - Sit. Init.'!$C$83,")")</f>
        <v>Nombre de trajets associés (Catégorie 7)</v>
      </c>
      <c r="F1230" t="str">
        <f>_xlfn.CONCAT("LogChantPlatLogNbTraj",RIGHT(LEFT(D1230,LEN(D1230)-1),1))</f>
        <v>LogChantPlatLogNbTraj7</v>
      </c>
      <c r="G1230" t="s">
        <v>17</v>
      </c>
      <c r="H1230">
        <f t="shared" si="1256"/>
        <v>0</v>
      </c>
      <c r="K1230" t="s">
        <v>145</v>
      </c>
      <c r="L1230">
        <v>1</v>
      </c>
      <c r="N1230" t="s">
        <v>220</v>
      </c>
    </row>
    <row r="1231" spans="1:14" outlineLevel="1" x14ac:dyDescent="0.25">
      <c r="A1231" t="s">
        <v>215</v>
      </c>
      <c r="C1231" t="s">
        <v>393</v>
      </c>
      <c r="D1231" t="str">
        <f>_xlfn.CONCAT("Taux de chargement moyen des véhicules pour l'accès à la plateforme logistique"," (",'Remplissage - Sit. Init.'!$C$93,")")</f>
        <v>Taux de chargement moyen des véhicules pour l'accès à la plateforme logistique (Catégorie 8)</v>
      </c>
      <c r="F1231" t="str">
        <f>_xlfn.CONCAT("LogChantPlatLogTC",RIGHT(LEFT(D1231,LEN(D1231)-1),1))</f>
        <v>LogChantPlatLogTC8</v>
      </c>
      <c r="G1231" t="s">
        <v>17</v>
      </c>
      <c r="H1231">
        <f t="shared" si="1256"/>
        <v>0</v>
      </c>
      <c r="I1231" s="3"/>
      <c r="K1231" t="s">
        <v>70</v>
      </c>
      <c r="L1231" s="7">
        <v>0.8</v>
      </c>
      <c r="N1231" t="s">
        <v>220</v>
      </c>
    </row>
    <row r="1232" spans="1:14" outlineLevel="1" x14ac:dyDescent="0.25">
      <c r="A1232" t="s">
        <v>215</v>
      </c>
      <c r="C1232" t="s">
        <v>393</v>
      </c>
      <c r="D1232" t="str">
        <f>_xlfn.CONCAT("Nombre de trajets associés"," (",'Remplissage - Sit. Init.'!$C$93,")")</f>
        <v>Nombre de trajets associés (Catégorie 8)</v>
      </c>
      <c r="F1232" t="str">
        <f>_xlfn.CONCAT("LogChantPlatLogNbTraj",RIGHT(LEFT(D1232,LEN(D1232)-1),1))</f>
        <v>LogChantPlatLogNbTraj8</v>
      </c>
      <c r="G1232" t="s">
        <v>17</v>
      </c>
      <c r="H1232">
        <f t="shared" si="1256"/>
        <v>0</v>
      </c>
      <c r="K1232" t="s">
        <v>145</v>
      </c>
      <c r="L1232">
        <v>1</v>
      </c>
      <c r="N1232" t="s">
        <v>220</v>
      </c>
    </row>
    <row r="1233" spans="1:14" outlineLevel="1" x14ac:dyDescent="0.25">
      <c r="A1233" t="s">
        <v>215</v>
      </c>
      <c r="C1233" t="s">
        <v>394</v>
      </c>
      <c r="D1233" t="str">
        <f>_xlfn.CONCAT("Taux de chargement moyen des véhicules pour l'accès à la plateforme logistique"," (",'Remplissage - Sit. Init.'!$C$103,")")</f>
        <v>Taux de chargement moyen des véhicules pour l'accès à la plateforme logistique (Catégorie 9)</v>
      </c>
      <c r="F1233" t="str">
        <f>_xlfn.CONCAT("LogChantPlatLogTC",RIGHT(LEFT(D1233,LEN(D1233)-1),1))</f>
        <v>LogChantPlatLogTC9</v>
      </c>
      <c r="G1233" t="s">
        <v>17</v>
      </c>
      <c r="H1233">
        <f t="shared" si="1256"/>
        <v>0</v>
      </c>
      <c r="I1233" s="3"/>
      <c r="K1233" t="s">
        <v>70</v>
      </c>
      <c r="L1233" s="7">
        <v>0.8</v>
      </c>
      <c r="N1233" t="s">
        <v>220</v>
      </c>
    </row>
    <row r="1234" spans="1:14" outlineLevel="1" x14ac:dyDescent="0.25">
      <c r="A1234" t="s">
        <v>215</v>
      </c>
      <c r="C1234" t="s">
        <v>394</v>
      </c>
      <c r="D1234" t="str">
        <f>_xlfn.CONCAT("Nombre de trajets associés"," (",'Remplissage - Sit. Init.'!$C$103,")")</f>
        <v>Nombre de trajets associés (Catégorie 9)</v>
      </c>
      <c r="F1234" t="str">
        <f>_xlfn.CONCAT("LogChantPlatLogNbTraj",RIGHT(LEFT(D1234,LEN(D1234)-1),1))</f>
        <v>LogChantPlatLogNbTraj9</v>
      </c>
      <c r="G1234" t="s">
        <v>17</v>
      </c>
      <c r="H1234">
        <f t="shared" si="1256"/>
        <v>0</v>
      </c>
      <c r="K1234" t="s">
        <v>145</v>
      </c>
      <c r="L1234">
        <v>1</v>
      </c>
      <c r="N1234" t="s">
        <v>220</v>
      </c>
    </row>
    <row r="1235" spans="1:14" outlineLevel="1" x14ac:dyDescent="0.25">
      <c r="A1235" t="s">
        <v>215</v>
      </c>
      <c r="C1235" t="s">
        <v>395</v>
      </c>
      <c r="D1235" t="str">
        <f>_xlfn.CONCAT("Taux de chargement moyen des véhicules pour l'accès à la plateforme logistique"," (",'Remplissage - Sit. Init.'!$C$113,")")</f>
        <v>Taux de chargement moyen des véhicules pour l'accès à la plateforme logistique (Catégorie 10)</v>
      </c>
      <c r="F1235" t="str">
        <f>_xlfn.CONCAT("LogChantPlatLogTC",RIGHT(LEFT(D1235,LEN(D1235)-1),2))</f>
        <v>LogChantPlatLogTC10</v>
      </c>
      <c r="G1235" t="s">
        <v>17</v>
      </c>
      <c r="H1235">
        <f t="shared" si="1256"/>
        <v>0</v>
      </c>
      <c r="I1235" s="3"/>
      <c r="K1235" t="s">
        <v>70</v>
      </c>
      <c r="L1235" s="7">
        <v>0.8</v>
      </c>
      <c r="N1235" t="s">
        <v>220</v>
      </c>
    </row>
    <row r="1236" spans="1:14" outlineLevel="1" x14ac:dyDescent="0.25">
      <c r="A1236" t="s">
        <v>215</v>
      </c>
      <c r="C1236" t="s">
        <v>395</v>
      </c>
      <c r="D1236" t="str">
        <f>_xlfn.CONCAT("Nombre de trajets associés"," (",'Remplissage - Sit. Init.'!$C$113,")")</f>
        <v>Nombre de trajets associés (Catégorie 10)</v>
      </c>
      <c r="F1236" t="str">
        <f>_xlfn.CONCAT("LogChantPlatLogNbTraj",RIGHT(LEFT(D1236,LEN(D1236)-1),2))</f>
        <v>LogChantPlatLogNbTraj10</v>
      </c>
      <c r="G1236" t="s">
        <v>17</v>
      </c>
      <c r="H1236">
        <f t="shared" si="1256"/>
        <v>0</v>
      </c>
      <c r="K1236" t="s">
        <v>145</v>
      </c>
      <c r="L1236">
        <v>1</v>
      </c>
      <c r="N1236" t="s">
        <v>220</v>
      </c>
    </row>
    <row r="1237" spans="1:14" outlineLevel="1" x14ac:dyDescent="0.25">
      <c r="A1237" t="s">
        <v>215</v>
      </c>
      <c r="C1237" t="s">
        <v>396</v>
      </c>
      <c r="D1237" t="str">
        <f>_xlfn.CONCAT("Taux de chargement moyen des véhicules pour l'accès à la plateforme logistique"," (",'Remplissage - Sit. Init.'!$C$123,")")</f>
        <v>Taux de chargement moyen des véhicules pour l'accès à la plateforme logistique (Catégorie 11)</v>
      </c>
      <c r="F1237" t="str">
        <f>_xlfn.CONCAT("LogChantPlatLogTC",RIGHT(LEFT(D1237,LEN(D1237)-1),2))</f>
        <v>LogChantPlatLogTC11</v>
      </c>
      <c r="G1237" t="s">
        <v>17</v>
      </c>
      <c r="H1237">
        <f t="shared" si="1256"/>
        <v>0</v>
      </c>
      <c r="I1237" s="3"/>
      <c r="K1237" t="s">
        <v>70</v>
      </c>
      <c r="L1237" s="7">
        <v>0.8</v>
      </c>
      <c r="N1237" t="s">
        <v>220</v>
      </c>
    </row>
    <row r="1238" spans="1:14" outlineLevel="1" x14ac:dyDescent="0.25">
      <c r="A1238" t="s">
        <v>215</v>
      </c>
      <c r="C1238" t="s">
        <v>396</v>
      </c>
      <c r="D1238" t="str">
        <f>_xlfn.CONCAT("Nombre de trajets associés"," (",'Remplissage - Sit. Init.'!$C$123,")")</f>
        <v>Nombre de trajets associés (Catégorie 11)</v>
      </c>
      <c r="F1238" t="str">
        <f>_xlfn.CONCAT("LogChantPlatLogNbTraj",RIGHT(LEFT(D1238,LEN(D1238)-1),2))</f>
        <v>LogChantPlatLogNbTraj11</v>
      </c>
      <c r="G1238" t="s">
        <v>17</v>
      </c>
      <c r="H1238">
        <f t="shared" si="1256"/>
        <v>0</v>
      </c>
      <c r="K1238" t="s">
        <v>145</v>
      </c>
      <c r="L1238">
        <v>1</v>
      </c>
      <c r="N1238" t="s">
        <v>220</v>
      </c>
    </row>
    <row r="1239" spans="1:14" outlineLevel="1" x14ac:dyDescent="0.25">
      <c r="A1239" t="s">
        <v>215</v>
      </c>
      <c r="C1239" t="s">
        <v>397</v>
      </c>
      <c r="D1239" t="str">
        <f>_xlfn.CONCAT("Taux de chargement moyen des véhicules pour l'accès à la plateforme logistique"," (",'Remplissage - Sit. Init.'!$C$133,")")</f>
        <v>Taux de chargement moyen des véhicules pour l'accès à la plateforme logistique (Catégorie 12)</v>
      </c>
      <c r="F1239" t="str">
        <f t="shared" ref="F1239" si="1257">_xlfn.CONCAT("LogChantPlatLogTC",RIGHT(LEFT(D1239,LEN(D1239)-1),2))</f>
        <v>LogChantPlatLogTC12</v>
      </c>
      <c r="G1239" t="s">
        <v>17</v>
      </c>
      <c r="H1239">
        <f t="shared" si="1256"/>
        <v>0</v>
      </c>
      <c r="I1239" s="3"/>
      <c r="K1239" t="s">
        <v>70</v>
      </c>
      <c r="L1239" s="7">
        <v>0.8</v>
      </c>
      <c r="N1239" t="s">
        <v>220</v>
      </c>
    </row>
    <row r="1240" spans="1:14" outlineLevel="1" x14ac:dyDescent="0.25">
      <c r="A1240" t="s">
        <v>215</v>
      </c>
      <c r="C1240" t="s">
        <v>397</v>
      </c>
      <c r="D1240" t="str">
        <f>_xlfn.CONCAT("Nombre de trajets associés"," (",'Remplissage - Sit. Init.'!$C$133,")")</f>
        <v>Nombre de trajets associés (Catégorie 12)</v>
      </c>
      <c r="F1240" t="str">
        <f t="shared" ref="F1240" si="1258">_xlfn.CONCAT("LogChantPlatLogNbTraj",RIGHT(LEFT(D1240,LEN(D1240)-1),2))</f>
        <v>LogChantPlatLogNbTraj12</v>
      </c>
      <c r="G1240" t="s">
        <v>17</v>
      </c>
      <c r="H1240">
        <f t="shared" si="1256"/>
        <v>0</v>
      </c>
      <c r="K1240" t="s">
        <v>145</v>
      </c>
      <c r="L1240">
        <v>1</v>
      </c>
      <c r="N1240" t="s">
        <v>220</v>
      </c>
    </row>
    <row r="1241" spans="1:14" outlineLevel="1" x14ac:dyDescent="0.25">
      <c r="A1241" t="s">
        <v>215</v>
      </c>
      <c r="C1241" t="s">
        <v>398</v>
      </c>
      <c r="D1241" t="str">
        <f>_xlfn.CONCAT("Taux de chargement moyen des véhicules pour l'accès à la plateforme logistique"," (",'Remplissage - Sit. Init.'!$C$143,")")</f>
        <v>Taux de chargement moyen des véhicules pour l'accès à la plateforme logistique (Catégorie 13)</v>
      </c>
      <c r="F1241" t="str">
        <f t="shared" ref="F1241" si="1259">_xlfn.CONCAT("LogChantPlatLogTC",RIGHT(LEFT(D1241,LEN(D1241)-1),2))</f>
        <v>LogChantPlatLogTC13</v>
      </c>
      <c r="G1241" t="s">
        <v>17</v>
      </c>
      <c r="H1241">
        <f t="shared" si="1256"/>
        <v>0</v>
      </c>
      <c r="I1241" s="3"/>
      <c r="K1241" t="s">
        <v>70</v>
      </c>
      <c r="L1241" s="7">
        <v>0.8</v>
      </c>
      <c r="N1241" t="s">
        <v>220</v>
      </c>
    </row>
    <row r="1242" spans="1:14" outlineLevel="1" x14ac:dyDescent="0.25">
      <c r="A1242" t="s">
        <v>215</v>
      </c>
      <c r="C1242" t="s">
        <v>398</v>
      </c>
      <c r="D1242" t="str">
        <f>_xlfn.CONCAT("Nombre de trajets associés"," (",'Remplissage - Sit. Init.'!$C$143,")")</f>
        <v>Nombre de trajets associés (Catégorie 13)</v>
      </c>
      <c r="F1242" t="str">
        <f t="shared" ref="F1242" si="1260">_xlfn.CONCAT("LogChantPlatLogNbTraj",RIGHT(LEFT(D1242,LEN(D1242)-1),2))</f>
        <v>LogChantPlatLogNbTraj13</v>
      </c>
      <c r="G1242" t="s">
        <v>17</v>
      </c>
      <c r="H1242">
        <f t="shared" si="1256"/>
        <v>0</v>
      </c>
      <c r="K1242" t="s">
        <v>145</v>
      </c>
      <c r="L1242">
        <v>1</v>
      </c>
      <c r="N1242" t="s">
        <v>220</v>
      </c>
    </row>
    <row r="1243" spans="1:14" outlineLevel="1" x14ac:dyDescent="0.25">
      <c r="A1243" t="s">
        <v>215</v>
      </c>
      <c r="C1243" t="s">
        <v>399</v>
      </c>
      <c r="D1243" t="str">
        <f>_xlfn.CONCAT("Taux de chargement moyen des véhicules pour l'accès à la plateforme logistique"," (",'Remplissage - Sit. Init.'!$C$153,")")</f>
        <v>Taux de chargement moyen des véhicules pour l'accès à la plateforme logistique (Catégorie 14)</v>
      </c>
      <c r="F1243" t="str">
        <f t="shared" ref="F1243" si="1261">_xlfn.CONCAT("LogChantPlatLogTC",RIGHT(LEFT(D1243,LEN(D1243)-1),2))</f>
        <v>LogChantPlatLogTC14</v>
      </c>
      <c r="G1243" t="s">
        <v>17</v>
      </c>
      <c r="H1243">
        <f t="shared" si="1256"/>
        <v>0</v>
      </c>
      <c r="I1243" s="3"/>
      <c r="K1243" t="s">
        <v>70</v>
      </c>
      <c r="L1243" s="7">
        <v>0.8</v>
      </c>
      <c r="N1243" t="s">
        <v>220</v>
      </c>
    </row>
    <row r="1244" spans="1:14" outlineLevel="1" x14ac:dyDescent="0.25">
      <c r="A1244" t="s">
        <v>215</v>
      </c>
      <c r="C1244" t="s">
        <v>399</v>
      </c>
      <c r="D1244" t="str">
        <f>_xlfn.CONCAT("Nombre de trajets associés"," (",'Remplissage - Sit. Init.'!$C$153,")")</f>
        <v>Nombre de trajets associés (Catégorie 14)</v>
      </c>
      <c r="F1244" t="str">
        <f t="shared" ref="F1244" si="1262">_xlfn.CONCAT("LogChantPlatLogNbTraj",RIGHT(LEFT(D1244,LEN(D1244)-1),2))</f>
        <v>LogChantPlatLogNbTraj14</v>
      </c>
      <c r="G1244" t="s">
        <v>17</v>
      </c>
      <c r="H1244">
        <f t="shared" si="1256"/>
        <v>0</v>
      </c>
      <c r="K1244" t="s">
        <v>145</v>
      </c>
      <c r="L1244">
        <v>1</v>
      </c>
      <c r="N1244" t="s">
        <v>220</v>
      </c>
    </row>
    <row r="1245" spans="1:14" outlineLevel="1" x14ac:dyDescent="0.25">
      <c r="A1245" t="s">
        <v>215</v>
      </c>
      <c r="C1245" t="s">
        <v>400</v>
      </c>
      <c r="D1245" t="str">
        <f>_xlfn.CONCAT("Taux de chargement moyen des véhicules pour l'accès à la plateforme logistique"," (",'Remplissage - Sit. Init.'!$C$163,")")</f>
        <v>Taux de chargement moyen des véhicules pour l'accès à la plateforme logistique (Catégorie 15)</v>
      </c>
      <c r="F1245" t="str">
        <f t="shared" ref="F1245" si="1263">_xlfn.CONCAT("LogChantPlatLogTC",RIGHT(LEFT(D1245,LEN(D1245)-1),2))</f>
        <v>LogChantPlatLogTC15</v>
      </c>
      <c r="G1245" t="s">
        <v>17</v>
      </c>
      <c r="H1245">
        <f t="shared" si="1256"/>
        <v>0</v>
      </c>
      <c r="I1245" s="3"/>
      <c r="K1245" t="s">
        <v>70</v>
      </c>
      <c r="L1245" s="7">
        <v>0.8</v>
      </c>
      <c r="N1245" t="s">
        <v>220</v>
      </c>
    </row>
    <row r="1246" spans="1:14" outlineLevel="1" x14ac:dyDescent="0.25">
      <c r="A1246" t="s">
        <v>215</v>
      </c>
      <c r="C1246" t="s">
        <v>400</v>
      </c>
      <c r="D1246" t="str">
        <f>_xlfn.CONCAT("Nombre de trajets associés"," (",'Remplissage - Sit. Init.'!$C$163,")")</f>
        <v>Nombre de trajets associés (Catégorie 15)</v>
      </c>
      <c r="F1246" t="str">
        <f t="shared" ref="F1246" si="1264">_xlfn.CONCAT("LogChantPlatLogNbTraj",RIGHT(LEFT(D1246,LEN(D1246)-1),2))</f>
        <v>LogChantPlatLogNbTraj15</v>
      </c>
      <c r="G1246" t="s">
        <v>17</v>
      </c>
      <c r="H1246">
        <f t="shared" si="1256"/>
        <v>0</v>
      </c>
      <c r="K1246" t="s">
        <v>145</v>
      </c>
      <c r="L1246">
        <v>1</v>
      </c>
      <c r="N1246" t="s">
        <v>220</v>
      </c>
    </row>
    <row r="1247" spans="1:14" outlineLevel="1" x14ac:dyDescent="0.25">
      <c r="A1247" t="s">
        <v>215</v>
      </c>
      <c r="C1247" t="s">
        <v>401</v>
      </c>
      <c r="D1247" t="str">
        <f>_xlfn.CONCAT("Taux de chargement moyen des véhicules pour l'accès à la plateforme logistique"," (",'Remplissage - Sit. Init.'!$C$173,")")</f>
        <v>Taux de chargement moyen des véhicules pour l'accès à la plateforme logistique (Catégorie 16)</v>
      </c>
      <c r="F1247" t="str">
        <f t="shared" ref="F1247" si="1265">_xlfn.CONCAT("LogChantPlatLogTC",RIGHT(LEFT(D1247,LEN(D1247)-1),2))</f>
        <v>LogChantPlatLogTC16</v>
      </c>
      <c r="G1247" t="s">
        <v>17</v>
      </c>
      <c r="H1247">
        <f t="shared" si="1256"/>
        <v>0</v>
      </c>
      <c r="I1247" s="3"/>
      <c r="K1247" t="s">
        <v>70</v>
      </c>
      <c r="L1247" s="7">
        <v>0.8</v>
      </c>
      <c r="N1247" t="s">
        <v>220</v>
      </c>
    </row>
    <row r="1248" spans="1:14" outlineLevel="1" x14ac:dyDescent="0.25">
      <c r="A1248" t="s">
        <v>215</v>
      </c>
      <c r="C1248" t="s">
        <v>401</v>
      </c>
      <c r="D1248" t="str">
        <f>_xlfn.CONCAT("Nombre de trajets associés"," (",'Remplissage - Sit. Init.'!$C$173,")")</f>
        <v>Nombre de trajets associés (Catégorie 16)</v>
      </c>
      <c r="F1248" t="str">
        <f t="shared" ref="F1248" si="1266">_xlfn.CONCAT("LogChantPlatLogNbTraj",RIGHT(LEFT(D1248,LEN(D1248)-1),2))</f>
        <v>LogChantPlatLogNbTraj16</v>
      </c>
      <c r="G1248" t="s">
        <v>17</v>
      </c>
      <c r="H1248">
        <f t="shared" si="1256"/>
        <v>0</v>
      </c>
      <c r="K1248" t="s">
        <v>145</v>
      </c>
      <c r="L1248">
        <v>1</v>
      </c>
      <c r="N1248" t="s">
        <v>220</v>
      </c>
    </row>
    <row r="1249" spans="1:14" outlineLevel="1" x14ac:dyDescent="0.25">
      <c r="A1249" t="s">
        <v>215</v>
      </c>
      <c r="C1249" t="s">
        <v>402</v>
      </c>
      <c r="D1249" t="str">
        <f>_xlfn.CONCAT("Taux de chargement moyen des véhicules pour l'accès à la plateforme logistique"," (",'Remplissage - Sit. Init.'!$C$183,")")</f>
        <v>Taux de chargement moyen des véhicules pour l'accès à la plateforme logistique (Catégorie 17)</v>
      </c>
      <c r="F1249" t="str">
        <f t="shared" ref="F1249" si="1267">_xlfn.CONCAT("LogChantPlatLogTC",RIGHT(LEFT(D1249,LEN(D1249)-1),2))</f>
        <v>LogChantPlatLogTC17</v>
      </c>
      <c r="G1249" t="s">
        <v>17</v>
      </c>
      <c r="H1249">
        <f t="shared" si="1256"/>
        <v>0</v>
      </c>
      <c r="I1249" s="3"/>
      <c r="K1249" t="s">
        <v>70</v>
      </c>
      <c r="L1249" s="7">
        <v>0.8</v>
      </c>
      <c r="N1249" t="s">
        <v>220</v>
      </c>
    </row>
    <row r="1250" spans="1:14" outlineLevel="1" x14ac:dyDescent="0.25">
      <c r="A1250" t="s">
        <v>215</v>
      </c>
      <c r="C1250" t="s">
        <v>402</v>
      </c>
      <c r="D1250" t="str">
        <f>_xlfn.CONCAT("Nombre de trajets associés"," (",'Remplissage - Sit. Init.'!$C$183,")")</f>
        <v>Nombre de trajets associés (Catégorie 17)</v>
      </c>
      <c r="F1250" t="str">
        <f t="shared" ref="F1250" si="1268">_xlfn.CONCAT("LogChantPlatLogNbTraj",RIGHT(LEFT(D1250,LEN(D1250)-1),2))</f>
        <v>LogChantPlatLogNbTraj17</v>
      </c>
      <c r="G1250" t="s">
        <v>17</v>
      </c>
      <c r="H1250">
        <f t="shared" si="1256"/>
        <v>0</v>
      </c>
      <c r="K1250" t="s">
        <v>145</v>
      </c>
      <c r="L1250">
        <v>1</v>
      </c>
      <c r="N1250" t="s">
        <v>220</v>
      </c>
    </row>
    <row r="1251" spans="1:14" outlineLevel="1" x14ac:dyDescent="0.25">
      <c r="A1251" t="s">
        <v>215</v>
      </c>
      <c r="C1251" t="s">
        <v>403</v>
      </c>
      <c r="D1251" t="str">
        <f>_xlfn.CONCAT("Taux de chargement moyen des véhicules pour l'accès à la plateforme logistique"," (",'Remplissage - Sit. Init.'!$C$193,")")</f>
        <v>Taux de chargement moyen des véhicules pour l'accès à la plateforme logistique (Catégorie 18)</v>
      </c>
      <c r="F1251" t="str">
        <f t="shared" ref="F1251" si="1269">_xlfn.CONCAT("LogChantPlatLogTC",RIGHT(LEFT(D1251,LEN(D1251)-1),2))</f>
        <v>LogChantPlatLogTC18</v>
      </c>
      <c r="G1251" t="s">
        <v>17</v>
      </c>
      <c r="H1251">
        <f t="shared" si="1256"/>
        <v>0</v>
      </c>
      <c r="I1251" s="3"/>
      <c r="K1251" t="s">
        <v>70</v>
      </c>
      <c r="L1251" s="7">
        <v>0.8</v>
      </c>
      <c r="N1251" t="s">
        <v>220</v>
      </c>
    </row>
    <row r="1252" spans="1:14" outlineLevel="1" x14ac:dyDescent="0.25">
      <c r="A1252" t="s">
        <v>215</v>
      </c>
      <c r="C1252" t="s">
        <v>403</v>
      </c>
      <c r="D1252" t="str">
        <f>_xlfn.CONCAT("Nombre de trajets associés"," (",'Remplissage - Sit. Init.'!$C$193,")")</f>
        <v>Nombre de trajets associés (Catégorie 18)</v>
      </c>
      <c r="F1252" t="str">
        <f t="shared" ref="F1252" si="1270">_xlfn.CONCAT("LogChantPlatLogNbTraj",RIGHT(LEFT(D1252,LEN(D1252)-1),2))</f>
        <v>LogChantPlatLogNbTraj18</v>
      </c>
      <c r="G1252" t="s">
        <v>17</v>
      </c>
      <c r="H1252">
        <f t="shared" si="1256"/>
        <v>0</v>
      </c>
      <c r="K1252" t="s">
        <v>145</v>
      </c>
      <c r="L1252">
        <v>1</v>
      </c>
      <c r="N1252" t="s">
        <v>220</v>
      </c>
    </row>
    <row r="1253" spans="1:14" outlineLevel="1" x14ac:dyDescent="0.25">
      <c r="A1253" t="s">
        <v>215</v>
      </c>
      <c r="C1253" t="s">
        <v>404</v>
      </c>
      <c r="D1253" t="str">
        <f>_xlfn.CONCAT("Taux de chargement moyen des véhicules pour l'accès à la plateforme logistique"," (",'Remplissage - Sit. Init.'!$C$203,")")</f>
        <v>Taux de chargement moyen des véhicules pour l'accès à la plateforme logistique (Catégorie 19)</v>
      </c>
      <c r="F1253" t="str">
        <f t="shared" ref="F1253" si="1271">_xlfn.CONCAT("LogChantPlatLogTC",RIGHT(LEFT(D1253,LEN(D1253)-1),2))</f>
        <v>LogChantPlatLogTC19</v>
      </c>
      <c r="G1253" t="s">
        <v>17</v>
      </c>
      <c r="H1253">
        <f t="shared" si="1256"/>
        <v>0</v>
      </c>
      <c r="I1253" s="3"/>
      <c r="K1253" t="s">
        <v>70</v>
      </c>
      <c r="L1253" s="7">
        <v>0.8</v>
      </c>
      <c r="N1253" t="s">
        <v>220</v>
      </c>
    </row>
    <row r="1254" spans="1:14" outlineLevel="1" x14ac:dyDescent="0.25">
      <c r="A1254" t="s">
        <v>215</v>
      </c>
      <c r="C1254" t="s">
        <v>404</v>
      </c>
      <c r="D1254" t="str">
        <f>_xlfn.CONCAT("Nombre de trajets associés"," (",'Remplissage - Sit. Init.'!$C$203,")")</f>
        <v>Nombre de trajets associés (Catégorie 19)</v>
      </c>
      <c r="F1254" t="str">
        <f t="shared" ref="F1254" si="1272">_xlfn.CONCAT("LogChantPlatLogNbTraj",RIGHT(LEFT(D1254,LEN(D1254)-1),2))</f>
        <v>LogChantPlatLogNbTraj19</v>
      </c>
      <c r="G1254" t="s">
        <v>17</v>
      </c>
      <c r="H1254">
        <f t="shared" si="1256"/>
        <v>0</v>
      </c>
      <c r="K1254" t="s">
        <v>145</v>
      </c>
      <c r="L1254">
        <v>1</v>
      </c>
      <c r="N1254" t="s">
        <v>220</v>
      </c>
    </row>
    <row r="1255" spans="1:14" outlineLevel="1" x14ac:dyDescent="0.25">
      <c r="A1255" t="s">
        <v>215</v>
      </c>
      <c r="C1255" t="s">
        <v>405</v>
      </c>
      <c r="D1255" t="str">
        <f>_xlfn.CONCAT("Taux de chargement moyen des véhicules pour l'accès à la plateforme logistique"," (",'Remplissage - Sit. Init.'!$C$213,")")</f>
        <v>Taux de chargement moyen des véhicules pour l'accès à la plateforme logistique (Catégorie 20)</v>
      </c>
      <c r="F1255" t="str">
        <f t="shared" ref="F1255" si="1273">_xlfn.CONCAT("LogChantPlatLogTC",RIGHT(LEFT(D1255,LEN(D1255)-1),2))</f>
        <v>LogChantPlatLogTC20</v>
      </c>
      <c r="G1255" t="s">
        <v>17</v>
      </c>
      <c r="H1255">
        <f t="shared" si="1256"/>
        <v>0</v>
      </c>
      <c r="I1255" s="3"/>
      <c r="K1255" t="s">
        <v>70</v>
      </c>
      <c r="L1255" s="7">
        <v>0.8</v>
      </c>
      <c r="N1255" t="s">
        <v>220</v>
      </c>
    </row>
    <row r="1256" spans="1:14" outlineLevel="1" x14ac:dyDescent="0.25">
      <c r="A1256" t="s">
        <v>215</v>
      </c>
      <c r="C1256" t="s">
        <v>405</v>
      </c>
      <c r="D1256" t="str">
        <f>_xlfn.CONCAT("Nombre de trajets associés"," (",'Remplissage - Sit. Init.'!$C$213,")")</f>
        <v>Nombre de trajets associés (Catégorie 20)</v>
      </c>
      <c r="F1256" t="str">
        <f t="shared" ref="F1256" si="1274">_xlfn.CONCAT("LogChantPlatLogNbTraj",RIGHT(LEFT(D1256,LEN(D1256)-1),2))</f>
        <v>LogChantPlatLogNbTraj20</v>
      </c>
      <c r="G1256" t="s">
        <v>17</v>
      </c>
      <c r="H1256">
        <f t="shared" si="1256"/>
        <v>0</v>
      </c>
      <c r="K1256" t="s">
        <v>145</v>
      </c>
      <c r="L1256">
        <v>1</v>
      </c>
      <c r="N1256" t="s">
        <v>220</v>
      </c>
    </row>
    <row r="1257" spans="1:14" outlineLevel="1" x14ac:dyDescent="0.25">
      <c r="A1257" t="s">
        <v>215</v>
      </c>
      <c r="C1257" t="s">
        <v>406</v>
      </c>
      <c r="D1257" t="str">
        <f>_xlfn.CONCAT("Taux de chargement moyen des véhicules pour l'accès à la plateforme logistique"," (",'Remplissage - Sit. Init.'!$C$223,")")</f>
        <v>Taux de chargement moyen des véhicules pour l'accès à la plateforme logistique (Catégorie 21)</v>
      </c>
      <c r="F1257" t="str">
        <f t="shared" ref="F1257" si="1275">_xlfn.CONCAT("LogChantPlatLogTC",RIGHT(LEFT(D1257,LEN(D1257)-1),2))</f>
        <v>LogChantPlatLogTC21</v>
      </c>
      <c r="G1257" t="s">
        <v>17</v>
      </c>
      <c r="H1257">
        <f t="shared" si="1256"/>
        <v>0</v>
      </c>
      <c r="I1257" s="3"/>
      <c r="K1257" t="s">
        <v>70</v>
      </c>
      <c r="L1257" s="7">
        <v>0.8</v>
      </c>
      <c r="N1257" t="s">
        <v>220</v>
      </c>
    </row>
    <row r="1258" spans="1:14" outlineLevel="1" x14ac:dyDescent="0.25">
      <c r="A1258" t="s">
        <v>215</v>
      </c>
      <c r="C1258" t="s">
        <v>406</v>
      </c>
      <c r="D1258" t="str">
        <f>_xlfn.CONCAT("Nombre de trajets associés"," (",'Remplissage - Sit. Init.'!$C$223,")")</f>
        <v>Nombre de trajets associés (Catégorie 21)</v>
      </c>
      <c r="F1258" t="str">
        <f t="shared" ref="F1258" si="1276">_xlfn.CONCAT("LogChantPlatLogNbTraj",RIGHT(LEFT(D1258,LEN(D1258)-1),2))</f>
        <v>LogChantPlatLogNbTraj21</v>
      </c>
      <c r="G1258" t="s">
        <v>17</v>
      </c>
      <c r="H1258">
        <f t="shared" si="1256"/>
        <v>0</v>
      </c>
      <c r="K1258" t="s">
        <v>145</v>
      </c>
      <c r="L1258">
        <v>1</v>
      </c>
      <c r="N1258" t="s">
        <v>220</v>
      </c>
    </row>
    <row r="1259" spans="1:14" outlineLevel="1" x14ac:dyDescent="0.25">
      <c r="A1259" t="s">
        <v>215</v>
      </c>
      <c r="C1259" t="s">
        <v>407</v>
      </c>
      <c r="D1259" t="str">
        <f>_xlfn.CONCAT("Taux de chargement moyen des véhicules pour l'accès à la plateforme logistique"," (",'Remplissage - Sit. Init.'!$C$233,")")</f>
        <v>Taux de chargement moyen des véhicules pour l'accès à la plateforme logistique (Catégorie 22)</v>
      </c>
      <c r="F1259" t="str">
        <f t="shared" ref="F1259" si="1277">_xlfn.CONCAT("LogChantPlatLogTC",RIGHT(LEFT(D1259,LEN(D1259)-1),2))</f>
        <v>LogChantPlatLogTC22</v>
      </c>
      <c r="G1259" t="s">
        <v>17</v>
      </c>
      <c r="H1259">
        <f t="shared" si="1256"/>
        <v>0</v>
      </c>
      <c r="I1259" s="3"/>
      <c r="K1259" t="s">
        <v>70</v>
      </c>
      <c r="L1259" s="7">
        <v>0.8</v>
      </c>
      <c r="N1259" t="s">
        <v>220</v>
      </c>
    </row>
    <row r="1260" spans="1:14" outlineLevel="1" x14ac:dyDescent="0.25">
      <c r="A1260" t="s">
        <v>215</v>
      </c>
      <c r="C1260" t="s">
        <v>407</v>
      </c>
      <c r="D1260" t="str">
        <f>_xlfn.CONCAT("Nombre de trajets associés"," (",'Remplissage - Sit. Init.'!$C$233,")")</f>
        <v>Nombre de trajets associés (Catégorie 22)</v>
      </c>
      <c r="F1260" t="str">
        <f t="shared" ref="F1260" si="1278">_xlfn.CONCAT("LogChantPlatLogNbTraj",RIGHT(LEFT(D1260,LEN(D1260)-1),2))</f>
        <v>LogChantPlatLogNbTraj22</v>
      </c>
      <c r="G1260" t="s">
        <v>17</v>
      </c>
      <c r="H1260">
        <f t="shared" si="1256"/>
        <v>0</v>
      </c>
      <c r="K1260" t="s">
        <v>145</v>
      </c>
      <c r="L1260">
        <v>1</v>
      </c>
      <c r="N1260" t="s">
        <v>220</v>
      </c>
    </row>
    <row r="1261" spans="1:14" outlineLevel="1" x14ac:dyDescent="0.25">
      <c r="A1261" t="s">
        <v>215</v>
      </c>
      <c r="C1261" t="s">
        <v>408</v>
      </c>
      <c r="D1261" t="str">
        <f>_xlfn.CONCAT("Taux de chargement moyen des véhicules pour l'accès à la plateforme logistique"," (",'Remplissage - Sit. Init.'!$C$243,")")</f>
        <v>Taux de chargement moyen des véhicules pour l'accès à la plateforme logistique (Catégorie 23)</v>
      </c>
      <c r="F1261" t="str">
        <f t="shared" ref="F1261" si="1279">_xlfn.CONCAT("LogChantPlatLogTC",RIGHT(LEFT(D1261,LEN(D1261)-1),2))</f>
        <v>LogChantPlatLogTC23</v>
      </c>
      <c r="G1261" t="s">
        <v>17</v>
      </c>
      <c r="H1261">
        <f t="shared" si="1256"/>
        <v>0</v>
      </c>
      <c r="I1261" s="3"/>
      <c r="K1261" t="s">
        <v>70</v>
      </c>
      <c r="L1261" s="7">
        <v>0.8</v>
      </c>
      <c r="N1261" t="s">
        <v>220</v>
      </c>
    </row>
    <row r="1262" spans="1:14" outlineLevel="1" x14ac:dyDescent="0.25">
      <c r="A1262" t="s">
        <v>215</v>
      </c>
      <c r="C1262" t="s">
        <v>408</v>
      </c>
      <c r="D1262" t="str">
        <f>_xlfn.CONCAT("Nombre de trajets associés"," (",'Remplissage - Sit. Init.'!$C$243,")")</f>
        <v>Nombre de trajets associés (Catégorie 23)</v>
      </c>
      <c r="F1262" t="str">
        <f t="shared" ref="F1262" si="1280">_xlfn.CONCAT("LogChantPlatLogNbTraj",RIGHT(LEFT(D1262,LEN(D1262)-1),2))</f>
        <v>LogChantPlatLogNbTraj23</v>
      </c>
      <c r="G1262" t="s">
        <v>17</v>
      </c>
      <c r="H1262">
        <f t="shared" si="1256"/>
        <v>0</v>
      </c>
      <c r="K1262" t="s">
        <v>145</v>
      </c>
      <c r="L1262">
        <v>1</v>
      </c>
      <c r="N1262" t="s">
        <v>220</v>
      </c>
    </row>
    <row r="1263" spans="1:14" outlineLevel="1" x14ac:dyDescent="0.25">
      <c r="A1263" t="s">
        <v>215</v>
      </c>
      <c r="C1263" t="s">
        <v>409</v>
      </c>
      <c r="D1263" t="str">
        <f>_xlfn.CONCAT("Taux de chargement moyen des véhicules pour l'accès à la plateforme logistique"," (",'Remplissage - Sit. Init.'!$C$253,")")</f>
        <v>Taux de chargement moyen des véhicules pour l'accès à la plateforme logistique (Catégorie 24)</v>
      </c>
      <c r="F1263" t="str">
        <f t="shared" ref="F1263" si="1281">_xlfn.CONCAT("LogChantPlatLogTC",RIGHT(LEFT(D1263,LEN(D1263)-1),2))</f>
        <v>LogChantPlatLogTC24</v>
      </c>
      <c r="G1263" t="s">
        <v>17</v>
      </c>
      <c r="H1263">
        <f t="shared" si="1256"/>
        <v>0</v>
      </c>
      <c r="I1263" s="3"/>
      <c r="K1263" t="s">
        <v>70</v>
      </c>
      <c r="L1263" s="7">
        <v>0.8</v>
      </c>
      <c r="N1263" t="s">
        <v>220</v>
      </c>
    </row>
    <row r="1264" spans="1:14" outlineLevel="1" x14ac:dyDescent="0.25">
      <c r="A1264" t="s">
        <v>215</v>
      </c>
      <c r="C1264" t="s">
        <v>409</v>
      </c>
      <c r="D1264" t="str">
        <f>_xlfn.CONCAT("Nombre de trajets associés"," (",'Remplissage - Sit. Init.'!$C$253,")")</f>
        <v>Nombre de trajets associés (Catégorie 24)</v>
      </c>
      <c r="F1264" t="str">
        <f t="shared" ref="F1264" si="1282">_xlfn.CONCAT("LogChantPlatLogNbTraj",RIGHT(LEFT(D1264,LEN(D1264)-1),2))</f>
        <v>LogChantPlatLogNbTraj24</v>
      </c>
      <c r="G1264" t="s">
        <v>17</v>
      </c>
      <c r="H1264">
        <f t="shared" si="1256"/>
        <v>0</v>
      </c>
      <c r="K1264" t="s">
        <v>145</v>
      </c>
      <c r="L1264">
        <v>1</v>
      </c>
      <c r="N1264" t="s">
        <v>220</v>
      </c>
    </row>
    <row r="1265" spans="1:14" outlineLevel="1" x14ac:dyDescent="0.25">
      <c r="A1265" t="s">
        <v>215</v>
      </c>
      <c r="C1265" t="s">
        <v>410</v>
      </c>
      <c r="D1265" t="str">
        <f>_xlfn.CONCAT("Taux de chargement moyen des véhicules pour l'accès à la plateforme logistique"," (",'Remplissage - Sit. Init.'!$C$263,")")</f>
        <v>Taux de chargement moyen des véhicules pour l'accès à la plateforme logistique (Catégorie 25)</v>
      </c>
      <c r="F1265" t="str">
        <f t="shared" ref="F1265" si="1283">_xlfn.CONCAT("LogChantPlatLogTC",RIGHT(LEFT(D1265,LEN(D1265)-1),2))</f>
        <v>LogChantPlatLogTC25</v>
      </c>
      <c r="G1265" t="s">
        <v>17</v>
      </c>
      <c r="H1265">
        <f t="shared" si="1256"/>
        <v>0</v>
      </c>
      <c r="I1265" s="3"/>
      <c r="K1265" t="s">
        <v>70</v>
      </c>
      <c r="L1265" s="7">
        <v>0.8</v>
      </c>
      <c r="N1265" t="s">
        <v>220</v>
      </c>
    </row>
    <row r="1266" spans="1:14" outlineLevel="1" x14ac:dyDescent="0.25">
      <c r="A1266" t="s">
        <v>215</v>
      </c>
      <c r="C1266" t="s">
        <v>410</v>
      </c>
      <c r="D1266" t="str">
        <f>_xlfn.CONCAT("Nombre de trajets associés"," (",'Remplissage - Sit. Init.'!$C$263,")")</f>
        <v>Nombre de trajets associés (Catégorie 25)</v>
      </c>
      <c r="F1266" t="str">
        <f t="shared" ref="F1266" si="1284">_xlfn.CONCAT("LogChantPlatLogNbTraj",RIGHT(LEFT(D1266,LEN(D1266)-1),2))</f>
        <v>LogChantPlatLogNbTraj25</v>
      </c>
      <c r="G1266" t="s">
        <v>17</v>
      </c>
      <c r="H1266">
        <f t="shared" si="1256"/>
        <v>0</v>
      </c>
      <c r="K1266" t="s">
        <v>145</v>
      </c>
      <c r="L1266">
        <v>1</v>
      </c>
      <c r="N1266" t="s">
        <v>220</v>
      </c>
    </row>
    <row r="1267" spans="1:14" outlineLevel="1" x14ac:dyDescent="0.25">
      <c r="A1267" t="s">
        <v>215</v>
      </c>
      <c r="C1267" t="s">
        <v>411</v>
      </c>
      <c r="D1267" t="str">
        <f>_xlfn.CONCAT("Taux de chargement moyen des véhicules pour l'accès à la plateforme logistique"," (",'Remplissage - Sit. Init.'!$C$273,")")</f>
        <v>Taux de chargement moyen des véhicules pour l'accès à la plateforme logistique (Catégorie 26)</v>
      </c>
      <c r="F1267" t="str">
        <f t="shared" ref="F1267" si="1285">_xlfn.CONCAT("LogChantPlatLogTC",RIGHT(LEFT(D1267,LEN(D1267)-1),2))</f>
        <v>LogChantPlatLogTC26</v>
      </c>
      <c r="G1267" t="s">
        <v>17</v>
      </c>
      <c r="H1267">
        <f t="shared" si="1256"/>
        <v>0</v>
      </c>
      <c r="I1267" s="3"/>
      <c r="K1267" t="s">
        <v>70</v>
      </c>
      <c r="L1267" s="7">
        <v>0.8</v>
      </c>
      <c r="N1267" t="s">
        <v>220</v>
      </c>
    </row>
    <row r="1268" spans="1:14" outlineLevel="1" x14ac:dyDescent="0.25">
      <c r="A1268" t="s">
        <v>215</v>
      </c>
      <c r="C1268" t="s">
        <v>411</v>
      </c>
      <c r="D1268" t="str">
        <f>_xlfn.CONCAT("Nombre de trajets associés"," (",'Remplissage - Sit. Init.'!$C$273,")")</f>
        <v>Nombre de trajets associés (Catégorie 26)</v>
      </c>
      <c r="F1268" t="str">
        <f t="shared" ref="F1268" si="1286">_xlfn.CONCAT("LogChantPlatLogNbTraj",RIGHT(LEFT(D1268,LEN(D1268)-1),2))</f>
        <v>LogChantPlatLogNbTraj26</v>
      </c>
      <c r="G1268" t="s">
        <v>17</v>
      </c>
      <c r="H1268">
        <f t="shared" si="1256"/>
        <v>0</v>
      </c>
      <c r="K1268" t="s">
        <v>145</v>
      </c>
      <c r="L1268">
        <v>1</v>
      </c>
      <c r="N1268" t="s">
        <v>220</v>
      </c>
    </row>
    <row r="1269" spans="1:14" outlineLevel="1" x14ac:dyDescent="0.25">
      <c r="A1269" t="s">
        <v>215</v>
      </c>
      <c r="C1269" t="s">
        <v>412</v>
      </c>
      <c r="D1269" t="str">
        <f>_xlfn.CONCAT("Taux de chargement moyen des véhicules pour l'accès à la plateforme logistique"," (",'Remplissage - Sit. Init.'!$C$283,")")</f>
        <v>Taux de chargement moyen des véhicules pour l'accès à la plateforme logistique (Catégorie 27)</v>
      </c>
      <c r="F1269" t="str">
        <f t="shared" ref="F1269" si="1287">_xlfn.CONCAT("LogChantPlatLogTC",RIGHT(LEFT(D1269,LEN(D1269)-1),2))</f>
        <v>LogChantPlatLogTC27</v>
      </c>
      <c r="G1269" t="s">
        <v>17</v>
      </c>
      <c r="H1269">
        <f t="shared" si="1256"/>
        <v>0</v>
      </c>
      <c r="I1269" s="3"/>
      <c r="K1269" t="s">
        <v>70</v>
      </c>
      <c r="L1269" s="7">
        <v>0.8</v>
      </c>
      <c r="N1269" t="s">
        <v>220</v>
      </c>
    </row>
    <row r="1270" spans="1:14" outlineLevel="1" x14ac:dyDescent="0.25">
      <c r="A1270" t="s">
        <v>215</v>
      </c>
      <c r="C1270" t="s">
        <v>412</v>
      </c>
      <c r="D1270" t="str">
        <f>_xlfn.CONCAT("Nombre de trajets associés"," (",'Remplissage - Sit. Init.'!$C$283,")")</f>
        <v>Nombre de trajets associés (Catégorie 27)</v>
      </c>
      <c r="F1270" t="str">
        <f t="shared" ref="F1270" si="1288">_xlfn.CONCAT("LogChantPlatLogNbTraj",RIGHT(LEFT(D1270,LEN(D1270)-1),2))</f>
        <v>LogChantPlatLogNbTraj27</v>
      </c>
      <c r="G1270" t="s">
        <v>17</v>
      </c>
      <c r="H1270">
        <f t="shared" si="1256"/>
        <v>0</v>
      </c>
      <c r="K1270" t="s">
        <v>145</v>
      </c>
      <c r="L1270">
        <v>1</v>
      </c>
      <c r="N1270" t="s">
        <v>220</v>
      </c>
    </row>
    <row r="1271" spans="1:14" outlineLevel="1" x14ac:dyDescent="0.25">
      <c r="A1271" t="s">
        <v>215</v>
      </c>
      <c r="C1271" t="s">
        <v>413</v>
      </c>
      <c r="D1271" t="str">
        <f>_xlfn.CONCAT("Taux de chargement moyen des véhicules pour l'accès à la plateforme logistique"," (",'Remplissage - Sit. Init.'!$C$293,")")</f>
        <v>Taux de chargement moyen des véhicules pour l'accès à la plateforme logistique (Catégorie 28)</v>
      </c>
      <c r="F1271" t="str">
        <f t="shared" ref="F1271" si="1289">_xlfn.CONCAT("LogChantPlatLogTC",RIGHT(LEFT(D1271,LEN(D1271)-1),2))</f>
        <v>LogChantPlatLogTC28</v>
      </c>
      <c r="G1271" t="s">
        <v>17</v>
      </c>
      <c r="H1271">
        <f t="shared" si="1256"/>
        <v>0</v>
      </c>
      <c r="I1271" s="3"/>
      <c r="K1271" t="s">
        <v>70</v>
      </c>
      <c r="L1271" s="7">
        <v>0.8</v>
      </c>
      <c r="N1271" t="s">
        <v>220</v>
      </c>
    </row>
    <row r="1272" spans="1:14" outlineLevel="1" x14ac:dyDescent="0.25">
      <c r="A1272" t="s">
        <v>215</v>
      </c>
      <c r="C1272" t="s">
        <v>413</v>
      </c>
      <c r="D1272" t="str">
        <f>_xlfn.CONCAT("Nombre de trajets associés"," (",'Remplissage - Sit. Init.'!$C$293,")")</f>
        <v>Nombre de trajets associés (Catégorie 28)</v>
      </c>
      <c r="F1272" t="str">
        <f t="shared" ref="F1272" si="1290">_xlfn.CONCAT("LogChantPlatLogNbTraj",RIGHT(LEFT(D1272,LEN(D1272)-1),2))</f>
        <v>LogChantPlatLogNbTraj28</v>
      </c>
      <c r="G1272" t="s">
        <v>17</v>
      </c>
      <c r="H1272">
        <f t="shared" si="1256"/>
        <v>0</v>
      </c>
      <c r="K1272" t="s">
        <v>145</v>
      </c>
      <c r="L1272">
        <v>1</v>
      </c>
      <c r="N1272" t="s">
        <v>220</v>
      </c>
    </row>
    <row r="1273" spans="1:14" outlineLevel="1" x14ac:dyDescent="0.25">
      <c r="A1273" t="s">
        <v>215</v>
      </c>
      <c r="C1273" t="s">
        <v>414</v>
      </c>
      <c r="D1273" t="str">
        <f>_xlfn.CONCAT("Taux de chargement moyen des véhicules pour l'accès à la plateforme logistique"," (",'Remplissage - Sit. Init.'!$C$303,")")</f>
        <v>Taux de chargement moyen des véhicules pour l'accès à la plateforme logistique (Catégorie 29)</v>
      </c>
      <c r="F1273" t="str">
        <f t="shared" ref="F1273" si="1291">_xlfn.CONCAT("LogChantPlatLogTC",RIGHT(LEFT(D1273,LEN(D1273)-1),2))</f>
        <v>LogChantPlatLogTC29</v>
      </c>
      <c r="G1273" t="s">
        <v>17</v>
      </c>
      <c r="H1273">
        <f t="shared" si="1256"/>
        <v>0</v>
      </c>
      <c r="I1273" s="3"/>
      <c r="K1273" t="s">
        <v>70</v>
      </c>
      <c r="L1273" s="7">
        <v>0.8</v>
      </c>
      <c r="N1273" t="s">
        <v>220</v>
      </c>
    </row>
    <row r="1274" spans="1:14" outlineLevel="1" x14ac:dyDescent="0.25">
      <c r="A1274" t="s">
        <v>215</v>
      </c>
      <c r="C1274" t="s">
        <v>414</v>
      </c>
      <c r="D1274" t="str">
        <f>_xlfn.CONCAT("Nombre de trajets associés"," (",'Remplissage - Sit. Init.'!$C$303,")")</f>
        <v>Nombre de trajets associés (Catégorie 29)</v>
      </c>
      <c r="F1274" t="str">
        <f t="shared" ref="F1274" si="1292">_xlfn.CONCAT("LogChantPlatLogNbTraj",RIGHT(LEFT(D1274,LEN(D1274)-1),2))</f>
        <v>LogChantPlatLogNbTraj29</v>
      </c>
      <c r="G1274" t="s">
        <v>17</v>
      </c>
      <c r="H1274">
        <f t="shared" si="1256"/>
        <v>0</v>
      </c>
      <c r="K1274" t="s">
        <v>145</v>
      </c>
      <c r="L1274">
        <v>1</v>
      </c>
      <c r="N1274" t="s">
        <v>220</v>
      </c>
    </row>
    <row r="1275" spans="1:14" outlineLevel="1" x14ac:dyDescent="0.25">
      <c r="A1275" t="s">
        <v>215</v>
      </c>
      <c r="C1275" t="s">
        <v>415</v>
      </c>
      <c r="D1275" t="str">
        <f>_xlfn.CONCAT("Taux de chargement moyen des véhicules pour l'accès à la plateforme logistique"," (",'Remplissage - Sit. Init.'!$C$313,")")</f>
        <v>Taux de chargement moyen des véhicules pour l'accès à la plateforme logistique (Catégorie 30)</v>
      </c>
      <c r="F1275" t="str">
        <f t="shared" ref="F1275" si="1293">_xlfn.CONCAT("LogChantPlatLogTC",RIGHT(LEFT(D1275,LEN(D1275)-1),2))</f>
        <v>LogChantPlatLogTC30</v>
      </c>
      <c r="G1275" t="s">
        <v>17</v>
      </c>
      <c r="H1275">
        <f t="shared" si="1256"/>
        <v>0</v>
      </c>
      <c r="I1275" s="3"/>
      <c r="K1275" t="s">
        <v>70</v>
      </c>
      <c r="L1275" s="7">
        <v>0.8</v>
      </c>
      <c r="N1275" t="s">
        <v>220</v>
      </c>
    </row>
    <row r="1276" spans="1:14" outlineLevel="1" x14ac:dyDescent="0.25">
      <c r="A1276" t="s">
        <v>215</v>
      </c>
      <c r="C1276" t="s">
        <v>415</v>
      </c>
      <c r="D1276" t="str">
        <f>_xlfn.CONCAT("Nombre de trajets associés"," (",'Remplissage - Sit. Init.'!$C$313,")")</f>
        <v>Nombre de trajets associés (Catégorie 30)</v>
      </c>
      <c r="F1276" t="str">
        <f t="shared" ref="F1276" si="1294">_xlfn.CONCAT("LogChantPlatLogNbTraj",RIGHT(LEFT(D1276,LEN(D1276)-1),2))</f>
        <v>LogChantPlatLogNbTraj30</v>
      </c>
      <c r="G1276" t="s">
        <v>17</v>
      </c>
      <c r="H1276">
        <f t="shared" si="1256"/>
        <v>0</v>
      </c>
      <c r="K1276" t="s">
        <v>145</v>
      </c>
      <c r="L1276">
        <v>1</v>
      </c>
      <c r="N1276" t="s">
        <v>220</v>
      </c>
    </row>
    <row r="1277" spans="1:14" outlineLevel="1" x14ac:dyDescent="0.25">
      <c r="A1277" t="s">
        <v>215</v>
      </c>
      <c r="C1277" t="s">
        <v>416</v>
      </c>
      <c r="D1277" t="str">
        <f>_xlfn.CONCAT("Taux de chargement moyen des véhicules pour l'accès à la plateforme logistique"," (",'Remplissage - Sit. Init.'!$C$323,")")</f>
        <v>Taux de chargement moyen des véhicules pour l'accès à la plateforme logistique (Catégorie 31)</v>
      </c>
      <c r="F1277" t="str">
        <f t="shared" ref="F1277" si="1295">_xlfn.CONCAT("LogChantPlatLogTC",RIGHT(LEFT(D1277,LEN(D1277)-1),2))</f>
        <v>LogChantPlatLogTC31</v>
      </c>
      <c r="G1277" t="s">
        <v>17</v>
      </c>
      <c r="H1277">
        <f t="shared" si="1256"/>
        <v>0</v>
      </c>
      <c r="I1277" s="3"/>
      <c r="K1277" t="s">
        <v>70</v>
      </c>
      <c r="L1277" s="7">
        <v>0.8</v>
      </c>
      <c r="N1277" t="s">
        <v>220</v>
      </c>
    </row>
    <row r="1278" spans="1:14" outlineLevel="1" x14ac:dyDescent="0.25">
      <c r="A1278" t="s">
        <v>215</v>
      </c>
      <c r="C1278" t="s">
        <v>416</v>
      </c>
      <c r="D1278" t="str">
        <f>_xlfn.CONCAT("Nombre de trajets associés"," (",'Remplissage - Sit. Init.'!$C$323,")")</f>
        <v>Nombre de trajets associés (Catégorie 31)</v>
      </c>
      <c r="F1278" t="str">
        <f t="shared" ref="F1278" si="1296">_xlfn.CONCAT("LogChantPlatLogNbTraj",RIGHT(LEFT(D1278,LEN(D1278)-1),2))</f>
        <v>LogChantPlatLogNbTraj31</v>
      </c>
      <c r="G1278" t="s">
        <v>17</v>
      </c>
      <c r="H1278">
        <f t="shared" si="1256"/>
        <v>0</v>
      </c>
      <c r="K1278" t="s">
        <v>145</v>
      </c>
      <c r="L1278">
        <v>1</v>
      </c>
      <c r="N1278" t="s">
        <v>220</v>
      </c>
    </row>
    <row r="1279" spans="1:14" outlineLevel="1" x14ac:dyDescent="0.25">
      <c r="A1279" t="s">
        <v>215</v>
      </c>
      <c r="C1279" t="s">
        <v>417</v>
      </c>
      <c r="D1279" t="str">
        <f>_xlfn.CONCAT("Taux de chargement moyen des véhicules pour l'accès à la plateforme logistique"," (",'Remplissage - Sit. Init.'!$C$333,")")</f>
        <v>Taux de chargement moyen des véhicules pour l'accès à la plateforme logistique (Catégorie 32)</v>
      </c>
      <c r="F1279" t="str">
        <f t="shared" ref="F1279" si="1297">_xlfn.CONCAT("LogChantPlatLogTC",RIGHT(LEFT(D1279,LEN(D1279)-1),2))</f>
        <v>LogChantPlatLogTC32</v>
      </c>
      <c r="G1279" t="s">
        <v>17</v>
      </c>
      <c r="H1279">
        <f t="shared" si="1256"/>
        <v>0</v>
      </c>
      <c r="I1279" s="3"/>
      <c r="K1279" t="s">
        <v>70</v>
      </c>
      <c r="L1279" s="7">
        <v>0.8</v>
      </c>
      <c r="N1279" t="s">
        <v>220</v>
      </c>
    </row>
    <row r="1280" spans="1:14" outlineLevel="1" x14ac:dyDescent="0.25">
      <c r="A1280" t="s">
        <v>215</v>
      </c>
      <c r="C1280" t="s">
        <v>417</v>
      </c>
      <c r="D1280" t="str">
        <f>_xlfn.CONCAT("Nombre de trajets associés"," (",'Remplissage - Sit. Init.'!$C$333,")")</f>
        <v>Nombre de trajets associés (Catégorie 32)</v>
      </c>
      <c r="F1280" t="str">
        <f t="shared" ref="F1280" si="1298">_xlfn.CONCAT("LogChantPlatLogNbTraj",RIGHT(LEFT(D1280,LEN(D1280)-1),2))</f>
        <v>LogChantPlatLogNbTraj32</v>
      </c>
      <c r="G1280" t="s">
        <v>17</v>
      </c>
      <c r="H1280">
        <f t="shared" si="1256"/>
        <v>0</v>
      </c>
      <c r="K1280" t="s">
        <v>145</v>
      </c>
      <c r="L1280">
        <v>1</v>
      </c>
      <c r="N1280" t="s">
        <v>220</v>
      </c>
    </row>
    <row r="1281" spans="1:14" outlineLevel="1" x14ac:dyDescent="0.25">
      <c r="A1281" t="s">
        <v>215</v>
      </c>
      <c r="C1281" t="s">
        <v>418</v>
      </c>
      <c r="D1281" t="str">
        <f>_xlfn.CONCAT("Taux de chargement moyen des véhicules pour l'accès à la plateforme logistique"," (",'Remplissage - Sit. Init.'!$C$343,")")</f>
        <v>Taux de chargement moyen des véhicules pour l'accès à la plateforme logistique (Catégorie 33)</v>
      </c>
      <c r="F1281" t="str">
        <f t="shared" ref="F1281" si="1299">_xlfn.CONCAT("LogChantPlatLogTC",RIGHT(LEFT(D1281,LEN(D1281)-1),2))</f>
        <v>LogChantPlatLogTC33</v>
      </c>
      <c r="G1281" t="s">
        <v>17</v>
      </c>
      <c r="H1281">
        <f t="shared" si="1256"/>
        <v>0</v>
      </c>
      <c r="I1281" s="3"/>
      <c r="K1281" t="s">
        <v>70</v>
      </c>
      <c r="L1281" s="7">
        <v>0.8</v>
      </c>
      <c r="N1281" t="s">
        <v>220</v>
      </c>
    </row>
    <row r="1282" spans="1:14" outlineLevel="1" x14ac:dyDescent="0.25">
      <c r="A1282" t="s">
        <v>215</v>
      </c>
      <c r="C1282" t="s">
        <v>418</v>
      </c>
      <c r="D1282" t="str">
        <f>_xlfn.CONCAT("Nombre de trajets associés"," (",'Remplissage - Sit. Init.'!$C$343,")")</f>
        <v>Nombre de trajets associés (Catégorie 33)</v>
      </c>
      <c r="F1282" t="str">
        <f t="shared" ref="F1282" si="1300">_xlfn.CONCAT("LogChantPlatLogNbTraj",RIGHT(LEFT(D1282,LEN(D1282)-1),2))</f>
        <v>LogChantPlatLogNbTraj33</v>
      </c>
      <c r="G1282" t="s">
        <v>17</v>
      </c>
      <c r="H1282">
        <f t="shared" ref="H1282:H1306" si="1301">(IF(ISNUMBER(SEARCH($C1282,$I$1213)),1,0))*(IF(ISNUMBER(SEARCH("Par catégorie de véhicule sélectionnée (meilleure précision)",$I$1119)),1,0))</f>
        <v>0</v>
      </c>
      <c r="K1282" t="s">
        <v>145</v>
      </c>
      <c r="L1282">
        <v>1</v>
      </c>
      <c r="N1282" t="s">
        <v>220</v>
      </c>
    </row>
    <row r="1283" spans="1:14" outlineLevel="1" x14ac:dyDescent="0.25">
      <c r="A1283" t="s">
        <v>215</v>
      </c>
      <c r="C1283" t="s">
        <v>419</v>
      </c>
      <c r="D1283" t="str">
        <f>_xlfn.CONCAT("Taux de chargement moyen des véhicules pour l'accès à la plateforme logistique"," (",'Remplissage - Sit. Init.'!$C$353,")")</f>
        <v>Taux de chargement moyen des véhicules pour l'accès à la plateforme logistique (Catégorie 34)</v>
      </c>
      <c r="F1283" t="str">
        <f t="shared" ref="F1283" si="1302">_xlfn.CONCAT("LogChantPlatLogTC",RIGHT(LEFT(D1283,LEN(D1283)-1),2))</f>
        <v>LogChantPlatLogTC34</v>
      </c>
      <c r="G1283" t="s">
        <v>17</v>
      </c>
      <c r="H1283">
        <f t="shared" si="1301"/>
        <v>0</v>
      </c>
      <c r="I1283" s="3"/>
      <c r="K1283" t="s">
        <v>70</v>
      </c>
      <c r="L1283" s="7">
        <v>0.8</v>
      </c>
      <c r="N1283" t="s">
        <v>220</v>
      </c>
    </row>
    <row r="1284" spans="1:14" outlineLevel="1" x14ac:dyDescent="0.25">
      <c r="A1284" t="s">
        <v>215</v>
      </c>
      <c r="C1284" t="s">
        <v>419</v>
      </c>
      <c r="D1284" t="str">
        <f>_xlfn.CONCAT("Nombre de trajets associés"," (",'Remplissage - Sit. Init.'!$C$353,")")</f>
        <v>Nombre de trajets associés (Catégorie 34)</v>
      </c>
      <c r="F1284" t="str">
        <f t="shared" ref="F1284" si="1303">_xlfn.CONCAT("LogChantPlatLogNbTraj",RIGHT(LEFT(D1284,LEN(D1284)-1),2))</f>
        <v>LogChantPlatLogNbTraj34</v>
      </c>
      <c r="G1284" t="s">
        <v>17</v>
      </c>
      <c r="H1284">
        <f t="shared" si="1301"/>
        <v>0</v>
      </c>
      <c r="K1284" t="s">
        <v>145</v>
      </c>
      <c r="L1284">
        <v>1</v>
      </c>
      <c r="N1284" t="s">
        <v>220</v>
      </c>
    </row>
    <row r="1285" spans="1:14" outlineLevel="1" x14ac:dyDescent="0.25">
      <c r="A1285" t="s">
        <v>215</v>
      </c>
      <c r="C1285" t="s">
        <v>420</v>
      </c>
      <c r="D1285" t="str">
        <f>_xlfn.CONCAT("Taux de chargement moyen des véhicules pour l'accès à la plateforme logistique"," (",'Remplissage - Sit. Init.'!$C$363,")")</f>
        <v>Taux de chargement moyen des véhicules pour l'accès à la plateforme logistique (Catégorie 35)</v>
      </c>
      <c r="F1285" t="str">
        <f t="shared" ref="F1285" si="1304">_xlfn.CONCAT("LogChantPlatLogTC",RIGHT(LEFT(D1285,LEN(D1285)-1),2))</f>
        <v>LogChantPlatLogTC35</v>
      </c>
      <c r="G1285" t="s">
        <v>17</v>
      </c>
      <c r="H1285">
        <f t="shared" si="1301"/>
        <v>0</v>
      </c>
      <c r="I1285" s="3"/>
      <c r="K1285" t="s">
        <v>70</v>
      </c>
      <c r="L1285" s="7">
        <v>0.8</v>
      </c>
      <c r="N1285" t="s">
        <v>220</v>
      </c>
    </row>
    <row r="1286" spans="1:14" outlineLevel="1" x14ac:dyDescent="0.25">
      <c r="A1286" t="s">
        <v>215</v>
      </c>
      <c r="C1286" t="s">
        <v>420</v>
      </c>
      <c r="D1286" t="str">
        <f>_xlfn.CONCAT("Nombre de trajets associés"," (",'Remplissage - Sit. Init.'!$C$363,")")</f>
        <v>Nombre de trajets associés (Catégorie 35)</v>
      </c>
      <c r="F1286" t="str">
        <f t="shared" ref="F1286" si="1305">_xlfn.CONCAT("LogChantPlatLogNbTraj",RIGHT(LEFT(D1286,LEN(D1286)-1),2))</f>
        <v>LogChantPlatLogNbTraj35</v>
      </c>
      <c r="G1286" t="s">
        <v>17</v>
      </c>
      <c r="H1286">
        <f t="shared" si="1301"/>
        <v>0</v>
      </c>
      <c r="K1286" t="s">
        <v>145</v>
      </c>
      <c r="L1286">
        <v>1</v>
      </c>
      <c r="N1286" t="s">
        <v>220</v>
      </c>
    </row>
    <row r="1287" spans="1:14" outlineLevel="1" x14ac:dyDescent="0.25">
      <c r="A1287" t="s">
        <v>215</v>
      </c>
      <c r="C1287" t="s">
        <v>421</v>
      </c>
      <c r="D1287" t="str">
        <f>_xlfn.CONCAT("Taux de chargement moyen des véhicules pour l'accès à la plateforme logistique"," (",'Remplissage - Sit. Init.'!$C$373,")")</f>
        <v>Taux de chargement moyen des véhicules pour l'accès à la plateforme logistique (Catégorie 36)</v>
      </c>
      <c r="F1287" t="str">
        <f t="shared" ref="F1287" si="1306">_xlfn.CONCAT("LogChantPlatLogTC",RIGHT(LEFT(D1287,LEN(D1287)-1),2))</f>
        <v>LogChantPlatLogTC36</v>
      </c>
      <c r="G1287" t="s">
        <v>17</v>
      </c>
      <c r="H1287">
        <f t="shared" si="1301"/>
        <v>0</v>
      </c>
      <c r="I1287" s="3"/>
      <c r="K1287" t="s">
        <v>70</v>
      </c>
      <c r="L1287" s="7">
        <v>0.8</v>
      </c>
      <c r="N1287" t="s">
        <v>220</v>
      </c>
    </row>
    <row r="1288" spans="1:14" outlineLevel="1" x14ac:dyDescent="0.25">
      <c r="A1288" t="s">
        <v>215</v>
      </c>
      <c r="C1288" t="s">
        <v>421</v>
      </c>
      <c r="D1288" t="str">
        <f>_xlfn.CONCAT("Nombre de trajets associés"," (",'Remplissage - Sit. Init.'!$C$373,")")</f>
        <v>Nombre de trajets associés (Catégorie 36)</v>
      </c>
      <c r="F1288" t="str">
        <f t="shared" ref="F1288" si="1307">_xlfn.CONCAT("LogChantPlatLogNbTraj",RIGHT(LEFT(D1288,LEN(D1288)-1),2))</f>
        <v>LogChantPlatLogNbTraj36</v>
      </c>
      <c r="G1288" t="s">
        <v>17</v>
      </c>
      <c r="H1288">
        <f t="shared" si="1301"/>
        <v>0</v>
      </c>
      <c r="K1288" t="s">
        <v>145</v>
      </c>
      <c r="L1288">
        <v>1</v>
      </c>
      <c r="N1288" t="s">
        <v>220</v>
      </c>
    </row>
    <row r="1289" spans="1:14" outlineLevel="1" x14ac:dyDescent="0.25">
      <c r="A1289" t="s">
        <v>215</v>
      </c>
      <c r="C1289" t="s">
        <v>422</v>
      </c>
      <c r="D1289" t="str">
        <f>_xlfn.CONCAT("Taux de chargement moyen des véhicules pour l'accès à la plateforme logistique"," (",'Remplissage - Sit. Init.'!$C$383,")")</f>
        <v>Taux de chargement moyen des véhicules pour l'accès à la plateforme logistique (Catégorie 37)</v>
      </c>
      <c r="F1289" t="str">
        <f t="shared" ref="F1289" si="1308">_xlfn.CONCAT("LogChantPlatLogTC",RIGHT(LEFT(D1289,LEN(D1289)-1),2))</f>
        <v>LogChantPlatLogTC37</v>
      </c>
      <c r="G1289" t="s">
        <v>17</v>
      </c>
      <c r="H1289">
        <f t="shared" si="1301"/>
        <v>0</v>
      </c>
      <c r="I1289" s="3"/>
      <c r="K1289" t="s">
        <v>70</v>
      </c>
      <c r="L1289" s="7">
        <v>0.8</v>
      </c>
      <c r="N1289" t="s">
        <v>220</v>
      </c>
    </row>
    <row r="1290" spans="1:14" outlineLevel="1" x14ac:dyDescent="0.25">
      <c r="A1290" t="s">
        <v>215</v>
      </c>
      <c r="C1290" t="s">
        <v>422</v>
      </c>
      <c r="D1290" t="str">
        <f>_xlfn.CONCAT("Nombre de trajets associés"," (",'Remplissage - Sit. Init.'!$C$383,")")</f>
        <v>Nombre de trajets associés (Catégorie 37)</v>
      </c>
      <c r="F1290" t="str">
        <f t="shared" ref="F1290" si="1309">_xlfn.CONCAT("LogChantPlatLogNbTraj",RIGHT(LEFT(D1290,LEN(D1290)-1),2))</f>
        <v>LogChantPlatLogNbTraj37</v>
      </c>
      <c r="G1290" t="s">
        <v>17</v>
      </c>
      <c r="H1290">
        <f t="shared" si="1301"/>
        <v>0</v>
      </c>
      <c r="K1290" t="s">
        <v>145</v>
      </c>
      <c r="L1290">
        <v>1</v>
      </c>
      <c r="N1290" t="s">
        <v>220</v>
      </c>
    </row>
    <row r="1291" spans="1:14" outlineLevel="1" x14ac:dyDescent="0.25">
      <c r="A1291" t="s">
        <v>215</v>
      </c>
      <c r="C1291" t="s">
        <v>423</v>
      </c>
      <c r="D1291" t="str">
        <f>_xlfn.CONCAT("Taux de chargement moyen des véhicules pour l'accès à la plateforme logistique"," (",'Remplissage - Sit. Init.'!$C$393,")")</f>
        <v>Taux de chargement moyen des véhicules pour l'accès à la plateforme logistique (Catégorie 38)</v>
      </c>
      <c r="F1291" t="str">
        <f t="shared" ref="F1291" si="1310">_xlfn.CONCAT("LogChantPlatLogTC",RIGHT(LEFT(D1291,LEN(D1291)-1),2))</f>
        <v>LogChantPlatLogTC38</v>
      </c>
      <c r="G1291" t="s">
        <v>17</v>
      </c>
      <c r="H1291">
        <f t="shared" si="1301"/>
        <v>0</v>
      </c>
      <c r="I1291" s="3"/>
      <c r="K1291" t="s">
        <v>70</v>
      </c>
      <c r="L1291" s="7">
        <v>0.8</v>
      </c>
      <c r="N1291" t="s">
        <v>220</v>
      </c>
    </row>
    <row r="1292" spans="1:14" outlineLevel="1" x14ac:dyDescent="0.25">
      <c r="A1292" t="s">
        <v>215</v>
      </c>
      <c r="C1292" t="s">
        <v>423</v>
      </c>
      <c r="D1292" t="str">
        <f>_xlfn.CONCAT("Nombre de trajets associés"," (",'Remplissage - Sit. Init.'!$C$393,")")</f>
        <v>Nombre de trajets associés (Catégorie 38)</v>
      </c>
      <c r="F1292" t="str">
        <f t="shared" ref="F1292" si="1311">_xlfn.CONCAT("LogChantPlatLogNbTraj",RIGHT(LEFT(D1292,LEN(D1292)-1),2))</f>
        <v>LogChantPlatLogNbTraj38</v>
      </c>
      <c r="G1292" t="s">
        <v>17</v>
      </c>
      <c r="H1292">
        <f t="shared" si="1301"/>
        <v>0</v>
      </c>
      <c r="K1292" t="s">
        <v>145</v>
      </c>
      <c r="L1292">
        <v>1</v>
      </c>
      <c r="N1292" t="s">
        <v>220</v>
      </c>
    </row>
    <row r="1293" spans="1:14" outlineLevel="1" x14ac:dyDescent="0.25">
      <c r="A1293" t="s">
        <v>215</v>
      </c>
      <c r="C1293" t="s">
        <v>424</v>
      </c>
      <c r="D1293" t="str">
        <f>_xlfn.CONCAT("Taux de chargement moyen des véhicules pour l'accès à la plateforme logistique"," (",'Remplissage - Sit. Init.'!$C$403,")")</f>
        <v>Taux de chargement moyen des véhicules pour l'accès à la plateforme logistique (Catégorie 39)</v>
      </c>
      <c r="F1293" t="str">
        <f t="shared" ref="F1293" si="1312">_xlfn.CONCAT("LogChantPlatLogTC",RIGHT(LEFT(D1293,LEN(D1293)-1),2))</f>
        <v>LogChantPlatLogTC39</v>
      </c>
      <c r="G1293" t="s">
        <v>17</v>
      </c>
      <c r="H1293">
        <f t="shared" si="1301"/>
        <v>0</v>
      </c>
      <c r="I1293" s="3"/>
      <c r="K1293" t="s">
        <v>70</v>
      </c>
      <c r="L1293" s="7">
        <v>0.8</v>
      </c>
      <c r="N1293" t="s">
        <v>220</v>
      </c>
    </row>
    <row r="1294" spans="1:14" outlineLevel="1" x14ac:dyDescent="0.25">
      <c r="A1294" t="s">
        <v>215</v>
      </c>
      <c r="C1294" t="s">
        <v>424</v>
      </c>
      <c r="D1294" t="str">
        <f>_xlfn.CONCAT("Nombre de trajets associés"," (",'Remplissage - Sit. Init.'!$C$403,")")</f>
        <v>Nombre de trajets associés (Catégorie 39)</v>
      </c>
      <c r="F1294" t="str">
        <f t="shared" ref="F1294" si="1313">_xlfn.CONCAT("LogChantPlatLogNbTraj",RIGHT(LEFT(D1294,LEN(D1294)-1),2))</f>
        <v>LogChantPlatLogNbTraj39</v>
      </c>
      <c r="G1294" t="s">
        <v>17</v>
      </c>
      <c r="H1294">
        <f t="shared" si="1301"/>
        <v>0</v>
      </c>
      <c r="K1294" t="s">
        <v>145</v>
      </c>
      <c r="L1294">
        <v>1</v>
      </c>
      <c r="N1294" t="s">
        <v>220</v>
      </c>
    </row>
    <row r="1295" spans="1:14" outlineLevel="1" x14ac:dyDescent="0.25">
      <c r="A1295" t="s">
        <v>215</v>
      </c>
      <c r="C1295" t="s">
        <v>425</v>
      </c>
      <c r="D1295" t="str">
        <f>_xlfn.CONCAT("Taux de chargement moyen des véhicules pour l'accès à la plateforme logistique"," (",'Remplissage - Sit. Init.'!$C$413,")")</f>
        <v>Taux de chargement moyen des véhicules pour l'accès à la plateforme logistique (Catégorie 40)</v>
      </c>
      <c r="F1295" t="str">
        <f t="shared" ref="F1295" si="1314">_xlfn.CONCAT("LogChantPlatLogTC",RIGHT(LEFT(D1295,LEN(D1295)-1),2))</f>
        <v>LogChantPlatLogTC40</v>
      </c>
      <c r="G1295" t="s">
        <v>17</v>
      </c>
      <c r="H1295">
        <f t="shared" si="1301"/>
        <v>0</v>
      </c>
      <c r="I1295" s="3"/>
      <c r="K1295" t="s">
        <v>70</v>
      </c>
      <c r="L1295" s="7">
        <v>0.8</v>
      </c>
      <c r="N1295" t="s">
        <v>220</v>
      </c>
    </row>
    <row r="1296" spans="1:14" outlineLevel="1" x14ac:dyDescent="0.25">
      <c r="A1296" t="s">
        <v>215</v>
      </c>
      <c r="C1296" t="s">
        <v>425</v>
      </c>
      <c r="D1296" t="str">
        <f>_xlfn.CONCAT("Nombre de trajets associés"," (",'Remplissage - Sit. Init.'!$C$413,")")</f>
        <v>Nombre de trajets associés (Catégorie 40)</v>
      </c>
      <c r="F1296" t="str">
        <f t="shared" ref="F1296" si="1315">_xlfn.CONCAT("LogChantPlatLogNbTraj",RIGHT(LEFT(D1296,LEN(D1296)-1),2))</f>
        <v>LogChantPlatLogNbTraj40</v>
      </c>
      <c r="G1296" t="s">
        <v>17</v>
      </c>
      <c r="H1296">
        <f t="shared" si="1301"/>
        <v>0</v>
      </c>
      <c r="K1296" t="s">
        <v>145</v>
      </c>
      <c r="L1296">
        <v>1</v>
      </c>
      <c r="N1296" t="s">
        <v>220</v>
      </c>
    </row>
    <row r="1297" spans="1:14" outlineLevel="1" x14ac:dyDescent="0.25">
      <c r="A1297" t="s">
        <v>215</v>
      </c>
      <c r="C1297" t="s">
        <v>426</v>
      </c>
      <c r="D1297" t="str">
        <f>_xlfn.CONCAT("Taux de chargement moyen des véhicules pour l'accès à la plateforme logistique"," (",'Remplissage - Sit. Init.'!$C$423,")")</f>
        <v>Taux de chargement moyen des véhicules pour l'accès à la plateforme logistique (Catégorie 41)</v>
      </c>
      <c r="F1297" t="str">
        <f t="shared" ref="F1297" si="1316">_xlfn.CONCAT("LogChantPlatLogTC",RIGHT(LEFT(D1297,LEN(D1297)-1),2))</f>
        <v>LogChantPlatLogTC41</v>
      </c>
      <c r="G1297" t="s">
        <v>17</v>
      </c>
      <c r="H1297">
        <f t="shared" si="1301"/>
        <v>0</v>
      </c>
      <c r="I1297" s="3"/>
      <c r="K1297" t="s">
        <v>70</v>
      </c>
      <c r="L1297" s="7">
        <v>0.8</v>
      </c>
      <c r="N1297" t="s">
        <v>220</v>
      </c>
    </row>
    <row r="1298" spans="1:14" outlineLevel="1" x14ac:dyDescent="0.25">
      <c r="A1298" t="s">
        <v>215</v>
      </c>
      <c r="C1298" t="s">
        <v>426</v>
      </c>
      <c r="D1298" t="str">
        <f>_xlfn.CONCAT("Nombre de trajets associés"," (",'Remplissage - Sit. Init.'!$C$423,")")</f>
        <v>Nombre de trajets associés (Catégorie 41)</v>
      </c>
      <c r="F1298" t="str">
        <f t="shared" ref="F1298" si="1317">_xlfn.CONCAT("LogChantPlatLogNbTraj",RIGHT(LEFT(D1298,LEN(D1298)-1),2))</f>
        <v>LogChantPlatLogNbTraj41</v>
      </c>
      <c r="G1298" t="s">
        <v>17</v>
      </c>
      <c r="H1298">
        <f t="shared" si="1301"/>
        <v>0</v>
      </c>
      <c r="K1298" t="s">
        <v>145</v>
      </c>
      <c r="L1298">
        <v>1</v>
      </c>
      <c r="N1298" t="s">
        <v>220</v>
      </c>
    </row>
    <row r="1299" spans="1:14" outlineLevel="1" x14ac:dyDescent="0.25">
      <c r="A1299" t="s">
        <v>215</v>
      </c>
      <c r="C1299" t="s">
        <v>427</v>
      </c>
      <c r="D1299" t="str">
        <f>_xlfn.CONCAT("Taux de chargement moyen des véhicules pour l'accès à la plateforme logistique"," (",'Remplissage - Sit. Init.'!$C$433,")")</f>
        <v>Taux de chargement moyen des véhicules pour l'accès à la plateforme logistique (Catégorie 42)</v>
      </c>
      <c r="F1299" t="str">
        <f t="shared" ref="F1299" si="1318">_xlfn.CONCAT("LogChantPlatLogTC",RIGHT(LEFT(D1299,LEN(D1299)-1),2))</f>
        <v>LogChantPlatLogTC42</v>
      </c>
      <c r="G1299" t="s">
        <v>17</v>
      </c>
      <c r="H1299">
        <f t="shared" si="1301"/>
        <v>0</v>
      </c>
      <c r="I1299" s="3"/>
      <c r="K1299" t="s">
        <v>70</v>
      </c>
      <c r="L1299" s="7">
        <v>0.8</v>
      </c>
      <c r="N1299" t="s">
        <v>220</v>
      </c>
    </row>
    <row r="1300" spans="1:14" outlineLevel="1" x14ac:dyDescent="0.25">
      <c r="A1300" t="s">
        <v>215</v>
      </c>
      <c r="C1300" t="s">
        <v>427</v>
      </c>
      <c r="D1300" t="str">
        <f>_xlfn.CONCAT("Nombre de trajets associés"," (",'Remplissage - Sit. Init.'!$C$433,")")</f>
        <v>Nombre de trajets associés (Catégorie 42)</v>
      </c>
      <c r="F1300" t="str">
        <f t="shared" ref="F1300" si="1319">_xlfn.CONCAT("LogChantPlatLogNbTraj",RIGHT(LEFT(D1300,LEN(D1300)-1),2))</f>
        <v>LogChantPlatLogNbTraj42</v>
      </c>
      <c r="G1300" t="s">
        <v>17</v>
      </c>
      <c r="H1300">
        <f t="shared" si="1301"/>
        <v>0</v>
      </c>
      <c r="K1300" t="s">
        <v>145</v>
      </c>
      <c r="L1300">
        <v>1</v>
      </c>
      <c r="N1300" t="s">
        <v>220</v>
      </c>
    </row>
    <row r="1301" spans="1:14" outlineLevel="1" x14ac:dyDescent="0.25">
      <c r="A1301" t="s">
        <v>215</v>
      </c>
      <c r="C1301" t="s">
        <v>428</v>
      </c>
      <c r="D1301" t="str">
        <f>_xlfn.CONCAT("Taux de chargement moyen des véhicules pour l'accès à la plateforme logistique"," (",'Remplissage - Sit. Init.'!$C$443,")")</f>
        <v>Taux de chargement moyen des véhicules pour l'accès à la plateforme logistique (Catégorie 43)</v>
      </c>
      <c r="F1301" t="str">
        <f t="shared" ref="F1301" si="1320">_xlfn.CONCAT("LogChantPlatLogTC",RIGHT(LEFT(D1301,LEN(D1301)-1),2))</f>
        <v>LogChantPlatLogTC43</v>
      </c>
      <c r="G1301" t="s">
        <v>17</v>
      </c>
      <c r="H1301">
        <f t="shared" si="1301"/>
        <v>0</v>
      </c>
      <c r="I1301" s="3"/>
      <c r="K1301" t="s">
        <v>70</v>
      </c>
      <c r="L1301" s="7">
        <v>0.8</v>
      </c>
      <c r="N1301" t="s">
        <v>220</v>
      </c>
    </row>
    <row r="1302" spans="1:14" outlineLevel="1" x14ac:dyDescent="0.25">
      <c r="A1302" t="s">
        <v>215</v>
      </c>
      <c r="C1302" t="s">
        <v>428</v>
      </c>
      <c r="D1302" t="str">
        <f>_xlfn.CONCAT("Nombre de trajets associés"," (",'Remplissage - Sit. Init.'!$C$443,")")</f>
        <v>Nombre de trajets associés (Catégorie 43)</v>
      </c>
      <c r="F1302" t="str">
        <f t="shared" ref="F1302" si="1321">_xlfn.CONCAT("LogChantPlatLogNbTraj",RIGHT(LEFT(D1302,LEN(D1302)-1),2))</f>
        <v>LogChantPlatLogNbTraj43</v>
      </c>
      <c r="G1302" t="s">
        <v>17</v>
      </c>
      <c r="H1302">
        <f t="shared" si="1301"/>
        <v>0</v>
      </c>
      <c r="K1302" t="s">
        <v>145</v>
      </c>
      <c r="L1302">
        <v>1</v>
      </c>
      <c r="N1302" t="s">
        <v>220</v>
      </c>
    </row>
    <row r="1303" spans="1:14" outlineLevel="1" x14ac:dyDescent="0.25">
      <c r="A1303" t="s">
        <v>215</v>
      </c>
      <c r="C1303" t="s">
        <v>429</v>
      </c>
      <c r="D1303" t="str">
        <f>_xlfn.CONCAT("Taux de chargement moyen des véhicules pour l'accès à la plateforme logistique"," (",'Remplissage - Sit. Init.'!$C$453,")")</f>
        <v>Taux de chargement moyen des véhicules pour l'accès à la plateforme logistique (Catégorie 44)</v>
      </c>
      <c r="F1303" t="str">
        <f t="shared" ref="F1303" si="1322">_xlfn.CONCAT("LogChantPlatLogTC",RIGHT(LEFT(D1303,LEN(D1303)-1),2))</f>
        <v>LogChantPlatLogTC44</v>
      </c>
      <c r="G1303" t="s">
        <v>17</v>
      </c>
      <c r="H1303">
        <f t="shared" si="1301"/>
        <v>1</v>
      </c>
      <c r="I1303" s="3"/>
      <c r="K1303" t="s">
        <v>70</v>
      </c>
      <c r="L1303" s="7">
        <v>0.8</v>
      </c>
      <c r="N1303" t="s">
        <v>220</v>
      </c>
    </row>
    <row r="1304" spans="1:14" outlineLevel="1" x14ac:dyDescent="0.25">
      <c r="A1304" t="s">
        <v>215</v>
      </c>
      <c r="C1304" t="s">
        <v>429</v>
      </c>
      <c r="D1304" t="str">
        <f>_xlfn.CONCAT("Nombre de trajets associés"," (",'Remplissage - Sit. Init.'!$C$453,")")</f>
        <v>Nombre de trajets associés (Catégorie 44)</v>
      </c>
      <c r="F1304" t="str">
        <f t="shared" ref="F1304" si="1323">_xlfn.CONCAT("LogChantPlatLogNbTraj",RIGHT(LEFT(D1304,LEN(D1304)-1),2))</f>
        <v>LogChantPlatLogNbTraj44</v>
      </c>
      <c r="G1304" t="s">
        <v>17</v>
      </c>
      <c r="H1304">
        <f t="shared" si="1301"/>
        <v>1</v>
      </c>
      <c r="K1304" t="s">
        <v>145</v>
      </c>
      <c r="L1304">
        <v>1</v>
      </c>
      <c r="N1304" t="s">
        <v>220</v>
      </c>
    </row>
    <row r="1305" spans="1:14" outlineLevel="1" x14ac:dyDescent="0.25">
      <c r="A1305" t="s">
        <v>215</v>
      </c>
      <c r="C1305" t="s">
        <v>387</v>
      </c>
      <c r="D1305" t="str">
        <f>_xlfn.CONCAT("Taux de chargement moyen des véhicules pour l'accès à la plateforme logistique"," (",'Remplissage - Sit. Init.'!$C$463,")")</f>
        <v>Taux de chargement moyen des véhicules pour l'accès à la plateforme logistique (Catégorie 45)</v>
      </c>
      <c r="F1305" t="str">
        <f t="shared" ref="F1305" si="1324">_xlfn.CONCAT("LogChantPlatLogTC",RIGHT(LEFT(D1305,LEN(D1305)-1),2))</f>
        <v>LogChantPlatLogTC45</v>
      </c>
      <c r="G1305" t="s">
        <v>17</v>
      </c>
      <c r="H1305">
        <f t="shared" si="1301"/>
        <v>0</v>
      </c>
      <c r="I1305" s="3"/>
      <c r="K1305" t="s">
        <v>70</v>
      </c>
      <c r="L1305" s="7">
        <v>0.8</v>
      </c>
      <c r="N1305" t="s">
        <v>220</v>
      </c>
    </row>
    <row r="1306" spans="1:14" outlineLevel="1" x14ac:dyDescent="0.25">
      <c r="A1306" t="s">
        <v>215</v>
      </c>
      <c r="C1306" t="s">
        <v>387</v>
      </c>
      <c r="D1306" t="str">
        <f>_xlfn.CONCAT("Nombre de trajets associés"," (",'Remplissage - Sit. Init.'!$C$463,")")</f>
        <v>Nombre de trajets associés (Catégorie 45)</v>
      </c>
      <c r="F1306" t="str">
        <f t="shared" ref="F1306" si="1325">_xlfn.CONCAT("LogChantPlatLogNbTraj",RIGHT(LEFT(D1306,LEN(D1306)-1),2))</f>
        <v>LogChantPlatLogNbTraj45</v>
      </c>
      <c r="G1306" t="s">
        <v>17</v>
      </c>
      <c r="H1306">
        <f t="shared" si="1301"/>
        <v>0</v>
      </c>
      <c r="K1306" t="s">
        <v>145</v>
      </c>
      <c r="L1306">
        <v>1</v>
      </c>
      <c r="N1306" t="s">
        <v>220</v>
      </c>
    </row>
    <row r="1307" spans="1:14" outlineLevel="1" x14ac:dyDescent="0.25">
      <c r="A1307" t="s">
        <v>215</v>
      </c>
      <c r="C1307" t="s">
        <v>258</v>
      </c>
      <c r="D1307" t="s">
        <v>259</v>
      </c>
      <c r="F1307" t="s">
        <v>260</v>
      </c>
      <c r="G1307" t="s">
        <v>20</v>
      </c>
      <c r="H1307">
        <f>(IF(ISNUMBER(SEARCH("Oui",$I$459)),1,0))*(IF(ISNUMBER(SEARCH("Par catégorie de véhicule sélectionnée",$I$461)),1,0))</f>
        <v>0</v>
      </c>
      <c r="I1307" t="s">
        <v>389</v>
      </c>
      <c r="J1307" t="s">
        <v>239</v>
      </c>
      <c r="N1307" t="s">
        <v>220</v>
      </c>
    </row>
    <row r="1308" spans="1:14" outlineLevel="1" x14ac:dyDescent="0.25">
      <c r="A1308" t="s">
        <v>215</v>
      </c>
      <c r="C1308" t="s">
        <v>258</v>
      </c>
      <c r="D1308" t="s">
        <v>261</v>
      </c>
      <c r="F1308" t="s">
        <v>262</v>
      </c>
      <c r="G1308" t="s">
        <v>17</v>
      </c>
      <c r="H1308">
        <f>(IF(ISNUMBER(SEARCH("Oui",$I$459)),1,0))*(IF(ISNUMBER(SEARCH("Par catégorie de véhicule sélectionnée",$I$461)),1,0))</f>
        <v>0</v>
      </c>
      <c r="K1308" t="s">
        <v>88</v>
      </c>
      <c r="L1308">
        <v>10</v>
      </c>
      <c r="N1308" t="s">
        <v>220</v>
      </c>
    </row>
    <row r="1309" spans="1:14" outlineLevel="1" x14ac:dyDescent="0.25">
      <c r="A1309" t="s">
        <v>215</v>
      </c>
      <c r="C1309" t="s">
        <v>258</v>
      </c>
      <c r="D1309" t="s">
        <v>263</v>
      </c>
      <c r="F1309" t="s">
        <v>264</v>
      </c>
      <c r="G1309" t="s">
        <v>17</v>
      </c>
      <c r="H1309">
        <f>((IF(ISNUMBER(SEARCH("Oui",$I$459)),1,0))*(IF(ISNUMBER(SEARCH("Proposer un ordre de grandeur commun à toutes les catégories de véhicules",$I$461)),1,0)))*(IF(ISNUMBER(SEARCH("Par catégorie de véhicule sélectionnée",$I$461)),1,0))</f>
        <v>0</v>
      </c>
      <c r="I1309" s="3"/>
      <c r="K1309" t="s">
        <v>70</v>
      </c>
      <c r="L1309" s="7">
        <v>0.6</v>
      </c>
      <c r="N1309" t="s">
        <v>220</v>
      </c>
    </row>
    <row r="1310" spans="1:14" outlineLevel="1" x14ac:dyDescent="0.25">
      <c r="A1310" t="s">
        <v>215</v>
      </c>
      <c r="C1310" t="s">
        <v>258</v>
      </c>
      <c r="D1310" t="s">
        <v>248</v>
      </c>
      <c r="F1310" t="s">
        <v>265</v>
      </c>
      <c r="G1310" t="s">
        <v>17</v>
      </c>
      <c r="H1310">
        <f>((IF(ISNUMBER(SEARCH("Oui",$I$459)),1,0)*IF(ISNUMBER(SEARCH("La distance moyenne d'un trajet et le nombre de trajets",#REF!)),1,0))*(IF(ISNUMBER(SEARCH("Proposer un ordre de grandeur commun à toutes les catégories de véhicules",$I$461)),1,0)))*(IF(ISNUMBER(SEARCH("Par catégorie de véhicule sélectionnée",$I$461)),1,0))</f>
        <v>0</v>
      </c>
      <c r="K1310" t="s">
        <v>145</v>
      </c>
      <c r="L1310">
        <v>5</v>
      </c>
      <c r="N1310" t="s">
        <v>220</v>
      </c>
    </row>
    <row r="1311" spans="1:14" outlineLevel="1" x14ac:dyDescent="0.25">
      <c r="A1311" t="s">
        <v>215</v>
      </c>
      <c r="C1311" t="s">
        <v>382</v>
      </c>
      <c r="D1311" t="str">
        <f>_xlfn.CONCAT("Taux de chargement moyen des véhicules pour l'accès au(x) chantier(s) depuis la plateforme"," (",'Remplissage - Sit. Init.'!$C$23,")")</f>
        <v>Taux de chargement moyen des véhicules pour l'accès au(x) chantier(s) depuis la plateforme (Catégorie 1)</v>
      </c>
      <c r="F1311" t="str">
        <f>_xlfn.CONCAT("LogChantDepuisPLTC",RIGHT(LEFT(D1311,LEN(D1311)-1),1))</f>
        <v>LogChantDepuisPLTC1</v>
      </c>
      <c r="G1311" t="s">
        <v>17</v>
      </c>
      <c r="H1311">
        <f>(IF(ISNUMBER(SEARCH($C1311,$I$1307)),1,0))*(IF(ISNUMBER(SEARCH("Par catégorie de véhicule sélectionnée (meilleure précision)",$I$1119)),1,0))</f>
        <v>0</v>
      </c>
      <c r="I1311" s="3"/>
      <c r="K1311" t="s">
        <v>70</v>
      </c>
      <c r="L1311" s="7">
        <v>0.6</v>
      </c>
      <c r="N1311" t="s">
        <v>220</v>
      </c>
    </row>
    <row r="1312" spans="1:14" outlineLevel="1" x14ac:dyDescent="0.25">
      <c r="A1312" t="s">
        <v>215</v>
      </c>
      <c r="C1312" t="s">
        <v>382</v>
      </c>
      <c r="D1312" t="str">
        <f>_xlfn.CONCAT("Nombre de trajets associés"," (",'Remplissage - Sit. Init.'!$C$23,")")</f>
        <v>Nombre de trajets associés (Catégorie 1)</v>
      </c>
      <c r="F1312" t="str">
        <f>_xlfn.CONCAT("LogChantDepuisPLNbTraj",RIGHT(LEFT(D1312,LEN(D1312)-1),1))</f>
        <v>LogChantDepuisPLNbTraj1</v>
      </c>
      <c r="G1312" t="s">
        <v>17</v>
      </c>
      <c r="H1312">
        <f t="shared" ref="H1312:H1375" si="1326">(IF(ISNUMBER(SEARCH($C1312,$I$1307)),1,0))*(IF(ISNUMBER(SEARCH("Par catégorie de véhicule sélectionnée (meilleure précision)",$I$1119)),1,0))</f>
        <v>0</v>
      </c>
      <c r="K1312" t="s">
        <v>145</v>
      </c>
      <c r="L1312">
        <v>3</v>
      </c>
      <c r="N1312" t="s">
        <v>220</v>
      </c>
    </row>
    <row r="1313" spans="1:14" outlineLevel="1" x14ac:dyDescent="0.25">
      <c r="A1313" t="s">
        <v>215</v>
      </c>
      <c r="C1313" t="s">
        <v>386</v>
      </c>
      <c r="D1313" t="str">
        <f>_xlfn.CONCAT("Taux de chargement moyen des véhicules pour l'accès au(x) chantier(s) depuis la plateforme"," (",'Remplissage - Sit. Init.'!$C$33,")")</f>
        <v>Taux de chargement moyen des véhicules pour l'accès au(x) chantier(s) depuis la plateforme (Catégorie 2)</v>
      </c>
      <c r="F1313" t="str">
        <f>_xlfn.CONCAT("LogChantDepuisPLTC",RIGHT(LEFT(D1313,LEN(D1313)-1),1))</f>
        <v>LogChantDepuisPLTC2</v>
      </c>
      <c r="G1313" t="s">
        <v>17</v>
      </c>
      <c r="H1313">
        <f t="shared" si="1326"/>
        <v>0</v>
      </c>
      <c r="I1313" s="3"/>
      <c r="K1313" t="s">
        <v>70</v>
      </c>
      <c r="L1313" s="7">
        <v>0.6</v>
      </c>
      <c r="N1313" t="s">
        <v>220</v>
      </c>
    </row>
    <row r="1314" spans="1:14" outlineLevel="1" x14ac:dyDescent="0.25">
      <c r="A1314" t="s">
        <v>215</v>
      </c>
      <c r="C1314" t="s">
        <v>386</v>
      </c>
      <c r="D1314" t="str">
        <f>_xlfn.CONCAT("Nombre de trajets associés"," (",'Remplissage - Sit. Init.'!$C$33,")")</f>
        <v>Nombre de trajets associés (Catégorie 2)</v>
      </c>
      <c r="F1314" t="str">
        <f>_xlfn.CONCAT("LogChantDepuisPLNbTraj",RIGHT(LEFT(D1314,LEN(D1314)-1),1))</f>
        <v>LogChantDepuisPLNbTraj2</v>
      </c>
      <c r="G1314" t="s">
        <v>17</v>
      </c>
      <c r="H1314">
        <f t="shared" si="1326"/>
        <v>0</v>
      </c>
      <c r="K1314" t="s">
        <v>145</v>
      </c>
      <c r="L1314">
        <v>3</v>
      </c>
      <c r="N1314" t="s">
        <v>220</v>
      </c>
    </row>
    <row r="1315" spans="1:14" outlineLevel="1" x14ac:dyDescent="0.25">
      <c r="A1315" t="s">
        <v>215</v>
      </c>
      <c r="C1315" t="s">
        <v>388</v>
      </c>
      <c r="D1315" t="str">
        <f>_xlfn.CONCAT("Taux de chargement moyen des véhicules pour l'accès au(x) chantier(s) depuis la plateforme"," (",'Remplissage - Sit. Init.'!$C$43,")")</f>
        <v>Taux de chargement moyen des véhicules pour l'accès au(x) chantier(s) depuis la plateforme (Catégorie 3)</v>
      </c>
      <c r="F1315" t="str">
        <f>_xlfn.CONCAT("LogChantDepuisPLTC",RIGHT(LEFT(D1315,LEN(D1315)-1),1))</f>
        <v>LogChantDepuisPLTC3</v>
      </c>
      <c r="G1315" t="s">
        <v>17</v>
      </c>
      <c r="H1315">
        <f t="shared" si="1326"/>
        <v>0</v>
      </c>
      <c r="I1315" s="3"/>
      <c r="K1315" t="s">
        <v>70</v>
      </c>
      <c r="L1315" s="7">
        <v>0.6</v>
      </c>
      <c r="N1315" t="s">
        <v>220</v>
      </c>
    </row>
    <row r="1316" spans="1:14" outlineLevel="1" x14ac:dyDescent="0.25">
      <c r="A1316" t="s">
        <v>215</v>
      </c>
      <c r="C1316" t="s">
        <v>388</v>
      </c>
      <c r="D1316" t="str">
        <f>_xlfn.CONCAT("Nombre de trajets associés"," (",'Remplissage - Sit. Init.'!$C$43,")")</f>
        <v>Nombre de trajets associés (Catégorie 3)</v>
      </c>
      <c r="F1316" t="str">
        <f>_xlfn.CONCAT("LogChantDepuisPLNbTraj",RIGHT(LEFT(D1316,LEN(D1316)-1),1))</f>
        <v>LogChantDepuisPLNbTraj3</v>
      </c>
      <c r="G1316" t="s">
        <v>17</v>
      </c>
      <c r="H1316">
        <f t="shared" si="1326"/>
        <v>0</v>
      </c>
      <c r="K1316" t="s">
        <v>145</v>
      </c>
      <c r="L1316">
        <v>3</v>
      </c>
      <c r="N1316" t="s">
        <v>220</v>
      </c>
    </row>
    <row r="1317" spans="1:14" outlineLevel="1" x14ac:dyDescent="0.25">
      <c r="A1317" t="s">
        <v>215</v>
      </c>
      <c r="C1317" t="s">
        <v>389</v>
      </c>
      <c r="D1317" t="str">
        <f>_xlfn.CONCAT("Taux de chargement moyen des véhicules pour l'accès au(x) chantier(s) depuis la plateforme"," (",'Remplissage - Sit. Init.'!$C$53,")")</f>
        <v>Taux de chargement moyen des véhicules pour l'accès au(x) chantier(s) depuis la plateforme (Catégorie 4)</v>
      </c>
      <c r="F1317" t="str">
        <f>_xlfn.CONCAT("LogChantDepuisPLTC",RIGHT(LEFT(D1317,LEN(D1317)-1),1))</f>
        <v>LogChantDepuisPLTC4</v>
      </c>
      <c r="G1317" t="s">
        <v>17</v>
      </c>
      <c r="H1317">
        <f t="shared" si="1326"/>
        <v>1</v>
      </c>
      <c r="I1317" s="3"/>
      <c r="K1317" t="s">
        <v>70</v>
      </c>
      <c r="L1317" s="7">
        <v>0.6</v>
      </c>
      <c r="N1317" t="s">
        <v>220</v>
      </c>
    </row>
    <row r="1318" spans="1:14" outlineLevel="1" x14ac:dyDescent="0.25">
      <c r="A1318" t="s">
        <v>215</v>
      </c>
      <c r="C1318" t="s">
        <v>389</v>
      </c>
      <c r="D1318" t="str">
        <f>_xlfn.CONCAT("Nombre de trajets associés"," (",'Remplissage - Sit. Init.'!$C$53,")")</f>
        <v>Nombre de trajets associés (Catégorie 4)</v>
      </c>
      <c r="F1318" t="str">
        <f>_xlfn.CONCAT("LogChantDepuisPLNbTraj",RIGHT(LEFT(D1318,LEN(D1318)-1),1))</f>
        <v>LogChantDepuisPLNbTraj4</v>
      </c>
      <c r="G1318" t="s">
        <v>17</v>
      </c>
      <c r="H1318">
        <f t="shared" si="1326"/>
        <v>1</v>
      </c>
      <c r="K1318" t="s">
        <v>145</v>
      </c>
      <c r="L1318">
        <v>3</v>
      </c>
      <c r="N1318" t="s">
        <v>220</v>
      </c>
    </row>
    <row r="1319" spans="1:14" outlineLevel="1" x14ac:dyDescent="0.25">
      <c r="A1319" t="s">
        <v>215</v>
      </c>
      <c r="C1319" t="s">
        <v>390</v>
      </c>
      <c r="D1319" t="str">
        <f>_xlfn.CONCAT("Taux de chargement moyen des véhicules pour l'accès au(x) chantier(s) depuis la plateforme"," (",'Remplissage - Sit. Init.'!$C$63,")")</f>
        <v>Taux de chargement moyen des véhicules pour l'accès au(x) chantier(s) depuis la plateforme (Catégorie 5)</v>
      </c>
      <c r="F1319" t="str">
        <f>_xlfn.CONCAT("LogChantDepuisPLTC",RIGHT(LEFT(D1319,LEN(D1319)-1),1))</f>
        <v>LogChantDepuisPLTC5</v>
      </c>
      <c r="G1319" t="s">
        <v>17</v>
      </c>
      <c r="H1319">
        <f t="shared" si="1326"/>
        <v>0</v>
      </c>
      <c r="I1319" s="3"/>
      <c r="K1319" t="s">
        <v>70</v>
      </c>
      <c r="L1319" s="7">
        <v>0.6</v>
      </c>
      <c r="N1319" t="s">
        <v>220</v>
      </c>
    </row>
    <row r="1320" spans="1:14" outlineLevel="1" x14ac:dyDescent="0.25">
      <c r="A1320" t="s">
        <v>215</v>
      </c>
      <c r="C1320" t="s">
        <v>390</v>
      </c>
      <c r="D1320" t="str">
        <f>_xlfn.CONCAT("Nombre de trajets associés"," (",'Remplissage - Sit. Init.'!$C$63,")")</f>
        <v>Nombre de trajets associés (Catégorie 5)</v>
      </c>
      <c r="F1320" t="str">
        <f>_xlfn.CONCAT("LogChantDepuisPLNbTraj",RIGHT(LEFT(D1320,LEN(D1320)-1),1))</f>
        <v>LogChantDepuisPLNbTraj5</v>
      </c>
      <c r="G1320" t="s">
        <v>17</v>
      </c>
      <c r="H1320">
        <f t="shared" si="1326"/>
        <v>0</v>
      </c>
      <c r="K1320" t="s">
        <v>145</v>
      </c>
      <c r="L1320">
        <v>3</v>
      </c>
      <c r="N1320" t="s">
        <v>220</v>
      </c>
    </row>
    <row r="1321" spans="1:14" outlineLevel="1" x14ac:dyDescent="0.25">
      <c r="A1321" t="s">
        <v>215</v>
      </c>
      <c r="C1321" t="s">
        <v>391</v>
      </c>
      <c r="D1321" t="str">
        <f>_xlfn.CONCAT("Taux de chargement moyen des véhicules pour l'accès au(x) chantier(s) depuis la plateforme"," (",'Remplissage - Sit. Init.'!$C$73,")")</f>
        <v>Taux de chargement moyen des véhicules pour l'accès au(x) chantier(s) depuis la plateforme (Catégorie 6)</v>
      </c>
      <c r="F1321" t="str">
        <f>_xlfn.CONCAT("LogChantDepuisPLTC",RIGHT(LEFT(D1321,LEN(D1321)-1),1))</f>
        <v>LogChantDepuisPLTC6</v>
      </c>
      <c r="G1321" t="s">
        <v>17</v>
      </c>
      <c r="H1321">
        <f t="shared" si="1326"/>
        <v>0</v>
      </c>
      <c r="I1321" s="3"/>
      <c r="K1321" t="s">
        <v>70</v>
      </c>
      <c r="L1321" s="7">
        <v>0.6</v>
      </c>
      <c r="N1321" t="s">
        <v>220</v>
      </c>
    </row>
    <row r="1322" spans="1:14" outlineLevel="1" x14ac:dyDescent="0.25">
      <c r="A1322" t="s">
        <v>215</v>
      </c>
      <c r="C1322" t="s">
        <v>391</v>
      </c>
      <c r="D1322" t="str">
        <f>_xlfn.CONCAT("Nombre de trajets associés"," (",'Remplissage - Sit. Init.'!$C$73,")")</f>
        <v>Nombre de trajets associés (Catégorie 6)</v>
      </c>
      <c r="F1322" t="str">
        <f>_xlfn.CONCAT("LogChantDepuisPLNbTraj",RIGHT(LEFT(D1322,LEN(D1322)-1),1))</f>
        <v>LogChantDepuisPLNbTraj6</v>
      </c>
      <c r="G1322" t="s">
        <v>17</v>
      </c>
      <c r="H1322">
        <f t="shared" si="1326"/>
        <v>0</v>
      </c>
      <c r="K1322" t="s">
        <v>145</v>
      </c>
      <c r="L1322">
        <v>3</v>
      </c>
      <c r="N1322" t="s">
        <v>220</v>
      </c>
    </row>
    <row r="1323" spans="1:14" outlineLevel="1" x14ac:dyDescent="0.25">
      <c r="A1323" t="s">
        <v>215</v>
      </c>
      <c r="C1323" t="s">
        <v>392</v>
      </c>
      <c r="D1323" t="str">
        <f>_xlfn.CONCAT("Taux de chargement moyen des véhicules pour l'accès au(x) chantier(s) depuis la plateforme"," (",'Remplissage - Sit. Init.'!$C$83,")")</f>
        <v>Taux de chargement moyen des véhicules pour l'accès au(x) chantier(s) depuis la plateforme (Catégorie 7)</v>
      </c>
      <c r="F1323" t="str">
        <f>_xlfn.CONCAT("LogChantDepuisPLTC",RIGHT(LEFT(D1323,LEN(D1323)-1),1))</f>
        <v>LogChantDepuisPLTC7</v>
      </c>
      <c r="G1323" t="s">
        <v>17</v>
      </c>
      <c r="H1323">
        <f t="shared" si="1326"/>
        <v>0</v>
      </c>
      <c r="I1323" s="3"/>
      <c r="K1323" t="s">
        <v>70</v>
      </c>
      <c r="L1323" s="7">
        <v>0.6</v>
      </c>
      <c r="N1323" t="s">
        <v>220</v>
      </c>
    </row>
    <row r="1324" spans="1:14" outlineLevel="1" x14ac:dyDescent="0.25">
      <c r="A1324" t="s">
        <v>215</v>
      </c>
      <c r="C1324" t="s">
        <v>392</v>
      </c>
      <c r="D1324" t="str">
        <f>_xlfn.CONCAT("Nombre de trajets associés"," (",'Remplissage - Sit. Init.'!$C$83,")")</f>
        <v>Nombre de trajets associés (Catégorie 7)</v>
      </c>
      <c r="F1324" t="str">
        <f>_xlfn.CONCAT("LogChantDepuisPLNbTraj",RIGHT(LEFT(D1324,LEN(D1324)-1),1))</f>
        <v>LogChantDepuisPLNbTraj7</v>
      </c>
      <c r="G1324" t="s">
        <v>17</v>
      </c>
      <c r="H1324">
        <f t="shared" si="1326"/>
        <v>0</v>
      </c>
      <c r="K1324" t="s">
        <v>145</v>
      </c>
      <c r="L1324">
        <v>3</v>
      </c>
      <c r="N1324" t="s">
        <v>220</v>
      </c>
    </row>
    <row r="1325" spans="1:14" outlineLevel="1" x14ac:dyDescent="0.25">
      <c r="A1325" t="s">
        <v>215</v>
      </c>
      <c r="C1325" t="s">
        <v>393</v>
      </c>
      <c r="D1325" t="str">
        <f>_xlfn.CONCAT("Taux de chargement moyen des véhicules pour l'accès au(x) chantier(s) depuis la plateforme"," (",'Remplissage - Sit. Init.'!$C$93,")")</f>
        <v>Taux de chargement moyen des véhicules pour l'accès au(x) chantier(s) depuis la plateforme (Catégorie 8)</v>
      </c>
      <c r="F1325" t="str">
        <f>_xlfn.CONCAT("LogChantDepuisPLTC",RIGHT(LEFT(D1325,LEN(D1325)-1),1))</f>
        <v>LogChantDepuisPLTC8</v>
      </c>
      <c r="G1325" t="s">
        <v>17</v>
      </c>
      <c r="H1325">
        <f t="shared" si="1326"/>
        <v>0</v>
      </c>
      <c r="I1325" s="3"/>
      <c r="K1325" t="s">
        <v>70</v>
      </c>
      <c r="L1325" s="7">
        <v>0.6</v>
      </c>
      <c r="N1325" t="s">
        <v>220</v>
      </c>
    </row>
    <row r="1326" spans="1:14" outlineLevel="1" x14ac:dyDescent="0.25">
      <c r="A1326" t="s">
        <v>215</v>
      </c>
      <c r="C1326" t="s">
        <v>393</v>
      </c>
      <c r="D1326" t="str">
        <f>_xlfn.CONCAT("Nombre de trajets associés"," (",'Remplissage - Sit. Init.'!$C$93,")")</f>
        <v>Nombre de trajets associés (Catégorie 8)</v>
      </c>
      <c r="F1326" t="str">
        <f>_xlfn.CONCAT("LogChantDepuisPLNbTraj",RIGHT(LEFT(D1326,LEN(D1326)-1),1))</f>
        <v>LogChantDepuisPLNbTraj8</v>
      </c>
      <c r="G1326" t="s">
        <v>17</v>
      </c>
      <c r="H1326">
        <f t="shared" si="1326"/>
        <v>0</v>
      </c>
      <c r="K1326" t="s">
        <v>145</v>
      </c>
      <c r="L1326">
        <v>3</v>
      </c>
      <c r="N1326" t="s">
        <v>220</v>
      </c>
    </row>
    <row r="1327" spans="1:14" outlineLevel="1" x14ac:dyDescent="0.25">
      <c r="A1327" t="s">
        <v>215</v>
      </c>
      <c r="C1327" t="s">
        <v>394</v>
      </c>
      <c r="D1327" t="str">
        <f>_xlfn.CONCAT("Taux de chargement moyen des véhicules pour l'accès au(x) chantier(s) depuis la plateforme"," (",'Remplissage - Sit. Init.'!$C$103,")")</f>
        <v>Taux de chargement moyen des véhicules pour l'accès au(x) chantier(s) depuis la plateforme (Catégorie 9)</v>
      </c>
      <c r="F1327" t="str">
        <f>_xlfn.CONCAT("LogChantDepuisPLTC",RIGHT(LEFT(D1327,LEN(D1327)-1),1))</f>
        <v>LogChantDepuisPLTC9</v>
      </c>
      <c r="G1327" t="s">
        <v>17</v>
      </c>
      <c r="H1327">
        <f t="shared" si="1326"/>
        <v>0</v>
      </c>
      <c r="I1327" s="3"/>
      <c r="K1327" t="s">
        <v>70</v>
      </c>
      <c r="L1327" s="7">
        <v>0.6</v>
      </c>
      <c r="N1327" t="s">
        <v>220</v>
      </c>
    </row>
    <row r="1328" spans="1:14" outlineLevel="1" x14ac:dyDescent="0.25">
      <c r="A1328" t="s">
        <v>215</v>
      </c>
      <c r="C1328" t="s">
        <v>394</v>
      </c>
      <c r="D1328" t="str">
        <f>_xlfn.CONCAT("Nombre de trajets associés"," (",'Remplissage - Sit. Init.'!$C$103,")")</f>
        <v>Nombre de trajets associés (Catégorie 9)</v>
      </c>
      <c r="F1328" t="str">
        <f>_xlfn.CONCAT("LogChantDepuisPLNbTraj",RIGHT(LEFT(D1328,LEN(D1328)-1),1))</f>
        <v>LogChantDepuisPLNbTraj9</v>
      </c>
      <c r="G1328" t="s">
        <v>17</v>
      </c>
      <c r="H1328">
        <f t="shared" si="1326"/>
        <v>0</v>
      </c>
      <c r="K1328" t="s">
        <v>145</v>
      </c>
      <c r="L1328">
        <v>3</v>
      </c>
      <c r="N1328" t="s">
        <v>220</v>
      </c>
    </row>
    <row r="1329" spans="1:14" outlineLevel="1" x14ac:dyDescent="0.25">
      <c r="A1329" t="s">
        <v>215</v>
      </c>
      <c r="C1329" t="s">
        <v>395</v>
      </c>
      <c r="D1329" t="str">
        <f>_xlfn.CONCAT("Taux de chargement moyen des véhicules pour l'accès au(x) chantier(s) depuis la plateforme"," (",'Remplissage - Sit. Init.'!$C$113,")")</f>
        <v>Taux de chargement moyen des véhicules pour l'accès au(x) chantier(s) depuis la plateforme (Catégorie 10)</v>
      </c>
      <c r="F1329" t="str">
        <f>_xlfn.CONCAT("LogChantDepuisPLTC",RIGHT(LEFT(D1329,LEN(D1329)-1),2))</f>
        <v>LogChantDepuisPLTC10</v>
      </c>
      <c r="G1329" t="s">
        <v>17</v>
      </c>
      <c r="H1329">
        <f t="shared" si="1326"/>
        <v>0</v>
      </c>
      <c r="I1329" s="3"/>
      <c r="K1329" t="s">
        <v>70</v>
      </c>
      <c r="L1329" s="7">
        <v>0.6</v>
      </c>
      <c r="N1329" t="s">
        <v>220</v>
      </c>
    </row>
    <row r="1330" spans="1:14" outlineLevel="1" x14ac:dyDescent="0.25">
      <c r="A1330" t="s">
        <v>215</v>
      </c>
      <c r="C1330" t="s">
        <v>395</v>
      </c>
      <c r="D1330" t="str">
        <f>_xlfn.CONCAT("Nombre de trajets associés"," (",'Remplissage - Sit. Init.'!$C$113,")")</f>
        <v>Nombre de trajets associés (Catégorie 10)</v>
      </c>
      <c r="F1330" t="str">
        <f>_xlfn.CONCAT("LogChantDepuisPLNbTraj",RIGHT(LEFT(D1330,LEN(D1330)-1),2))</f>
        <v>LogChantDepuisPLNbTraj10</v>
      </c>
      <c r="G1330" t="s">
        <v>17</v>
      </c>
      <c r="H1330">
        <f t="shared" si="1326"/>
        <v>0</v>
      </c>
      <c r="K1330" t="s">
        <v>145</v>
      </c>
      <c r="L1330">
        <v>3</v>
      </c>
      <c r="N1330" t="s">
        <v>220</v>
      </c>
    </row>
    <row r="1331" spans="1:14" outlineLevel="1" x14ac:dyDescent="0.25">
      <c r="A1331" t="s">
        <v>215</v>
      </c>
      <c r="C1331" t="s">
        <v>396</v>
      </c>
      <c r="D1331" t="str">
        <f>_xlfn.CONCAT("Taux de chargement moyen des véhicules pour l'accès au(x) chantier(s) depuis la plateforme"," (",'Remplissage - Sit. Init.'!$C$123,")")</f>
        <v>Taux de chargement moyen des véhicules pour l'accès au(x) chantier(s) depuis la plateforme (Catégorie 11)</v>
      </c>
      <c r="F1331" t="str">
        <f t="shared" ref="F1331" si="1327">_xlfn.CONCAT("LogChantDepuisPLTC",RIGHT(LEFT(D1331,LEN(D1331)-1),2))</f>
        <v>LogChantDepuisPLTC11</v>
      </c>
      <c r="G1331" t="s">
        <v>17</v>
      </c>
      <c r="H1331">
        <f t="shared" si="1326"/>
        <v>0</v>
      </c>
      <c r="I1331" s="3"/>
      <c r="K1331" t="s">
        <v>70</v>
      </c>
      <c r="L1331" s="7">
        <v>0.6</v>
      </c>
      <c r="N1331" t="s">
        <v>220</v>
      </c>
    </row>
    <row r="1332" spans="1:14" outlineLevel="1" x14ac:dyDescent="0.25">
      <c r="A1332" t="s">
        <v>215</v>
      </c>
      <c r="C1332" t="s">
        <v>396</v>
      </c>
      <c r="D1332" t="str">
        <f>_xlfn.CONCAT("Nombre de trajets associés"," (",'Remplissage - Sit. Init.'!$C$123,")")</f>
        <v>Nombre de trajets associés (Catégorie 11)</v>
      </c>
      <c r="F1332" t="str">
        <f t="shared" ref="F1332" si="1328">_xlfn.CONCAT("LogChantDepuisPLNbTraj",RIGHT(LEFT(D1332,LEN(D1332)-1),2))</f>
        <v>LogChantDepuisPLNbTraj11</v>
      </c>
      <c r="G1332" t="s">
        <v>17</v>
      </c>
      <c r="H1332">
        <f t="shared" si="1326"/>
        <v>0</v>
      </c>
      <c r="K1332" t="s">
        <v>145</v>
      </c>
      <c r="L1332">
        <v>3</v>
      </c>
      <c r="N1332" t="s">
        <v>220</v>
      </c>
    </row>
    <row r="1333" spans="1:14" outlineLevel="1" x14ac:dyDescent="0.25">
      <c r="A1333" t="s">
        <v>215</v>
      </c>
      <c r="C1333" t="s">
        <v>397</v>
      </c>
      <c r="D1333" t="str">
        <f>_xlfn.CONCAT("Taux de chargement moyen des véhicules pour l'accès au(x) chantier(s) depuis la plateforme"," (",'Remplissage - Sit. Init.'!$C$133,")")</f>
        <v>Taux de chargement moyen des véhicules pour l'accès au(x) chantier(s) depuis la plateforme (Catégorie 12)</v>
      </c>
      <c r="F1333" t="str">
        <f t="shared" ref="F1333" si="1329">_xlfn.CONCAT("LogChantDepuisPLTC",RIGHT(LEFT(D1333,LEN(D1333)-1),2))</f>
        <v>LogChantDepuisPLTC12</v>
      </c>
      <c r="G1333" t="s">
        <v>17</v>
      </c>
      <c r="H1333">
        <f t="shared" si="1326"/>
        <v>0</v>
      </c>
      <c r="I1333" s="3"/>
      <c r="K1333" t="s">
        <v>70</v>
      </c>
      <c r="L1333" s="7">
        <v>0.6</v>
      </c>
      <c r="N1333" t="s">
        <v>220</v>
      </c>
    </row>
    <row r="1334" spans="1:14" outlineLevel="1" x14ac:dyDescent="0.25">
      <c r="A1334" t="s">
        <v>215</v>
      </c>
      <c r="C1334" t="s">
        <v>397</v>
      </c>
      <c r="D1334" t="str">
        <f>_xlfn.CONCAT("Nombre de trajets associés"," (",'Remplissage - Sit. Init.'!$C$133,")")</f>
        <v>Nombre de trajets associés (Catégorie 12)</v>
      </c>
      <c r="F1334" t="str">
        <f t="shared" ref="F1334" si="1330">_xlfn.CONCAT("LogChantDepuisPLNbTraj",RIGHT(LEFT(D1334,LEN(D1334)-1),2))</f>
        <v>LogChantDepuisPLNbTraj12</v>
      </c>
      <c r="G1334" t="s">
        <v>17</v>
      </c>
      <c r="H1334">
        <f t="shared" si="1326"/>
        <v>0</v>
      </c>
      <c r="K1334" t="s">
        <v>145</v>
      </c>
      <c r="L1334">
        <v>3</v>
      </c>
      <c r="N1334" t="s">
        <v>220</v>
      </c>
    </row>
    <row r="1335" spans="1:14" outlineLevel="1" x14ac:dyDescent="0.25">
      <c r="A1335" t="s">
        <v>215</v>
      </c>
      <c r="C1335" t="s">
        <v>398</v>
      </c>
      <c r="D1335" t="str">
        <f>_xlfn.CONCAT("Taux de chargement moyen des véhicules pour l'accès au(x) chantier(s) depuis la plateforme"," (",'Remplissage - Sit. Init.'!$C$143,")")</f>
        <v>Taux de chargement moyen des véhicules pour l'accès au(x) chantier(s) depuis la plateforme (Catégorie 13)</v>
      </c>
      <c r="F1335" t="str">
        <f t="shared" ref="F1335" si="1331">_xlfn.CONCAT("LogChantDepuisPLTC",RIGHT(LEFT(D1335,LEN(D1335)-1),2))</f>
        <v>LogChantDepuisPLTC13</v>
      </c>
      <c r="G1335" t="s">
        <v>17</v>
      </c>
      <c r="H1335">
        <f t="shared" si="1326"/>
        <v>0</v>
      </c>
      <c r="I1335" s="3"/>
      <c r="K1335" t="s">
        <v>70</v>
      </c>
      <c r="L1335" s="7">
        <v>0.6</v>
      </c>
      <c r="N1335" t="s">
        <v>220</v>
      </c>
    </row>
    <row r="1336" spans="1:14" outlineLevel="1" x14ac:dyDescent="0.25">
      <c r="A1336" t="s">
        <v>215</v>
      </c>
      <c r="C1336" t="s">
        <v>398</v>
      </c>
      <c r="D1336" t="str">
        <f>_xlfn.CONCAT("Nombre de trajets associés"," (",'Remplissage - Sit. Init.'!$C$143,")")</f>
        <v>Nombre de trajets associés (Catégorie 13)</v>
      </c>
      <c r="F1336" t="str">
        <f t="shared" ref="F1336" si="1332">_xlfn.CONCAT("LogChantDepuisPLNbTraj",RIGHT(LEFT(D1336,LEN(D1336)-1),2))</f>
        <v>LogChantDepuisPLNbTraj13</v>
      </c>
      <c r="G1336" t="s">
        <v>17</v>
      </c>
      <c r="H1336">
        <f t="shared" si="1326"/>
        <v>0</v>
      </c>
      <c r="K1336" t="s">
        <v>145</v>
      </c>
      <c r="L1336">
        <v>3</v>
      </c>
      <c r="N1336" t="s">
        <v>220</v>
      </c>
    </row>
    <row r="1337" spans="1:14" outlineLevel="1" x14ac:dyDescent="0.25">
      <c r="A1337" t="s">
        <v>215</v>
      </c>
      <c r="C1337" t="s">
        <v>399</v>
      </c>
      <c r="D1337" t="str">
        <f>_xlfn.CONCAT("Taux de chargement moyen des véhicules pour l'accès au(x) chantier(s) depuis la plateforme"," (",'Remplissage - Sit. Init.'!$C$153,")")</f>
        <v>Taux de chargement moyen des véhicules pour l'accès au(x) chantier(s) depuis la plateforme (Catégorie 14)</v>
      </c>
      <c r="F1337" t="str">
        <f t="shared" ref="F1337" si="1333">_xlfn.CONCAT("LogChantDepuisPLTC",RIGHT(LEFT(D1337,LEN(D1337)-1),2))</f>
        <v>LogChantDepuisPLTC14</v>
      </c>
      <c r="G1337" t="s">
        <v>17</v>
      </c>
      <c r="H1337">
        <f t="shared" si="1326"/>
        <v>0</v>
      </c>
      <c r="I1337" s="3"/>
      <c r="K1337" t="s">
        <v>70</v>
      </c>
      <c r="L1337" s="7">
        <v>0.6</v>
      </c>
      <c r="N1337" t="s">
        <v>220</v>
      </c>
    </row>
    <row r="1338" spans="1:14" outlineLevel="1" x14ac:dyDescent="0.25">
      <c r="A1338" t="s">
        <v>215</v>
      </c>
      <c r="C1338" t="s">
        <v>399</v>
      </c>
      <c r="D1338" t="str">
        <f>_xlfn.CONCAT("Nombre de trajets associés"," (",'Remplissage - Sit. Init.'!$C$153,")")</f>
        <v>Nombre de trajets associés (Catégorie 14)</v>
      </c>
      <c r="F1338" t="str">
        <f t="shared" ref="F1338" si="1334">_xlfn.CONCAT("LogChantDepuisPLNbTraj",RIGHT(LEFT(D1338,LEN(D1338)-1),2))</f>
        <v>LogChantDepuisPLNbTraj14</v>
      </c>
      <c r="G1338" t="s">
        <v>17</v>
      </c>
      <c r="H1338">
        <f t="shared" si="1326"/>
        <v>0</v>
      </c>
      <c r="K1338" t="s">
        <v>145</v>
      </c>
      <c r="L1338">
        <v>3</v>
      </c>
      <c r="N1338" t="s">
        <v>220</v>
      </c>
    </row>
    <row r="1339" spans="1:14" outlineLevel="1" x14ac:dyDescent="0.25">
      <c r="A1339" t="s">
        <v>215</v>
      </c>
      <c r="C1339" t="s">
        <v>400</v>
      </c>
      <c r="D1339" t="str">
        <f>_xlfn.CONCAT("Taux de chargement moyen des véhicules pour l'accès au(x) chantier(s) depuis la plateforme"," (",'Remplissage - Sit. Init.'!$C$163,")")</f>
        <v>Taux de chargement moyen des véhicules pour l'accès au(x) chantier(s) depuis la plateforme (Catégorie 15)</v>
      </c>
      <c r="F1339" t="str">
        <f t="shared" ref="F1339" si="1335">_xlfn.CONCAT("LogChantDepuisPLTC",RIGHT(LEFT(D1339,LEN(D1339)-1),2))</f>
        <v>LogChantDepuisPLTC15</v>
      </c>
      <c r="G1339" t="s">
        <v>17</v>
      </c>
      <c r="H1339">
        <f t="shared" si="1326"/>
        <v>0</v>
      </c>
      <c r="I1339" s="3"/>
      <c r="K1339" t="s">
        <v>70</v>
      </c>
      <c r="L1339" s="7">
        <v>0.6</v>
      </c>
      <c r="N1339" t="s">
        <v>220</v>
      </c>
    </row>
    <row r="1340" spans="1:14" outlineLevel="1" x14ac:dyDescent="0.25">
      <c r="A1340" t="s">
        <v>215</v>
      </c>
      <c r="C1340" t="s">
        <v>400</v>
      </c>
      <c r="D1340" t="str">
        <f>_xlfn.CONCAT("Nombre de trajets associés"," (",'Remplissage - Sit. Init.'!$C$163,")")</f>
        <v>Nombre de trajets associés (Catégorie 15)</v>
      </c>
      <c r="F1340" t="str">
        <f t="shared" ref="F1340" si="1336">_xlfn.CONCAT("LogChantDepuisPLNbTraj",RIGHT(LEFT(D1340,LEN(D1340)-1),2))</f>
        <v>LogChantDepuisPLNbTraj15</v>
      </c>
      <c r="G1340" t="s">
        <v>17</v>
      </c>
      <c r="H1340">
        <f t="shared" si="1326"/>
        <v>0</v>
      </c>
      <c r="K1340" t="s">
        <v>145</v>
      </c>
      <c r="L1340">
        <v>3</v>
      </c>
      <c r="N1340" t="s">
        <v>220</v>
      </c>
    </row>
    <row r="1341" spans="1:14" outlineLevel="1" x14ac:dyDescent="0.25">
      <c r="A1341" t="s">
        <v>215</v>
      </c>
      <c r="C1341" t="s">
        <v>401</v>
      </c>
      <c r="D1341" t="str">
        <f>_xlfn.CONCAT("Taux de chargement moyen des véhicules pour l'accès au(x) chantier(s) depuis la plateforme"," (",'Remplissage - Sit. Init.'!$C$173,")")</f>
        <v>Taux de chargement moyen des véhicules pour l'accès au(x) chantier(s) depuis la plateforme (Catégorie 16)</v>
      </c>
      <c r="F1341" t="str">
        <f t="shared" ref="F1341" si="1337">_xlfn.CONCAT("LogChantDepuisPLTC",RIGHT(LEFT(D1341,LEN(D1341)-1),2))</f>
        <v>LogChantDepuisPLTC16</v>
      </c>
      <c r="G1341" t="s">
        <v>17</v>
      </c>
      <c r="H1341">
        <f t="shared" si="1326"/>
        <v>0</v>
      </c>
      <c r="I1341" s="3"/>
      <c r="K1341" t="s">
        <v>70</v>
      </c>
      <c r="L1341" s="7">
        <v>0.6</v>
      </c>
      <c r="N1341" t="s">
        <v>220</v>
      </c>
    </row>
    <row r="1342" spans="1:14" outlineLevel="1" x14ac:dyDescent="0.25">
      <c r="A1342" t="s">
        <v>215</v>
      </c>
      <c r="C1342" t="s">
        <v>401</v>
      </c>
      <c r="D1342" t="str">
        <f>_xlfn.CONCAT("Nombre de trajets associés"," (",'Remplissage - Sit. Init.'!$C$173,")")</f>
        <v>Nombre de trajets associés (Catégorie 16)</v>
      </c>
      <c r="F1342" t="str">
        <f t="shared" ref="F1342" si="1338">_xlfn.CONCAT("LogChantDepuisPLNbTraj",RIGHT(LEFT(D1342,LEN(D1342)-1),2))</f>
        <v>LogChantDepuisPLNbTraj16</v>
      </c>
      <c r="G1342" t="s">
        <v>17</v>
      </c>
      <c r="H1342">
        <f t="shared" si="1326"/>
        <v>0</v>
      </c>
      <c r="K1342" t="s">
        <v>145</v>
      </c>
      <c r="L1342">
        <v>3</v>
      </c>
      <c r="N1342" t="s">
        <v>220</v>
      </c>
    </row>
    <row r="1343" spans="1:14" outlineLevel="1" x14ac:dyDescent="0.25">
      <c r="A1343" t="s">
        <v>215</v>
      </c>
      <c r="C1343" t="s">
        <v>402</v>
      </c>
      <c r="D1343" t="str">
        <f>_xlfn.CONCAT("Taux de chargement moyen des véhicules pour l'accès au(x) chantier(s) depuis la plateforme"," (",'Remplissage - Sit. Init.'!$C$183,")")</f>
        <v>Taux de chargement moyen des véhicules pour l'accès au(x) chantier(s) depuis la plateforme (Catégorie 17)</v>
      </c>
      <c r="F1343" t="str">
        <f t="shared" ref="F1343" si="1339">_xlfn.CONCAT("LogChantDepuisPLTC",RIGHT(LEFT(D1343,LEN(D1343)-1),2))</f>
        <v>LogChantDepuisPLTC17</v>
      </c>
      <c r="G1343" t="s">
        <v>17</v>
      </c>
      <c r="H1343">
        <f t="shared" si="1326"/>
        <v>0</v>
      </c>
      <c r="I1343" s="3"/>
      <c r="K1343" t="s">
        <v>70</v>
      </c>
      <c r="L1343" s="7">
        <v>0.6</v>
      </c>
      <c r="N1343" t="s">
        <v>220</v>
      </c>
    </row>
    <row r="1344" spans="1:14" outlineLevel="1" x14ac:dyDescent="0.25">
      <c r="A1344" t="s">
        <v>215</v>
      </c>
      <c r="C1344" t="s">
        <v>402</v>
      </c>
      <c r="D1344" t="str">
        <f>_xlfn.CONCAT("Nombre de trajets associés"," (",'Remplissage - Sit. Init.'!$C$183,")")</f>
        <v>Nombre de trajets associés (Catégorie 17)</v>
      </c>
      <c r="F1344" t="str">
        <f t="shared" ref="F1344" si="1340">_xlfn.CONCAT("LogChantDepuisPLNbTraj",RIGHT(LEFT(D1344,LEN(D1344)-1),2))</f>
        <v>LogChantDepuisPLNbTraj17</v>
      </c>
      <c r="G1344" t="s">
        <v>17</v>
      </c>
      <c r="H1344">
        <f t="shared" si="1326"/>
        <v>0</v>
      </c>
      <c r="K1344" t="s">
        <v>145</v>
      </c>
      <c r="L1344">
        <v>3</v>
      </c>
      <c r="N1344" t="s">
        <v>220</v>
      </c>
    </row>
    <row r="1345" spans="1:14" outlineLevel="1" x14ac:dyDescent="0.25">
      <c r="A1345" t="s">
        <v>215</v>
      </c>
      <c r="C1345" t="s">
        <v>403</v>
      </c>
      <c r="D1345" t="str">
        <f>_xlfn.CONCAT("Taux de chargement moyen des véhicules pour l'accès au(x) chantier(s) depuis la plateforme"," (",'Remplissage - Sit. Init.'!$C$193,")")</f>
        <v>Taux de chargement moyen des véhicules pour l'accès au(x) chantier(s) depuis la plateforme (Catégorie 18)</v>
      </c>
      <c r="F1345" t="str">
        <f t="shared" ref="F1345" si="1341">_xlfn.CONCAT("LogChantDepuisPLTC",RIGHT(LEFT(D1345,LEN(D1345)-1),2))</f>
        <v>LogChantDepuisPLTC18</v>
      </c>
      <c r="G1345" t="s">
        <v>17</v>
      </c>
      <c r="H1345">
        <f t="shared" si="1326"/>
        <v>0</v>
      </c>
      <c r="I1345" s="3"/>
      <c r="K1345" t="s">
        <v>70</v>
      </c>
      <c r="L1345" s="7">
        <v>0.6</v>
      </c>
      <c r="N1345" t="s">
        <v>220</v>
      </c>
    </row>
    <row r="1346" spans="1:14" outlineLevel="1" x14ac:dyDescent="0.25">
      <c r="A1346" t="s">
        <v>215</v>
      </c>
      <c r="C1346" t="s">
        <v>403</v>
      </c>
      <c r="D1346" t="str">
        <f>_xlfn.CONCAT("Nombre de trajets associés"," (",'Remplissage - Sit. Init.'!$C$193,")")</f>
        <v>Nombre de trajets associés (Catégorie 18)</v>
      </c>
      <c r="F1346" t="str">
        <f t="shared" ref="F1346" si="1342">_xlfn.CONCAT("LogChantDepuisPLNbTraj",RIGHT(LEFT(D1346,LEN(D1346)-1),2))</f>
        <v>LogChantDepuisPLNbTraj18</v>
      </c>
      <c r="G1346" t="s">
        <v>17</v>
      </c>
      <c r="H1346">
        <f t="shared" si="1326"/>
        <v>0</v>
      </c>
      <c r="K1346" t="s">
        <v>145</v>
      </c>
      <c r="L1346">
        <v>3</v>
      </c>
      <c r="N1346" t="s">
        <v>220</v>
      </c>
    </row>
    <row r="1347" spans="1:14" outlineLevel="1" x14ac:dyDescent="0.25">
      <c r="A1347" t="s">
        <v>215</v>
      </c>
      <c r="C1347" t="s">
        <v>404</v>
      </c>
      <c r="D1347" t="str">
        <f>_xlfn.CONCAT("Taux de chargement moyen des véhicules pour l'accès au(x) chantier(s) depuis la plateforme"," (",'Remplissage - Sit. Init.'!$C$203,")")</f>
        <v>Taux de chargement moyen des véhicules pour l'accès au(x) chantier(s) depuis la plateforme (Catégorie 19)</v>
      </c>
      <c r="F1347" t="str">
        <f t="shared" ref="F1347" si="1343">_xlfn.CONCAT("LogChantDepuisPLTC",RIGHT(LEFT(D1347,LEN(D1347)-1),2))</f>
        <v>LogChantDepuisPLTC19</v>
      </c>
      <c r="G1347" t="s">
        <v>17</v>
      </c>
      <c r="H1347">
        <f t="shared" si="1326"/>
        <v>0</v>
      </c>
      <c r="I1347" s="3"/>
      <c r="K1347" t="s">
        <v>70</v>
      </c>
      <c r="L1347" s="7">
        <v>0.6</v>
      </c>
      <c r="N1347" t="s">
        <v>220</v>
      </c>
    </row>
    <row r="1348" spans="1:14" outlineLevel="1" x14ac:dyDescent="0.25">
      <c r="A1348" t="s">
        <v>215</v>
      </c>
      <c r="C1348" t="s">
        <v>404</v>
      </c>
      <c r="D1348" t="str">
        <f>_xlfn.CONCAT("Nombre de trajets associés"," (",'Remplissage - Sit. Init.'!$C$203,")")</f>
        <v>Nombre de trajets associés (Catégorie 19)</v>
      </c>
      <c r="F1348" t="str">
        <f t="shared" ref="F1348" si="1344">_xlfn.CONCAT("LogChantDepuisPLNbTraj",RIGHT(LEFT(D1348,LEN(D1348)-1),2))</f>
        <v>LogChantDepuisPLNbTraj19</v>
      </c>
      <c r="G1348" t="s">
        <v>17</v>
      </c>
      <c r="H1348">
        <f t="shared" si="1326"/>
        <v>0</v>
      </c>
      <c r="K1348" t="s">
        <v>145</v>
      </c>
      <c r="L1348">
        <v>3</v>
      </c>
      <c r="N1348" t="s">
        <v>220</v>
      </c>
    </row>
    <row r="1349" spans="1:14" outlineLevel="1" x14ac:dyDescent="0.25">
      <c r="A1349" t="s">
        <v>215</v>
      </c>
      <c r="C1349" t="s">
        <v>405</v>
      </c>
      <c r="D1349" t="str">
        <f>_xlfn.CONCAT("Taux de chargement moyen des véhicules pour l'accès au(x) chantier(s) depuis la plateforme"," (",'Remplissage - Sit. Init.'!$C$213,")")</f>
        <v>Taux de chargement moyen des véhicules pour l'accès au(x) chantier(s) depuis la plateforme (Catégorie 20)</v>
      </c>
      <c r="F1349" t="str">
        <f t="shared" ref="F1349" si="1345">_xlfn.CONCAT("LogChantDepuisPLTC",RIGHT(LEFT(D1349,LEN(D1349)-1),2))</f>
        <v>LogChantDepuisPLTC20</v>
      </c>
      <c r="G1349" t="s">
        <v>17</v>
      </c>
      <c r="H1349">
        <f t="shared" si="1326"/>
        <v>0</v>
      </c>
      <c r="I1349" s="3"/>
      <c r="K1349" t="s">
        <v>70</v>
      </c>
      <c r="L1349" s="7">
        <v>0.6</v>
      </c>
      <c r="N1349" t="s">
        <v>220</v>
      </c>
    </row>
    <row r="1350" spans="1:14" outlineLevel="1" x14ac:dyDescent="0.25">
      <c r="A1350" t="s">
        <v>215</v>
      </c>
      <c r="C1350" t="s">
        <v>405</v>
      </c>
      <c r="D1350" t="str">
        <f>_xlfn.CONCAT("Nombre de trajets associés"," (",'Remplissage - Sit. Init.'!$C$213,")")</f>
        <v>Nombre de trajets associés (Catégorie 20)</v>
      </c>
      <c r="F1350" t="str">
        <f t="shared" ref="F1350" si="1346">_xlfn.CONCAT("LogChantDepuisPLNbTraj",RIGHT(LEFT(D1350,LEN(D1350)-1),2))</f>
        <v>LogChantDepuisPLNbTraj20</v>
      </c>
      <c r="G1350" t="s">
        <v>17</v>
      </c>
      <c r="H1350">
        <f t="shared" si="1326"/>
        <v>0</v>
      </c>
      <c r="K1350" t="s">
        <v>145</v>
      </c>
      <c r="L1350">
        <v>3</v>
      </c>
      <c r="N1350" t="s">
        <v>220</v>
      </c>
    </row>
    <row r="1351" spans="1:14" outlineLevel="1" x14ac:dyDescent="0.25">
      <c r="A1351" t="s">
        <v>215</v>
      </c>
      <c r="C1351" t="s">
        <v>406</v>
      </c>
      <c r="D1351" t="str">
        <f>_xlfn.CONCAT("Taux de chargement moyen des véhicules pour l'accès au(x) chantier(s) depuis la plateforme"," (",'Remplissage - Sit. Init.'!$C$223,")")</f>
        <v>Taux de chargement moyen des véhicules pour l'accès au(x) chantier(s) depuis la plateforme (Catégorie 21)</v>
      </c>
      <c r="F1351" t="str">
        <f t="shared" ref="F1351" si="1347">_xlfn.CONCAT("LogChantDepuisPLTC",RIGHT(LEFT(D1351,LEN(D1351)-1),2))</f>
        <v>LogChantDepuisPLTC21</v>
      </c>
      <c r="G1351" t="s">
        <v>17</v>
      </c>
      <c r="H1351">
        <f t="shared" si="1326"/>
        <v>0</v>
      </c>
      <c r="I1351" s="3"/>
      <c r="K1351" t="s">
        <v>70</v>
      </c>
      <c r="L1351" s="7">
        <v>0.6</v>
      </c>
      <c r="N1351" t="s">
        <v>220</v>
      </c>
    </row>
    <row r="1352" spans="1:14" outlineLevel="1" x14ac:dyDescent="0.25">
      <c r="A1352" t="s">
        <v>215</v>
      </c>
      <c r="C1352" t="s">
        <v>406</v>
      </c>
      <c r="D1352" t="str">
        <f>_xlfn.CONCAT("Nombre de trajets associés"," (",'Remplissage - Sit. Init.'!$C$223,")")</f>
        <v>Nombre de trajets associés (Catégorie 21)</v>
      </c>
      <c r="F1352" t="str">
        <f t="shared" ref="F1352" si="1348">_xlfn.CONCAT("LogChantDepuisPLNbTraj",RIGHT(LEFT(D1352,LEN(D1352)-1),2))</f>
        <v>LogChantDepuisPLNbTraj21</v>
      </c>
      <c r="G1352" t="s">
        <v>17</v>
      </c>
      <c r="H1352">
        <f t="shared" si="1326"/>
        <v>0</v>
      </c>
      <c r="K1352" t="s">
        <v>145</v>
      </c>
      <c r="L1352">
        <v>3</v>
      </c>
      <c r="N1352" t="s">
        <v>220</v>
      </c>
    </row>
    <row r="1353" spans="1:14" outlineLevel="1" x14ac:dyDescent="0.25">
      <c r="A1353" t="s">
        <v>215</v>
      </c>
      <c r="C1353" t="s">
        <v>407</v>
      </c>
      <c r="D1353" t="str">
        <f>_xlfn.CONCAT("Taux de chargement moyen des véhicules pour l'accès au(x) chantier(s) depuis la plateforme"," (",'Remplissage - Sit. Init.'!$C$233,")")</f>
        <v>Taux de chargement moyen des véhicules pour l'accès au(x) chantier(s) depuis la plateforme (Catégorie 22)</v>
      </c>
      <c r="F1353" t="str">
        <f t="shared" ref="F1353" si="1349">_xlfn.CONCAT("LogChantDepuisPLTC",RIGHT(LEFT(D1353,LEN(D1353)-1),2))</f>
        <v>LogChantDepuisPLTC22</v>
      </c>
      <c r="G1353" t="s">
        <v>17</v>
      </c>
      <c r="H1353">
        <f t="shared" si="1326"/>
        <v>0</v>
      </c>
      <c r="I1353" s="3"/>
      <c r="K1353" t="s">
        <v>70</v>
      </c>
      <c r="L1353" s="7">
        <v>0.6</v>
      </c>
      <c r="N1353" t="s">
        <v>220</v>
      </c>
    </row>
    <row r="1354" spans="1:14" outlineLevel="1" x14ac:dyDescent="0.25">
      <c r="A1354" t="s">
        <v>215</v>
      </c>
      <c r="C1354" t="s">
        <v>407</v>
      </c>
      <c r="D1354" t="str">
        <f>_xlfn.CONCAT("Nombre de trajets associés"," (",'Remplissage - Sit. Init.'!$C$233,")")</f>
        <v>Nombre de trajets associés (Catégorie 22)</v>
      </c>
      <c r="F1354" t="str">
        <f t="shared" ref="F1354" si="1350">_xlfn.CONCAT("LogChantDepuisPLNbTraj",RIGHT(LEFT(D1354,LEN(D1354)-1),2))</f>
        <v>LogChantDepuisPLNbTraj22</v>
      </c>
      <c r="G1354" t="s">
        <v>17</v>
      </c>
      <c r="H1354">
        <f t="shared" si="1326"/>
        <v>0</v>
      </c>
      <c r="K1354" t="s">
        <v>145</v>
      </c>
      <c r="L1354">
        <v>3</v>
      </c>
      <c r="N1354" t="s">
        <v>220</v>
      </c>
    </row>
    <row r="1355" spans="1:14" outlineLevel="1" x14ac:dyDescent="0.25">
      <c r="A1355" t="s">
        <v>215</v>
      </c>
      <c r="C1355" t="s">
        <v>408</v>
      </c>
      <c r="D1355" t="str">
        <f>_xlfn.CONCAT("Taux de chargement moyen des véhicules pour l'accès au(x) chantier(s) depuis la plateforme"," (",'Remplissage - Sit. Init.'!$C$243,")")</f>
        <v>Taux de chargement moyen des véhicules pour l'accès au(x) chantier(s) depuis la plateforme (Catégorie 23)</v>
      </c>
      <c r="F1355" t="str">
        <f t="shared" ref="F1355" si="1351">_xlfn.CONCAT("LogChantDepuisPLTC",RIGHT(LEFT(D1355,LEN(D1355)-1),2))</f>
        <v>LogChantDepuisPLTC23</v>
      </c>
      <c r="G1355" t="s">
        <v>17</v>
      </c>
      <c r="H1355">
        <f t="shared" si="1326"/>
        <v>0</v>
      </c>
      <c r="I1355" s="3"/>
      <c r="K1355" t="s">
        <v>70</v>
      </c>
      <c r="L1355" s="7">
        <v>0.6</v>
      </c>
      <c r="N1355" t="s">
        <v>220</v>
      </c>
    </row>
    <row r="1356" spans="1:14" outlineLevel="1" x14ac:dyDescent="0.25">
      <c r="A1356" t="s">
        <v>215</v>
      </c>
      <c r="C1356" t="s">
        <v>408</v>
      </c>
      <c r="D1356" t="str">
        <f>_xlfn.CONCAT("Nombre de trajets associés"," (",'Remplissage - Sit. Init.'!$C$243,")")</f>
        <v>Nombre de trajets associés (Catégorie 23)</v>
      </c>
      <c r="F1356" t="str">
        <f t="shared" ref="F1356" si="1352">_xlfn.CONCAT("LogChantDepuisPLNbTraj",RIGHT(LEFT(D1356,LEN(D1356)-1),2))</f>
        <v>LogChantDepuisPLNbTraj23</v>
      </c>
      <c r="G1356" t="s">
        <v>17</v>
      </c>
      <c r="H1356">
        <f t="shared" si="1326"/>
        <v>0</v>
      </c>
      <c r="K1356" t="s">
        <v>145</v>
      </c>
      <c r="L1356">
        <v>3</v>
      </c>
      <c r="N1356" t="s">
        <v>220</v>
      </c>
    </row>
    <row r="1357" spans="1:14" outlineLevel="1" x14ac:dyDescent="0.25">
      <c r="A1357" t="s">
        <v>215</v>
      </c>
      <c r="C1357" t="s">
        <v>409</v>
      </c>
      <c r="D1357" t="str">
        <f>_xlfn.CONCAT("Taux de chargement moyen des véhicules pour l'accès au(x) chantier(s) depuis la plateforme"," (",'Remplissage - Sit. Init.'!$C$253,")")</f>
        <v>Taux de chargement moyen des véhicules pour l'accès au(x) chantier(s) depuis la plateforme (Catégorie 24)</v>
      </c>
      <c r="F1357" t="str">
        <f t="shared" ref="F1357" si="1353">_xlfn.CONCAT("LogChantDepuisPLTC",RIGHT(LEFT(D1357,LEN(D1357)-1),2))</f>
        <v>LogChantDepuisPLTC24</v>
      </c>
      <c r="G1357" t="s">
        <v>17</v>
      </c>
      <c r="H1357">
        <f t="shared" si="1326"/>
        <v>0</v>
      </c>
      <c r="I1357" s="3"/>
      <c r="K1357" t="s">
        <v>70</v>
      </c>
      <c r="L1357" s="7">
        <v>0.6</v>
      </c>
      <c r="N1357" t="s">
        <v>220</v>
      </c>
    </row>
    <row r="1358" spans="1:14" outlineLevel="1" x14ac:dyDescent="0.25">
      <c r="A1358" t="s">
        <v>215</v>
      </c>
      <c r="C1358" t="s">
        <v>409</v>
      </c>
      <c r="D1358" t="str">
        <f>_xlfn.CONCAT("Nombre de trajets associés"," (",'Remplissage - Sit. Init.'!$C$253,")")</f>
        <v>Nombre de trajets associés (Catégorie 24)</v>
      </c>
      <c r="F1358" t="str">
        <f t="shared" ref="F1358" si="1354">_xlfn.CONCAT("LogChantDepuisPLNbTraj",RIGHT(LEFT(D1358,LEN(D1358)-1),2))</f>
        <v>LogChantDepuisPLNbTraj24</v>
      </c>
      <c r="G1358" t="s">
        <v>17</v>
      </c>
      <c r="H1358">
        <f t="shared" si="1326"/>
        <v>0</v>
      </c>
      <c r="K1358" t="s">
        <v>145</v>
      </c>
      <c r="L1358">
        <v>3</v>
      </c>
      <c r="N1358" t="s">
        <v>220</v>
      </c>
    </row>
    <row r="1359" spans="1:14" outlineLevel="1" x14ac:dyDescent="0.25">
      <c r="A1359" t="s">
        <v>215</v>
      </c>
      <c r="C1359" t="s">
        <v>410</v>
      </c>
      <c r="D1359" t="str">
        <f>_xlfn.CONCAT("Taux de chargement moyen des véhicules pour l'accès au(x) chantier(s) depuis la plateforme"," (",'Remplissage - Sit. Init.'!$C$263,")")</f>
        <v>Taux de chargement moyen des véhicules pour l'accès au(x) chantier(s) depuis la plateforme (Catégorie 25)</v>
      </c>
      <c r="F1359" t="str">
        <f t="shared" ref="F1359" si="1355">_xlfn.CONCAT("LogChantDepuisPLTC",RIGHT(LEFT(D1359,LEN(D1359)-1),2))</f>
        <v>LogChantDepuisPLTC25</v>
      </c>
      <c r="G1359" t="s">
        <v>17</v>
      </c>
      <c r="H1359">
        <f t="shared" si="1326"/>
        <v>0</v>
      </c>
      <c r="I1359" s="3"/>
      <c r="K1359" t="s">
        <v>70</v>
      </c>
      <c r="L1359" s="7">
        <v>0.6</v>
      </c>
      <c r="N1359" t="s">
        <v>220</v>
      </c>
    </row>
    <row r="1360" spans="1:14" outlineLevel="1" x14ac:dyDescent="0.25">
      <c r="A1360" t="s">
        <v>215</v>
      </c>
      <c r="C1360" t="s">
        <v>410</v>
      </c>
      <c r="D1360" t="str">
        <f>_xlfn.CONCAT("Nombre de trajets associés"," (",'Remplissage - Sit. Init.'!$C$263,")")</f>
        <v>Nombre de trajets associés (Catégorie 25)</v>
      </c>
      <c r="F1360" t="str">
        <f t="shared" ref="F1360" si="1356">_xlfn.CONCAT("LogChantDepuisPLNbTraj",RIGHT(LEFT(D1360,LEN(D1360)-1),2))</f>
        <v>LogChantDepuisPLNbTraj25</v>
      </c>
      <c r="G1360" t="s">
        <v>17</v>
      </c>
      <c r="H1360">
        <f t="shared" si="1326"/>
        <v>0</v>
      </c>
      <c r="K1360" t="s">
        <v>145</v>
      </c>
      <c r="L1360">
        <v>3</v>
      </c>
      <c r="N1360" t="s">
        <v>220</v>
      </c>
    </row>
    <row r="1361" spans="1:14" outlineLevel="1" x14ac:dyDescent="0.25">
      <c r="A1361" t="s">
        <v>215</v>
      </c>
      <c r="C1361" t="s">
        <v>411</v>
      </c>
      <c r="D1361" t="str">
        <f>_xlfn.CONCAT("Taux de chargement moyen des véhicules pour l'accès au(x) chantier(s) depuis la plateforme"," (",'Remplissage - Sit. Init.'!$C$273,")")</f>
        <v>Taux de chargement moyen des véhicules pour l'accès au(x) chantier(s) depuis la plateforme (Catégorie 26)</v>
      </c>
      <c r="F1361" t="str">
        <f t="shared" ref="F1361" si="1357">_xlfn.CONCAT("LogChantDepuisPLTC",RIGHT(LEFT(D1361,LEN(D1361)-1),2))</f>
        <v>LogChantDepuisPLTC26</v>
      </c>
      <c r="G1361" t="s">
        <v>17</v>
      </c>
      <c r="H1361">
        <f t="shared" si="1326"/>
        <v>0</v>
      </c>
      <c r="I1361" s="3"/>
      <c r="K1361" t="s">
        <v>70</v>
      </c>
      <c r="L1361" s="7">
        <v>0.6</v>
      </c>
      <c r="N1361" t="s">
        <v>220</v>
      </c>
    </row>
    <row r="1362" spans="1:14" outlineLevel="1" x14ac:dyDescent="0.25">
      <c r="A1362" t="s">
        <v>215</v>
      </c>
      <c r="C1362" t="s">
        <v>411</v>
      </c>
      <c r="D1362" t="str">
        <f>_xlfn.CONCAT("Nombre de trajets associés"," (",'Remplissage - Sit. Init.'!$C$273,")")</f>
        <v>Nombre de trajets associés (Catégorie 26)</v>
      </c>
      <c r="F1362" t="str">
        <f t="shared" ref="F1362" si="1358">_xlfn.CONCAT("LogChantDepuisPLNbTraj",RIGHT(LEFT(D1362,LEN(D1362)-1),2))</f>
        <v>LogChantDepuisPLNbTraj26</v>
      </c>
      <c r="G1362" t="s">
        <v>17</v>
      </c>
      <c r="H1362">
        <f t="shared" si="1326"/>
        <v>0</v>
      </c>
      <c r="K1362" t="s">
        <v>145</v>
      </c>
      <c r="L1362">
        <v>3</v>
      </c>
      <c r="N1362" t="s">
        <v>220</v>
      </c>
    </row>
    <row r="1363" spans="1:14" outlineLevel="1" x14ac:dyDescent="0.25">
      <c r="A1363" t="s">
        <v>215</v>
      </c>
      <c r="C1363" t="s">
        <v>412</v>
      </c>
      <c r="D1363" t="str">
        <f>_xlfn.CONCAT("Taux de chargement moyen des véhicules pour l'accès au(x) chantier(s) depuis la plateforme"," (",'Remplissage - Sit. Init.'!$C$283,")")</f>
        <v>Taux de chargement moyen des véhicules pour l'accès au(x) chantier(s) depuis la plateforme (Catégorie 27)</v>
      </c>
      <c r="F1363" t="str">
        <f t="shared" ref="F1363" si="1359">_xlfn.CONCAT("LogChantDepuisPLTC",RIGHT(LEFT(D1363,LEN(D1363)-1),2))</f>
        <v>LogChantDepuisPLTC27</v>
      </c>
      <c r="G1363" t="s">
        <v>17</v>
      </c>
      <c r="H1363">
        <f t="shared" si="1326"/>
        <v>0</v>
      </c>
      <c r="I1363" s="3"/>
      <c r="K1363" t="s">
        <v>70</v>
      </c>
      <c r="L1363" s="7">
        <v>0.6</v>
      </c>
      <c r="N1363" t="s">
        <v>220</v>
      </c>
    </row>
    <row r="1364" spans="1:14" outlineLevel="1" x14ac:dyDescent="0.25">
      <c r="A1364" t="s">
        <v>215</v>
      </c>
      <c r="C1364" t="s">
        <v>412</v>
      </c>
      <c r="D1364" t="str">
        <f>_xlfn.CONCAT("Nombre de trajets associés"," (",'Remplissage - Sit. Init.'!$C$283,")")</f>
        <v>Nombre de trajets associés (Catégorie 27)</v>
      </c>
      <c r="F1364" t="str">
        <f t="shared" ref="F1364" si="1360">_xlfn.CONCAT("LogChantDepuisPLNbTraj",RIGHT(LEFT(D1364,LEN(D1364)-1),2))</f>
        <v>LogChantDepuisPLNbTraj27</v>
      </c>
      <c r="G1364" t="s">
        <v>17</v>
      </c>
      <c r="H1364">
        <f t="shared" si="1326"/>
        <v>0</v>
      </c>
      <c r="K1364" t="s">
        <v>145</v>
      </c>
      <c r="L1364">
        <v>3</v>
      </c>
      <c r="N1364" t="s">
        <v>220</v>
      </c>
    </row>
    <row r="1365" spans="1:14" outlineLevel="1" x14ac:dyDescent="0.25">
      <c r="A1365" t="s">
        <v>215</v>
      </c>
      <c r="C1365" t="s">
        <v>413</v>
      </c>
      <c r="D1365" t="str">
        <f>_xlfn.CONCAT("Taux de chargement moyen des véhicules pour l'accès au(x) chantier(s) depuis la plateforme"," (",'Remplissage - Sit. Init.'!$C$293,")")</f>
        <v>Taux de chargement moyen des véhicules pour l'accès au(x) chantier(s) depuis la plateforme (Catégorie 28)</v>
      </c>
      <c r="F1365" t="str">
        <f t="shared" ref="F1365" si="1361">_xlfn.CONCAT("LogChantDepuisPLTC",RIGHT(LEFT(D1365,LEN(D1365)-1),2))</f>
        <v>LogChantDepuisPLTC28</v>
      </c>
      <c r="G1365" t="s">
        <v>17</v>
      </c>
      <c r="H1365">
        <f t="shared" si="1326"/>
        <v>0</v>
      </c>
      <c r="I1365" s="3"/>
      <c r="K1365" t="s">
        <v>70</v>
      </c>
      <c r="L1365" s="7">
        <v>0.6</v>
      </c>
      <c r="N1365" t="s">
        <v>220</v>
      </c>
    </row>
    <row r="1366" spans="1:14" outlineLevel="1" x14ac:dyDescent="0.25">
      <c r="A1366" t="s">
        <v>215</v>
      </c>
      <c r="C1366" t="s">
        <v>413</v>
      </c>
      <c r="D1366" t="str">
        <f>_xlfn.CONCAT("Nombre de trajets associés"," (",'Remplissage - Sit. Init.'!$C$293,")")</f>
        <v>Nombre de trajets associés (Catégorie 28)</v>
      </c>
      <c r="F1366" t="str">
        <f t="shared" ref="F1366" si="1362">_xlfn.CONCAT("LogChantDepuisPLNbTraj",RIGHT(LEFT(D1366,LEN(D1366)-1),2))</f>
        <v>LogChantDepuisPLNbTraj28</v>
      </c>
      <c r="G1366" t="s">
        <v>17</v>
      </c>
      <c r="H1366">
        <f t="shared" si="1326"/>
        <v>0</v>
      </c>
      <c r="K1366" t="s">
        <v>145</v>
      </c>
      <c r="L1366">
        <v>3</v>
      </c>
      <c r="N1366" t="s">
        <v>220</v>
      </c>
    </row>
    <row r="1367" spans="1:14" outlineLevel="1" x14ac:dyDescent="0.25">
      <c r="A1367" t="s">
        <v>215</v>
      </c>
      <c r="C1367" t="s">
        <v>414</v>
      </c>
      <c r="D1367" t="str">
        <f>_xlfn.CONCAT("Taux de chargement moyen des véhicules pour l'accès au(x) chantier(s) depuis la plateforme"," (",'Remplissage - Sit. Init.'!$C$303,")")</f>
        <v>Taux de chargement moyen des véhicules pour l'accès au(x) chantier(s) depuis la plateforme (Catégorie 29)</v>
      </c>
      <c r="F1367" t="str">
        <f t="shared" ref="F1367" si="1363">_xlfn.CONCAT("LogChantDepuisPLTC",RIGHT(LEFT(D1367,LEN(D1367)-1),2))</f>
        <v>LogChantDepuisPLTC29</v>
      </c>
      <c r="G1367" t="s">
        <v>17</v>
      </c>
      <c r="H1367">
        <f t="shared" si="1326"/>
        <v>0</v>
      </c>
      <c r="I1367" s="3"/>
      <c r="K1367" t="s">
        <v>70</v>
      </c>
      <c r="L1367" s="7">
        <v>0.6</v>
      </c>
      <c r="N1367" t="s">
        <v>220</v>
      </c>
    </row>
    <row r="1368" spans="1:14" outlineLevel="1" x14ac:dyDescent="0.25">
      <c r="A1368" t="s">
        <v>215</v>
      </c>
      <c r="C1368" t="s">
        <v>414</v>
      </c>
      <c r="D1368" t="str">
        <f>_xlfn.CONCAT("Nombre de trajets associés"," (",'Remplissage - Sit. Init.'!$C$303,")")</f>
        <v>Nombre de trajets associés (Catégorie 29)</v>
      </c>
      <c r="F1368" t="str">
        <f t="shared" ref="F1368" si="1364">_xlfn.CONCAT("LogChantDepuisPLNbTraj",RIGHT(LEFT(D1368,LEN(D1368)-1),2))</f>
        <v>LogChantDepuisPLNbTraj29</v>
      </c>
      <c r="G1368" t="s">
        <v>17</v>
      </c>
      <c r="H1368">
        <f t="shared" si="1326"/>
        <v>0</v>
      </c>
      <c r="K1368" t="s">
        <v>145</v>
      </c>
      <c r="L1368">
        <v>3</v>
      </c>
      <c r="N1368" t="s">
        <v>220</v>
      </c>
    </row>
    <row r="1369" spans="1:14" outlineLevel="1" x14ac:dyDescent="0.25">
      <c r="A1369" t="s">
        <v>215</v>
      </c>
      <c r="C1369" t="s">
        <v>415</v>
      </c>
      <c r="D1369" t="str">
        <f>_xlfn.CONCAT("Taux de chargement moyen des véhicules pour l'accès au(x) chantier(s) depuis la plateforme"," (",'Remplissage - Sit. Init.'!$C$313,")")</f>
        <v>Taux de chargement moyen des véhicules pour l'accès au(x) chantier(s) depuis la plateforme (Catégorie 30)</v>
      </c>
      <c r="F1369" t="str">
        <f t="shared" ref="F1369" si="1365">_xlfn.CONCAT("LogChantDepuisPLTC",RIGHT(LEFT(D1369,LEN(D1369)-1),2))</f>
        <v>LogChantDepuisPLTC30</v>
      </c>
      <c r="G1369" t="s">
        <v>17</v>
      </c>
      <c r="H1369">
        <f t="shared" si="1326"/>
        <v>0</v>
      </c>
      <c r="I1369" s="3"/>
      <c r="K1369" t="s">
        <v>70</v>
      </c>
      <c r="L1369" s="7">
        <v>0.6</v>
      </c>
      <c r="N1369" t="s">
        <v>220</v>
      </c>
    </row>
    <row r="1370" spans="1:14" outlineLevel="1" x14ac:dyDescent="0.25">
      <c r="A1370" t="s">
        <v>215</v>
      </c>
      <c r="C1370" t="s">
        <v>415</v>
      </c>
      <c r="D1370" t="str">
        <f>_xlfn.CONCAT("Nombre de trajets associés"," (",'Remplissage - Sit. Init.'!$C$313,")")</f>
        <v>Nombre de trajets associés (Catégorie 30)</v>
      </c>
      <c r="F1370" t="str">
        <f t="shared" ref="F1370" si="1366">_xlfn.CONCAT("LogChantDepuisPLNbTraj",RIGHT(LEFT(D1370,LEN(D1370)-1),2))</f>
        <v>LogChantDepuisPLNbTraj30</v>
      </c>
      <c r="G1370" t="s">
        <v>17</v>
      </c>
      <c r="H1370">
        <f t="shared" si="1326"/>
        <v>0</v>
      </c>
      <c r="K1370" t="s">
        <v>145</v>
      </c>
      <c r="L1370">
        <v>3</v>
      </c>
      <c r="N1370" t="s">
        <v>220</v>
      </c>
    </row>
    <row r="1371" spans="1:14" outlineLevel="1" x14ac:dyDescent="0.25">
      <c r="A1371" t="s">
        <v>215</v>
      </c>
      <c r="C1371" t="s">
        <v>416</v>
      </c>
      <c r="D1371" t="str">
        <f>_xlfn.CONCAT("Taux de chargement moyen des véhicules pour l'accès au(x) chantier(s) depuis la plateforme"," (",'Remplissage - Sit. Init.'!$C$323,")")</f>
        <v>Taux de chargement moyen des véhicules pour l'accès au(x) chantier(s) depuis la plateforme (Catégorie 31)</v>
      </c>
      <c r="F1371" t="str">
        <f t="shared" ref="F1371" si="1367">_xlfn.CONCAT("LogChantDepuisPLTC",RIGHT(LEFT(D1371,LEN(D1371)-1),2))</f>
        <v>LogChantDepuisPLTC31</v>
      </c>
      <c r="G1371" t="s">
        <v>17</v>
      </c>
      <c r="H1371">
        <f t="shared" si="1326"/>
        <v>0</v>
      </c>
      <c r="I1371" s="3"/>
      <c r="K1371" t="s">
        <v>70</v>
      </c>
      <c r="L1371" s="7">
        <v>0.6</v>
      </c>
      <c r="N1371" t="s">
        <v>220</v>
      </c>
    </row>
    <row r="1372" spans="1:14" outlineLevel="1" x14ac:dyDescent="0.25">
      <c r="A1372" t="s">
        <v>215</v>
      </c>
      <c r="C1372" t="s">
        <v>416</v>
      </c>
      <c r="D1372" t="str">
        <f>_xlfn.CONCAT("Nombre de trajets associés"," (",'Remplissage - Sit. Init.'!$C$323,")")</f>
        <v>Nombre de trajets associés (Catégorie 31)</v>
      </c>
      <c r="F1372" t="str">
        <f t="shared" ref="F1372" si="1368">_xlfn.CONCAT("LogChantDepuisPLNbTraj",RIGHT(LEFT(D1372,LEN(D1372)-1),2))</f>
        <v>LogChantDepuisPLNbTraj31</v>
      </c>
      <c r="G1372" t="s">
        <v>17</v>
      </c>
      <c r="H1372">
        <f t="shared" si="1326"/>
        <v>0</v>
      </c>
      <c r="K1372" t="s">
        <v>145</v>
      </c>
      <c r="L1372">
        <v>3</v>
      </c>
      <c r="N1372" t="s">
        <v>220</v>
      </c>
    </row>
    <row r="1373" spans="1:14" outlineLevel="1" x14ac:dyDescent="0.25">
      <c r="A1373" t="s">
        <v>215</v>
      </c>
      <c r="C1373" t="s">
        <v>417</v>
      </c>
      <c r="D1373" t="str">
        <f>_xlfn.CONCAT("Taux de chargement moyen des véhicules pour l'accès au(x) chantier(s) depuis la plateforme"," (",'Remplissage - Sit. Init.'!$C$333,")")</f>
        <v>Taux de chargement moyen des véhicules pour l'accès au(x) chantier(s) depuis la plateforme (Catégorie 32)</v>
      </c>
      <c r="F1373" t="str">
        <f t="shared" ref="F1373" si="1369">_xlfn.CONCAT("LogChantDepuisPLTC",RIGHT(LEFT(D1373,LEN(D1373)-1),2))</f>
        <v>LogChantDepuisPLTC32</v>
      </c>
      <c r="G1373" t="s">
        <v>17</v>
      </c>
      <c r="H1373">
        <f t="shared" si="1326"/>
        <v>0</v>
      </c>
      <c r="I1373" s="3"/>
      <c r="K1373" t="s">
        <v>70</v>
      </c>
      <c r="L1373" s="7">
        <v>0.6</v>
      </c>
      <c r="N1373" t="s">
        <v>220</v>
      </c>
    </row>
    <row r="1374" spans="1:14" outlineLevel="1" x14ac:dyDescent="0.25">
      <c r="A1374" t="s">
        <v>215</v>
      </c>
      <c r="C1374" t="s">
        <v>417</v>
      </c>
      <c r="D1374" t="str">
        <f>_xlfn.CONCAT("Nombre de trajets associés"," (",'Remplissage - Sit. Init.'!$C$333,")")</f>
        <v>Nombre de trajets associés (Catégorie 32)</v>
      </c>
      <c r="F1374" t="str">
        <f t="shared" ref="F1374" si="1370">_xlfn.CONCAT("LogChantDepuisPLNbTraj",RIGHT(LEFT(D1374,LEN(D1374)-1),2))</f>
        <v>LogChantDepuisPLNbTraj32</v>
      </c>
      <c r="G1374" t="s">
        <v>17</v>
      </c>
      <c r="H1374">
        <f t="shared" si="1326"/>
        <v>0</v>
      </c>
      <c r="K1374" t="s">
        <v>145</v>
      </c>
      <c r="L1374">
        <v>3</v>
      </c>
      <c r="N1374" t="s">
        <v>220</v>
      </c>
    </row>
    <row r="1375" spans="1:14" outlineLevel="1" x14ac:dyDescent="0.25">
      <c r="A1375" t="s">
        <v>215</v>
      </c>
      <c r="C1375" t="s">
        <v>418</v>
      </c>
      <c r="D1375" t="str">
        <f>_xlfn.CONCAT("Taux de chargement moyen des véhicules pour l'accès au(x) chantier(s) depuis la plateforme"," (",'Remplissage - Sit. Init.'!$C$343,")")</f>
        <v>Taux de chargement moyen des véhicules pour l'accès au(x) chantier(s) depuis la plateforme (Catégorie 33)</v>
      </c>
      <c r="F1375" t="str">
        <f t="shared" ref="F1375" si="1371">_xlfn.CONCAT("LogChantDepuisPLTC",RIGHT(LEFT(D1375,LEN(D1375)-1),2))</f>
        <v>LogChantDepuisPLTC33</v>
      </c>
      <c r="G1375" t="s">
        <v>17</v>
      </c>
      <c r="H1375">
        <f t="shared" si="1326"/>
        <v>0</v>
      </c>
      <c r="I1375" s="3"/>
      <c r="K1375" t="s">
        <v>70</v>
      </c>
      <c r="L1375" s="7">
        <v>0.6</v>
      </c>
      <c r="N1375" t="s">
        <v>220</v>
      </c>
    </row>
    <row r="1376" spans="1:14" outlineLevel="1" x14ac:dyDescent="0.25">
      <c r="A1376" t="s">
        <v>215</v>
      </c>
      <c r="C1376" t="s">
        <v>418</v>
      </c>
      <c r="D1376" t="str">
        <f>_xlfn.CONCAT("Nombre de trajets associés"," (",'Remplissage - Sit. Init.'!$C$343,")")</f>
        <v>Nombre de trajets associés (Catégorie 33)</v>
      </c>
      <c r="F1376" t="str">
        <f t="shared" ref="F1376" si="1372">_xlfn.CONCAT("LogChantDepuisPLNbTraj",RIGHT(LEFT(D1376,LEN(D1376)-1),2))</f>
        <v>LogChantDepuisPLNbTraj33</v>
      </c>
      <c r="G1376" t="s">
        <v>17</v>
      </c>
      <c r="H1376">
        <f t="shared" ref="H1376:H1400" si="1373">(IF(ISNUMBER(SEARCH($C1376,$I$1307)),1,0))*(IF(ISNUMBER(SEARCH("Par catégorie de véhicule sélectionnée (meilleure précision)",$I$1119)),1,0))</f>
        <v>0</v>
      </c>
      <c r="K1376" t="s">
        <v>145</v>
      </c>
      <c r="L1376">
        <v>3</v>
      </c>
      <c r="N1376" t="s">
        <v>220</v>
      </c>
    </row>
    <row r="1377" spans="1:14" outlineLevel="1" x14ac:dyDescent="0.25">
      <c r="A1377" t="s">
        <v>215</v>
      </c>
      <c r="C1377" t="s">
        <v>419</v>
      </c>
      <c r="D1377" t="str">
        <f>_xlfn.CONCAT("Taux de chargement moyen des véhicules pour l'accès au(x) chantier(s) depuis la plateforme"," (",'Remplissage - Sit. Init.'!$C$353,")")</f>
        <v>Taux de chargement moyen des véhicules pour l'accès au(x) chantier(s) depuis la plateforme (Catégorie 34)</v>
      </c>
      <c r="F1377" t="str">
        <f t="shared" ref="F1377" si="1374">_xlfn.CONCAT("LogChantDepuisPLTC",RIGHT(LEFT(D1377,LEN(D1377)-1),2))</f>
        <v>LogChantDepuisPLTC34</v>
      </c>
      <c r="G1377" t="s">
        <v>17</v>
      </c>
      <c r="H1377">
        <f t="shared" si="1373"/>
        <v>0</v>
      </c>
      <c r="I1377" s="3"/>
      <c r="K1377" t="s">
        <v>70</v>
      </c>
      <c r="L1377" s="7">
        <v>0.6</v>
      </c>
      <c r="N1377" t="s">
        <v>220</v>
      </c>
    </row>
    <row r="1378" spans="1:14" outlineLevel="1" x14ac:dyDescent="0.25">
      <c r="A1378" t="s">
        <v>215</v>
      </c>
      <c r="C1378" t="s">
        <v>419</v>
      </c>
      <c r="D1378" t="str">
        <f>_xlfn.CONCAT("Nombre de trajets associés"," (",'Remplissage - Sit. Init.'!$C$353,")")</f>
        <v>Nombre de trajets associés (Catégorie 34)</v>
      </c>
      <c r="F1378" t="str">
        <f t="shared" ref="F1378" si="1375">_xlfn.CONCAT("LogChantDepuisPLNbTraj",RIGHT(LEFT(D1378,LEN(D1378)-1),2))</f>
        <v>LogChantDepuisPLNbTraj34</v>
      </c>
      <c r="G1378" t="s">
        <v>17</v>
      </c>
      <c r="H1378">
        <f t="shared" si="1373"/>
        <v>0</v>
      </c>
      <c r="K1378" t="s">
        <v>145</v>
      </c>
      <c r="L1378">
        <v>3</v>
      </c>
      <c r="N1378" t="s">
        <v>220</v>
      </c>
    </row>
    <row r="1379" spans="1:14" outlineLevel="1" x14ac:dyDescent="0.25">
      <c r="A1379" t="s">
        <v>215</v>
      </c>
      <c r="C1379" t="s">
        <v>420</v>
      </c>
      <c r="D1379" t="str">
        <f>_xlfn.CONCAT("Taux de chargement moyen des véhicules pour l'accès au(x) chantier(s) depuis la plateforme"," (",'Remplissage - Sit. Init.'!$C$363,")")</f>
        <v>Taux de chargement moyen des véhicules pour l'accès au(x) chantier(s) depuis la plateforme (Catégorie 35)</v>
      </c>
      <c r="F1379" t="str">
        <f t="shared" ref="F1379" si="1376">_xlfn.CONCAT("LogChantDepuisPLTC",RIGHT(LEFT(D1379,LEN(D1379)-1),2))</f>
        <v>LogChantDepuisPLTC35</v>
      </c>
      <c r="G1379" t="s">
        <v>17</v>
      </c>
      <c r="H1379">
        <f t="shared" si="1373"/>
        <v>0</v>
      </c>
      <c r="I1379" s="3"/>
      <c r="K1379" t="s">
        <v>70</v>
      </c>
      <c r="L1379" s="7">
        <v>0.6</v>
      </c>
      <c r="N1379" t="s">
        <v>220</v>
      </c>
    </row>
    <row r="1380" spans="1:14" outlineLevel="1" x14ac:dyDescent="0.25">
      <c r="A1380" t="s">
        <v>215</v>
      </c>
      <c r="C1380" t="s">
        <v>420</v>
      </c>
      <c r="D1380" t="str">
        <f>_xlfn.CONCAT("Nombre de trajets associés"," (",'Remplissage - Sit. Init.'!$C$363,")")</f>
        <v>Nombre de trajets associés (Catégorie 35)</v>
      </c>
      <c r="F1380" t="str">
        <f t="shared" ref="F1380" si="1377">_xlfn.CONCAT("LogChantDepuisPLNbTraj",RIGHT(LEFT(D1380,LEN(D1380)-1),2))</f>
        <v>LogChantDepuisPLNbTraj35</v>
      </c>
      <c r="G1380" t="s">
        <v>17</v>
      </c>
      <c r="H1380">
        <f t="shared" si="1373"/>
        <v>0</v>
      </c>
      <c r="K1380" t="s">
        <v>145</v>
      </c>
      <c r="L1380">
        <v>3</v>
      </c>
      <c r="N1380" t="s">
        <v>220</v>
      </c>
    </row>
    <row r="1381" spans="1:14" outlineLevel="1" x14ac:dyDescent="0.25">
      <c r="A1381" t="s">
        <v>215</v>
      </c>
      <c r="C1381" t="s">
        <v>421</v>
      </c>
      <c r="D1381" t="str">
        <f>_xlfn.CONCAT("Taux de chargement moyen des véhicules pour l'accès au(x) chantier(s) depuis la plateforme"," (",'Remplissage - Sit. Init.'!$C$373,")")</f>
        <v>Taux de chargement moyen des véhicules pour l'accès au(x) chantier(s) depuis la plateforme (Catégorie 36)</v>
      </c>
      <c r="F1381" t="str">
        <f t="shared" ref="F1381" si="1378">_xlfn.CONCAT("LogChantDepuisPLTC",RIGHT(LEFT(D1381,LEN(D1381)-1),2))</f>
        <v>LogChantDepuisPLTC36</v>
      </c>
      <c r="G1381" t="s">
        <v>17</v>
      </c>
      <c r="H1381">
        <f t="shared" si="1373"/>
        <v>0</v>
      </c>
      <c r="I1381" s="3"/>
      <c r="K1381" t="s">
        <v>70</v>
      </c>
      <c r="L1381" s="7">
        <v>0.6</v>
      </c>
      <c r="N1381" t="s">
        <v>220</v>
      </c>
    </row>
    <row r="1382" spans="1:14" outlineLevel="1" x14ac:dyDescent="0.25">
      <c r="A1382" t="s">
        <v>215</v>
      </c>
      <c r="C1382" t="s">
        <v>421</v>
      </c>
      <c r="D1382" t="str">
        <f>_xlfn.CONCAT("Nombre de trajets associés"," (",'Remplissage - Sit. Init.'!$C$373,")")</f>
        <v>Nombre de trajets associés (Catégorie 36)</v>
      </c>
      <c r="F1382" t="str">
        <f t="shared" ref="F1382" si="1379">_xlfn.CONCAT("LogChantDepuisPLNbTraj",RIGHT(LEFT(D1382,LEN(D1382)-1),2))</f>
        <v>LogChantDepuisPLNbTraj36</v>
      </c>
      <c r="G1382" t="s">
        <v>17</v>
      </c>
      <c r="H1382">
        <f t="shared" si="1373"/>
        <v>0</v>
      </c>
      <c r="K1382" t="s">
        <v>145</v>
      </c>
      <c r="L1382">
        <v>3</v>
      </c>
      <c r="N1382" t="s">
        <v>220</v>
      </c>
    </row>
    <row r="1383" spans="1:14" outlineLevel="1" x14ac:dyDescent="0.25">
      <c r="A1383" t="s">
        <v>215</v>
      </c>
      <c r="C1383" t="s">
        <v>422</v>
      </c>
      <c r="D1383" t="str">
        <f>_xlfn.CONCAT("Taux de chargement moyen des véhicules pour l'accès au(x) chantier(s) depuis la plateforme"," (",'Remplissage - Sit. Init.'!$C$383,")")</f>
        <v>Taux de chargement moyen des véhicules pour l'accès au(x) chantier(s) depuis la plateforme (Catégorie 37)</v>
      </c>
      <c r="F1383" t="str">
        <f t="shared" ref="F1383" si="1380">_xlfn.CONCAT("LogChantDepuisPLTC",RIGHT(LEFT(D1383,LEN(D1383)-1),2))</f>
        <v>LogChantDepuisPLTC37</v>
      </c>
      <c r="G1383" t="s">
        <v>17</v>
      </c>
      <c r="H1383">
        <f t="shared" si="1373"/>
        <v>0</v>
      </c>
      <c r="I1383" s="3"/>
      <c r="K1383" t="s">
        <v>70</v>
      </c>
      <c r="L1383" s="7">
        <v>0.6</v>
      </c>
      <c r="N1383" t="s">
        <v>220</v>
      </c>
    </row>
    <row r="1384" spans="1:14" outlineLevel="1" x14ac:dyDescent="0.25">
      <c r="A1384" t="s">
        <v>215</v>
      </c>
      <c r="C1384" t="s">
        <v>422</v>
      </c>
      <c r="D1384" t="str">
        <f>_xlfn.CONCAT("Nombre de trajets associés"," (",'Remplissage - Sit. Init.'!$C$383,")")</f>
        <v>Nombre de trajets associés (Catégorie 37)</v>
      </c>
      <c r="F1384" t="str">
        <f t="shared" ref="F1384" si="1381">_xlfn.CONCAT("LogChantDepuisPLNbTraj",RIGHT(LEFT(D1384,LEN(D1384)-1),2))</f>
        <v>LogChantDepuisPLNbTraj37</v>
      </c>
      <c r="G1384" t="s">
        <v>17</v>
      </c>
      <c r="H1384">
        <f t="shared" si="1373"/>
        <v>0</v>
      </c>
      <c r="K1384" t="s">
        <v>145</v>
      </c>
      <c r="L1384">
        <v>3</v>
      </c>
      <c r="N1384" t="s">
        <v>220</v>
      </c>
    </row>
    <row r="1385" spans="1:14" outlineLevel="1" x14ac:dyDescent="0.25">
      <c r="A1385" t="s">
        <v>215</v>
      </c>
      <c r="C1385" t="s">
        <v>423</v>
      </c>
      <c r="D1385" t="str">
        <f>_xlfn.CONCAT("Taux de chargement moyen des véhicules pour l'accès au(x) chantier(s) depuis la plateforme"," (",'Remplissage - Sit. Init.'!$C$393,")")</f>
        <v>Taux de chargement moyen des véhicules pour l'accès au(x) chantier(s) depuis la plateforme (Catégorie 38)</v>
      </c>
      <c r="F1385" t="str">
        <f t="shared" ref="F1385" si="1382">_xlfn.CONCAT("LogChantDepuisPLTC",RIGHT(LEFT(D1385,LEN(D1385)-1),2))</f>
        <v>LogChantDepuisPLTC38</v>
      </c>
      <c r="G1385" t="s">
        <v>17</v>
      </c>
      <c r="H1385">
        <f t="shared" si="1373"/>
        <v>0</v>
      </c>
      <c r="I1385" s="3"/>
      <c r="K1385" t="s">
        <v>70</v>
      </c>
      <c r="L1385" s="7">
        <v>0.6</v>
      </c>
      <c r="N1385" t="s">
        <v>220</v>
      </c>
    </row>
    <row r="1386" spans="1:14" outlineLevel="1" x14ac:dyDescent="0.25">
      <c r="A1386" t="s">
        <v>215</v>
      </c>
      <c r="C1386" t="s">
        <v>423</v>
      </c>
      <c r="D1386" t="str">
        <f>_xlfn.CONCAT("Nombre de trajets associés"," (",'Remplissage - Sit. Init.'!$C$393,")")</f>
        <v>Nombre de trajets associés (Catégorie 38)</v>
      </c>
      <c r="F1386" t="str">
        <f t="shared" ref="F1386" si="1383">_xlfn.CONCAT("LogChantDepuisPLNbTraj",RIGHT(LEFT(D1386,LEN(D1386)-1),2))</f>
        <v>LogChantDepuisPLNbTraj38</v>
      </c>
      <c r="G1386" t="s">
        <v>17</v>
      </c>
      <c r="H1386">
        <f t="shared" si="1373"/>
        <v>0</v>
      </c>
      <c r="K1386" t="s">
        <v>145</v>
      </c>
      <c r="L1386">
        <v>3</v>
      </c>
      <c r="N1386" t="s">
        <v>220</v>
      </c>
    </row>
    <row r="1387" spans="1:14" outlineLevel="1" x14ac:dyDescent="0.25">
      <c r="A1387" t="s">
        <v>215</v>
      </c>
      <c r="C1387" t="s">
        <v>424</v>
      </c>
      <c r="D1387" t="str">
        <f>_xlfn.CONCAT("Taux de chargement moyen des véhicules pour l'accès au(x) chantier(s) depuis la plateforme"," (",'Remplissage - Sit. Init.'!$C$403,")")</f>
        <v>Taux de chargement moyen des véhicules pour l'accès au(x) chantier(s) depuis la plateforme (Catégorie 39)</v>
      </c>
      <c r="F1387" t="str">
        <f t="shared" ref="F1387" si="1384">_xlfn.CONCAT("LogChantDepuisPLTC",RIGHT(LEFT(D1387,LEN(D1387)-1),2))</f>
        <v>LogChantDepuisPLTC39</v>
      </c>
      <c r="G1387" t="s">
        <v>17</v>
      </c>
      <c r="H1387">
        <f t="shared" si="1373"/>
        <v>0</v>
      </c>
      <c r="I1387" s="3"/>
      <c r="K1387" t="s">
        <v>70</v>
      </c>
      <c r="L1387" s="7">
        <v>0.6</v>
      </c>
      <c r="N1387" t="s">
        <v>220</v>
      </c>
    </row>
    <row r="1388" spans="1:14" outlineLevel="1" x14ac:dyDescent="0.25">
      <c r="A1388" t="s">
        <v>215</v>
      </c>
      <c r="C1388" t="s">
        <v>424</v>
      </c>
      <c r="D1388" t="str">
        <f>_xlfn.CONCAT("Nombre de trajets associés"," (",'Remplissage - Sit. Init.'!$C$403,")")</f>
        <v>Nombre de trajets associés (Catégorie 39)</v>
      </c>
      <c r="F1388" t="str">
        <f t="shared" ref="F1388" si="1385">_xlfn.CONCAT("LogChantDepuisPLNbTraj",RIGHT(LEFT(D1388,LEN(D1388)-1),2))</f>
        <v>LogChantDepuisPLNbTraj39</v>
      </c>
      <c r="G1388" t="s">
        <v>17</v>
      </c>
      <c r="H1388">
        <f t="shared" si="1373"/>
        <v>0</v>
      </c>
      <c r="K1388" t="s">
        <v>145</v>
      </c>
      <c r="L1388">
        <v>3</v>
      </c>
      <c r="N1388" t="s">
        <v>220</v>
      </c>
    </row>
    <row r="1389" spans="1:14" outlineLevel="1" x14ac:dyDescent="0.25">
      <c r="A1389" t="s">
        <v>215</v>
      </c>
      <c r="C1389" t="s">
        <v>425</v>
      </c>
      <c r="D1389" t="str">
        <f>_xlfn.CONCAT("Taux de chargement moyen des véhicules pour l'accès au(x) chantier(s) depuis la plateforme"," (",'Remplissage - Sit. Init.'!$C$413,")")</f>
        <v>Taux de chargement moyen des véhicules pour l'accès au(x) chantier(s) depuis la plateforme (Catégorie 40)</v>
      </c>
      <c r="F1389" t="str">
        <f t="shared" ref="F1389" si="1386">_xlfn.CONCAT("LogChantDepuisPLTC",RIGHT(LEFT(D1389,LEN(D1389)-1),2))</f>
        <v>LogChantDepuisPLTC40</v>
      </c>
      <c r="G1389" t="s">
        <v>17</v>
      </c>
      <c r="H1389">
        <f t="shared" si="1373"/>
        <v>0</v>
      </c>
      <c r="I1389" s="3"/>
      <c r="K1389" t="s">
        <v>70</v>
      </c>
      <c r="L1389" s="7">
        <v>0.6</v>
      </c>
      <c r="N1389" t="s">
        <v>220</v>
      </c>
    </row>
    <row r="1390" spans="1:14" outlineLevel="1" x14ac:dyDescent="0.25">
      <c r="A1390" t="s">
        <v>215</v>
      </c>
      <c r="C1390" t="s">
        <v>425</v>
      </c>
      <c r="D1390" t="str">
        <f>_xlfn.CONCAT("Nombre de trajets associés"," (",'Remplissage - Sit. Init.'!$C$413,")")</f>
        <v>Nombre de trajets associés (Catégorie 40)</v>
      </c>
      <c r="F1390" t="str">
        <f t="shared" ref="F1390" si="1387">_xlfn.CONCAT("LogChantDepuisPLNbTraj",RIGHT(LEFT(D1390,LEN(D1390)-1),2))</f>
        <v>LogChantDepuisPLNbTraj40</v>
      </c>
      <c r="G1390" t="s">
        <v>17</v>
      </c>
      <c r="H1390">
        <f t="shared" si="1373"/>
        <v>0</v>
      </c>
      <c r="K1390" t="s">
        <v>145</v>
      </c>
      <c r="L1390">
        <v>3</v>
      </c>
      <c r="N1390" t="s">
        <v>220</v>
      </c>
    </row>
    <row r="1391" spans="1:14" outlineLevel="1" x14ac:dyDescent="0.25">
      <c r="A1391" t="s">
        <v>215</v>
      </c>
      <c r="C1391" t="s">
        <v>426</v>
      </c>
      <c r="D1391" t="str">
        <f>_xlfn.CONCAT("Taux de chargement moyen des véhicules pour l'accès au(x) chantier(s) depuis la plateforme"," (",'Remplissage - Sit. Init.'!$C$423,")")</f>
        <v>Taux de chargement moyen des véhicules pour l'accès au(x) chantier(s) depuis la plateforme (Catégorie 41)</v>
      </c>
      <c r="F1391" t="str">
        <f t="shared" ref="F1391" si="1388">_xlfn.CONCAT("LogChantDepuisPLTC",RIGHT(LEFT(D1391,LEN(D1391)-1),2))</f>
        <v>LogChantDepuisPLTC41</v>
      </c>
      <c r="G1391" t="s">
        <v>17</v>
      </c>
      <c r="H1391">
        <f t="shared" si="1373"/>
        <v>0</v>
      </c>
      <c r="I1391" s="3"/>
      <c r="K1391" t="s">
        <v>70</v>
      </c>
      <c r="L1391" s="7">
        <v>0.6</v>
      </c>
      <c r="N1391" t="s">
        <v>220</v>
      </c>
    </row>
    <row r="1392" spans="1:14" outlineLevel="1" x14ac:dyDescent="0.25">
      <c r="A1392" t="s">
        <v>215</v>
      </c>
      <c r="C1392" t="s">
        <v>426</v>
      </c>
      <c r="D1392" t="str">
        <f>_xlfn.CONCAT("Nombre de trajets associés"," (",'Remplissage - Sit. Init.'!$C$423,")")</f>
        <v>Nombre de trajets associés (Catégorie 41)</v>
      </c>
      <c r="F1392" t="str">
        <f t="shared" ref="F1392" si="1389">_xlfn.CONCAT("LogChantDepuisPLNbTraj",RIGHT(LEFT(D1392,LEN(D1392)-1),2))</f>
        <v>LogChantDepuisPLNbTraj41</v>
      </c>
      <c r="G1392" t="s">
        <v>17</v>
      </c>
      <c r="H1392">
        <f t="shared" si="1373"/>
        <v>0</v>
      </c>
      <c r="K1392" t="s">
        <v>145</v>
      </c>
      <c r="L1392">
        <v>3</v>
      </c>
      <c r="N1392" t="s">
        <v>220</v>
      </c>
    </row>
    <row r="1393" spans="1:14" outlineLevel="1" x14ac:dyDescent="0.25">
      <c r="A1393" t="s">
        <v>215</v>
      </c>
      <c r="C1393" t="s">
        <v>427</v>
      </c>
      <c r="D1393" t="str">
        <f>_xlfn.CONCAT("Taux de chargement moyen des véhicules pour l'accès au(x) chantier(s) depuis la plateforme"," (",'Remplissage - Sit. Init.'!$C$433,")")</f>
        <v>Taux de chargement moyen des véhicules pour l'accès au(x) chantier(s) depuis la plateforme (Catégorie 42)</v>
      </c>
      <c r="F1393" t="str">
        <f t="shared" ref="F1393" si="1390">_xlfn.CONCAT("LogChantDepuisPLTC",RIGHT(LEFT(D1393,LEN(D1393)-1),2))</f>
        <v>LogChantDepuisPLTC42</v>
      </c>
      <c r="G1393" t="s">
        <v>17</v>
      </c>
      <c r="H1393">
        <f t="shared" si="1373"/>
        <v>0</v>
      </c>
      <c r="I1393" s="3"/>
      <c r="K1393" t="s">
        <v>70</v>
      </c>
      <c r="L1393" s="7">
        <v>0.6</v>
      </c>
      <c r="N1393" t="s">
        <v>220</v>
      </c>
    </row>
    <row r="1394" spans="1:14" outlineLevel="1" x14ac:dyDescent="0.25">
      <c r="A1394" t="s">
        <v>215</v>
      </c>
      <c r="C1394" t="s">
        <v>427</v>
      </c>
      <c r="D1394" t="str">
        <f>_xlfn.CONCAT("Nombre de trajets associés"," (",'Remplissage - Sit. Init.'!$C$433,")")</f>
        <v>Nombre de trajets associés (Catégorie 42)</v>
      </c>
      <c r="F1394" t="str">
        <f t="shared" ref="F1394" si="1391">_xlfn.CONCAT("LogChantDepuisPLNbTraj",RIGHT(LEFT(D1394,LEN(D1394)-1),2))</f>
        <v>LogChantDepuisPLNbTraj42</v>
      </c>
      <c r="G1394" t="s">
        <v>17</v>
      </c>
      <c r="H1394">
        <f t="shared" si="1373"/>
        <v>0</v>
      </c>
      <c r="K1394" t="s">
        <v>145</v>
      </c>
      <c r="L1394">
        <v>3</v>
      </c>
      <c r="N1394" t="s">
        <v>220</v>
      </c>
    </row>
    <row r="1395" spans="1:14" outlineLevel="1" x14ac:dyDescent="0.25">
      <c r="A1395" t="s">
        <v>215</v>
      </c>
      <c r="C1395" t="s">
        <v>428</v>
      </c>
      <c r="D1395" t="str">
        <f>_xlfn.CONCAT("Taux de chargement moyen des véhicules pour l'accès au(x) chantier(s) depuis la plateforme"," (",'Remplissage - Sit. Init.'!$C$443,")")</f>
        <v>Taux de chargement moyen des véhicules pour l'accès au(x) chantier(s) depuis la plateforme (Catégorie 43)</v>
      </c>
      <c r="F1395" t="str">
        <f t="shared" ref="F1395" si="1392">_xlfn.CONCAT("LogChantDepuisPLTC",RIGHT(LEFT(D1395,LEN(D1395)-1),2))</f>
        <v>LogChantDepuisPLTC43</v>
      </c>
      <c r="G1395" t="s">
        <v>17</v>
      </c>
      <c r="H1395">
        <f t="shared" si="1373"/>
        <v>0</v>
      </c>
      <c r="I1395" s="3"/>
      <c r="K1395" t="s">
        <v>70</v>
      </c>
      <c r="L1395" s="7">
        <v>0.6</v>
      </c>
      <c r="N1395" t="s">
        <v>220</v>
      </c>
    </row>
    <row r="1396" spans="1:14" outlineLevel="1" x14ac:dyDescent="0.25">
      <c r="A1396" t="s">
        <v>215</v>
      </c>
      <c r="C1396" t="s">
        <v>428</v>
      </c>
      <c r="D1396" t="str">
        <f>_xlfn.CONCAT("Nombre de trajets associés"," (",'Remplissage - Sit. Init.'!$C$443,")")</f>
        <v>Nombre de trajets associés (Catégorie 43)</v>
      </c>
      <c r="F1396" t="str">
        <f t="shared" ref="F1396" si="1393">_xlfn.CONCAT("LogChantDepuisPLNbTraj",RIGHT(LEFT(D1396,LEN(D1396)-1),2))</f>
        <v>LogChantDepuisPLNbTraj43</v>
      </c>
      <c r="G1396" t="s">
        <v>17</v>
      </c>
      <c r="H1396">
        <f t="shared" si="1373"/>
        <v>0</v>
      </c>
      <c r="K1396" t="s">
        <v>145</v>
      </c>
      <c r="L1396">
        <v>3</v>
      </c>
      <c r="N1396" t="s">
        <v>220</v>
      </c>
    </row>
    <row r="1397" spans="1:14" outlineLevel="1" x14ac:dyDescent="0.25">
      <c r="A1397" t="s">
        <v>215</v>
      </c>
      <c r="C1397" t="s">
        <v>429</v>
      </c>
      <c r="D1397" t="str">
        <f>_xlfn.CONCAT("Taux de chargement moyen des véhicules pour l'accès au(x) chantier(s) depuis la plateforme"," (",'Remplissage - Sit. Init.'!$C$453,")")</f>
        <v>Taux de chargement moyen des véhicules pour l'accès au(x) chantier(s) depuis la plateforme (Catégorie 44)</v>
      </c>
      <c r="F1397" t="str">
        <f t="shared" ref="F1397" si="1394">_xlfn.CONCAT("LogChantDepuisPLTC",RIGHT(LEFT(D1397,LEN(D1397)-1),2))</f>
        <v>LogChantDepuisPLTC44</v>
      </c>
      <c r="G1397" t="s">
        <v>17</v>
      </c>
      <c r="H1397">
        <f t="shared" si="1373"/>
        <v>0</v>
      </c>
      <c r="I1397" s="3"/>
      <c r="K1397" t="s">
        <v>70</v>
      </c>
      <c r="L1397" s="7">
        <v>0.6</v>
      </c>
      <c r="N1397" t="s">
        <v>220</v>
      </c>
    </row>
    <row r="1398" spans="1:14" outlineLevel="1" x14ac:dyDescent="0.25">
      <c r="A1398" t="s">
        <v>215</v>
      </c>
      <c r="C1398" t="s">
        <v>429</v>
      </c>
      <c r="D1398" t="str">
        <f>_xlfn.CONCAT("Nombre de trajets associés"," (",'Remplissage - Sit. Init.'!$C$453,")")</f>
        <v>Nombre de trajets associés (Catégorie 44)</v>
      </c>
      <c r="F1398" t="str">
        <f t="shared" ref="F1398" si="1395">_xlfn.CONCAT("LogChantDepuisPLNbTraj",RIGHT(LEFT(D1398,LEN(D1398)-1),2))</f>
        <v>LogChantDepuisPLNbTraj44</v>
      </c>
      <c r="G1398" t="s">
        <v>17</v>
      </c>
      <c r="H1398">
        <f t="shared" si="1373"/>
        <v>0</v>
      </c>
      <c r="K1398" t="s">
        <v>145</v>
      </c>
      <c r="L1398">
        <v>3</v>
      </c>
      <c r="N1398" t="s">
        <v>220</v>
      </c>
    </row>
    <row r="1399" spans="1:14" outlineLevel="1" x14ac:dyDescent="0.25">
      <c r="A1399" t="s">
        <v>215</v>
      </c>
      <c r="C1399" t="s">
        <v>387</v>
      </c>
      <c r="D1399" t="str">
        <f>_xlfn.CONCAT("Taux de chargement moyen des véhicules pour l'accès au(x) chantier(s) depuis la plateforme"," (",'Remplissage - Sit. Init.'!$C$463,")")</f>
        <v>Taux de chargement moyen des véhicules pour l'accès au(x) chantier(s) depuis la plateforme (Catégorie 45)</v>
      </c>
      <c r="F1399" t="str">
        <f t="shared" ref="F1399" si="1396">_xlfn.CONCAT("LogChantDepuisPLTC",RIGHT(LEFT(D1399,LEN(D1399)-1),2))</f>
        <v>LogChantDepuisPLTC45</v>
      </c>
      <c r="G1399" t="s">
        <v>17</v>
      </c>
      <c r="H1399">
        <f t="shared" si="1373"/>
        <v>0</v>
      </c>
      <c r="I1399" s="3"/>
      <c r="K1399" t="s">
        <v>70</v>
      </c>
      <c r="L1399" s="7">
        <v>0.6</v>
      </c>
      <c r="N1399" t="s">
        <v>220</v>
      </c>
    </row>
    <row r="1400" spans="1:14" outlineLevel="1" x14ac:dyDescent="0.25">
      <c r="A1400" t="s">
        <v>215</v>
      </c>
      <c r="C1400" t="s">
        <v>387</v>
      </c>
      <c r="D1400" t="str">
        <f>_xlfn.CONCAT("Nombre de trajets associés"," (",'Remplissage - Sit. Init.'!$C$463,")")</f>
        <v>Nombre de trajets associés (Catégorie 45)</v>
      </c>
      <c r="F1400" t="str">
        <f t="shared" ref="F1400" si="1397">_xlfn.CONCAT("LogChantDepuisPLNbTraj",RIGHT(LEFT(D1400,LEN(D1400)-1),2))</f>
        <v>LogChantDepuisPLNbTraj45</v>
      </c>
      <c r="G1400" t="s">
        <v>17</v>
      </c>
      <c r="H1400">
        <f t="shared" si="1373"/>
        <v>0</v>
      </c>
      <c r="K1400" t="s">
        <v>145</v>
      </c>
      <c r="L1400">
        <v>3</v>
      </c>
      <c r="N1400" t="s">
        <v>220</v>
      </c>
    </row>
    <row r="1401" spans="1:14" x14ac:dyDescent="0.25">
      <c r="A1401" t="s">
        <v>266</v>
      </c>
      <c r="D1401" t="s">
        <v>267</v>
      </c>
      <c r="F1401" t="s">
        <v>268</v>
      </c>
      <c r="G1401" t="s">
        <v>60</v>
      </c>
      <c r="H1401">
        <f>IF(OR(ISNUMBER(SEARCH("C3",$I$18)),ISNUMBER(SEARCH("C3",$I$17))),1,0)</f>
        <v>1</v>
      </c>
      <c r="I1401" t="s">
        <v>382</v>
      </c>
      <c r="J1401" t="s">
        <v>239</v>
      </c>
      <c r="N1401" t="s">
        <v>269</v>
      </c>
    </row>
    <row r="1402" spans="1:14" x14ac:dyDescent="0.25">
      <c r="A1402" t="s">
        <v>266</v>
      </c>
      <c r="D1402" t="s">
        <v>270</v>
      </c>
      <c r="F1402" t="s">
        <v>271</v>
      </c>
      <c r="G1402" t="s">
        <v>36</v>
      </c>
      <c r="H1402">
        <f>IF(OR(ISNUMBER(SEARCH("C3",$I$18)),ISNUMBER(SEARCH("C3",$I$17))),1,0)</f>
        <v>1</v>
      </c>
      <c r="I1402" t="s">
        <v>242</v>
      </c>
      <c r="J1402" s="2" t="s">
        <v>243</v>
      </c>
      <c r="L1402" s="13" t="s">
        <v>187</v>
      </c>
      <c r="N1402" t="s">
        <v>269</v>
      </c>
    </row>
    <row r="1403" spans="1:14" x14ac:dyDescent="0.25">
      <c r="A1403" t="s">
        <v>266</v>
      </c>
      <c r="D1403" t="s">
        <v>240</v>
      </c>
      <c r="F1403" t="s">
        <v>272</v>
      </c>
      <c r="G1403" t="s">
        <v>36</v>
      </c>
      <c r="H1403">
        <f>IF(OR(ISNUMBER(SEARCH("C3",$I$18)),ISNUMBER(SEARCH("C3",$I$17))),1,0)</f>
        <v>1</v>
      </c>
      <c r="I1403" t="s">
        <v>273</v>
      </c>
      <c r="J1403" t="s">
        <v>274</v>
      </c>
      <c r="N1403" t="s">
        <v>269</v>
      </c>
    </row>
    <row r="1404" spans="1:14" x14ac:dyDescent="0.25">
      <c r="A1404" t="s">
        <v>266</v>
      </c>
      <c r="D1404" t="s">
        <v>275</v>
      </c>
      <c r="F1404" t="s">
        <v>276</v>
      </c>
      <c r="G1404" t="s">
        <v>17</v>
      </c>
      <c r="H1404">
        <f>IF($I$1402="Proposer un ordre de grandeur commun à toutes les catégories de véhicules",1,0)</f>
        <v>1</v>
      </c>
      <c r="I1404">
        <v>120</v>
      </c>
      <c r="K1404" t="s">
        <v>88</v>
      </c>
      <c r="L1404">
        <v>50</v>
      </c>
      <c r="N1404" t="s">
        <v>269</v>
      </c>
    </row>
    <row r="1405" spans="1:14" x14ac:dyDescent="0.25">
      <c r="A1405" t="s">
        <v>266</v>
      </c>
      <c r="D1405" t="s">
        <v>277</v>
      </c>
      <c r="F1405" t="s">
        <v>278</v>
      </c>
      <c r="G1405" t="s">
        <v>17</v>
      </c>
      <c r="H1405">
        <f>IF($I$1402="Proposer un ordre de grandeur commun à toutes les catégories de véhicules",1,0)*(IF($I$1403="Le taux de chargement moyen pour une tournée",1,0))</f>
        <v>1</v>
      </c>
      <c r="I1405" s="3">
        <v>0.5</v>
      </c>
      <c r="K1405" t="s">
        <v>70</v>
      </c>
      <c r="L1405" s="7">
        <v>0.33</v>
      </c>
      <c r="N1405" t="s">
        <v>269</v>
      </c>
    </row>
    <row r="1406" spans="1:14" x14ac:dyDescent="0.25">
      <c r="A1406" t="s">
        <v>266</v>
      </c>
      <c r="D1406" t="s">
        <v>279</v>
      </c>
      <c r="F1406" t="s">
        <v>280</v>
      </c>
      <c r="G1406" t="s">
        <v>17</v>
      </c>
      <c r="H1406">
        <f>(IF($I$1402="Proposer un ordre de grandeur commun à toutes les catégories de véhicules",1,0))*(IF($I$1403="La masse moyenne transportée pour une tournée",1,0))</f>
        <v>0</v>
      </c>
      <c r="I1406">
        <v>5</v>
      </c>
      <c r="K1406" t="s">
        <v>148</v>
      </c>
      <c r="L1406">
        <v>1</v>
      </c>
      <c r="N1406" t="s">
        <v>269</v>
      </c>
    </row>
    <row r="1407" spans="1:14" x14ac:dyDescent="0.25">
      <c r="A1407" t="s">
        <v>266</v>
      </c>
      <c r="D1407" t="s">
        <v>281</v>
      </c>
      <c r="F1407" t="s">
        <v>282</v>
      </c>
      <c r="G1407" t="s">
        <v>17</v>
      </c>
      <c r="H1407">
        <f>IF($I$1402="Proposer un ordre de grandeur commun à toutes les catégories de véhicules",1,0)</f>
        <v>1</v>
      </c>
      <c r="I1407">
        <v>300</v>
      </c>
      <c r="K1407" t="s">
        <v>283</v>
      </c>
      <c r="L1407">
        <v>100</v>
      </c>
      <c r="N1407" t="s">
        <v>269</v>
      </c>
    </row>
    <row r="1408" spans="1:14" x14ac:dyDescent="0.25">
      <c r="A1408" t="s">
        <v>266</v>
      </c>
      <c r="C1408">
        <f>'Remplissage - Sit. Init.'!$I$23</f>
        <v>0</v>
      </c>
      <c r="D1408" t="str">
        <f>_xlfn.CONCAT("Distance moyenne d'une tournée"," (",'Remplissage - Sit. Init.'!$C$23,")")</f>
        <v>Distance moyenne d'une tournée (Catégorie 1)</v>
      </c>
      <c r="F1408" t="str">
        <f>_xlfn.CONCAT("ELUTourneeDist",RIGHT(LEFT(D1408,LEN(D1408)-1),1))</f>
        <v>ELUTourneeDist1</v>
      </c>
      <c r="G1408" t="s">
        <v>17</v>
      </c>
      <c r="H1408">
        <f>IF($I$1402="Par catégorie de véhicule sélectionnée (meilleure précision)",1,0)*IF(ISNUMBER(SEARCH(C1408,$I$1401)),1,0)</f>
        <v>0</v>
      </c>
      <c r="K1408" t="s">
        <v>88</v>
      </c>
      <c r="L1408">
        <v>50</v>
      </c>
      <c r="N1408" t="s">
        <v>269</v>
      </c>
    </row>
    <row r="1409" spans="1:14" x14ac:dyDescent="0.25">
      <c r="A1409" t="s">
        <v>266</v>
      </c>
      <c r="C1409">
        <f>'Remplissage - Sit. Init.'!$I$23</f>
        <v>0</v>
      </c>
      <c r="D1409" t="str">
        <f>_xlfn.CONCAT("Taux de chargement moyen pour une tournée"," (",'Remplissage - Sit. Init.'!$C$23,")")</f>
        <v>Taux de chargement moyen pour une tournée (Catégorie 1)</v>
      </c>
      <c r="F1409" t="str">
        <f>_xlfn.CONCAT("ELUTourneeTC",RIGHT(LEFT(D1409,LEN(D1409)-1),1))</f>
        <v>ELUTourneeTC1</v>
      </c>
      <c r="G1409" t="s">
        <v>17</v>
      </c>
      <c r="H1409">
        <f>(IF($I$1402="Par catégorie de véhicule sélectionnée (meilleure précision)",1,0)*IF(ISNUMBER(SEARCH(C1409,$I$1401)),1,0))*(IF($I$1403="Le taux de chargement moyen pour une tournée",1,0))</f>
        <v>0</v>
      </c>
      <c r="I1409" s="3"/>
      <c r="K1409" t="s">
        <v>70</v>
      </c>
      <c r="L1409" s="7">
        <v>0.33</v>
      </c>
      <c r="N1409" t="s">
        <v>269</v>
      </c>
    </row>
    <row r="1410" spans="1:14" x14ac:dyDescent="0.25">
      <c r="A1410" t="s">
        <v>266</v>
      </c>
      <c r="C1410">
        <f>'Remplissage - Sit. Init.'!$I$23</f>
        <v>0</v>
      </c>
      <c r="D1410" t="str">
        <f>_xlfn.CONCAT("Masse moyenne transportée sur une tournée"," (",'Remplissage - Sit. Init.'!$C$23,")")</f>
        <v>Masse moyenne transportée sur une tournée (Catégorie 1)</v>
      </c>
      <c r="F1410" t="str">
        <f>_xlfn.CONCAT("ELUTourneeMasse",RIGHT(LEFT(D1410,LEN(D1410)-1),1))</f>
        <v>ELUTourneeMasse1</v>
      </c>
      <c r="G1410" t="s">
        <v>17</v>
      </c>
      <c r="H1410">
        <f>(IF($I$1402="Par catégorie de véhicule sélectionnée (meilleure précision)",1,0)*IF(ISNUMBER(SEARCH(C1410,$I$1401)),1,0))*(IF($I$1403="La masse moyenne transportée pour une tournée",1,0))</f>
        <v>0</v>
      </c>
      <c r="K1410" t="s">
        <v>148</v>
      </c>
      <c r="L1410">
        <v>1</v>
      </c>
      <c r="N1410" t="s">
        <v>269</v>
      </c>
    </row>
    <row r="1411" spans="1:14" x14ac:dyDescent="0.25">
      <c r="A1411" t="s">
        <v>266</v>
      </c>
      <c r="C1411">
        <f>'Remplissage - Sit. Init.'!$I$23</f>
        <v>0</v>
      </c>
      <c r="D1411" t="str">
        <f>_xlfn.CONCAT("Ordre de grandeur du nombre annuel de tournées"," (",'Remplissage - Sit. Init.'!$C$23,")")</f>
        <v>Ordre de grandeur du nombre annuel de tournées (Catégorie 1)</v>
      </c>
      <c r="F1411" t="str">
        <f>_xlfn.CONCAT("ELUTourneeNb",RIGHT(LEFT(D1411,LEN(D1411)-1),1))</f>
        <v>ELUTourneeNb1</v>
      </c>
      <c r="G1411" t="s">
        <v>17</v>
      </c>
      <c r="H1411">
        <f>IF($I$1402="Par catégorie de véhicule sélectionnée (meilleure précision)",1,0)*IF(ISNUMBER(SEARCH(C1411,$I$1401)),1,0)</f>
        <v>0</v>
      </c>
      <c r="K1411" t="s">
        <v>283</v>
      </c>
      <c r="L1411">
        <v>100</v>
      </c>
      <c r="N1411" t="s">
        <v>269</v>
      </c>
    </row>
    <row r="1412" spans="1:14" outlineLevel="1" x14ac:dyDescent="0.25">
      <c r="A1412" t="s">
        <v>266</v>
      </c>
      <c r="C1412">
        <f>'Remplissage - Sit. Init.'!$I$33</f>
        <v>0</v>
      </c>
      <c r="D1412" t="str">
        <f>_xlfn.CONCAT("Distance moyenne d'une tournée"," (",'Remplissage - Sit. Init.'!$C$33,")")</f>
        <v>Distance moyenne d'une tournée (Catégorie 2)</v>
      </c>
      <c r="F1412" t="str">
        <f>_xlfn.CONCAT("ELUTourneeDist",RIGHT(LEFT(D1412,LEN(D1412)-1),1))</f>
        <v>ELUTourneeDist2</v>
      </c>
      <c r="G1412" t="s">
        <v>17</v>
      </c>
      <c r="H1412">
        <f>IF($I$1402="Par catégorie de véhicule sélectionnée (meilleure précision)",1,0)*IF(ISNUMBER(SEARCH(C1412,$I$1401)),1,0)</f>
        <v>0</v>
      </c>
      <c r="K1412" t="s">
        <v>88</v>
      </c>
      <c r="L1412">
        <v>50</v>
      </c>
      <c r="N1412" t="s">
        <v>269</v>
      </c>
    </row>
    <row r="1413" spans="1:14" outlineLevel="1" x14ac:dyDescent="0.25">
      <c r="A1413" t="s">
        <v>266</v>
      </c>
      <c r="C1413">
        <f>'Remplissage - Sit. Init.'!$I$33</f>
        <v>0</v>
      </c>
      <c r="D1413" t="str">
        <f>_xlfn.CONCAT("Taux de chargement moyen pour une tournée"," (",'Remplissage - Sit. Init.'!$C$33,")")</f>
        <v>Taux de chargement moyen pour une tournée (Catégorie 2)</v>
      </c>
      <c r="F1413" t="str">
        <f>_xlfn.CONCAT("ELUTourneeTC",RIGHT(LEFT(D1413,LEN(D1413)-1),1))</f>
        <v>ELUTourneeTC2</v>
      </c>
      <c r="G1413" t="s">
        <v>17</v>
      </c>
      <c r="H1413">
        <f>(IF($I$1402="Par catégorie de véhicule sélectionnée (meilleure précision)",1,0)*IF(ISNUMBER(SEARCH(C1413,$I$1401)),1,0))*(IF($I$1403="Le taux de chargement moyen pour une tournée",1,0))</f>
        <v>0</v>
      </c>
      <c r="I1413" s="3"/>
      <c r="K1413" t="s">
        <v>70</v>
      </c>
      <c r="L1413" s="7">
        <v>0.33</v>
      </c>
      <c r="N1413" t="s">
        <v>269</v>
      </c>
    </row>
    <row r="1414" spans="1:14" outlineLevel="1" x14ac:dyDescent="0.25">
      <c r="A1414" t="s">
        <v>266</v>
      </c>
      <c r="C1414">
        <f>'Remplissage - Sit. Init.'!$I$33</f>
        <v>0</v>
      </c>
      <c r="D1414" t="str">
        <f>_xlfn.CONCAT("Masse moyenne transportée sur une tournée"," (",'Remplissage - Sit. Init.'!$C$33,")")</f>
        <v>Masse moyenne transportée sur une tournée (Catégorie 2)</v>
      </c>
      <c r="F1414" t="str">
        <f>_xlfn.CONCAT("ELUTourneeMasse",RIGHT(LEFT(D1414,LEN(D1414)-1),1))</f>
        <v>ELUTourneeMasse2</v>
      </c>
      <c r="G1414" t="s">
        <v>17</v>
      </c>
      <c r="H1414">
        <f>(IF($I$1402="Par catégorie de véhicule sélectionnée (meilleure précision)",1,0)*IF(ISNUMBER(SEARCH(C1414,$I$1401)),1,0))*(IF($I$1403="La masse moyenne transportée pour une tournée",1,0))</f>
        <v>0</v>
      </c>
      <c r="K1414" t="s">
        <v>148</v>
      </c>
      <c r="L1414">
        <v>1</v>
      </c>
      <c r="N1414" t="s">
        <v>269</v>
      </c>
    </row>
    <row r="1415" spans="1:14" outlineLevel="1" x14ac:dyDescent="0.25">
      <c r="A1415" t="s">
        <v>266</v>
      </c>
      <c r="C1415">
        <f>'Remplissage - Sit. Init.'!$I$33</f>
        <v>0</v>
      </c>
      <c r="D1415" t="str">
        <f>_xlfn.CONCAT("Ordre de grandeur du nombre annuel de tournées"," (",'Remplissage - Sit. Init.'!$C$33,")")</f>
        <v>Ordre de grandeur du nombre annuel de tournées (Catégorie 2)</v>
      </c>
      <c r="F1415" t="str">
        <f>_xlfn.CONCAT("ELUTourneeNb",RIGHT(LEFT(D1415,LEN(D1415)-1),1))</f>
        <v>ELUTourneeNb2</v>
      </c>
      <c r="G1415" t="s">
        <v>17</v>
      </c>
      <c r="H1415">
        <f>IF($I$1402="Par catégorie de véhicule sélectionnée (meilleure précision)",1,0)*IF(ISNUMBER(SEARCH(C1415,$I$1401)),1,0)</f>
        <v>0</v>
      </c>
      <c r="K1415" t="s">
        <v>283</v>
      </c>
      <c r="L1415">
        <v>100</v>
      </c>
      <c r="N1415" t="s">
        <v>269</v>
      </c>
    </row>
    <row r="1416" spans="1:14" outlineLevel="1" x14ac:dyDescent="0.25">
      <c r="A1416" t="s">
        <v>266</v>
      </c>
      <c r="C1416">
        <f>'Remplissage - Sit. Init.'!$I$43</f>
        <v>0</v>
      </c>
      <c r="D1416" t="str">
        <f>_xlfn.CONCAT("Distance moyenne d'une tournée"," (",'Remplissage - Sit. Init.'!$C$43,")")</f>
        <v>Distance moyenne d'une tournée (Catégorie 3)</v>
      </c>
      <c r="F1416" t="str">
        <f>_xlfn.CONCAT("ELUTourneeDist",RIGHT(LEFT(D1416,LEN(D1416)-1),1))</f>
        <v>ELUTourneeDist3</v>
      </c>
      <c r="G1416" t="s">
        <v>17</v>
      </c>
      <c r="H1416">
        <f>IF($I$1402="Par catégorie de véhicule sélectionnée (meilleure précision)",1,0)*IF(ISNUMBER(SEARCH(C1416,$I$1401)),1,0)</f>
        <v>0</v>
      </c>
      <c r="K1416" t="s">
        <v>88</v>
      </c>
      <c r="L1416">
        <v>50</v>
      </c>
      <c r="N1416" t="s">
        <v>269</v>
      </c>
    </row>
    <row r="1417" spans="1:14" outlineLevel="1" x14ac:dyDescent="0.25">
      <c r="A1417" t="s">
        <v>266</v>
      </c>
      <c r="C1417">
        <f>'Remplissage - Sit. Init.'!$I$43</f>
        <v>0</v>
      </c>
      <c r="D1417" t="str">
        <f>_xlfn.CONCAT("Taux de chargement moyen pour une tournée"," (",'Remplissage - Sit. Init.'!$C$43,")")</f>
        <v>Taux de chargement moyen pour une tournée (Catégorie 3)</v>
      </c>
      <c r="F1417" t="str">
        <f>_xlfn.CONCAT("ELUTourneeTC",RIGHT(LEFT(D1417,LEN(D1417)-1),1))</f>
        <v>ELUTourneeTC3</v>
      </c>
      <c r="G1417" t="s">
        <v>17</v>
      </c>
      <c r="H1417">
        <f>(IF($I$1402="Par catégorie de véhicule sélectionnée (meilleure précision)",1,0)*IF(ISNUMBER(SEARCH(C1417,$I$1401)),1,0))*(IF($I$1403="Le taux de chargement moyen pour une tournée",1,0))</f>
        <v>0</v>
      </c>
      <c r="I1417" s="3"/>
      <c r="K1417" t="s">
        <v>70</v>
      </c>
      <c r="L1417" s="7">
        <v>0.33</v>
      </c>
      <c r="N1417" t="s">
        <v>269</v>
      </c>
    </row>
    <row r="1418" spans="1:14" outlineLevel="1" x14ac:dyDescent="0.25">
      <c r="A1418" t="s">
        <v>266</v>
      </c>
      <c r="C1418">
        <f>'Remplissage - Sit. Init.'!$I$43</f>
        <v>0</v>
      </c>
      <c r="D1418" t="str">
        <f>_xlfn.CONCAT("Masse moyenne transportée sur une tournée"," (",'Remplissage - Sit. Init.'!$C$43,")")</f>
        <v>Masse moyenne transportée sur une tournée (Catégorie 3)</v>
      </c>
      <c r="F1418" t="str">
        <f>_xlfn.CONCAT("ELUTourneeMasse",RIGHT(LEFT(D1418,LEN(D1418)-1),1))</f>
        <v>ELUTourneeMasse3</v>
      </c>
      <c r="G1418" t="s">
        <v>17</v>
      </c>
      <c r="H1418">
        <f>(IF($I$1402="Par catégorie de véhicule sélectionnée (meilleure précision)",1,0)*IF(ISNUMBER(SEARCH(C1418,$I$1401)),1,0))*(IF($I$1403="La masse moyenne transportée pour une tournée",1,0))</f>
        <v>0</v>
      </c>
      <c r="K1418" t="s">
        <v>148</v>
      </c>
      <c r="L1418">
        <v>1</v>
      </c>
      <c r="N1418" t="s">
        <v>269</v>
      </c>
    </row>
    <row r="1419" spans="1:14" outlineLevel="1" x14ac:dyDescent="0.25">
      <c r="A1419" t="s">
        <v>266</v>
      </c>
      <c r="C1419">
        <f>'Remplissage - Sit. Init.'!$I$43</f>
        <v>0</v>
      </c>
      <c r="D1419" t="str">
        <f>_xlfn.CONCAT("Ordre de grandeur du nombre annuel de tournées"," (",'Remplissage - Sit. Init.'!$C$43,")")</f>
        <v>Ordre de grandeur du nombre annuel de tournées (Catégorie 3)</v>
      </c>
      <c r="F1419" t="str">
        <f>_xlfn.CONCAT("ELUTourneeNb",RIGHT(LEFT(D1419,LEN(D1419)-1),1))</f>
        <v>ELUTourneeNb3</v>
      </c>
      <c r="G1419" t="s">
        <v>17</v>
      </c>
      <c r="H1419">
        <f>IF($I$1402="Par catégorie de véhicule sélectionnée (meilleure précision)",1,0)*IF(ISNUMBER(SEARCH(C1419,$I$1401)),1,0)</f>
        <v>0</v>
      </c>
      <c r="K1419" t="s">
        <v>283</v>
      </c>
      <c r="L1419">
        <v>100</v>
      </c>
      <c r="N1419" t="s">
        <v>269</v>
      </c>
    </row>
    <row r="1420" spans="1:14" outlineLevel="1" x14ac:dyDescent="0.25">
      <c r="A1420" t="s">
        <v>266</v>
      </c>
      <c r="C1420">
        <f>'Remplissage - Sit. Init.'!$I$53</f>
        <v>0</v>
      </c>
      <c r="D1420" t="str">
        <f>_xlfn.CONCAT("Distance moyenne d'une tournée"," (",'Remplissage - Sit. Init.'!$C$53,")")</f>
        <v>Distance moyenne d'une tournée (Catégorie 4)</v>
      </c>
      <c r="F1420" t="str">
        <f>_xlfn.CONCAT("ELUTourneeDist",RIGHT(LEFT(D1420,LEN(D1420)-1),1))</f>
        <v>ELUTourneeDist4</v>
      </c>
      <c r="G1420" t="s">
        <v>17</v>
      </c>
      <c r="H1420">
        <f>IF($I$1402="Par catégorie de véhicule sélectionnée (meilleure précision)",1,0)*IF(ISNUMBER(SEARCH(C1420,$I$1401)),1,0)</f>
        <v>0</v>
      </c>
      <c r="K1420" t="s">
        <v>88</v>
      </c>
      <c r="L1420">
        <v>50</v>
      </c>
      <c r="N1420" t="s">
        <v>269</v>
      </c>
    </row>
    <row r="1421" spans="1:14" outlineLevel="1" x14ac:dyDescent="0.25">
      <c r="A1421" t="s">
        <v>266</v>
      </c>
      <c r="C1421">
        <f>'Remplissage - Sit. Init.'!$I$53</f>
        <v>0</v>
      </c>
      <c r="D1421" t="str">
        <f>_xlfn.CONCAT("Taux de chargement moyen pour une tournée"," (",'Remplissage - Sit. Init.'!$C$53,")")</f>
        <v>Taux de chargement moyen pour une tournée (Catégorie 4)</v>
      </c>
      <c r="F1421" t="str">
        <f>_xlfn.CONCAT("ELUTourneeTC",RIGHT(LEFT(D1421,LEN(D1421)-1),1))</f>
        <v>ELUTourneeTC4</v>
      </c>
      <c r="G1421" t="s">
        <v>17</v>
      </c>
      <c r="H1421">
        <f>(IF($I$1402="Par catégorie de véhicule sélectionnée (meilleure précision)",1,0)*IF(ISNUMBER(SEARCH(C1421,$I$1401)),1,0))*(IF($I$1403="Le taux de chargement moyen pour une tournée",1,0))</f>
        <v>0</v>
      </c>
      <c r="I1421" s="3"/>
      <c r="K1421" t="s">
        <v>70</v>
      </c>
      <c r="L1421" s="7">
        <v>0.33</v>
      </c>
      <c r="N1421" t="s">
        <v>269</v>
      </c>
    </row>
    <row r="1422" spans="1:14" outlineLevel="1" x14ac:dyDescent="0.25">
      <c r="A1422" t="s">
        <v>266</v>
      </c>
      <c r="C1422">
        <f>'Remplissage - Sit. Init.'!$I$53</f>
        <v>0</v>
      </c>
      <c r="D1422" t="str">
        <f>_xlfn.CONCAT("Masse moyenne transportée sur une tournée"," (",'Remplissage - Sit. Init.'!$C$53,")")</f>
        <v>Masse moyenne transportée sur une tournée (Catégorie 4)</v>
      </c>
      <c r="F1422" t="str">
        <f>_xlfn.CONCAT("ELUTourneeMasse",RIGHT(LEFT(D1422,LEN(D1422)-1),1))</f>
        <v>ELUTourneeMasse4</v>
      </c>
      <c r="G1422" t="s">
        <v>17</v>
      </c>
      <c r="H1422">
        <f>(IF($I$1402="Par catégorie de véhicule sélectionnée (meilleure précision)",1,0)*IF(ISNUMBER(SEARCH(C1422,$I$1401)),1,0))*(IF($I$1403="La masse moyenne transportée pour une tournée",1,0))</f>
        <v>0</v>
      </c>
      <c r="K1422" t="s">
        <v>148</v>
      </c>
      <c r="L1422">
        <v>1</v>
      </c>
      <c r="N1422" t="s">
        <v>269</v>
      </c>
    </row>
    <row r="1423" spans="1:14" outlineLevel="1" x14ac:dyDescent="0.25">
      <c r="A1423" t="s">
        <v>266</v>
      </c>
      <c r="C1423">
        <f>'Remplissage - Sit. Init.'!$I$53</f>
        <v>0</v>
      </c>
      <c r="D1423" t="str">
        <f>_xlfn.CONCAT("Ordre de grandeur du nombre annuel de tournées"," (",'Remplissage - Sit. Init.'!$C$53,")")</f>
        <v>Ordre de grandeur du nombre annuel de tournées (Catégorie 4)</v>
      </c>
      <c r="F1423" t="str">
        <f>_xlfn.CONCAT("ELUTourneeNb",RIGHT(LEFT(D1423,LEN(D1423)-1),1))</f>
        <v>ELUTourneeNb4</v>
      </c>
      <c r="G1423" t="s">
        <v>17</v>
      </c>
      <c r="H1423">
        <f>IF($I$1402="Par catégorie de véhicule sélectionnée (meilleure précision)",1,0)*IF(ISNUMBER(SEARCH(C1423,$I$1401)),1,0)</f>
        <v>0</v>
      </c>
      <c r="K1423" t="s">
        <v>283</v>
      </c>
      <c r="L1423">
        <v>100</v>
      </c>
      <c r="N1423" t="s">
        <v>269</v>
      </c>
    </row>
    <row r="1424" spans="1:14" outlineLevel="1" x14ac:dyDescent="0.25">
      <c r="A1424" t="s">
        <v>266</v>
      </c>
      <c r="C1424">
        <f>'Remplissage - Sit. Init.'!$I$63</f>
        <v>0</v>
      </c>
      <c r="D1424" t="str">
        <f>_xlfn.CONCAT("Distance moyenne d'une tournée"," (",'Remplissage - Sit. Init.'!$C$63,")")</f>
        <v>Distance moyenne d'une tournée (Catégorie 5)</v>
      </c>
      <c r="F1424" t="str">
        <f>_xlfn.CONCAT("ELUTourneeDist",RIGHT(LEFT(D1424,LEN(D1424)-1),1))</f>
        <v>ELUTourneeDist5</v>
      </c>
      <c r="G1424" t="s">
        <v>17</v>
      </c>
      <c r="H1424">
        <f>IF($I$1402="Par catégorie de véhicule sélectionnée (meilleure précision)",1,0)*IF(ISNUMBER(SEARCH(C1424,$I$1401)),1,0)</f>
        <v>0</v>
      </c>
      <c r="K1424" t="s">
        <v>88</v>
      </c>
      <c r="L1424">
        <v>50</v>
      </c>
      <c r="N1424" t="s">
        <v>269</v>
      </c>
    </row>
    <row r="1425" spans="1:14" outlineLevel="1" x14ac:dyDescent="0.25">
      <c r="A1425" t="s">
        <v>266</v>
      </c>
      <c r="C1425">
        <f>'Remplissage - Sit. Init.'!$I$63</f>
        <v>0</v>
      </c>
      <c r="D1425" t="str">
        <f>_xlfn.CONCAT("Taux de chargement moyen pour une tournée"," (",'Remplissage - Sit. Init.'!$C$63,")")</f>
        <v>Taux de chargement moyen pour une tournée (Catégorie 5)</v>
      </c>
      <c r="F1425" t="str">
        <f>_xlfn.CONCAT("ELUTourneeTC",RIGHT(LEFT(D1425,LEN(D1425)-1),1))</f>
        <v>ELUTourneeTC5</v>
      </c>
      <c r="G1425" t="s">
        <v>17</v>
      </c>
      <c r="H1425">
        <f>(IF($I$1402="Par catégorie de véhicule sélectionnée (meilleure précision)",1,0)*IF(ISNUMBER(SEARCH(C1425,$I$1401)),1,0))*(IF($I$1403="Le taux de chargement moyen pour une tournée",1,0))</f>
        <v>0</v>
      </c>
      <c r="I1425" s="3"/>
      <c r="K1425" t="s">
        <v>70</v>
      </c>
      <c r="L1425" s="7">
        <v>0.33</v>
      </c>
      <c r="N1425" t="s">
        <v>269</v>
      </c>
    </row>
    <row r="1426" spans="1:14" outlineLevel="1" x14ac:dyDescent="0.25">
      <c r="A1426" t="s">
        <v>266</v>
      </c>
      <c r="C1426">
        <f>'Remplissage - Sit. Init.'!$I$63</f>
        <v>0</v>
      </c>
      <c r="D1426" t="str">
        <f>_xlfn.CONCAT("Masse moyenne transportée sur une tournée"," (",'Remplissage - Sit. Init.'!$C$63,")")</f>
        <v>Masse moyenne transportée sur une tournée (Catégorie 5)</v>
      </c>
      <c r="F1426" t="str">
        <f>_xlfn.CONCAT("ELUTourneeMasse",RIGHT(LEFT(D1426,LEN(D1426)-1),1))</f>
        <v>ELUTourneeMasse5</v>
      </c>
      <c r="G1426" t="s">
        <v>17</v>
      </c>
      <c r="H1426">
        <f>(IF($I$1402="Par catégorie de véhicule sélectionnée (meilleure précision)",1,0)*IF(ISNUMBER(SEARCH(C1426,$I$1401)),1,0))*(IF($I$1403="La masse moyenne transportée pour une tournée",1,0))</f>
        <v>0</v>
      </c>
      <c r="K1426" t="s">
        <v>148</v>
      </c>
      <c r="L1426">
        <v>1</v>
      </c>
      <c r="N1426" t="s">
        <v>269</v>
      </c>
    </row>
    <row r="1427" spans="1:14" outlineLevel="1" x14ac:dyDescent="0.25">
      <c r="A1427" t="s">
        <v>266</v>
      </c>
      <c r="C1427">
        <f>'Remplissage - Sit. Init.'!$I$63</f>
        <v>0</v>
      </c>
      <c r="D1427" t="str">
        <f>_xlfn.CONCAT("Ordre de grandeur du nombre annuel de tournées"," (",'Remplissage - Sit. Init.'!$C$63,")")</f>
        <v>Ordre de grandeur du nombre annuel de tournées (Catégorie 5)</v>
      </c>
      <c r="F1427" t="str">
        <f>_xlfn.CONCAT("ELUTourneeNb",RIGHT(LEFT(D1427,LEN(D1427)-1),1))</f>
        <v>ELUTourneeNb5</v>
      </c>
      <c r="G1427" t="s">
        <v>17</v>
      </c>
      <c r="H1427">
        <f>IF($I$1402="Par catégorie de véhicule sélectionnée (meilleure précision)",1,0)*IF(ISNUMBER(SEARCH(C1427,$I$1401)),1,0)</f>
        <v>0</v>
      </c>
      <c r="K1427" t="s">
        <v>283</v>
      </c>
      <c r="L1427">
        <v>100</v>
      </c>
      <c r="N1427" t="s">
        <v>269</v>
      </c>
    </row>
    <row r="1428" spans="1:14" outlineLevel="1" x14ac:dyDescent="0.25">
      <c r="A1428" t="s">
        <v>266</v>
      </c>
      <c r="C1428">
        <f>'Remplissage - Sit. Init.'!$I$73</f>
        <v>0</v>
      </c>
      <c r="D1428" t="str">
        <f>_xlfn.CONCAT("Distance moyenne d'une tournée"," (",'Remplissage - Sit. Init.'!$C$73,")")</f>
        <v>Distance moyenne d'une tournée (Catégorie 6)</v>
      </c>
      <c r="F1428" t="str">
        <f>_xlfn.CONCAT("ELUTourneeDist",RIGHT(LEFT(D1428,LEN(D1428)-1),1))</f>
        <v>ELUTourneeDist6</v>
      </c>
      <c r="G1428" t="s">
        <v>17</v>
      </c>
      <c r="H1428">
        <f>IF($I$1402="Par catégorie de véhicule sélectionnée (meilleure précision)",1,0)*IF(ISNUMBER(SEARCH(C1428,$I$1401)),1,0)</f>
        <v>0</v>
      </c>
      <c r="K1428" t="s">
        <v>88</v>
      </c>
      <c r="L1428">
        <v>50</v>
      </c>
      <c r="N1428" t="s">
        <v>269</v>
      </c>
    </row>
    <row r="1429" spans="1:14" outlineLevel="1" x14ac:dyDescent="0.25">
      <c r="A1429" t="s">
        <v>266</v>
      </c>
      <c r="C1429">
        <f>'Remplissage - Sit. Init.'!$I$73</f>
        <v>0</v>
      </c>
      <c r="D1429" t="str">
        <f>_xlfn.CONCAT("Taux de chargement moyen pour une tournée"," (",'Remplissage - Sit. Init.'!$C$73,")")</f>
        <v>Taux de chargement moyen pour une tournée (Catégorie 6)</v>
      </c>
      <c r="F1429" t="str">
        <f>_xlfn.CONCAT("ELUTourneeTC",RIGHT(LEFT(D1429,LEN(D1429)-1),1))</f>
        <v>ELUTourneeTC6</v>
      </c>
      <c r="G1429" t="s">
        <v>17</v>
      </c>
      <c r="H1429">
        <f>(IF($I$1402="Par catégorie de véhicule sélectionnée (meilleure précision)",1,0)*IF(ISNUMBER(SEARCH(C1429,$I$1401)),1,0))*(IF($I$1403="Le taux de chargement moyen pour une tournée",1,0))</f>
        <v>0</v>
      </c>
      <c r="I1429" s="3"/>
      <c r="K1429" t="s">
        <v>70</v>
      </c>
      <c r="L1429" s="7">
        <v>0.33</v>
      </c>
      <c r="N1429" t="s">
        <v>269</v>
      </c>
    </row>
    <row r="1430" spans="1:14" outlineLevel="1" x14ac:dyDescent="0.25">
      <c r="A1430" t="s">
        <v>266</v>
      </c>
      <c r="C1430">
        <f>'Remplissage - Sit. Init.'!$I$73</f>
        <v>0</v>
      </c>
      <c r="D1430" t="str">
        <f>_xlfn.CONCAT("Masse moyenne transportée sur une tournée"," (",'Remplissage - Sit. Init.'!$C$73,")")</f>
        <v>Masse moyenne transportée sur une tournée (Catégorie 6)</v>
      </c>
      <c r="F1430" t="str">
        <f>_xlfn.CONCAT("ELUTourneeMasse",RIGHT(LEFT(D1430,LEN(D1430)-1),1))</f>
        <v>ELUTourneeMasse6</v>
      </c>
      <c r="G1430" t="s">
        <v>17</v>
      </c>
      <c r="H1430">
        <f>(IF($I$1402="Par catégorie de véhicule sélectionnée (meilleure précision)",1,0)*IF(ISNUMBER(SEARCH(C1430,$I$1401)),1,0))*(IF($I$1403="La masse moyenne transportée pour une tournée",1,0))</f>
        <v>0</v>
      </c>
      <c r="K1430" t="s">
        <v>148</v>
      </c>
      <c r="L1430">
        <v>1</v>
      </c>
      <c r="N1430" t="s">
        <v>269</v>
      </c>
    </row>
    <row r="1431" spans="1:14" outlineLevel="1" x14ac:dyDescent="0.25">
      <c r="A1431" t="s">
        <v>266</v>
      </c>
      <c r="C1431">
        <f>'Remplissage - Sit. Init.'!$I$73</f>
        <v>0</v>
      </c>
      <c r="D1431" t="str">
        <f>_xlfn.CONCAT("Ordre de grandeur du nombre annuel de tournées"," (",'Remplissage - Sit. Init.'!$C$73,")")</f>
        <v>Ordre de grandeur du nombre annuel de tournées (Catégorie 6)</v>
      </c>
      <c r="F1431" t="str">
        <f>_xlfn.CONCAT("ELUTourneeNb",RIGHT(LEFT(D1431,LEN(D1431)-1),1))</f>
        <v>ELUTourneeNb6</v>
      </c>
      <c r="G1431" t="s">
        <v>17</v>
      </c>
      <c r="H1431">
        <f>IF($I$1402="Par catégorie de véhicule sélectionnée (meilleure précision)",1,0)*IF(ISNUMBER(SEARCH(C1431,$I$1401)),1,0)</f>
        <v>0</v>
      </c>
      <c r="K1431" t="s">
        <v>283</v>
      </c>
      <c r="L1431">
        <v>100</v>
      </c>
      <c r="N1431" t="s">
        <v>269</v>
      </c>
    </row>
    <row r="1432" spans="1:14" outlineLevel="1" x14ac:dyDescent="0.25">
      <c r="A1432" t="s">
        <v>266</v>
      </c>
      <c r="C1432">
        <f>'Remplissage - Sit. Init.'!$I$83</f>
        <v>0</v>
      </c>
      <c r="D1432" t="str">
        <f>_xlfn.CONCAT("Distance moyenne d'une tournée"," (",'Remplissage - Sit. Init.'!$C$83,")")</f>
        <v>Distance moyenne d'une tournée (Catégorie 7)</v>
      </c>
      <c r="F1432" t="str">
        <f>_xlfn.CONCAT("ELUTourneeDist",RIGHT(LEFT(D1432,LEN(D1432)-1),1))</f>
        <v>ELUTourneeDist7</v>
      </c>
      <c r="G1432" t="s">
        <v>17</v>
      </c>
      <c r="H1432">
        <f>IF($I$1402="Par catégorie de véhicule sélectionnée (meilleure précision)",1,0)*IF(ISNUMBER(SEARCH(C1432,$I$1401)),1,0)</f>
        <v>0</v>
      </c>
      <c r="K1432" t="s">
        <v>88</v>
      </c>
      <c r="L1432">
        <v>50</v>
      </c>
      <c r="N1432" t="s">
        <v>269</v>
      </c>
    </row>
    <row r="1433" spans="1:14" outlineLevel="1" x14ac:dyDescent="0.25">
      <c r="A1433" t="s">
        <v>266</v>
      </c>
      <c r="C1433">
        <f>'Remplissage - Sit. Init.'!$I$83</f>
        <v>0</v>
      </c>
      <c r="D1433" t="str">
        <f>_xlfn.CONCAT("Taux de chargement moyen pour une tournée"," (",'Remplissage - Sit. Init.'!$C$83,")")</f>
        <v>Taux de chargement moyen pour une tournée (Catégorie 7)</v>
      </c>
      <c r="F1433" t="str">
        <f>_xlfn.CONCAT("ELUTourneeTC",RIGHT(LEFT(D1433,LEN(D1433)-1),1))</f>
        <v>ELUTourneeTC7</v>
      </c>
      <c r="G1433" t="s">
        <v>17</v>
      </c>
      <c r="H1433">
        <f>(IF($I$1402="Par catégorie de véhicule sélectionnée (meilleure précision)",1,0)*IF(ISNUMBER(SEARCH(C1433,$I$1401)),1,0))*(IF($I$1403="Le taux de chargement moyen pour une tournée",1,0))</f>
        <v>0</v>
      </c>
      <c r="I1433" s="3"/>
      <c r="K1433" t="s">
        <v>70</v>
      </c>
      <c r="L1433" s="7">
        <v>0.33</v>
      </c>
      <c r="N1433" t="s">
        <v>269</v>
      </c>
    </row>
    <row r="1434" spans="1:14" outlineLevel="1" x14ac:dyDescent="0.25">
      <c r="A1434" t="s">
        <v>266</v>
      </c>
      <c r="C1434">
        <f>'Remplissage - Sit. Init.'!$I$83</f>
        <v>0</v>
      </c>
      <c r="D1434" t="str">
        <f>_xlfn.CONCAT("Masse moyenne transportée sur une tournée"," (",'Remplissage - Sit. Init.'!$C$83,")")</f>
        <v>Masse moyenne transportée sur une tournée (Catégorie 7)</v>
      </c>
      <c r="F1434" t="str">
        <f>_xlfn.CONCAT("ELUTourneeMasse",RIGHT(LEFT(D1434,LEN(D1434)-1),1))</f>
        <v>ELUTourneeMasse7</v>
      </c>
      <c r="G1434" t="s">
        <v>17</v>
      </c>
      <c r="H1434">
        <f>(IF($I$1402="Par catégorie de véhicule sélectionnée (meilleure précision)",1,0)*IF(ISNUMBER(SEARCH(C1434,$I$1401)),1,0))*(IF($I$1403="La masse moyenne transportée pour une tournée",1,0))</f>
        <v>0</v>
      </c>
      <c r="K1434" t="s">
        <v>148</v>
      </c>
      <c r="L1434">
        <v>1</v>
      </c>
      <c r="N1434" t="s">
        <v>269</v>
      </c>
    </row>
    <row r="1435" spans="1:14" outlineLevel="1" x14ac:dyDescent="0.25">
      <c r="A1435" t="s">
        <v>266</v>
      </c>
      <c r="C1435">
        <f>'Remplissage - Sit. Init.'!$I$83</f>
        <v>0</v>
      </c>
      <c r="D1435" t="str">
        <f>_xlfn.CONCAT("Ordre de grandeur du nombre annuel de tournées"," (",'Remplissage - Sit. Init.'!$C$83,")")</f>
        <v>Ordre de grandeur du nombre annuel de tournées (Catégorie 7)</v>
      </c>
      <c r="F1435" t="str">
        <f>_xlfn.CONCAT("ELUTourneeNb",RIGHT(LEFT(D1435,LEN(D1435)-1),1))</f>
        <v>ELUTourneeNb7</v>
      </c>
      <c r="G1435" t="s">
        <v>17</v>
      </c>
      <c r="H1435">
        <f>IF($I$1402="Par catégorie de véhicule sélectionnée (meilleure précision)",1,0)*IF(ISNUMBER(SEARCH(C1435,$I$1401)),1,0)</f>
        <v>0</v>
      </c>
      <c r="K1435" t="s">
        <v>283</v>
      </c>
      <c r="L1435">
        <v>100</v>
      </c>
      <c r="N1435" t="s">
        <v>269</v>
      </c>
    </row>
    <row r="1436" spans="1:14" outlineLevel="1" x14ac:dyDescent="0.25">
      <c r="A1436" t="s">
        <v>266</v>
      </c>
      <c r="C1436">
        <f>'Remplissage - Sit. Init.'!$I$93</f>
        <v>0</v>
      </c>
      <c r="D1436" t="str">
        <f>_xlfn.CONCAT("Distance moyenne d'une tournée"," (",'Remplissage - Sit. Init.'!$C$93,")")</f>
        <v>Distance moyenne d'une tournée (Catégorie 8)</v>
      </c>
      <c r="F1436" t="str">
        <f>_xlfn.CONCAT("ELUTourneeDist",RIGHT(LEFT(D1436,LEN(D1436)-1),1))</f>
        <v>ELUTourneeDist8</v>
      </c>
      <c r="G1436" t="s">
        <v>17</v>
      </c>
      <c r="H1436">
        <f>IF($I$1402="Par catégorie de véhicule sélectionnée (meilleure précision)",1,0)*IF(ISNUMBER(SEARCH(C1436,$I$1401)),1,0)</f>
        <v>0</v>
      </c>
      <c r="K1436" t="s">
        <v>88</v>
      </c>
      <c r="L1436">
        <v>50</v>
      </c>
      <c r="N1436" t="s">
        <v>269</v>
      </c>
    </row>
    <row r="1437" spans="1:14" outlineLevel="1" x14ac:dyDescent="0.25">
      <c r="A1437" t="s">
        <v>266</v>
      </c>
      <c r="C1437">
        <f>'Remplissage - Sit. Init.'!$I$93</f>
        <v>0</v>
      </c>
      <c r="D1437" t="str">
        <f>_xlfn.CONCAT("Taux de chargement moyen pour une tournée"," (",'Remplissage - Sit. Init.'!$C$93,")")</f>
        <v>Taux de chargement moyen pour une tournée (Catégorie 8)</v>
      </c>
      <c r="F1437" t="str">
        <f>_xlfn.CONCAT("ELUTourneeTC",RIGHT(LEFT(D1437,LEN(D1437)-1),1))</f>
        <v>ELUTourneeTC8</v>
      </c>
      <c r="G1437" t="s">
        <v>17</v>
      </c>
      <c r="H1437">
        <f>(IF($I$1402="Par catégorie de véhicule sélectionnée (meilleure précision)",1,0)*IF(ISNUMBER(SEARCH(C1437,$I$1401)),1,0))*(IF($I$1403="Le taux de chargement moyen pour une tournée",1,0))</f>
        <v>0</v>
      </c>
      <c r="I1437" s="3"/>
      <c r="K1437" t="s">
        <v>70</v>
      </c>
      <c r="L1437" s="7">
        <v>0.33</v>
      </c>
      <c r="N1437" t="s">
        <v>269</v>
      </c>
    </row>
    <row r="1438" spans="1:14" outlineLevel="1" x14ac:dyDescent="0.25">
      <c r="A1438" t="s">
        <v>266</v>
      </c>
      <c r="C1438">
        <f>'Remplissage - Sit. Init.'!$I$93</f>
        <v>0</v>
      </c>
      <c r="D1438" t="str">
        <f>_xlfn.CONCAT("Masse moyenne transportée sur une tournée"," (",'Remplissage - Sit. Init.'!$C$93,")")</f>
        <v>Masse moyenne transportée sur une tournée (Catégorie 8)</v>
      </c>
      <c r="F1438" t="str">
        <f>_xlfn.CONCAT("ELUTourneeMasse",RIGHT(LEFT(D1438,LEN(D1438)-1),1))</f>
        <v>ELUTourneeMasse8</v>
      </c>
      <c r="G1438" t="s">
        <v>17</v>
      </c>
      <c r="H1438">
        <f>(IF($I$1402="Par catégorie de véhicule sélectionnée (meilleure précision)",1,0)*IF(ISNUMBER(SEARCH(C1438,$I$1401)),1,0))*(IF($I$1403="La masse moyenne transportée pour une tournée",1,0))</f>
        <v>0</v>
      </c>
      <c r="K1438" t="s">
        <v>148</v>
      </c>
      <c r="L1438">
        <v>1</v>
      </c>
      <c r="N1438" t="s">
        <v>269</v>
      </c>
    </row>
    <row r="1439" spans="1:14" outlineLevel="1" x14ac:dyDescent="0.25">
      <c r="A1439" t="s">
        <v>266</v>
      </c>
      <c r="C1439">
        <f>'Remplissage - Sit. Init.'!$I$93</f>
        <v>0</v>
      </c>
      <c r="D1439" t="str">
        <f>_xlfn.CONCAT("Ordre de grandeur du nombre annuel de tournées"," (",'Remplissage - Sit. Init.'!$C$93,")")</f>
        <v>Ordre de grandeur du nombre annuel de tournées (Catégorie 8)</v>
      </c>
      <c r="F1439" t="str">
        <f>_xlfn.CONCAT("ELUTourneeNb",RIGHT(LEFT(D1439,LEN(D1439)-1),1))</f>
        <v>ELUTourneeNb8</v>
      </c>
      <c r="G1439" t="s">
        <v>17</v>
      </c>
      <c r="H1439">
        <f>IF($I$1402="Par catégorie de véhicule sélectionnée (meilleure précision)",1,0)*IF(ISNUMBER(SEARCH(C1439,$I$1401)),1,0)</f>
        <v>0</v>
      </c>
      <c r="K1439" t="s">
        <v>283</v>
      </c>
      <c r="L1439">
        <v>100</v>
      </c>
      <c r="N1439" t="s">
        <v>269</v>
      </c>
    </row>
    <row r="1440" spans="1:14" outlineLevel="1" x14ac:dyDescent="0.25">
      <c r="A1440" t="s">
        <v>266</v>
      </c>
      <c r="C1440">
        <f>'Remplissage - Sit. Init.'!$I$103</f>
        <v>0</v>
      </c>
      <c r="D1440" t="str">
        <f>_xlfn.CONCAT("Distance moyenne d'une tournée"," (",'Remplissage - Sit. Init.'!$C$103,")")</f>
        <v>Distance moyenne d'une tournée (Catégorie 9)</v>
      </c>
      <c r="F1440" t="str">
        <f>_xlfn.CONCAT("ELUTourneeDist",RIGHT(LEFT(D1440,LEN(D1440)-1),1))</f>
        <v>ELUTourneeDist9</v>
      </c>
      <c r="G1440" t="s">
        <v>17</v>
      </c>
      <c r="H1440">
        <f>IF($I$1402="Par catégorie de véhicule sélectionnée (meilleure précision)",1,0)*IF(ISNUMBER(SEARCH(C1440,$I$1401)),1,0)</f>
        <v>0</v>
      </c>
      <c r="K1440" t="s">
        <v>88</v>
      </c>
      <c r="L1440">
        <v>50</v>
      </c>
      <c r="N1440" t="s">
        <v>269</v>
      </c>
    </row>
    <row r="1441" spans="1:14" outlineLevel="1" x14ac:dyDescent="0.25">
      <c r="A1441" t="s">
        <v>266</v>
      </c>
      <c r="C1441">
        <f>'Remplissage - Sit. Init.'!$I$103</f>
        <v>0</v>
      </c>
      <c r="D1441" t="str">
        <f>_xlfn.CONCAT("Taux de chargement moyen pour une tournée"," (",'Remplissage - Sit. Init.'!$C$103,")")</f>
        <v>Taux de chargement moyen pour une tournée (Catégorie 9)</v>
      </c>
      <c r="F1441" t="str">
        <f>_xlfn.CONCAT("ELUTourneeTC",RIGHT(LEFT(D1441,LEN(D1441)-1),1))</f>
        <v>ELUTourneeTC9</v>
      </c>
      <c r="G1441" t="s">
        <v>17</v>
      </c>
      <c r="H1441">
        <f>(IF($I$1402="Par catégorie de véhicule sélectionnée (meilleure précision)",1,0)*IF(ISNUMBER(SEARCH(C1441,$I$1401)),1,0))*(IF($I$1403="Le taux de chargement moyen pour une tournée",1,0))</f>
        <v>0</v>
      </c>
      <c r="I1441" s="3"/>
      <c r="K1441" t="s">
        <v>70</v>
      </c>
      <c r="L1441" s="7">
        <v>0.33</v>
      </c>
      <c r="N1441" t="s">
        <v>269</v>
      </c>
    </row>
    <row r="1442" spans="1:14" outlineLevel="1" x14ac:dyDescent="0.25">
      <c r="A1442" t="s">
        <v>266</v>
      </c>
      <c r="C1442">
        <f>'Remplissage - Sit. Init.'!$I$103</f>
        <v>0</v>
      </c>
      <c r="D1442" t="str">
        <f>_xlfn.CONCAT("Masse moyenne transportée sur une tournée"," (",'Remplissage - Sit. Init.'!$C$103,")")</f>
        <v>Masse moyenne transportée sur une tournée (Catégorie 9)</v>
      </c>
      <c r="F1442" t="str">
        <f>_xlfn.CONCAT("ELUTourneeMasse",RIGHT(LEFT(D1442,LEN(D1442)-1),1))</f>
        <v>ELUTourneeMasse9</v>
      </c>
      <c r="G1442" t="s">
        <v>17</v>
      </c>
      <c r="H1442">
        <f>(IF($I$1402="Par catégorie de véhicule sélectionnée (meilleure précision)",1,0)*IF(ISNUMBER(SEARCH(C1442,$I$1401)),1,0))*(IF($I$1403="La masse moyenne transportée pour une tournée",1,0))</f>
        <v>0</v>
      </c>
      <c r="K1442" t="s">
        <v>148</v>
      </c>
      <c r="L1442">
        <v>1</v>
      </c>
      <c r="N1442" t="s">
        <v>269</v>
      </c>
    </row>
    <row r="1443" spans="1:14" outlineLevel="1" x14ac:dyDescent="0.25">
      <c r="A1443" t="s">
        <v>266</v>
      </c>
      <c r="C1443">
        <f>'Remplissage - Sit. Init.'!$I$103</f>
        <v>0</v>
      </c>
      <c r="D1443" t="str">
        <f>_xlfn.CONCAT("Ordre de grandeur du nombre annuel de tournées"," (",'Remplissage - Sit. Init.'!$C$103,")")</f>
        <v>Ordre de grandeur du nombre annuel de tournées (Catégorie 9)</v>
      </c>
      <c r="F1443" t="str">
        <f>_xlfn.CONCAT("ELUTourneeNb",RIGHT(LEFT(D1443,LEN(D1443)-1),1))</f>
        <v>ELUTourneeNb9</v>
      </c>
      <c r="G1443" t="s">
        <v>17</v>
      </c>
      <c r="H1443">
        <f>IF($I$1402="Par catégorie de véhicule sélectionnée (meilleure précision)",1,0)*IF(ISNUMBER(SEARCH(C1443,$I$1401)),1,0)</f>
        <v>0</v>
      </c>
      <c r="K1443" t="s">
        <v>283</v>
      </c>
      <c r="L1443">
        <v>100</v>
      </c>
      <c r="N1443" t="s">
        <v>269</v>
      </c>
    </row>
    <row r="1444" spans="1:14" outlineLevel="1" x14ac:dyDescent="0.25">
      <c r="A1444" t="s">
        <v>266</v>
      </c>
      <c r="C1444">
        <f>'Remplissage - Sit. Init.'!$I$113</f>
        <v>0</v>
      </c>
      <c r="D1444" t="str">
        <f>_xlfn.CONCAT("Distance moyenne d'une tournée"," (",'Remplissage - Sit. Init.'!$C$113,")")</f>
        <v>Distance moyenne d'une tournée (Catégorie 10)</v>
      </c>
      <c r="F1444" t="str">
        <f>_xlfn.CONCAT("ELUTourneeDist",RIGHT(LEFT(D1444,LEN(D1444)-1),2))</f>
        <v>ELUTourneeDist10</v>
      </c>
      <c r="G1444" t="s">
        <v>17</v>
      </c>
      <c r="H1444">
        <f>IF($I$1402="Par catégorie de véhicule sélectionnée (meilleure précision)",1,0)*IF(ISNUMBER(SEARCH(C1444,$I$1401)),1,0)</f>
        <v>0</v>
      </c>
      <c r="K1444" t="s">
        <v>88</v>
      </c>
      <c r="L1444">
        <v>50</v>
      </c>
      <c r="N1444" t="s">
        <v>269</v>
      </c>
    </row>
    <row r="1445" spans="1:14" outlineLevel="1" x14ac:dyDescent="0.25">
      <c r="A1445" t="s">
        <v>266</v>
      </c>
      <c r="C1445">
        <f>'Remplissage - Sit. Init.'!$I$113</f>
        <v>0</v>
      </c>
      <c r="D1445" t="str">
        <f>_xlfn.CONCAT("Taux de chargement moyen pour une tournée"," (",'Remplissage - Sit. Init.'!$C$113,")")</f>
        <v>Taux de chargement moyen pour une tournée (Catégorie 10)</v>
      </c>
      <c r="F1445" t="str">
        <f>_xlfn.CONCAT("ELUTourneeTC",RIGHT(LEFT(D1445,LEN(D1445)-1),2))</f>
        <v>ELUTourneeTC10</v>
      </c>
      <c r="G1445" t="s">
        <v>17</v>
      </c>
      <c r="H1445">
        <f>(IF($I$1402="Par catégorie de véhicule sélectionnée (meilleure précision)",1,0)*IF(ISNUMBER(SEARCH(C1445,$I$1401)),1,0))*(IF($I$1403="Le taux de chargement moyen pour une tournée",1,0))</f>
        <v>0</v>
      </c>
      <c r="I1445" s="3"/>
      <c r="K1445" t="s">
        <v>70</v>
      </c>
      <c r="L1445" s="7">
        <v>0.33</v>
      </c>
      <c r="N1445" t="s">
        <v>269</v>
      </c>
    </row>
    <row r="1446" spans="1:14" outlineLevel="1" x14ac:dyDescent="0.25">
      <c r="A1446" t="s">
        <v>266</v>
      </c>
      <c r="C1446">
        <f>'Remplissage - Sit. Init.'!$I$113</f>
        <v>0</v>
      </c>
      <c r="D1446" t="str">
        <f>_xlfn.CONCAT("Masse moyenne transportée sur une tournée"," (",'Remplissage - Sit. Init.'!$C$113,")")</f>
        <v>Masse moyenne transportée sur une tournée (Catégorie 10)</v>
      </c>
      <c r="F1446" t="str">
        <f>_xlfn.CONCAT("ELUTourneeMasse",RIGHT(LEFT(D1446,LEN(D1446)-1),2))</f>
        <v>ELUTourneeMasse10</v>
      </c>
      <c r="G1446" t="s">
        <v>17</v>
      </c>
      <c r="H1446">
        <f>(IF($I$1402="Par catégorie de véhicule sélectionnée (meilleure précision)",1,0)*IF(ISNUMBER(SEARCH(C1446,$I$1401)),1,0))*(IF($I$1403="La masse moyenne transportée pour une tournée",1,0))</f>
        <v>0</v>
      </c>
      <c r="K1446" t="s">
        <v>148</v>
      </c>
      <c r="L1446">
        <v>1</v>
      </c>
      <c r="N1446" t="s">
        <v>269</v>
      </c>
    </row>
    <row r="1447" spans="1:14" outlineLevel="1" x14ac:dyDescent="0.25">
      <c r="A1447" t="s">
        <v>266</v>
      </c>
      <c r="C1447">
        <f>'Remplissage - Sit. Init.'!$I$113</f>
        <v>0</v>
      </c>
      <c r="D1447" t="str">
        <f>_xlfn.CONCAT("Ordre de grandeur du nombre annuel de tournées"," (",'Remplissage - Sit. Init.'!$C$113,")")</f>
        <v>Ordre de grandeur du nombre annuel de tournées (Catégorie 10)</v>
      </c>
      <c r="F1447" t="str">
        <f>_xlfn.CONCAT("ELUTourneeNb",RIGHT(LEFT(D1447,LEN(D1447)-1),2))</f>
        <v>ELUTourneeNb10</v>
      </c>
      <c r="G1447" t="s">
        <v>17</v>
      </c>
      <c r="H1447">
        <f>IF($I$1402="Par catégorie de véhicule sélectionnée (meilleure précision)",1,0)*IF(ISNUMBER(SEARCH(C1447,$I$1401)),1,0)</f>
        <v>0</v>
      </c>
      <c r="K1447" t="s">
        <v>283</v>
      </c>
      <c r="L1447">
        <v>100</v>
      </c>
      <c r="N1447" t="s">
        <v>269</v>
      </c>
    </row>
    <row r="1448" spans="1:14" x14ac:dyDescent="0.25">
      <c r="A1448" t="s">
        <v>266</v>
      </c>
      <c r="C1448">
        <f>'Remplissage - Sit. Init.'!$I$23</f>
        <v>0</v>
      </c>
      <c r="D1448" t="str">
        <f>_xlfn.CONCAT("Distance moyenne d'une tournée"," (",'Remplissage - Sit. Init.'!$C$123,")")</f>
        <v>Distance moyenne d'une tournée (Catégorie 11)</v>
      </c>
      <c r="F1448" t="str">
        <f t="shared" ref="F1448" si="1398">_xlfn.CONCAT("ELUTourneeDist",RIGHT(LEFT(D1448,LEN(D1448)-1),2))</f>
        <v>ELUTourneeDist11</v>
      </c>
      <c r="G1448" t="s">
        <v>17</v>
      </c>
      <c r="H1448">
        <f>IF($I$1402="Par catégorie de véhicule sélectionnée (meilleure précision)",1,0)*IF(ISNUMBER(SEARCH(C1448,$I$1401)),1,0)</f>
        <v>0</v>
      </c>
      <c r="K1448" t="s">
        <v>88</v>
      </c>
      <c r="L1448">
        <v>50</v>
      </c>
      <c r="N1448" t="s">
        <v>269</v>
      </c>
    </row>
    <row r="1449" spans="1:14" x14ac:dyDescent="0.25">
      <c r="A1449" t="s">
        <v>266</v>
      </c>
      <c r="C1449">
        <f>'Remplissage - Sit. Init.'!$I$23</f>
        <v>0</v>
      </c>
      <c r="D1449" t="str">
        <f>_xlfn.CONCAT("Taux de chargement moyen pour une tournée"," (",'Remplissage - Sit. Init.'!$C$123,")")</f>
        <v>Taux de chargement moyen pour une tournée (Catégorie 11)</v>
      </c>
      <c r="F1449" t="str">
        <f t="shared" ref="F1449" si="1399">_xlfn.CONCAT("ELUTourneeTC",RIGHT(LEFT(D1449,LEN(D1449)-1),2))</f>
        <v>ELUTourneeTC11</v>
      </c>
      <c r="G1449" t="s">
        <v>17</v>
      </c>
      <c r="H1449">
        <f>(IF($I$1402="Par catégorie de véhicule sélectionnée (meilleure précision)",1,0)*IF(ISNUMBER(SEARCH(C1449,$I$1401)),1,0))*(IF($I$1403="Le taux de chargement moyen pour une tournée",1,0))</f>
        <v>0</v>
      </c>
      <c r="I1449" s="3"/>
      <c r="K1449" t="s">
        <v>70</v>
      </c>
      <c r="L1449" s="7">
        <v>0.33</v>
      </c>
      <c r="N1449" t="s">
        <v>269</v>
      </c>
    </row>
    <row r="1450" spans="1:14" x14ac:dyDescent="0.25">
      <c r="A1450" t="s">
        <v>266</v>
      </c>
      <c r="C1450">
        <f>'Remplissage - Sit. Init.'!$I$23</f>
        <v>0</v>
      </c>
      <c r="D1450" t="str">
        <f>_xlfn.CONCAT("Masse moyenne transportée sur une tournée"," (",'Remplissage - Sit. Init.'!$C$123,")")</f>
        <v>Masse moyenne transportée sur une tournée (Catégorie 11)</v>
      </c>
      <c r="F1450" t="str">
        <f t="shared" ref="F1450" si="1400">_xlfn.CONCAT("ELUTourneeMasse",RIGHT(LEFT(D1450,LEN(D1450)-1),2))</f>
        <v>ELUTourneeMasse11</v>
      </c>
      <c r="G1450" t="s">
        <v>17</v>
      </c>
      <c r="H1450">
        <f>(IF($I$1402="Par catégorie de véhicule sélectionnée (meilleure précision)",1,0)*IF(ISNUMBER(SEARCH(C1450,$I$1401)),1,0))*(IF($I$1403="La masse moyenne transportée pour une tournée",1,0))</f>
        <v>0</v>
      </c>
      <c r="K1450" t="s">
        <v>148</v>
      </c>
      <c r="L1450">
        <v>1</v>
      </c>
      <c r="N1450" t="s">
        <v>269</v>
      </c>
    </row>
    <row r="1451" spans="1:14" x14ac:dyDescent="0.25">
      <c r="A1451" t="s">
        <v>266</v>
      </c>
      <c r="C1451">
        <f>'Remplissage - Sit. Init.'!$I$23</f>
        <v>0</v>
      </c>
      <c r="D1451" t="str">
        <f>_xlfn.CONCAT("Ordre de grandeur du nombre annuel de tournées"," (",'Remplissage - Sit. Init.'!$C$123,")")</f>
        <v>Ordre de grandeur du nombre annuel de tournées (Catégorie 11)</v>
      </c>
      <c r="F1451" t="str">
        <f t="shared" ref="F1451" si="1401">_xlfn.CONCAT("ELUTourneeNb",RIGHT(LEFT(D1451,LEN(D1451)-1),2))</f>
        <v>ELUTourneeNb11</v>
      </c>
      <c r="G1451" t="s">
        <v>17</v>
      </c>
      <c r="H1451">
        <f>IF($I$1402="Par catégorie de véhicule sélectionnée (meilleure précision)",1,0)*IF(ISNUMBER(SEARCH(C1451,$I$1401)),1,0)</f>
        <v>0</v>
      </c>
      <c r="K1451" t="s">
        <v>283</v>
      </c>
      <c r="L1451">
        <v>100</v>
      </c>
      <c r="N1451" t="s">
        <v>269</v>
      </c>
    </row>
    <row r="1452" spans="1:14" outlineLevel="1" x14ac:dyDescent="0.25">
      <c r="A1452" t="s">
        <v>266</v>
      </c>
      <c r="C1452">
        <f>'Remplissage - Sit. Init.'!$I$33</f>
        <v>0</v>
      </c>
      <c r="D1452" t="str">
        <f>_xlfn.CONCAT("Distance moyenne d'une tournée"," (",'Remplissage - Sit. Init.'!$C$133,")")</f>
        <v>Distance moyenne d'une tournée (Catégorie 12)</v>
      </c>
      <c r="F1452" t="str">
        <f t="shared" ref="F1452" si="1402">_xlfn.CONCAT("ELUTourneeDist",RIGHT(LEFT(D1452,LEN(D1452)-1),2))</f>
        <v>ELUTourneeDist12</v>
      </c>
      <c r="G1452" t="s">
        <v>17</v>
      </c>
      <c r="H1452">
        <f>IF($I$1402="Par catégorie de véhicule sélectionnée (meilleure précision)",1,0)*IF(ISNUMBER(SEARCH(C1452,$I$1401)),1,0)</f>
        <v>0</v>
      </c>
      <c r="K1452" t="s">
        <v>88</v>
      </c>
      <c r="L1452">
        <v>50</v>
      </c>
      <c r="N1452" t="s">
        <v>269</v>
      </c>
    </row>
    <row r="1453" spans="1:14" outlineLevel="1" x14ac:dyDescent="0.25">
      <c r="A1453" t="s">
        <v>266</v>
      </c>
      <c r="C1453">
        <f>'Remplissage - Sit. Init.'!$I$33</f>
        <v>0</v>
      </c>
      <c r="D1453" t="str">
        <f>_xlfn.CONCAT("Taux de chargement moyen pour une tournée"," (",'Remplissage - Sit. Init.'!$C$133,")")</f>
        <v>Taux de chargement moyen pour une tournée (Catégorie 12)</v>
      </c>
      <c r="F1453" t="str">
        <f t="shared" ref="F1453" si="1403">_xlfn.CONCAT("ELUTourneeTC",RIGHT(LEFT(D1453,LEN(D1453)-1),2))</f>
        <v>ELUTourneeTC12</v>
      </c>
      <c r="G1453" t="s">
        <v>17</v>
      </c>
      <c r="H1453">
        <f>(IF($I$1402="Par catégorie de véhicule sélectionnée (meilleure précision)",1,0)*IF(ISNUMBER(SEARCH(C1453,$I$1401)),1,0))*(IF($I$1403="Le taux de chargement moyen pour une tournée",1,0))</f>
        <v>0</v>
      </c>
      <c r="I1453" s="3"/>
      <c r="K1453" t="s">
        <v>70</v>
      </c>
      <c r="L1453" s="7">
        <v>0.33</v>
      </c>
      <c r="N1453" t="s">
        <v>269</v>
      </c>
    </row>
    <row r="1454" spans="1:14" outlineLevel="1" x14ac:dyDescent="0.25">
      <c r="A1454" t="s">
        <v>266</v>
      </c>
      <c r="C1454">
        <f>'Remplissage - Sit. Init.'!$I$33</f>
        <v>0</v>
      </c>
      <c r="D1454" t="str">
        <f>_xlfn.CONCAT("Masse moyenne transportée sur une tournée"," (",'Remplissage - Sit. Init.'!$C$133,")")</f>
        <v>Masse moyenne transportée sur une tournée (Catégorie 12)</v>
      </c>
      <c r="F1454" t="str">
        <f t="shared" ref="F1454" si="1404">_xlfn.CONCAT("ELUTourneeMasse",RIGHT(LEFT(D1454,LEN(D1454)-1),2))</f>
        <v>ELUTourneeMasse12</v>
      </c>
      <c r="G1454" t="s">
        <v>17</v>
      </c>
      <c r="H1454">
        <f>(IF($I$1402="Par catégorie de véhicule sélectionnée (meilleure précision)",1,0)*IF(ISNUMBER(SEARCH(C1454,$I$1401)),1,0))*(IF($I$1403="La masse moyenne transportée pour une tournée",1,0))</f>
        <v>0</v>
      </c>
      <c r="K1454" t="s">
        <v>148</v>
      </c>
      <c r="L1454">
        <v>1</v>
      </c>
      <c r="N1454" t="s">
        <v>269</v>
      </c>
    </row>
    <row r="1455" spans="1:14" outlineLevel="1" x14ac:dyDescent="0.25">
      <c r="A1455" t="s">
        <v>266</v>
      </c>
      <c r="C1455">
        <f>'Remplissage - Sit. Init.'!$I$33</f>
        <v>0</v>
      </c>
      <c r="D1455" t="str">
        <f>_xlfn.CONCAT("Ordre de grandeur du nombre annuel de tournées"," (",'Remplissage - Sit. Init.'!$C$133,")")</f>
        <v>Ordre de grandeur du nombre annuel de tournées (Catégorie 12)</v>
      </c>
      <c r="F1455" t="str">
        <f t="shared" ref="F1455" si="1405">_xlfn.CONCAT("ELUTourneeNb",RIGHT(LEFT(D1455,LEN(D1455)-1),2))</f>
        <v>ELUTourneeNb12</v>
      </c>
      <c r="G1455" t="s">
        <v>17</v>
      </c>
      <c r="H1455">
        <f>IF($I$1402="Par catégorie de véhicule sélectionnée (meilleure précision)",1,0)*IF(ISNUMBER(SEARCH(C1455,$I$1401)),1,0)</f>
        <v>0</v>
      </c>
      <c r="K1455" t="s">
        <v>283</v>
      </c>
      <c r="L1455">
        <v>100</v>
      </c>
      <c r="N1455" t="s">
        <v>269</v>
      </c>
    </row>
    <row r="1456" spans="1:14" outlineLevel="1" x14ac:dyDescent="0.25">
      <c r="A1456" t="s">
        <v>266</v>
      </c>
      <c r="C1456">
        <f>'Remplissage - Sit. Init.'!$I$43</f>
        <v>0</v>
      </c>
      <c r="D1456" t="str">
        <f>_xlfn.CONCAT("Distance moyenne d'une tournée"," (",'Remplissage - Sit. Init.'!$C$143,")")</f>
        <v>Distance moyenne d'une tournée (Catégorie 13)</v>
      </c>
      <c r="F1456" t="str">
        <f t="shared" ref="F1456" si="1406">_xlfn.CONCAT("ELUTourneeDist",RIGHT(LEFT(D1456,LEN(D1456)-1),2))</f>
        <v>ELUTourneeDist13</v>
      </c>
      <c r="G1456" t="s">
        <v>17</v>
      </c>
      <c r="H1456">
        <f>IF($I$1402="Par catégorie de véhicule sélectionnée (meilleure précision)",1,0)*IF(ISNUMBER(SEARCH(C1456,$I$1401)),1,0)</f>
        <v>0</v>
      </c>
      <c r="K1456" t="s">
        <v>88</v>
      </c>
      <c r="L1456">
        <v>50</v>
      </c>
      <c r="N1456" t="s">
        <v>269</v>
      </c>
    </row>
    <row r="1457" spans="1:14" outlineLevel="1" x14ac:dyDescent="0.25">
      <c r="A1457" t="s">
        <v>266</v>
      </c>
      <c r="C1457">
        <f>'Remplissage - Sit. Init.'!$I$43</f>
        <v>0</v>
      </c>
      <c r="D1457" t="str">
        <f>_xlfn.CONCAT("Taux de chargement moyen pour une tournée"," (",'Remplissage - Sit. Init.'!$C$143,")")</f>
        <v>Taux de chargement moyen pour une tournée (Catégorie 13)</v>
      </c>
      <c r="F1457" t="str">
        <f t="shared" ref="F1457" si="1407">_xlfn.CONCAT("ELUTourneeTC",RIGHT(LEFT(D1457,LEN(D1457)-1),2))</f>
        <v>ELUTourneeTC13</v>
      </c>
      <c r="G1457" t="s">
        <v>17</v>
      </c>
      <c r="H1457">
        <f>(IF($I$1402="Par catégorie de véhicule sélectionnée (meilleure précision)",1,0)*IF(ISNUMBER(SEARCH(C1457,$I$1401)),1,0))*(IF($I$1403="Le taux de chargement moyen pour une tournée",1,0))</f>
        <v>0</v>
      </c>
      <c r="I1457" s="3"/>
      <c r="K1457" t="s">
        <v>70</v>
      </c>
      <c r="L1457" s="7">
        <v>0.33</v>
      </c>
      <c r="N1457" t="s">
        <v>269</v>
      </c>
    </row>
    <row r="1458" spans="1:14" outlineLevel="1" x14ac:dyDescent="0.25">
      <c r="A1458" t="s">
        <v>266</v>
      </c>
      <c r="C1458">
        <f>'Remplissage - Sit. Init.'!$I$43</f>
        <v>0</v>
      </c>
      <c r="D1458" t="str">
        <f>_xlfn.CONCAT("Masse moyenne transportée sur une tournée"," (",'Remplissage - Sit. Init.'!$C$143,")")</f>
        <v>Masse moyenne transportée sur une tournée (Catégorie 13)</v>
      </c>
      <c r="F1458" t="str">
        <f t="shared" ref="F1458" si="1408">_xlfn.CONCAT("ELUTourneeMasse",RIGHT(LEFT(D1458,LEN(D1458)-1),2))</f>
        <v>ELUTourneeMasse13</v>
      </c>
      <c r="G1458" t="s">
        <v>17</v>
      </c>
      <c r="H1458">
        <f>(IF($I$1402="Par catégorie de véhicule sélectionnée (meilleure précision)",1,0)*IF(ISNUMBER(SEARCH(C1458,$I$1401)),1,0))*(IF($I$1403="La masse moyenne transportée pour une tournée",1,0))</f>
        <v>0</v>
      </c>
      <c r="K1458" t="s">
        <v>148</v>
      </c>
      <c r="L1458">
        <v>1</v>
      </c>
      <c r="N1458" t="s">
        <v>269</v>
      </c>
    </row>
    <row r="1459" spans="1:14" outlineLevel="1" x14ac:dyDescent="0.25">
      <c r="A1459" t="s">
        <v>266</v>
      </c>
      <c r="C1459">
        <f>'Remplissage - Sit. Init.'!$I$43</f>
        <v>0</v>
      </c>
      <c r="D1459" t="str">
        <f>_xlfn.CONCAT("Ordre de grandeur du nombre annuel de tournées"," (",'Remplissage - Sit. Init.'!$C$143,")")</f>
        <v>Ordre de grandeur du nombre annuel de tournées (Catégorie 13)</v>
      </c>
      <c r="F1459" t="str">
        <f t="shared" ref="F1459" si="1409">_xlfn.CONCAT("ELUTourneeNb",RIGHT(LEFT(D1459,LEN(D1459)-1),2))</f>
        <v>ELUTourneeNb13</v>
      </c>
      <c r="G1459" t="s">
        <v>17</v>
      </c>
      <c r="H1459">
        <f>IF($I$1402="Par catégorie de véhicule sélectionnée (meilleure précision)",1,0)*IF(ISNUMBER(SEARCH(C1459,$I$1401)),1,0)</f>
        <v>0</v>
      </c>
      <c r="K1459" t="s">
        <v>283</v>
      </c>
      <c r="L1459">
        <v>100</v>
      </c>
      <c r="N1459" t="s">
        <v>269</v>
      </c>
    </row>
    <row r="1460" spans="1:14" outlineLevel="1" x14ac:dyDescent="0.25">
      <c r="A1460" t="s">
        <v>266</v>
      </c>
      <c r="C1460">
        <f>'Remplissage - Sit. Init.'!$I$53</f>
        <v>0</v>
      </c>
      <c r="D1460" t="str">
        <f>_xlfn.CONCAT("Distance moyenne d'une tournée"," (",'Remplissage - Sit. Init.'!$C$153,")")</f>
        <v>Distance moyenne d'une tournée (Catégorie 14)</v>
      </c>
      <c r="F1460" t="str">
        <f t="shared" ref="F1460" si="1410">_xlfn.CONCAT("ELUTourneeDist",RIGHT(LEFT(D1460,LEN(D1460)-1),2))</f>
        <v>ELUTourneeDist14</v>
      </c>
      <c r="G1460" t="s">
        <v>17</v>
      </c>
      <c r="H1460">
        <f>IF($I$1402="Par catégorie de véhicule sélectionnée (meilleure précision)",1,0)*IF(ISNUMBER(SEARCH(C1460,$I$1401)),1,0)</f>
        <v>0</v>
      </c>
      <c r="K1460" t="s">
        <v>88</v>
      </c>
      <c r="L1460">
        <v>50</v>
      </c>
      <c r="N1460" t="s">
        <v>269</v>
      </c>
    </row>
    <row r="1461" spans="1:14" outlineLevel="1" x14ac:dyDescent="0.25">
      <c r="A1461" t="s">
        <v>266</v>
      </c>
      <c r="C1461">
        <f>'Remplissage - Sit. Init.'!$I$53</f>
        <v>0</v>
      </c>
      <c r="D1461" t="str">
        <f>_xlfn.CONCAT("Taux de chargement moyen pour une tournée"," (",'Remplissage - Sit. Init.'!$C$153,")")</f>
        <v>Taux de chargement moyen pour une tournée (Catégorie 14)</v>
      </c>
      <c r="F1461" t="str">
        <f t="shared" ref="F1461" si="1411">_xlfn.CONCAT("ELUTourneeTC",RIGHT(LEFT(D1461,LEN(D1461)-1),2))</f>
        <v>ELUTourneeTC14</v>
      </c>
      <c r="G1461" t="s">
        <v>17</v>
      </c>
      <c r="H1461">
        <f>(IF($I$1402="Par catégorie de véhicule sélectionnée (meilleure précision)",1,0)*IF(ISNUMBER(SEARCH(C1461,$I$1401)),1,0))*(IF($I$1403="Le taux de chargement moyen pour une tournée",1,0))</f>
        <v>0</v>
      </c>
      <c r="I1461" s="3"/>
      <c r="K1461" t="s">
        <v>70</v>
      </c>
      <c r="L1461" s="7">
        <v>0.33</v>
      </c>
      <c r="N1461" t="s">
        <v>269</v>
      </c>
    </row>
    <row r="1462" spans="1:14" outlineLevel="1" x14ac:dyDescent="0.25">
      <c r="A1462" t="s">
        <v>266</v>
      </c>
      <c r="C1462">
        <f>'Remplissage - Sit. Init.'!$I$53</f>
        <v>0</v>
      </c>
      <c r="D1462" t="str">
        <f>_xlfn.CONCAT("Masse moyenne transportée sur une tournée"," (",'Remplissage - Sit. Init.'!$C$153,")")</f>
        <v>Masse moyenne transportée sur une tournée (Catégorie 14)</v>
      </c>
      <c r="F1462" t="str">
        <f t="shared" ref="F1462" si="1412">_xlfn.CONCAT("ELUTourneeMasse",RIGHT(LEFT(D1462,LEN(D1462)-1),2))</f>
        <v>ELUTourneeMasse14</v>
      </c>
      <c r="G1462" t="s">
        <v>17</v>
      </c>
      <c r="H1462">
        <f>(IF($I$1402="Par catégorie de véhicule sélectionnée (meilleure précision)",1,0)*IF(ISNUMBER(SEARCH(C1462,$I$1401)),1,0))*(IF($I$1403="La masse moyenne transportée pour une tournée",1,0))</f>
        <v>0</v>
      </c>
      <c r="K1462" t="s">
        <v>148</v>
      </c>
      <c r="L1462">
        <v>1</v>
      </c>
      <c r="N1462" t="s">
        <v>269</v>
      </c>
    </row>
    <row r="1463" spans="1:14" outlineLevel="1" x14ac:dyDescent="0.25">
      <c r="A1463" t="s">
        <v>266</v>
      </c>
      <c r="C1463">
        <f>'Remplissage - Sit. Init.'!$I$53</f>
        <v>0</v>
      </c>
      <c r="D1463" t="str">
        <f>_xlfn.CONCAT("Ordre de grandeur du nombre annuel de tournées"," (",'Remplissage - Sit. Init.'!$C$153,")")</f>
        <v>Ordre de grandeur du nombre annuel de tournées (Catégorie 14)</v>
      </c>
      <c r="F1463" t="str">
        <f t="shared" ref="F1463" si="1413">_xlfn.CONCAT("ELUTourneeNb",RIGHT(LEFT(D1463,LEN(D1463)-1),2))</f>
        <v>ELUTourneeNb14</v>
      </c>
      <c r="G1463" t="s">
        <v>17</v>
      </c>
      <c r="H1463">
        <f>IF($I$1402="Par catégorie de véhicule sélectionnée (meilleure précision)",1,0)*IF(ISNUMBER(SEARCH(C1463,$I$1401)),1,0)</f>
        <v>0</v>
      </c>
      <c r="K1463" t="s">
        <v>283</v>
      </c>
      <c r="L1463">
        <v>100</v>
      </c>
      <c r="N1463" t="s">
        <v>269</v>
      </c>
    </row>
    <row r="1464" spans="1:14" outlineLevel="1" x14ac:dyDescent="0.25">
      <c r="A1464" t="s">
        <v>266</v>
      </c>
      <c r="C1464">
        <f>'Remplissage - Sit. Init.'!$I$63</f>
        <v>0</v>
      </c>
      <c r="D1464" t="str">
        <f>_xlfn.CONCAT("Distance moyenne d'une tournée"," (",'Remplissage - Sit. Init.'!$C$163,")")</f>
        <v>Distance moyenne d'une tournée (Catégorie 15)</v>
      </c>
      <c r="F1464" t="str">
        <f t="shared" ref="F1464" si="1414">_xlfn.CONCAT("ELUTourneeDist",RIGHT(LEFT(D1464,LEN(D1464)-1),2))</f>
        <v>ELUTourneeDist15</v>
      </c>
      <c r="G1464" t="s">
        <v>17</v>
      </c>
      <c r="H1464">
        <f>IF($I$1402="Par catégorie de véhicule sélectionnée (meilleure précision)",1,0)*IF(ISNUMBER(SEARCH(C1464,$I$1401)),1,0)</f>
        <v>0</v>
      </c>
      <c r="K1464" t="s">
        <v>88</v>
      </c>
      <c r="L1464">
        <v>50</v>
      </c>
      <c r="N1464" t="s">
        <v>269</v>
      </c>
    </row>
    <row r="1465" spans="1:14" outlineLevel="1" x14ac:dyDescent="0.25">
      <c r="A1465" t="s">
        <v>266</v>
      </c>
      <c r="C1465">
        <f>'Remplissage - Sit. Init.'!$I$63</f>
        <v>0</v>
      </c>
      <c r="D1465" t="str">
        <f>_xlfn.CONCAT("Taux de chargement moyen pour une tournée"," (",'Remplissage - Sit. Init.'!$C$163,")")</f>
        <v>Taux de chargement moyen pour une tournée (Catégorie 15)</v>
      </c>
      <c r="F1465" t="str">
        <f t="shared" ref="F1465" si="1415">_xlfn.CONCAT("ELUTourneeTC",RIGHT(LEFT(D1465,LEN(D1465)-1),2))</f>
        <v>ELUTourneeTC15</v>
      </c>
      <c r="G1465" t="s">
        <v>17</v>
      </c>
      <c r="H1465">
        <f>(IF($I$1402="Par catégorie de véhicule sélectionnée (meilleure précision)",1,0)*IF(ISNUMBER(SEARCH(C1465,$I$1401)),1,0))*(IF($I$1403="Le taux de chargement moyen pour une tournée",1,0))</f>
        <v>0</v>
      </c>
      <c r="I1465" s="3"/>
      <c r="K1465" t="s">
        <v>70</v>
      </c>
      <c r="L1465" s="7">
        <v>0.33</v>
      </c>
      <c r="N1465" t="s">
        <v>269</v>
      </c>
    </row>
    <row r="1466" spans="1:14" outlineLevel="1" x14ac:dyDescent="0.25">
      <c r="A1466" t="s">
        <v>266</v>
      </c>
      <c r="C1466">
        <f>'Remplissage - Sit. Init.'!$I$63</f>
        <v>0</v>
      </c>
      <c r="D1466" t="str">
        <f>_xlfn.CONCAT("Masse moyenne transportée sur une tournée"," (",'Remplissage - Sit. Init.'!$C$163,")")</f>
        <v>Masse moyenne transportée sur une tournée (Catégorie 15)</v>
      </c>
      <c r="F1466" t="str">
        <f t="shared" ref="F1466" si="1416">_xlfn.CONCAT("ELUTourneeMasse",RIGHT(LEFT(D1466,LEN(D1466)-1),2))</f>
        <v>ELUTourneeMasse15</v>
      </c>
      <c r="G1466" t="s">
        <v>17</v>
      </c>
      <c r="H1466">
        <f>(IF($I$1402="Par catégorie de véhicule sélectionnée (meilleure précision)",1,0)*IF(ISNUMBER(SEARCH(C1466,$I$1401)),1,0))*(IF($I$1403="La masse moyenne transportée pour une tournée",1,0))</f>
        <v>0</v>
      </c>
      <c r="K1466" t="s">
        <v>148</v>
      </c>
      <c r="L1466">
        <v>1</v>
      </c>
      <c r="N1466" t="s">
        <v>269</v>
      </c>
    </row>
    <row r="1467" spans="1:14" outlineLevel="1" x14ac:dyDescent="0.25">
      <c r="A1467" t="s">
        <v>266</v>
      </c>
      <c r="C1467">
        <f>'Remplissage - Sit. Init.'!$I$63</f>
        <v>0</v>
      </c>
      <c r="D1467" t="str">
        <f>_xlfn.CONCAT("Ordre de grandeur du nombre annuel de tournées"," (",'Remplissage - Sit. Init.'!$C$163,")")</f>
        <v>Ordre de grandeur du nombre annuel de tournées (Catégorie 15)</v>
      </c>
      <c r="F1467" t="str">
        <f t="shared" ref="F1467" si="1417">_xlfn.CONCAT("ELUTourneeNb",RIGHT(LEFT(D1467,LEN(D1467)-1),2))</f>
        <v>ELUTourneeNb15</v>
      </c>
      <c r="G1467" t="s">
        <v>17</v>
      </c>
      <c r="H1467">
        <f>IF($I$1402="Par catégorie de véhicule sélectionnée (meilleure précision)",1,0)*IF(ISNUMBER(SEARCH(C1467,$I$1401)),1,0)</f>
        <v>0</v>
      </c>
      <c r="K1467" t="s">
        <v>283</v>
      </c>
      <c r="L1467">
        <v>100</v>
      </c>
      <c r="N1467" t="s">
        <v>269</v>
      </c>
    </row>
    <row r="1468" spans="1:14" outlineLevel="1" x14ac:dyDescent="0.25">
      <c r="A1468" t="s">
        <v>266</v>
      </c>
      <c r="C1468">
        <f>'Remplissage - Sit. Init.'!$I$73</f>
        <v>0</v>
      </c>
      <c r="D1468" t="str">
        <f>_xlfn.CONCAT("Distance moyenne d'une tournée"," (",'Remplissage - Sit. Init.'!$C$173,")")</f>
        <v>Distance moyenne d'une tournée (Catégorie 16)</v>
      </c>
      <c r="F1468" t="str">
        <f t="shared" ref="F1468" si="1418">_xlfn.CONCAT("ELUTourneeDist",RIGHT(LEFT(D1468,LEN(D1468)-1),2))</f>
        <v>ELUTourneeDist16</v>
      </c>
      <c r="G1468" t="s">
        <v>17</v>
      </c>
      <c r="H1468">
        <f>IF($I$1402="Par catégorie de véhicule sélectionnée (meilleure précision)",1,0)*IF(ISNUMBER(SEARCH(C1468,$I$1401)),1,0)</f>
        <v>0</v>
      </c>
      <c r="K1468" t="s">
        <v>88</v>
      </c>
      <c r="L1468">
        <v>50</v>
      </c>
      <c r="N1468" t="s">
        <v>269</v>
      </c>
    </row>
    <row r="1469" spans="1:14" outlineLevel="1" x14ac:dyDescent="0.25">
      <c r="A1469" t="s">
        <v>266</v>
      </c>
      <c r="C1469">
        <f>'Remplissage - Sit. Init.'!$I$73</f>
        <v>0</v>
      </c>
      <c r="D1469" t="str">
        <f>_xlfn.CONCAT("Taux de chargement moyen pour une tournée"," (",'Remplissage - Sit. Init.'!$C$173,")")</f>
        <v>Taux de chargement moyen pour une tournée (Catégorie 16)</v>
      </c>
      <c r="F1469" t="str">
        <f t="shared" ref="F1469" si="1419">_xlfn.CONCAT("ELUTourneeTC",RIGHT(LEFT(D1469,LEN(D1469)-1),2))</f>
        <v>ELUTourneeTC16</v>
      </c>
      <c r="G1469" t="s">
        <v>17</v>
      </c>
      <c r="H1469">
        <f>(IF($I$1402="Par catégorie de véhicule sélectionnée (meilleure précision)",1,0)*IF(ISNUMBER(SEARCH(C1469,$I$1401)),1,0))*(IF($I$1403="Le taux de chargement moyen pour une tournée",1,0))</f>
        <v>0</v>
      </c>
      <c r="I1469" s="3"/>
      <c r="K1469" t="s">
        <v>70</v>
      </c>
      <c r="L1469" s="7">
        <v>0.33</v>
      </c>
      <c r="N1469" t="s">
        <v>269</v>
      </c>
    </row>
    <row r="1470" spans="1:14" outlineLevel="1" x14ac:dyDescent="0.25">
      <c r="A1470" t="s">
        <v>266</v>
      </c>
      <c r="C1470">
        <f>'Remplissage - Sit. Init.'!$I$73</f>
        <v>0</v>
      </c>
      <c r="D1470" t="str">
        <f>_xlfn.CONCAT("Masse moyenne transportée sur une tournée"," (",'Remplissage - Sit. Init.'!$C$173,")")</f>
        <v>Masse moyenne transportée sur une tournée (Catégorie 16)</v>
      </c>
      <c r="F1470" t="str">
        <f t="shared" ref="F1470" si="1420">_xlfn.CONCAT("ELUTourneeMasse",RIGHT(LEFT(D1470,LEN(D1470)-1),2))</f>
        <v>ELUTourneeMasse16</v>
      </c>
      <c r="G1470" t="s">
        <v>17</v>
      </c>
      <c r="H1470">
        <f>(IF($I$1402="Par catégorie de véhicule sélectionnée (meilleure précision)",1,0)*IF(ISNUMBER(SEARCH(C1470,$I$1401)),1,0))*(IF($I$1403="La masse moyenne transportée pour une tournée",1,0))</f>
        <v>0</v>
      </c>
      <c r="K1470" t="s">
        <v>148</v>
      </c>
      <c r="L1470">
        <v>1</v>
      </c>
      <c r="N1470" t="s">
        <v>269</v>
      </c>
    </row>
    <row r="1471" spans="1:14" outlineLevel="1" x14ac:dyDescent="0.25">
      <c r="A1471" t="s">
        <v>266</v>
      </c>
      <c r="C1471">
        <f>'Remplissage - Sit. Init.'!$I$73</f>
        <v>0</v>
      </c>
      <c r="D1471" t="str">
        <f>_xlfn.CONCAT("Ordre de grandeur du nombre annuel de tournées"," (",'Remplissage - Sit. Init.'!$C$173,")")</f>
        <v>Ordre de grandeur du nombre annuel de tournées (Catégorie 16)</v>
      </c>
      <c r="F1471" t="str">
        <f t="shared" ref="F1471" si="1421">_xlfn.CONCAT("ELUTourneeNb",RIGHT(LEFT(D1471,LEN(D1471)-1),2))</f>
        <v>ELUTourneeNb16</v>
      </c>
      <c r="G1471" t="s">
        <v>17</v>
      </c>
      <c r="H1471">
        <f>IF($I$1402="Par catégorie de véhicule sélectionnée (meilleure précision)",1,0)*IF(ISNUMBER(SEARCH(C1471,$I$1401)),1,0)</f>
        <v>0</v>
      </c>
      <c r="K1471" t="s">
        <v>283</v>
      </c>
      <c r="L1471">
        <v>100</v>
      </c>
      <c r="N1471" t="s">
        <v>269</v>
      </c>
    </row>
    <row r="1472" spans="1:14" outlineLevel="1" x14ac:dyDescent="0.25">
      <c r="A1472" t="s">
        <v>266</v>
      </c>
      <c r="C1472">
        <f>'Remplissage - Sit. Init.'!$I$83</f>
        <v>0</v>
      </c>
      <c r="D1472" t="str">
        <f>_xlfn.CONCAT("Distance moyenne d'une tournée"," (",'Remplissage - Sit. Init.'!$C$183,")")</f>
        <v>Distance moyenne d'une tournée (Catégorie 17)</v>
      </c>
      <c r="F1472" t="str">
        <f t="shared" ref="F1472" si="1422">_xlfn.CONCAT("ELUTourneeDist",RIGHT(LEFT(D1472,LEN(D1472)-1),2))</f>
        <v>ELUTourneeDist17</v>
      </c>
      <c r="G1472" t="s">
        <v>17</v>
      </c>
      <c r="H1472">
        <f>IF($I$1402="Par catégorie de véhicule sélectionnée (meilleure précision)",1,0)*IF(ISNUMBER(SEARCH(C1472,$I$1401)),1,0)</f>
        <v>0</v>
      </c>
      <c r="K1472" t="s">
        <v>88</v>
      </c>
      <c r="L1472">
        <v>50</v>
      </c>
      <c r="N1472" t="s">
        <v>269</v>
      </c>
    </row>
    <row r="1473" spans="1:14" outlineLevel="1" x14ac:dyDescent="0.25">
      <c r="A1473" t="s">
        <v>266</v>
      </c>
      <c r="C1473">
        <f>'Remplissage - Sit. Init.'!$I$83</f>
        <v>0</v>
      </c>
      <c r="D1473" t="str">
        <f>_xlfn.CONCAT("Taux de chargement moyen pour une tournée"," (",'Remplissage - Sit. Init.'!$C$183,")")</f>
        <v>Taux de chargement moyen pour une tournée (Catégorie 17)</v>
      </c>
      <c r="F1473" t="str">
        <f t="shared" ref="F1473" si="1423">_xlfn.CONCAT("ELUTourneeTC",RIGHT(LEFT(D1473,LEN(D1473)-1),2))</f>
        <v>ELUTourneeTC17</v>
      </c>
      <c r="G1473" t="s">
        <v>17</v>
      </c>
      <c r="H1473">
        <f>(IF($I$1402="Par catégorie de véhicule sélectionnée (meilleure précision)",1,0)*IF(ISNUMBER(SEARCH(C1473,$I$1401)),1,0))*(IF($I$1403="Le taux de chargement moyen pour une tournée",1,0))</f>
        <v>0</v>
      </c>
      <c r="I1473" s="3"/>
      <c r="K1473" t="s">
        <v>70</v>
      </c>
      <c r="L1473" s="7">
        <v>0.33</v>
      </c>
      <c r="N1473" t="s">
        <v>269</v>
      </c>
    </row>
    <row r="1474" spans="1:14" outlineLevel="1" x14ac:dyDescent="0.25">
      <c r="A1474" t="s">
        <v>266</v>
      </c>
      <c r="C1474">
        <f>'Remplissage - Sit. Init.'!$I$83</f>
        <v>0</v>
      </c>
      <c r="D1474" t="str">
        <f>_xlfn.CONCAT("Masse moyenne transportée sur une tournée"," (",'Remplissage - Sit. Init.'!$C$183,")")</f>
        <v>Masse moyenne transportée sur une tournée (Catégorie 17)</v>
      </c>
      <c r="F1474" t="str">
        <f t="shared" ref="F1474" si="1424">_xlfn.CONCAT("ELUTourneeMasse",RIGHT(LEFT(D1474,LEN(D1474)-1),2))</f>
        <v>ELUTourneeMasse17</v>
      </c>
      <c r="G1474" t="s">
        <v>17</v>
      </c>
      <c r="H1474">
        <f>(IF($I$1402="Par catégorie de véhicule sélectionnée (meilleure précision)",1,0)*IF(ISNUMBER(SEARCH(C1474,$I$1401)),1,0))*(IF($I$1403="La masse moyenne transportée pour une tournée",1,0))</f>
        <v>0</v>
      </c>
      <c r="K1474" t="s">
        <v>148</v>
      </c>
      <c r="L1474">
        <v>1</v>
      </c>
      <c r="N1474" t="s">
        <v>269</v>
      </c>
    </row>
    <row r="1475" spans="1:14" outlineLevel="1" x14ac:dyDescent="0.25">
      <c r="A1475" t="s">
        <v>266</v>
      </c>
      <c r="C1475">
        <f>'Remplissage - Sit. Init.'!$I$83</f>
        <v>0</v>
      </c>
      <c r="D1475" t="str">
        <f>_xlfn.CONCAT("Ordre de grandeur du nombre annuel de tournées"," (",'Remplissage - Sit. Init.'!$C$183,")")</f>
        <v>Ordre de grandeur du nombre annuel de tournées (Catégorie 17)</v>
      </c>
      <c r="F1475" t="str">
        <f t="shared" ref="F1475" si="1425">_xlfn.CONCAT("ELUTourneeNb",RIGHT(LEFT(D1475,LEN(D1475)-1),2))</f>
        <v>ELUTourneeNb17</v>
      </c>
      <c r="G1475" t="s">
        <v>17</v>
      </c>
      <c r="H1475">
        <f>IF($I$1402="Par catégorie de véhicule sélectionnée (meilleure précision)",1,0)*IF(ISNUMBER(SEARCH(C1475,$I$1401)),1,0)</f>
        <v>0</v>
      </c>
      <c r="K1475" t="s">
        <v>283</v>
      </c>
      <c r="L1475">
        <v>100</v>
      </c>
      <c r="N1475" t="s">
        <v>269</v>
      </c>
    </row>
    <row r="1476" spans="1:14" outlineLevel="1" x14ac:dyDescent="0.25">
      <c r="A1476" t="s">
        <v>266</v>
      </c>
      <c r="C1476">
        <f>'Remplissage - Sit. Init.'!$I$93</f>
        <v>0</v>
      </c>
      <c r="D1476" t="str">
        <f>_xlfn.CONCAT("Distance moyenne d'une tournée"," (",'Remplissage - Sit. Init.'!$C$193,")")</f>
        <v>Distance moyenne d'une tournée (Catégorie 18)</v>
      </c>
      <c r="F1476" t="str">
        <f t="shared" ref="F1476" si="1426">_xlfn.CONCAT("ELUTourneeDist",RIGHT(LEFT(D1476,LEN(D1476)-1),2))</f>
        <v>ELUTourneeDist18</v>
      </c>
      <c r="G1476" t="s">
        <v>17</v>
      </c>
      <c r="H1476">
        <f>IF($I$1402="Par catégorie de véhicule sélectionnée (meilleure précision)",1,0)*IF(ISNUMBER(SEARCH(C1476,$I$1401)),1,0)</f>
        <v>0</v>
      </c>
      <c r="K1476" t="s">
        <v>88</v>
      </c>
      <c r="L1476">
        <v>50</v>
      </c>
      <c r="N1476" t="s">
        <v>269</v>
      </c>
    </row>
    <row r="1477" spans="1:14" outlineLevel="1" x14ac:dyDescent="0.25">
      <c r="A1477" t="s">
        <v>266</v>
      </c>
      <c r="C1477">
        <f>'Remplissage - Sit. Init.'!$I$93</f>
        <v>0</v>
      </c>
      <c r="D1477" t="str">
        <f>_xlfn.CONCAT("Taux de chargement moyen pour une tournée"," (",'Remplissage - Sit. Init.'!$C$193,")")</f>
        <v>Taux de chargement moyen pour une tournée (Catégorie 18)</v>
      </c>
      <c r="F1477" t="str">
        <f t="shared" ref="F1477" si="1427">_xlfn.CONCAT("ELUTourneeTC",RIGHT(LEFT(D1477,LEN(D1477)-1),2))</f>
        <v>ELUTourneeTC18</v>
      </c>
      <c r="G1477" t="s">
        <v>17</v>
      </c>
      <c r="H1477">
        <f>(IF($I$1402="Par catégorie de véhicule sélectionnée (meilleure précision)",1,0)*IF(ISNUMBER(SEARCH(C1477,$I$1401)),1,0))*(IF($I$1403="Le taux de chargement moyen pour une tournée",1,0))</f>
        <v>0</v>
      </c>
      <c r="I1477" s="3"/>
      <c r="K1477" t="s">
        <v>70</v>
      </c>
      <c r="L1477" s="7">
        <v>0.33</v>
      </c>
      <c r="N1477" t="s">
        <v>269</v>
      </c>
    </row>
    <row r="1478" spans="1:14" outlineLevel="1" x14ac:dyDescent="0.25">
      <c r="A1478" t="s">
        <v>266</v>
      </c>
      <c r="C1478">
        <f>'Remplissage - Sit. Init.'!$I$93</f>
        <v>0</v>
      </c>
      <c r="D1478" t="str">
        <f>_xlfn.CONCAT("Masse moyenne transportée sur une tournée"," (",'Remplissage - Sit. Init.'!$C$193,")")</f>
        <v>Masse moyenne transportée sur une tournée (Catégorie 18)</v>
      </c>
      <c r="F1478" t="str">
        <f t="shared" ref="F1478" si="1428">_xlfn.CONCAT("ELUTourneeMasse",RIGHT(LEFT(D1478,LEN(D1478)-1),2))</f>
        <v>ELUTourneeMasse18</v>
      </c>
      <c r="G1478" t="s">
        <v>17</v>
      </c>
      <c r="H1478">
        <f>(IF($I$1402="Par catégorie de véhicule sélectionnée (meilleure précision)",1,0)*IF(ISNUMBER(SEARCH(C1478,$I$1401)),1,0))*(IF($I$1403="La masse moyenne transportée pour une tournée",1,0))</f>
        <v>0</v>
      </c>
      <c r="K1478" t="s">
        <v>148</v>
      </c>
      <c r="L1478">
        <v>1</v>
      </c>
      <c r="N1478" t="s">
        <v>269</v>
      </c>
    </row>
    <row r="1479" spans="1:14" outlineLevel="1" x14ac:dyDescent="0.25">
      <c r="A1479" t="s">
        <v>266</v>
      </c>
      <c r="C1479">
        <f>'Remplissage - Sit. Init.'!$I$93</f>
        <v>0</v>
      </c>
      <c r="D1479" t="str">
        <f>_xlfn.CONCAT("Ordre de grandeur du nombre annuel de tournées"," (",'Remplissage - Sit. Init.'!$C$193,")")</f>
        <v>Ordre de grandeur du nombre annuel de tournées (Catégorie 18)</v>
      </c>
      <c r="F1479" t="str">
        <f t="shared" ref="F1479" si="1429">_xlfn.CONCAT("ELUTourneeNb",RIGHT(LEFT(D1479,LEN(D1479)-1),2))</f>
        <v>ELUTourneeNb18</v>
      </c>
      <c r="G1479" t="s">
        <v>17</v>
      </c>
      <c r="H1479">
        <f>IF($I$1402="Par catégorie de véhicule sélectionnée (meilleure précision)",1,0)*IF(ISNUMBER(SEARCH(C1479,$I$1401)),1,0)</f>
        <v>0</v>
      </c>
      <c r="K1479" t="s">
        <v>283</v>
      </c>
      <c r="L1479">
        <v>100</v>
      </c>
      <c r="N1479" t="s">
        <v>269</v>
      </c>
    </row>
    <row r="1480" spans="1:14" outlineLevel="1" x14ac:dyDescent="0.25">
      <c r="A1480" t="s">
        <v>266</v>
      </c>
      <c r="C1480">
        <f>'Remplissage - Sit. Init.'!$I$103</f>
        <v>0</v>
      </c>
      <c r="D1480" t="str">
        <f>_xlfn.CONCAT("Distance moyenne d'une tournée"," (",'Remplissage - Sit. Init.'!$C$203,")")</f>
        <v>Distance moyenne d'une tournée (Catégorie 19)</v>
      </c>
      <c r="F1480" t="str">
        <f t="shared" ref="F1480" si="1430">_xlfn.CONCAT("ELUTourneeDist",RIGHT(LEFT(D1480,LEN(D1480)-1),2))</f>
        <v>ELUTourneeDist19</v>
      </c>
      <c r="G1480" t="s">
        <v>17</v>
      </c>
      <c r="H1480">
        <f>IF($I$1402="Par catégorie de véhicule sélectionnée (meilleure précision)",1,0)*IF(ISNUMBER(SEARCH(C1480,$I$1401)),1,0)</f>
        <v>0</v>
      </c>
      <c r="K1480" t="s">
        <v>88</v>
      </c>
      <c r="L1480">
        <v>50</v>
      </c>
      <c r="N1480" t="s">
        <v>269</v>
      </c>
    </row>
    <row r="1481" spans="1:14" outlineLevel="1" x14ac:dyDescent="0.25">
      <c r="A1481" t="s">
        <v>266</v>
      </c>
      <c r="C1481">
        <f>'Remplissage - Sit. Init.'!$I$103</f>
        <v>0</v>
      </c>
      <c r="D1481" t="str">
        <f>_xlfn.CONCAT("Taux de chargement moyen pour une tournée"," (",'Remplissage - Sit. Init.'!$C$203,")")</f>
        <v>Taux de chargement moyen pour une tournée (Catégorie 19)</v>
      </c>
      <c r="F1481" t="str">
        <f t="shared" ref="F1481" si="1431">_xlfn.CONCAT("ELUTourneeTC",RIGHT(LEFT(D1481,LEN(D1481)-1),2))</f>
        <v>ELUTourneeTC19</v>
      </c>
      <c r="G1481" t="s">
        <v>17</v>
      </c>
      <c r="H1481">
        <f>(IF($I$1402="Par catégorie de véhicule sélectionnée (meilleure précision)",1,0)*IF(ISNUMBER(SEARCH(C1481,$I$1401)),1,0))*(IF($I$1403="Le taux de chargement moyen pour une tournée",1,0))</f>
        <v>0</v>
      </c>
      <c r="I1481" s="3"/>
      <c r="K1481" t="s">
        <v>70</v>
      </c>
      <c r="L1481" s="7">
        <v>0.33</v>
      </c>
      <c r="N1481" t="s">
        <v>269</v>
      </c>
    </row>
    <row r="1482" spans="1:14" outlineLevel="1" x14ac:dyDescent="0.25">
      <c r="A1482" t="s">
        <v>266</v>
      </c>
      <c r="C1482">
        <f>'Remplissage - Sit. Init.'!$I$103</f>
        <v>0</v>
      </c>
      <c r="D1482" t="str">
        <f>_xlfn.CONCAT("Masse moyenne transportée sur une tournée"," (",'Remplissage - Sit. Init.'!$C$203,")")</f>
        <v>Masse moyenne transportée sur une tournée (Catégorie 19)</v>
      </c>
      <c r="F1482" t="str">
        <f t="shared" ref="F1482" si="1432">_xlfn.CONCAT("ELUTourneeMasse",RIGHT(LEFT(D1482,LEN(D1482)-1),2))</f>
        <v>ELUTourneeMasse19</v>
      </c>
      <c r="G1482" t="s">
        <v>17</v>
      </c>
      <c r="H1482">
        <f>(IF($I$1402="Par catégorie de véhicule sélectionnée (meilleure précision)",1,0)*IF(ISNUMBER(SEARCH(C1482,$I$1401)),1,0))*(IF($I$1403="La masse moyenne transportée pour une tournée",1,0))</f>
        <v>0</v>
      </c>
      <c r="K1482" t="s">
        <v>148</v>
      </c>
      <c r="L1482">
        <v>1</v>
      </c>
      <c r="N1482" t="s">
        <v>269</v>
      </c>
    </row>
    <row r="1483" spans="1:14" outlineLevel="1" x14ac:dyDescent="0.25">
      <c r="A1483" t="s">
        <v>266</v>
      </c>
      <c r="C1483">
        <f>'Remplissage - Sit. Init.'!$I$103</f>
        <v>0</v>
      </c>
      <c r="D1483" t="str">
        <f>_xlfn.CONCAT("Ordre de grandeur du nombre annuel de tournées"," (",'Remplissage - Sit. Init.'!$C$203,")")</f>
        <v>Ordre de grandeur du nombre annuel de tournées (Catégorie 19)</v>
      </c>
      <c r="F1483" t="str">
        <f t="shared" ref="F1483" si="1433">_xlfn.CONCAT("ELUTourneeNb",RIGHT(LEFT(D1483,LEN(D1483)-1),2))</f>
        <v>ELUTourneeNb19</v>
      </c>
      <c r="G1483" t="s">
        <v>17</v>
      </c>
      <c r="H1483">
        <f>IF($I$1402="Par catégorie de véhicule sélectionnée (meilleure précision)",1,0)*IF(ISNUMBER(SEARCH(C1483,$I$1401)),1,0)</f>
        <v>0</v>
      </c>
      <c r="K1483" t="s">
        <v>283</v>
      </c>
      <c r="L1483">
        <v>100</v>
      </c>
      <c r="N1483" t="s">
        <v>269</v>
      </c>
    </row>
    <row r="1484" spans="1:14" outlineLevel="1" x14ac:dyDescent="0.25">
      <c r="A1484" t="s">
        <v>266</v>
      </c>
      <c r="C1484">
        <f>'Remplissage - Sit. Init.'!$I$113</f>
        <v>0</v>
      </c>
      <c r="D1484" t="str">
        <f>_xlfn.CONCAT("Distance moyenne d'une tournée"," (",'Remplissage - Sit. Init.'!$C$213,")")</f>
        <v>Distance moyenne d'une tournée (Catégorie 20)</v>
      </c>
      <c r="F1484" t="str">
        <f t="shared" ref="F1484" si="1434">_xlfn.CONCAT("ELUTourneeDist",RIGHT(LEFT(D1484,LEN(D1484)-1),2))</f>
        <v>ELUTourneeDist20</v>
      </c>
      <c r="G1484" t="s">
        <v>17</v>
      </c>
      <c r="H1484">
        <f>IF($I$1402="Par catégorie de véhicule sélectionnée (meilleure précision)",1,0)*IF(ISNUMBER(SEARCH(C1484,$I$1401)),1,0)</f>
        <v>0</v>
      </c>
      <c r="K1484" t="s">
        <v>88</v>
      </c>
      <c r="L1484">
        <v>50</v>
      </c>
      <c r="N1484" t="s">
        <v>269</v>
      </c>
    </row>
    <row r="1485" spans="1:14" outlineLevel="1" x14ac:dyDescent="0.25">
      <c r="A1485" t="s">
        <v>266</v>
      </c>
      <c r="C1485">
        <f>'Remplissage - Sit. Init.'!$I$113</f>
        <v>0</v>
      </c>
      <c r="D1485" t="str">
        <f>_xlfn.CONCAT("Taux de chargement moyen pour une tournée"," (",'Remplissage - Sit. Init.'!$C$213,")")</f>
        <v>Taux de chargement moyen pour une tournée (Catégorie 20)</v>
      </c>
      <c r="F1485" t="str">
        <f t="shared" ref="F1485" si="1435">_xlfn.CONCAT("ELUTourneeTC",RIGHT(LEFT(D1485,LEN(D1485)-1),2))</f>
        <v>ELUTourneeTC20</v>
      </c>
      <c r="G1485" t="s">
        <v>17</v>
      </c>
      <c r="H1485">
        <f>(IF($I$1402="Par catégorie de véhicule sélectionnée (meilleure précision)",1,0)*IF(ISNUMBER(SEARCH(C1485,$I$1401)),1,0))*(IF($I$1403="Le taux de chargement moyen pour une tournée",1,0))</f>
        <v>0</v>
      </c>
      <c r="I1485" s="3"/>
      <c r="K1485" t="s">
        <v>70</v>
      </c>
      <c r="L1485" s="7">
        <v>0.33</v>
      </c>
      <c r="N1485" t="s">
        <v>269</v>
      </c>
    </row>
    <row r="1486" spans="1:14" outlineLevel="1" x14ac:dyDescent="0.25">
      <c r="A1486" t="s">
        <v>266</v>
      </c>
      <c r="C1486">
        <f>'Remplissage - Sit. Init.'!$I$113</f>
        <v>0</v>
      </c>
      <c r="D1486" t="str">
        <f>_xlfn.CONCAT("Masse moyenne transportée sur une tournée"," (",'Remplissage - Sit. Init.'!$C$213,")")</f>
        <v>Masse moyenne transportée sur une tournée (Catégorie 20)</v>
      </c>
      <c r="F1486" t="str">
        <f t="shared" ref="F1486" si="1436">_xlfn.CONCAT("ELUTourneeMasse",RIGHT(LEFT(D1486,LEN(D1486)-1),2))</f>
        <v>ELUTourneeMasse20</v>
      </c>
      <c r="G1486" t="s">
        <v>17</v>
      </c>
      <c r="H1486">
        <f>(IF($I$1402="Par catégorie de véhicule sélectionnée (meilleure précision)",1,0)*IF(ISNUMBER(SEARCH(C1486,$I$1401)),1,0))*(IF($I$1403="La masse moyenne transportée pour une tournée",1,0))</f>
        <v>0</v>
      </c>
      <c r="K1486" t="s">
        <v>148</v>
      </c>
      <c r="L1486">
        <v>1</v>
      </c>
      <c r="N1486" t="s">
        <v>269</v>
      </c>
    </row>
    <row r="1487" spans="1:14" outlineLevel="1" x14ac:dyDescent="0.25">
      <c r="A1487" t="s">
        <v>266</v>
      </c>
      <c r="C1487">
        <f>'Remplissage - Sit. Init.'!$I$113</f>
        <v>0</v>
      </c>
      <c r="D1487" t="str">
        <f>_xlfn.CONCAT("Ordre de grandeur du nombre annuel de tournées"," (",'Remplissage - Sit. Init.'!$C$213,")")</f>
        <v>Ordre de grandeur du nombre annuel de tournées (Catégorie 20)</v>
      </c>
      <c r="F1487" t="str">
        <f t="shared" ref="F1487" si="1437">_xlfn.CONCAT("ELUTourneeNb",RIGHT(LEFT(D1487,LEN(D1487)-1),2))</f>
        <v>ELUTourneeNb20</v>
      </c>
      <c r="G1487" t="s">
        <v>17</v>
      </c>
      <c r="H1487">
        <f>IF($I$1402="Par catégorie de véhicule sélectionnée (meilleure précision)",1,0)*IF(ISNUMBER(SEARCH(C1487,$I$1401)),1,0)</f>
        <v>0</v>
      </c>
      <c r="K1487" t="s">
        <v>283</v>
      </c>
      <c r="L1487">
        <v>100</v>
      </c>
      <c r="N1487" t="s">
        <v>269</v>
      </c>
    </row>
    <row r="1488" spans="1:14" x14ac:dyDescent="0.25">
      <c r="A1488" t="s">
        <v>266</v>
      </c>
      <c r="C1488">
        <f>'Remplissage - Sit. Init.'!$I$23</f>
        <v>0</v>
      </c>
      <c r="D1488" t="str">
        <f>_xlfn.CONCAT("Distance moyenne d'une tournée"," (",'Remplissage - Sit. Init.'!$C$223,")")</f>
        <v>Distance moyenne d'une tournée (Catégorie 21)</v>
      </c>
      <c r="F1488" t="str">
        <f t="shared" ref="F1488" si="1438">_xlfn.CONCAT("ELUTourneeDist",RIGHT(LEFT(D1488,LEN(D1488)-1),2))</f>
        <v>ELUTourneeDist21</v>
      </c>
      <c r="G1488" t="s">
        <v>17</v>
      </c>
      <c r="H1488">
        <f>IF($I$1402="Par catégorie de véhicule sélectionnée (meilleure précision)",1,0)*IF(ISNUMBER(SEARCH(C1488,$I$1401)),1,0)</f>
        <v>0</v>
      </c>
      <c r="K1488" t="s">
        <v>88</v>
      </c>
      <c r="L1488">
        <v>50</v>
      </c>
      <c r="N1488" t="s">
        <v>269</v>
      </c>
    </row>
    <row r="1489" spans="1:14" x14ac:dyDescent="0.25">
      <c r="A1489" t="s">
        <v>266</v>
      </c>
      <c r="C1489">
        <f>'Remplissage - Sit. Init.'!$I$23</f>
        <v>0</v>
      </c>
      <c r="D1489" t="str">
        <f>_xlfn.CONCAT("Taux de chargement moyen pour une tournée"," (",'Remplissage - Sit. Init.'!$C$223,")")</f>
        <v>Taux de chargement moyen pour une tournée (Catégorie 21)</v>
      </c>
      <c r="F1489" t="str">
        <f t="shared" ref="F1489" si="1439">_xlfn.CONCAT("ELUTourneeTC",RIGHT(LEFT(D1489,LEN(D1489)-1),2))</f>
        <v>ELUTourneeTC21</v>
      </c>
      <c r="G1489" t="s">
        <v>17</v>
      </c>
      <c r="H1489">
        <f>(IF($I$1402="Par catégorie de véhicule sélectionnée (meilleure précision)",1,0)*IF(ISNUMBER(SEARCH(C1489,$I$1401)),1,0))*(IF($I$1403="Le taux de chargement moyen pour une tournée",1,0))</f>
        <v>0</v>
      </c>
      <c r="I1489" s="3"/>
      <c r="K1489" t="s">
        <v>70</v>
      </c>
      <c r="L1489" s="7">
        <v>0.33</v>
      </c>
      <c r="N1489" t="s">
        <v>269</v>
      </c>
    </row>
    <row r="1490" spans="1:14" x14ac:dyDescent="0.25">
      <c r="A1490" t="s">
        <v>266</v>
      </c>
      <c r="C1490">
        <f>'Remplissage - Sit. Init.'!$I$23</f>
        <v>0</v>
      </c>
      <c r="D1490" t="str">
        <f>_xlfn.CONCAT("Masse moyenne transportée sur une tournée"," (",'Remplissage - Sit. Init.'!$C$223,")")</f>
        <v>Masse moyenne transportée sur une tournée (Catégorie 21)</v>
      </c>
      <c r="F1490" t="str">
        <f t="shared" ref="F1490" si="1440">_xlfn.CONCAT("ELUTourneeMasse",RIGHT(LEFT(D1490,LEN(D1490)-1),2))</f>
        <v>ELUTourneeMasse21</v>
      </c>
      <c r="G1490" t="s">
        <v>17</v>
      </c>
      <c r="H1490">
        <f>(IF($I$1402="Par catégorie de véhicule sélectionnée (meilleure précision)",1,0)*IF(ISNUMBER(SEARCH(C1490,$I$1401)),1,0))*(IF($I$1403="La masse moyenne transportée pour une tournée",1,0))</f>
        <v>0</v>
      </c>
      <c r="K1490" t="s">
        <v>148</v>
      </c>
      <c r="L1490">
        <v>1</v>
      </c>
      <c r="N1490" t="s">
        <v>269</v>
      </c>
    </row>
    <row r="1491" spans="1:14" x14ac:dyDescent="0.25">
      <c r="A1491" t="s">
        <v>266</v>
      </c>
      <c r="C1491">
        <f>'Remplissage - Sit. Init.'!$I$23</f>
        <v>0</v>
      </c>
      <c r="D1491" t="str">
        <f>_xlfn.CONCAT("Ordre de grandeur du nombre annuel de tournées"," (",'Remplissage - Sit. Init.'!$C$223,")")</f>
        <v>Ordre de grandeur du nombre annuel de tournées (Catégorie 21)</v>
      </c>
      <c r="F1491" t="str">
        <f t="shared" ref="F1491" si="1441">_xlfn.CONCAT("ELUTourneeNb",RIGHT(LEFT(D1491,LEN(D1491)-1),2))</f>
        <v>ELUTourneeNb21</v>
      </c>
      <c r="G1491" t="s">
        <v>17</v>
      </c>
      <c r="H1491">
        <f>IF($I$1402="Par catégorie de véhicule sélectionnée (meilleure précision)",1,0)*IF(ISNUMBER(SEARCH(C1491,$I$1401)),1,0)</f>
        <v>0</v>
      </c>
      <c r="K1491" t="s">
        <v>283</v>
      </c>
      <c r="L1491">
        <v>100</v>
      </c>
      <c r="N1491" t="s">
        <v>269</v>
      </c>
    </row>
    <row r="1492" spans="1:14" outlineLevel="1" x14ac:dyDescent="0.25">
      <c r="A1492" t="s">
        <v>266</v>
      </c>
      <c r="C1492">
        <f>'Remplissage - Sit. Init.'!$I$33</f>
        <v>0</v>
      </c>
      <c r="D1492" t="str">
        <f>_xlfn.CONCAT("Distance moyenne d'une tournée"," (",'Remplissage - Sit. Init.'!$C$233,")")</f>
        <v>Distance moyenne d'une tournée (Catégorie 22)</v>
      </c>
      <c r="F1492" t="str">
        <f t="shared" ref="F1492" si="1442">_xlfn.CONCAT("ELUTourneeDist",RIGHT(LEFT(D1492,LEN(D1492)-1),2))</f>
        <v>ELUTourneeDist22</v>
      </c>
      <c r="G1492" t="s">
        <v>17</v>
      </c>
      <c r="H1492">
        <f>IF($I$1402="Par catégorie de véhicule sélectionnée (meilleure précision)",1,0)*IF(ISNUMBER(SEARCH(C1492,$I$1401)),1,0)</f>
        <v>0</v>
      </c>
      <c r="K1492" t="s">
        <v>88</v>
      </c>
      <c r="L1492">
        <v>50</v>
      </c>
      <c r="N1492" t="s">
        <v>269</v>
      </c>
    </row>
    <row r="1493" spans="1:14" outlineLevel="1" x14ac:dyDescent="0.25">
      <c r="A1493" t="s">
        <v>266</v>
      </c>
      <c r="C1493">
        <f>'Remplissage - Sit. Init.'!$I$33</f>
        <v>0</v>
      </c>
      <c r="D1493" t="str">
        <f>_xlfn.CONCAT("Taux de chargement moyen pour une tournée"," (",'Remplissage - Sit. Init.'!$C$233,")")</f>
        <v>Taux de chargement moyen pour une tournée (Catégorie 22)</v>
      </c>
      <c r="F1493" t="str">
        <f t="shared" ref="F1493" si="1443">_xlfn.CONCAT("ELUTourneeTC",RIGHT(LEFT(D1493,LEN(D1493)-1),2))</f>
        <v>ELUTourneeTC22</v>
      </c>
      <c r="G1493" t="s">
        <v>17</v>
      </c>
      <c r="H1493">
        <f>(IF($I$1402="Par catégorie de véhicule sélectionnée (meilleure précision)",1,0)*IF(ISNUMBER(SEARCH(C1493,$I$1401)),1,0))*(IF($I$1403="Le taux de chargement moyen pour une tournée",1,0))</f>
        <v>0</v>
      </c>
      <c r="I1493" s="3"/>
      <c r="K1493" t="s">
        <v>70</v>
      </c>
      <c r="L1493" s="7">
        <v>0.33</v>
      </c>
      <c r="N1493" t="s">
        <v>269</v>
      </c>
    </row>
    <row r="1494" spans="1:14" outlineLevel="1" x14ac:dyDescent="0.25">
      <c r="A1494" t="s">
        <v>266</v>
      </c>
      <c r="C1494">
        <f>'Remplissage - Sit. Init.'!$I$33</f>
        <v>0</v>
      </c>
      <c r="D1494" t="str">
        <f>_xlfn.CONCAT("Masse moyenne transportée sur une tournée"," (",'Remplissage - Sit. Init.'!$C$233,")")</f>
        <v>Masse moyenne transportée sur une tournée (Catégorie 22)</v>
      </c>
      <c r="F1494" t="str">
        <f t="shared" ref="F1494" si="1444">_xlfn.CONCAT("ELUTourneeMasse",RIGHT(LEFT(D1494,LEN(D1494)-1),2))</f>
        <v>ELUTourneeMasse22</v>
      </c>
      <c r="G1494" t="s">
        <v>17</v>
      </c>
      <c r="H1494">
        <f>(IF($I$1402="Par catégorie de véhicule sélectionnée (meilleure précision)",1,0)*IF(ISNUMBER(SEARCH(C1494,$I$1401)),1,0))*(IF($I$1403="La masse moyenne transportée pour une tournée",1,0))</f>
        <v>0</v>
      </c>
      <c r="K1494" t="s">
        <v>148</v>
      </c>
      <c r="L1494">
        <v>1</v>
      </c>
      <c r="N1494" t="s">
        <v>269</v>
      </c>
    </row>
    <row r="1495" spans="1:14" outlineLevel="1" x14ac:dyDescent="0.25">
      <c r="A1495" t="s">
        <v>266</v>
      </c>
      <c r="C1495">
        <f>'Remplissage - Sit. Init.'!$I$33</f>
        <v>0</v>
      </c>
      <c r="D1495" t="str">
        <f>_xlfn.CONCAT("Ordre de grandeur du nombre annuel de tournées"," (",'Remplissage - Sit. Init.'!$C$233,")")</f>
        <v>Ordre de grandeur du nombre annuel de tournées (Catégorie 22)</v>
      </c>
      <c r="F1495" t="str">
        <f t="shared" ref="F1495" si="1445">_xlfn.CONCAT("ELUTourneeNb",RIGHT(LEFT(D1495,LEN(D1495)-1),2))</f>
        <v>ELUTourneeNb22</v>
      </c>
      <c r="G1495" t="s">
        <v>17</v>
      </c>
      <c r="H1495">
        <f>IF($I$1402="Par catégorie de véhicule sélectionnée (meilleure précision)",1,0)*IF(ISNUMBER(SEARCH(C1495,$I$1401)),1,0)</f>
        <v>0</v>
      </c>
      <c r="K1495" t="s">
        <v>283</v>
      </c>
      <c r="L1495">
        <v>100</v>
      </c>
      <c r="N1495" t="s">
        <v>269</v>
      </c>
    </row>
    <row r="1496" spans="1:14" outlineLevel="1" x14ac:dyDescent="0.25">
      <c r="A1496" t="s">
        <v>266</v>
      </c>
      <c r="C1496">
        <f>'Remplissage - Sit. Init.'!$I$43</f>
        <v>0</v>
      </c>
      <c r="D1496" t="str">
        <f>_xlfn.CONCAT("Distance moyenne d'une tournée"," (",'Remplissage - Sit. Init.'!$C$243,")")</f>
        <v>Distance moyenne d'une tournée (Catégorie 23)</v>
      </c>
      <c r="F1496" t="str">
        <f t="shared" ref="F1496" si="1446">_xlfn.CONCAT("ELUTourneeDist",RIGHT(LEFT(D1496,LEN(D1496)-1),2))</f>
        <v>ELUTourneeDist23</v>
      </c>
      <c r="G1496" t="s">
        <v>17</v>
      </c>
      <c r="H1496">
        <f>IF($I$1402="Par catégorie de véhicule sélectionnée (meilleure précision)",1,0)*IF(ISNUMBER(SEARCH(C1496,$I$1401)),1,0)</f>
        <v>0</v>
      </c>
      <c r="K1496" t="s">
        <v>88</v>
      </c>
      <c r="L1496">
        <v>50</v>
      </c>
      <c r="N1496" t="s">
        <v>269</v>
      </c>
    </row>
    <row r="1497" spans="1:14" outlineLevel="1" x14ac:dyDescent="0.25">
      <c r="A1497" t="s">
        <v>266</v>
      </c>
      <c r="C1497">
        <f>'Remplissage - Sit. Init.'!$I$43</f>
        <v>0</v>
      </c>
      <c r="D1497" t="str">
        <f>_xlfn.CONCAT("Taux de chargement moyen pour une tournée"," (",'Remplissage - Sit. Init.'!$C$243,")")</f>
        <v>Taux de chargement moyen pour une tournée (Catégorie 23)</v>
      </c>
      <c r="F1497" t="str">
        <f t="shared" ref="F1497" si="1447">_xlfn.CONCAT("ELUTourneeTC",RIGHT(LEFT(D1497,LEN(D1497)-1),2))</f>
        <v>ELUTourneeTC23</v>
      </c>
      <c r="G1497" t="s">
        <v>17</v>
      </c>
      <c r="H1497">
        <f>(IF($I$1402="Par catégorie de véhicule sélectionnée (meilleure précision)",1,0)*IF(ISNUMBER(SEARCH(C1497,$I$1401)),1,0))*(IF($I$1403="Le taux de chargement moyen pour une tournée",1,0))</f>
        <v>0</v>
      </c>
      <c r="I1497" s="3"/>
      <c r="K1497" t="s">
        <v>70</v>
      </c>
      <c r="L1497" s="7">
        <v>0.33</v>
      </c>
      <c r="N1497" t="s">
        <v>269</v>
      </c>
    </row>
    <row r="1498" spans="1:14" outlineLevel="1" x14ac:dyDescent="0.25">
      <c r="A1498" t="s">
        <v>266</v>
      </c>
      <c r="C1498">
        <f>'Remplissage - Sit. Init.'!$I$43</f>
        <v>0</v>
      </c>
      <c r="D1498" t="str">
        <f>_xlfn.CONCAT("Masse moyenne transportée sur une tournée"," (",'Remplissage - Sit. Init.'!$C$243,")")</f>
        <v>Masse moyenne transportée sur une tournée (Catégorie 23)</v>
      </c>
      <c r="F1498" t="str">
        <f t="shared" ref="F1498" si="1448">_xlfn.CONCAT("ELUTourneeMasse",RIGHT(LEFT(D1498,LEN(D1498)-1),2))</f>
        <v>ELUTourneeMasse23</v>
      </c>
      <c r="G1498" t="s">
        <v>17</v>
      </c>
      <c r="H1498">
        <f>(IF($I$1402="Par catégorie de véhicule sélectionnée (meilleure précision)",1,0)*IF(ISNUMBER(SEARCH(C1498,$I$1401)),1,0))*(IF($I$1403="La masse moyenne transportée pour une tournée",1,0))</f>
        <v>0</v>
      </c>
      <c r="K1498" t="s">
        <v>148</v>
      </c>
      <c r="L1498">
        <v>1</v>
      </c>
      <c r="N1498" t="s">
        <v>269</v>
      </c>
    </row>
    <row r="1499" spans="1:14" outlineLevel="1" x14ac:dyDescent="0.25">
      <c r="A1499" t="s">
        <v>266</v>
      </c>
      <c r="C1499">
        <f>'Remplissage - Sit. Init.'!$I$43</f>
        <v>0</v>
      </c>
      <c r="D1499" t="str">
        <f>_xlfn.CONCAT("Ordre de grandeur du nombre annuel de tournées"," (",'Remplissage - Sit. Init.'!$C$243,")")</f>
        <v>Ordre de grandeur du nombre annuel de tournées (Catégorie 23)</v>
      </c>
      <c r="F1499" t="str">
        <f t="shared" ref="F1499" si="1449">_xlfn.CONCAT("ELUTourneeNb",RIGHT(LEFT(D1499,LEN(D1499)-1),2))</f>
        <v>ELUTourneeNb23</v>
      </c>
      <c r="G1499" t="s">
        <v>17</v>
      </c>
      <c r="H1499">
        <f>IF($I$1402="Par catégorie de véhicule sélectionnée (meilleure précision)",1,0)*IF(ISNUMBER(SEARCH(C1499,$I$1401)),1,0)</f>
        <v>0</v>
      </c>
      <c r="K1499" t="s">
        <v>283</v>
      </c>
      <c r="L1499">
        <v>100</v>
      </c>
      <c r="N1499" t="s">
        <v>269</v>
      </c>
    </row>
    <row r="1500" spans="1:14" outlineLevel="1" x14ac:dyDescent="0.25">
      <c r="A1500" t="s">
        <v>266</v>
      </c>
      <c r="C1500">
        <f>'Remplissage - Sit. Init.'!$I$53</f>
        <v>0</v>
      </c>
      <c r="D1500" t="str">
        <f>_xlfn.CONCAT("Distance moyenne d'une tournée"," (",'Remplissage - Sit. Init.'!$C$253,")")</f>
        <v>Distance moyenne d'une tournée (Catégorie 24)</v>
      </c>
      <c r="F1500" t="str">
        <f t="shared" ref="F1500" si="1450">_xlfn.CONCAT("ELUTourneeDist",RIGHT(LEFT(D1500,LEN(D1500)-1),2))</f>
        <v>ELUTourneeDist24</v>
      </c>
      <c r="G1500" t="s">
        <v>17</v>
      </c>
      <c r="H1500">
        <f>IF($I$1402="Par catégorie de véhicule sélectionnée (meilleure précision)",1,0)*IF(ISNUMBER(SEARCH(C1500,$I$1401)),1,0)</f>
        <v>0</v>
      </c>
      <c r="K1500" t="s">
        <v>88</v>
      </c>
      <c r="L1500">
        <v>50</v>
      </c>
      <c r="N1500" t="s">
        <v>269</v>
      </c>
    </row>
    <row r="1501" spans="1:14" outlineLevel="1" x14ac:dyDescent="0.25">
      <c r="A1501" t="s">
        <v>266</v>
      </c>
      <c r="C1501">
        <f>'Remplissage - Sit. Init.'!$I$53</f>
        <v>0</v>
      </c>
      <c r="D1501" t="str">
        <f>_xlfn.CONCAT("Taux de chargement moyen pour une tournée"," (",'Remplissage - Sit. Init.'!$C$253,")")</f>
        <v>Taux de chargement moyen pour une tournée (Catégorie 24)</v>
      </c>
      <c r="F1501" t="str">
        <f t="shared" ref="F1501" si="1451">_xlfn.CONCAT("ELUTourneeTC",RIGHT(LEFT(D1501,LEN(D1501)-1),2))</f>
        <v>ELUTourneeTC24</v>
      </c>
      <c r="G1501" t="s">
        <v>17</v>
      </c>
      <c r="H1501">
        <f>(IF($I$1402="Par catégorie de véhicule sélectionnée (meilleure précision)",1,0)*IF(ISNUMBER(SEARCH(C1501,$I$1401)),1,0))*(IF($I$1403="Le taux de chargement moyen pour une tournée",1,0))</f>
        <v>0</v>
      </c>
      <c r="I1501" s="3"/>
      <c r="K1501" t="s">
        <v>70</v>
      </c>
      <c r="L1501" s="7">
        <v>0.33</v>
      </c>
      <c r="N1501" t="s">
        <v>269</v>
      </c>
    </row>
    <row r="1502" spans="1:14" outlineLevel="1" x14ac:dyDescent="0.25">
      <c r="A1502" t="s">
        <v>266</v>
      </c>
      <c r="C1502">
        <f>'Remplissage - Sit. Init.'!$I$53</f>
        <v>0</v>
      </c>
      <c r="D1502" t="str">
        <f>_xlfn.CONCAT("Masse moyenne transportée sur une tournée"," (",'Remplissage - Sit. Init.'!$C$253,")")</f>
        <v>Masse moyenne transportée sur une tournée (Catégorie 24)</v>
      </c>
      <c r="F1502" t="str">
        <f t="shared" ref="F1502" si="1452">_xlfn.CONCAT("ELUTourneeMasse",RIGHT(LEFT(D1502,LEN(D1502)-1),2))</f>
        <v>ELUTourneeMasse24</v>
      </c>
      <c r="G1502" t="s">
        <v>17</v>
      </c>
      <c r="H1502">
        <f>(IF($I$1402="Par catégorie de véhicule sélectionnée (meilleure précision)",1,0)*IF(ISNUMBER(SEARCH(C1502,$I$1401)),1,0))*(IF($I$1403="La masse moyenne transportée pour une tournée",1,0))</f>
        <v>0</v>
      </c>
      <c r="K1502" t="s">
        <v>148</v>
      </c>
      <c r="L1502">
        <v>1</v>
      </c>
      <c r="N1502" t="s">
        <v>269</v>
      </c>
    </row>
    <row r="1503" spans="1:14" outlineLevel="1" x14ac:dyDescent="0.25">
      <c r="A1503" t="s">
        <v>266</v>
      </c>
      <c r="C1503">
        <f>'Remplissage - Sit. Init.'!$I$53</f>
        <v>0</v>
      </c>
      <c r="D1503" t="str">
        <f>_xlfn.CONCAT("Ordre de grandeur du nombre annuel de tournées"," (",'Remplissage - Sit. Init.'!$C$253,")")</f>
        <v>Ordre de grandeur du nombre annuel de tournées (Catégorie 24)</v>
      </c>
      <c r="F1503" t="str">
        <f t="shared" ref="F1503" si="1453">_xlfn.CONCAT("ELUTourneeNb",RIGHT(LEFT(D1503,LEN(D1503)-1),2))</f>
        <v>ELUTourneeNb24</v>
      </c>
      <c r="G1503" t="s">
        <v>17</v>
      </c>
      <c r="H1503">
        <f>IF($I$1402="Par catégorie de véhicule sélectionnée (meilleure précision)",1,0)*IF(ISNUMBER(SEARCH(C1503,$I$1401)),1,0)</f>
        <v>0</v>
      </c>
      <c r="K1503" t="s">
        <v>283</v>
      </c>
      <c r="L1503">
        <v>100</v>
      </c>
      <c r="N1503" t="s">
        <v>269</v>
      </c>
    </row>
    <row r="1504" spans="1:14" outlineLevel="1" x14ac:dyDescent="0.25">
      <c r="A1504" t="s">
        <v>266</v>
      </c>
      <c r="C1504">
        <f>'Remplissage - Sit. Init.'!$I$63</f>
        <v>0</v>
      </c>
      <c r="D1504" t="str">
        <f>_xlfn.CONCAT("Distance moyenne d'une tournée"," (",'Remplissage - Sit. Init.'!$C$263,")")</f>
        <v>Distance moyenne d'une tournée (Catégorie 25)</v>
      </c>
      <c r="F1504" t="str">
        <f t="shared" ref="F1504" si="1454">_xlfn.CONCAT("ELUTourneeDist",RIGHT(LEFT(D1504,LEN(D1504)-1),2))</f>
        <v>ELUTourneeDist25</v>
      </c>
      <c r="G1504" t="s">
        <v>17</v>
      </c>
      <c r="H1504">
        <f>IF($I$1402="Par catégorie de véhicule sélectionnée (meilleure précision)",1,0)*IF(ISNUMBER(SEARCH(C1504,$I$1401)),1,0)</f>
        <v>0</v>
      </c>
      <c r="K1504" t="s">
        <v>88</v>
      </c>
      <c r="L1504">
        <v>50</v>
      </c>
      <c r="N1504" t="s">
        <v>269</v>
      </c>
    </row>
    <row r="1505" spans="1:14" outlineLevel="1" x14ac:dyDescent="0.25">
      <c r="A1505" t="s">
        <v>266</v>
      </c>
      <c r="C1505">
        <f>'Remplissage - Sit. Init.'!$I$63</f>
        <v>0</v>
      </c>
      <c r="D1505" t="str">
        <f>_xlfn.CONCAT("Taux de chargement moyen pour une tournée"," (",'Remplissage - Sit. Init.'!$C$263,")")</f>
        <v>Taux de chargement moyen pour une tournée (Catégorie 25)</v>
      </c>
      <c r="F1505" t="str">
        <f t="shared" ref="F1505" si="1455">_xlfn.CONCAT("ELUTourneeTC",RIGHT(LEFT(D1505,LEN(D1505)-1),2))</f>
        <v>ELUTourneeTC25</v>
      </c>
      <c r="G1505" t="s">
        <v>17</v>
      </c>
      <c r="H1505">
        <f>(IF($I$1402="Par catégorie de véhicule sélectionnée (meilleure précision)",1,0)*IF(ISNUMBER(SEARCH(C1505,$I$1401)),1,0))*(IF($I$1403="Le taux de chargement moyen pour une tournée",1,0))</f>
        <v>0</v>
      </c>
      <c r="I1505" s="3"/>
      <c r="K1505" t="s">
        <v>70</v>
      </c>
      <c r="L1505" s="7">
        <v>0.33</v>
      </c>
      <c r="N1505" t="s">
        <v>269</v>
      </c>
    </row>
    <row r="1506" spans="1:14" outlineLevel="1" x14ac:dyDescent="0.25">
      <c r="A1506" t="s">
        <v>266</v>
      </c>
      <c r="C1506">
        <f>'Remplissage - Sit. Init.'!$I$63</f>
        <v>0</v>
      </c>
      <c r="D1506" t="str">
        <f>_xlfn.CONCAT("Masse moyenne transportée sur une tournée"," (",'Remplissage - Sit. Init.'!$C$263,")")</f>
        <v>Masse moyenne transportée sur une tournée (Catégorie 25)</v>
      </c>
      <c r="F1506" t="str">
        <f t="shared" ref="F1506" si="1456">_xlfn.CONCAT("ELUTourneeMasse",RIGHT(LEFT(D1506,LEN(D1506)-1),2))</f>
        <v>ELUTourneeMasse25</v>
      </c>
      <c r="G1506" t="s">
        <v>17</v>
      </c>
      <c r="H1506">
        <f>(IF($I$1402="Par catégorie de véhicule sélectionnée (meilleure précision)",1,0)*IF(ISNUMBER(SEARCH(C1506,$I$1401)),1,0))*(IF($I$1403="La masse moyenne transportée pour une tournée",1,0))</f>
        <v>0</v>
      </c>
      <c r="K1506" t="s">
        <v>148</v>
      </c>
      <c r="L1506">
        <v>1</v>
      </c>
      <c r="N1506" t="s">
        <v>269</v>
      </c>
    </row>
    <row r="1507" spans="1:14" outlineLevel="1" x14ac:dyDescent="0.25">
      <c r="A1507" t="s">
        <v>266</v>
      </c>
      <c r="C1507">
        <f>'Remplissage - Sit. Init.'!$I$63</f>
        <v>0</v>
      </c>
      <c r="D1507" t="str">
        <f>_xlfn.CONCAT("Ordre de grandeur du nombre annuel de tournées"," (",'Remplissage - Sit. Init.'!$C$263,")")</f>
        <v>Ordre de grandeur du nombre annuel de tournées (Catégorie 25)</v>
      </c>
      <c r="F1507" t="str">
        <f t="shared" ref="F1507" si="1457">_xlfn.CONCAT("ELUTourneeNb",RIGHT(LEFT(D1507,LEN(D1507)-1),2))</f>
        <v>ELUTourneeNb25</v>
      </c>
      <c r="G1507" t="s">
        <v>17</v>
      </c>
      <c r="H1507">
        <f>IF($I$1402="Par catégorie de véhicule sélectionnée (meilleure précision)",1,0)*IF(ISNUMBER(SEARCH(C1507,$I$1401)),1,0)</f>
        <v>0</v>
      </c>
      <c r="K1507" t="s">
        <v>283</v>
      </c>
      <c r="L1507">
        <v>100</v>
      </c>
      <c r="N1507" t="s">
        <v>269</v>
      </c>
    </row>
    <row r="1508" spans="1:14" outlineLevel="1" x14ac:dyDescent="0.25">
      <c r="A1508" t="s">
        <v>266</v>
      </c>
      <c r="C1508">
        <f>'Remplissage - Sit. Init.'!$I$73</f>
        <v>0</v>
      </c>
      <c r="D1508" t="str">
        <f>_xlfn.CONCAT("Distance moyenne d'une tournée"," (",'Remplissage - Sit. Init.'!$C$273,")")</f>
        <v>Distance moyenne d'une tournée (Catégorie 26)</v>
      </c>
      <c r="F1508" t="str">
        <f t="shared" ref="F1508" si="1458">_xlfn.CONCAT("ELUTourneeDist",RIGHT(LEFT(D1508,LEN(D1508)-1),2))</f>
        <v>ELUTourneeDist26</v>
      </c>
      <c r="G1508" t="s">
        <v>17</v>
      </c>
      <c r="H1508">
        <f>IF($I$1402="Par catégorie de véhicule sélectionnée (meilleure précision)",1,0)*IF(ISNUMBER(SEARCH(C1508,$I$1401)),1,0)</f>
        <v>0</v>
      </c>
      <c r="K1508" t="s">
        <v>88</v>
      </c>
      <c r="L1508">
        <v>50</v>
      </c>
      <c r="N1508" t="s">
        <v>269</v>
      </c>
    </row>
    <row r="1509" spans="1:14" outlineLevel="1" x14ac:dyDescent="0.25">
      <c r="A1509" t="s">
        <v>266</v>
      </c>
      <c r="C1509">
        <f>'Remplissage - Sit. Init.'!$I$73</f>
        <v>0</v>
      </c>
      <c r="D1509" t="str">
        <f>_xlfn.CONCAT("Taux de chargement moyen pour une tournée"," (",'Remplissage - Sit. Init.'!$C$273,")")</f>
        <v>Taux de chargement moyen pour une tournée (Catégorie 26)</v>
      </c>
      <c r="F1509" t="str">
        <f t="shared" ref="F1509" si="1459">_xlfn.CONCAT("ELUTourneeTC",RIGHT(LEFT(D1509,LEN(D1509)-1),2))</f>
        <v>ELUTourneeTC26</v>
      </c>
      <c r="G1509" t="s">
        <v>17</v>
      </c>
      <c r="H1509">
        <f>(IF($I$1402="Par catégorie de véhicule sélectionnée (meilleure précision)",1,0)*IF(ISNUMBER(SEARCH(C1509,$I$1401)),1,0))*(IF($I$1403="Le taux de chargement moyen pour une tournée",1,0))</f>
        <v>0</v>
      </c>
      <c r="I1509" s="3"/>
      <c r="K1509" t="s">
        <v>70</v>
      </c>
      <c r="L1509" s="7">
        <v>0.33</v>
      </c>
      <c r="N1509" t="s">
        <v>269</v>
      </c>
    </row>
    <row r="1510" spans="1:14" outlineLevel="1" x14ac:dyDescent="0.25">
      <c r="A1510" t="s">
        <v>266</v>
      </c>
      <c r="C1510">
        <f>'Remplissage - Sit. Init.'!$I$73</f>
        <v>0</v>
      </c>
      <c r="D1510" t="str">
        <f>_xlfn.CONCAT("Masse moyenne transportée sur une tournée"," (",'Remplissage - Sit. Init.'!$C$273,")")</f>
        <v>Masse moyenne transportée sur une tournée (Catégorie 26)</v>
      </c>
      <c r="F1510" t="str">
        <f t="shared" ref="F1510" si="1460">_xlfn.CONCAT("ELUTourneeMasse",RIGHT(LEFT(D1510,LEN(D1510)-1),2))</f>
        <v>ELUTourneeMasse26</v>
      </c>
      <c r="G1510" t="s">
        <v>17</v>
      </c>
      <c r="H1510">
        <f>(IF($I$1402="Par catégorie de véhicule sélectionnée (meilleure précision)",1,0)*IF(ISNUMBER(SEARCH(C1510,$I$1401)),1,0))*(IF($I$1403="La masse moyenne transportée pour une tournée",1,0))</f>
        <v>0</v>
      </c>
      <c r="K1510" t="s">
        <v>148</v>
      </c>
      <c r="L1510">
        <v>1</v>
      </c>
      <c r="N1510" t="s">
        <v>269</v>
      </c>
    </row>
    <row r="1511" spans="1:14" outlineLevel="1" x14ac:dyDescent="0.25">
      <c r="A1511" t="s">
        <v>266</v>
      </c>
      <c r="C1511">
        <f>'Remplissage - Sit. Init.'!$I$73</f>
        <v>0</v>
      </c>
      <c r="D1511" t="str">
        <f>_xlfn.CONCAT("Ordre de grandeur du nombre annuel de tournées"," (",'Remplissage - Sit. Init.'!$C$273,")")</f>
        <v>Ordre de grandeur du nombre annuel de tournées (Catégorie 26)</v>
      </c>
      <c r="F1511" t="str">
        <f t="shared" ref="F1511" si="1461">_xlfn.CONCAT("ELUTourneeNb",RIGHT(LEFT(D1511,LEN(D1511)-1),2))</f>
        <v>ELUTourneeNb26</v>
      </c>
      <c r="G1511" t="s">
        <v>17</v>
      </c>
      <c r="H1511">
        <f>IF($I$1402="Par catégorie de véhicule sélectionnée (meilleure précision)",1,0)*IF(ISNUMBER(SEARCH(C1511,$I$1401)),1,0)</f>
        <v>0</v>
      </c>
      <c r="K1511" t="s">
        <v>283</v>
      </c>
      <c r="L1511">
        <v>100</v>
      </c>
      <c r="N1511" t="s">
        <v>269</v>
      </c>
    </row>
    <row r="1512" spans="1:14" outlineLevel="1" x14ac:dyDescent="0.25">
      <c r="A1512" t="s">
        <v>266</v>
      </c>
      <c r="C1512">
        <f>'Remplissage - Sit. Init.'!$I$83</f>
        <v>0</v>
      </c>
      <c r="D1512" t="str">
        <f>_xlfn.CONCAT("Distance moyenne d'une tournée"," (",'Remplissage - Sit. Init.'!$C$283,")")</f>
        <v>Distance moyenne d'une tournée (Catégorie 27)</v>
      </c>
      <c r="F1512" t="str">
        <f t="shared" ref="F1512" si="1462">_xlfn.CONCAT("ELUTourneeDist",RIGHT(LEFT(D1512,LEN(D1512)-1),2))</f>
        <v>ELUTourneeDist27</v>
      </c>
      <c r="G1512" t="s">
        <v>17</v>
      </c>
      <c r="H1512">
        <f>IF($I$1402="Par catégorie de véhicule sélectionnée (meilleure précision)",1,0)*IF(ISNUMBER(SEARCH(C1512,$I$1401)),1,0)</f>
        <v>0</v>
      </c>
      <c r="K1512" t="s">
        <v>88</v>
      </c>
      <c r="L1512">
        <v>50</v>
      </c>
      <c r="N1512" t="s">
        <v>269</v>
      </c>
    </row>
    <row r="1513" spans="1:14" outlineLevel="1" x14ac:dyDescent="0.25">
      <c r="A1513" t="s">
        <v>266</v>
      </c>
      <c r="C1513">
        <f>'Remplissage - Sit. Init.'!$I$83</f>
        <v>0</v>
      </c>
      <c r="D1513" t="str">
        <f>_xlfn.CONCAT("Taux de chargement moyen pour une tournée"," (",'Remplissage - Sit. Init.'!$C$283,")")</f>
        <v>Taux de chargement moyen pour une tournée (Catégorie 27)</v>
      </c>
      <c r="F1513" t="str">
        <f t="shared" ref="F1513" si="1463">_xlfn.CONCAT("ELUTourneeTC",RIGHT(LEFT(D1513,LEN(D1513)-1),2))</f>
        <v>ELUTourneeTC27</v>
      </c>
      <c r="G1513" t="s">
        <v>17</v>
      </c>
      <c r="H1513">
        <f>(IF($I$1402="Par catégorie de véhicule sélectionnée (meilleure précision)",1,0)*IF(ISNUMBER(SEARCH(C1513,$I$1401)),1,0))*(IF($I$1403="Le taux de chargement moyen pour une tournée",1,0))</f>
        <v>0</v>
      </c>
      <c r="I1513" s="3"/>
      <c r="K1513" t="s">
        <v>70</v>
      </c>
      <c r="L1513" s="7">
        <v>0.33</v>
      </c>
      <c r="N1513" t="s">
        <v>269</v>
      </c>
    </row>
    <row r="1514" spans="1:14" outlineLevel="1" x14ac:dyDescent="0.25">
      <c r="A1514" t="s">
        <v>266</v>
      </c>
      <c r="C1514">
        <f>'Remplissage - Sit. Init.'!$I$83</f>
        <v>0</v>
      </c>
      <c r="D1514" t="str">
        <f>_xlfn.CONCAT("Masse moyenne transportée sur une tournée"," (",'Remplissage - Sit. Init.'!$C$283,")")</f>
        <v>Masse moyenne transportée sur une tournée (Catégorie 27)</v>
      </c>
      <c r="F1514" t="str">
        <f t="shared" ref="F1514" si="1464">_xlfn.CONCAT("ELUTourneeMasse",RIGHT(LEFT(D1514,LEN(D1514)-1),2))</f>
        <v>ELUTourneeMasse27</v>
      </c>
      <c r="G1514" t="s">
        <v>17</v>
      </c>
      <c r="H1514">
        <f>(IF($I$1402="Par catégorie de véhicule sélectionnée (meilleure précision)",1,0)*IF(ISNUMBER(SEARCH(C1514,$I$1401)),1,0))*(IF($I$1403="La masse moyenne transportée pour une tournée",1,0))</f>
        <v>0</v>
      </c>
      <c r="K1514" t="s">
        <v>148</v>
      </c>
      <c r="L1514">
        <v>1</v>
      </c>
      <c r="N1514" t="s">
        <v>269</v>
      </c>
    </row>
    <row r="1515" spans="1:14" outlineLevel="1" x14ac:dyDescent="0.25">
      <c r="A1515" t="s">
        <v>266</v>
      </c>
      <c r="C1515">
        <f>'Remplissage - Sit. Init.'!$I$83</f>
        <v>0</v>
      </c>
      <c r="D1515" t="str">
        <f>_xlfn.CONCAT("Ordre de grandeur du nombre annuel de tournées"," (",'Remplissage - Sit. Init.'!$C$283,")")</f>
        <v>Ordre de grandeur du nombre annuel de tournées (Catégorie 27)</v>
      </c>
      <c r="F1515" t="str">
        <f t="shared" ref="F1515" si="1465">_xlfn.CONCAT("ELUTourneeNb",RIGHT(LEFT(D1515,LEN(D1515)-1),2))</f>
        <v>ELUTourneeNb27</v>
      </c>
      <c r="G1515" t="s">
        <v>17</v>
      </c>
      <c r="H1515">
        <f>IF($I$1402="Par catégorie de véhicule sélectionnée (meilleure précision)",1,0)*IF(ISNUMBER(SEARCH(C1515,$I$1401)),1,0)</f>
        <v>0</v>
      </c>
      <c r="K1515" t="s">
        <v>283</v>
      </c>
      <c r="L1515">
        <v>100</v>
      </c>
      <c r="N1515" t="s">
        <v>269</v>
      </c>
    </row>
    <row r="1516" spans="1:14" outlineLevel="1" x14ac:dyDescent="0.25">
      <c r="A1516" t="s">
        <v>266</v>
      </c>
      <c r="C1516">
        <f>'Remplissage - Sit. Init.'!$I$93</f>
        <v>0</v>
      </c>
      <c r="D1516" t="str">
        <f>_xlfn.CONCAT("Distance moyenne d'une tournée"," (",'Remplissage - Sit. Init.'!$C$293,")")</f>
        <v>Distance moyenne d'une tournée (Catégorie 28)</v>
      </c>
      <c r="F1516" t="str">
        <f t="shared" ref="F1516" si="1466">_xlfn.CONCAT("ELUTourneeDist",RIGHT(LEFT(D1516,LEN(D1516)-1),2))</f>
        <v>ELUTourneeDist28</v>
      </c>
      <c r="G1516" t="s">
        <v>17</v>
      </c>
      <c r="H1516">
        <f>IF($I$1402="Par catégorie de véhicule sélectionnée (meilleure précision)",1,0)*IF(ISNUMBER(SEARCH(C1516,$I$1401)),1,0)</f>
        <v>0</v>
      </c>
      <c r="K1516" t="s">
        <v>88</v>
      </c>
      <c r="L1516">
        <v>50</v>
      </c>
      <c r="N1516" t="s">
        <v>269</v>
      </c>
    </row>
    <row r="1517" spans="1:14" outlineLevel="1" x14ac:dyDescent="0.25">
      <c r="A1517" t="s">
        <v>266</v>
      </c>
      <c r="C1517">
        <f>'Remplissage - Sit. Init.'!$I$93</f>
        <v>0</v>
      </c>
      <c r="D1517" t="str">
        <f>_xlfn.CONCAT("Taux de chargement moyen pour une tournée"," (",'Remplissage - Sit. Init.'!$C$293,")")</f>
        <v>Taux de chargement moyen pour une tournée (Catégorie 28)</v>
      </c>
      <c r="F1517" t="str">
        <f t="shared" ref="F1517" si="1467">_xlfn.CONCAT("ELUTourneeTC",RIGHT(LEFT(D1517,LEN(D1517)-1),2))</f>
        <v>ELUTourneeTC28</v>
      </c>
      <c r="G1517" t="s">
        <v>17</v>
      </c>
      <c r="H1517">
        <f>(IF($I$1402="Par catégorie de véhicule sélectionnée (meilleure précision)",1,0)*IF(ISNUMBER(SEARCH(C1517,$I$1401)),1,0))*(IF($I$1403="Le taux de chargement moyen pour une tournée",1,0))</f>
        <v>0</v>
      </c>
      <c r="I1517" s="3"/>
      <c r="K1517" t="s">
        <v>70</v>
      </c>
      <c r="L1517" s="7">
        <v>0.33</v>
      </c>
      <c r="N1517" t="s">
        <v>269</v>
      </c>
    </row>
    <row r="1518" spans="1:14" outlineLevel="1" x14ac:dyDescent="0.25">
      <c r="A1518" t="s">
        <v>266</v>
      </c>
      <c r="C1518">
        <f>'Remplissage - Sit. Init.'!$I$93</f>
        <v>0</v>
      </c>
      <c r="D1518" t="str">
        <f>_xlfn.CONCAT("Masse moyenne transportée sur une tournée"," (",'Remplissage - Sit. Init.'!$C$293,")")</f>
        <v>Masse moyenne transportée sur une tournée (Catégorie 28)</v>
      </c>
      <c r="F1518" t="str">
        <f t="shared" ref="F1518" si="1468">_xlfn.CONCAT("ELUTourneeMasse",RIGHT(LEFT(D1518,LEN(D1518)-1),2))</f>
        <v>ELUTourneeMasse28</v>
      </c>
      <c r="G1518" t="s">
        <v>17</v>
      </c>
      <c r="H1518">
        <f>(IF($I$1402="Par catégorie de véhicule sélectionnée (meilleure précision)",1,0)*IF(ISNUMBER(SEARCH(C1518,$I$1401)),1,0))*(IF($I$1403="La masse moyenne transportée pour une tournée",1,0))</f>
        <v>0</v>
      </c>
      <c r="K1518" t="s">
        <v>148</v>
      </c>
      <c r="L1518">
        <v>1</v>
      </c>
      <c r="N1518" t="s">
        <v>269</v>
      </c>
    </row>
    <row r="1519" spans="1:14" outlineLevel="1" x14ac:dyDescent="0.25">
      <c r="A1519" t="s">
        <v>266</v>
      </c>
      <c r="C1519">
        <f>'Remplissage - Sit. Init.'!$I$93</f>
        <v>0</v>
      </c>
      <c r="D1519" t="str">
        <f>_xlfn.CONCAT("Ordre de grandeur du nombre annuel de tournées"," (",'Remplissage - Sit. Init.'!$C$293,")")</f>
        <v>Ordre de grandeur du nombre annuel de tournées (Catégorie 28)</v>
      </c>
      <c r="F1519" t="str">
        <f t="shared" ref="F1519" si="1469">_xlfn.CONCAT("ELUTourneeNb",RIGHT(LEFT(D1519,LEN(D1519)-1),2))</f>
        <v>ELUTourneeNb28</v>
      </c>
      <c r="G1519" t="s">
        <v>17</v>
      </c>
      <c r="H1519">
        <f>IF($I$1402="Par catégorie de véhicule sélectionnée (meilleure précision)",1,0)*IF(ISNUMBER(SEARCH(C1519,$I$1401)),1,0)</f>
        <v>0</v>
      </c>
      <c r="K1519" t="s">
        <v>283</v>
      </c>
      <c r="L1519">
        <v>100</v>
      </c>
      <c r="N1519" t="s">
        <v>269</v>
      </c>
    </row>
    <row r="1520" spans="1:14" outlineLevel="1" x14ac:dyDescent="0.25">
      <c r="A1520" t="s">
        <v>266</v>
      </c>
      <c r="C1520">
        <f>'Remplissage - Sit. Init.'!$I$103</f>
        <v>0</v>
      </c>
      <c r="D1520" t="str">
        <f>_xlfn.CONCAT("Distance moyenne d'une tournée"," (",'Remplissage - Sit. Init.'!$C$303,")")</f>
        <v>Distance moyenne d'une tournée (Catégorie 29)</v>
      </c>
      <c r="F1520" t="str">
        <f t="shared" ref="F1520" si="1470">_xlfn.CONCAT("ELUTourneeDist",RIGHT(LEFT(D1520,LEN(D1520)-1),2))</f>
        <v>ELUTourneeDist29</v>
      </c>
      <c r="G1520" t="s">
        <v>17</v>
      </c>
      <c r="H1520">
        <f>IF($I$1402="Par catégorie de véhicule sélectionnée (meilleure précision)",1,0)*IF(ISNUMBER(SEARCH(C1520,$I$1401)),1,0)</f>
        <v>0</v>
      </c>
      <c r="K1520" t="s">
        <v>88</v>
      </c>
      <c r="L1520">
        <v>50</v>
      </c>
      <c r="N1520" t="s">
        <v>269</v>
      </c>
    </row>
    <row r="1521" spans="1:14" outlineLevel="1" x14ac:dyDescent="0.25">
      <c r="A1521" t="s">
        <v>266</v>
      </c>
      <c r="C1521">
        <f>'Remplissage - Sit. Init.'!$I$103</f>
        <v>0</v>
      </c>
      <c r="D1521" t="str">
        <f>_xlfn.CONCAT("Taux de chargement moyen pour une tournée"," (",'Remplissage - Sit. Init.'!$C$303,")")</f>
        <v>Taux de chargement moyen pour une tournée (Catégorie 29)</v>
      </c>
      <c r="F1521" t="str">
        <f t="shared" ref="F1521" si="1471">_xlfn.CONCAT("ELUTourneeTC",RIGHT(LEFT(D1521,LEN(D1521)-1),2))</f>
        <v>ELUTourneeTC29</v>
      </c>
      <c r="G1521" t="s">
        <v>17</v>
      </c>
      <c r="H1521">
        <f>(IF($I$1402="Par catégorie de véhicule sélectionnée (meilleure précision)",1,0)*IF(ISNUMBER(SEARCH(C1521,$I$1401)),1,0))*(IF($I$1403="Le taux de chargement moyen pour une tournée",1,0))</f>
        <v>0</v>
      </c>
      <c r="I1521" s="3"/>
      <c r="K1521" t="s">
        <v>70</v>
      </c>
      <c r="L1521" s="7">
        <v>0.33</v>
      </c>
      <c r="N1521" t="s">
        <v>269</v>
      </c>
    </row>
    <row r="1522" spans="1:14" outlineLevel="1" x14ac:dyDescent="0.25">
      <c r="A1522" t="s">
        <v>266</v>
      </c>
      <c r="C1522">
        <f>'Remplissage - Sit. Init.'!$I$103</f>
        <v>0</v>
      </c>
      <c r="D1522" t="str">
        <f>_xlfn.CONCAT("Masse moyenne transportée sur une tournée"," (",'Remplissage - Sit. Init.'!$C$303,")")</f>
        <v>Masse moyenne transportée sur une tournée (Catégorie 29)</v>
      </c>
      <c r="F1522" t="str">
        <f t="shared" ref="F1522" si="1472">_xlfn.CONCAT("ELUTourneeMasse",RIGHT(LEFT(D1522,LEN(D1522)-1),2))</f>
        <v>ELUTourneeMasse29</v>
      </c>
      <c r="G1522" t="s">
        <v>17</v>
      </c>
      <c r="H1522">
        <f>(IF($I$1402="Par catégorie de véhicule sélectionnée (meilleure précision)",1,0)*IF(ISNUMBER(SEARCH(C1522,$I$1401)),1,0))*(IF($I$1403="La masse moyenne transportée pour une tournée",1,0))</f>
        <v>0</v>
      </c>
      <c r="K1522" t="s">
        <v>148</v>
      </c>
      <c r="L1522">
        <v>1</v>
      </c>
      <c r="N1522" t="s">
        <v>269</v>
      </c>
    </row>
    <row r="1523" spans="1:14" outlineLevel="1" x14ac:dyDescent="0.25">
      <c r="A1523" t="s">
        <v>266</v>
      </c>
      <c r="C1523">
        <f>'Remplissage - Sit. Init.'!$I$103</f>
        <v>0</v>
      </c>
      <c r="D1523" t="str">
        <f>_xlfn.CONCAT("Ordre de grandeur du nombre annuel de tournées"," (",'Remplissage - Sit. Init.'!$C$303,")")</f>
        <v>Ordre de grandeur du nombre annuel de tournées (Catégorie 29)</v>
      </c>
      <c r="F1523" t="str">
        <f t="shared" ref="F1523" si="1473">_xlfn.CONCAT("ELUTourneeNb",RIGHT(LEFT(D1523,LEN(D1523)-1),2))</f>
        <v>ELUTourneeNb29</v>
      </c>
      <c r="G1523" t="s">
        <v>17</v>
      </c>
      <c r="H1523">
        <f>IF($I$1402="Par catégorie de véhicule sélectionnée (meilleure précision)",1,0)*IF(ISNUMBER(SEARCH(C1523,$I$1401)),1,0)</f>
        <v>0</v>
      </c>
      <c r="K1523" t="s">
        <v>283</v>
      </c>
      <c r="L1523">
        <v>100</v>
      </c>
      <c r="N1523" t="s">
        <v>269</v>
      </c>
    </row>
    <row r="1524" spans="1:14" outlineLevel="1" x14ac:dyDescent="0.25">
      <c r="A1524" t="s">
        <v>266</v>
      </c>
      <c r="C1524">
        <f>'Remplissage - Sit. Init.'!$I$113</f>
        <v>0</v>
      </c>
      <c r="D1524" t="str">
        <f>_xlfn.CONCAT("Distance moyenne d'une tournée"," (",'Remplissage - Sit. Init.'!$C$313,")")</f>
        <v>Distance moyenne d'une tournée (Catégorie 30)</v>
      </c>
      <c r="F1524" t="str">
        <f t="shared" ref="F1524" si="1474">_xlfn.CONCAT("ELUTourneeDist",RIGHT(LEFT(D1524,LEN(D1524)-1),2))</f>
        <v>ELUTourneeDist30</v>
      </c>
      <c r="G1524" t="s">
        <v>17</v>
      </c>
      <c r="H1524">
        <f>IF($I$1402="Par catégorie de véhicule sélectionnée (meilleure précision)",1,0)*IF(ISNUMBER(SEARCH(C1524,$I$1401)),1,0)</f>
        <v>0</v>
      </c>
      <c r="K1524" t="s">
        <v>88</v>
      </c>
      <c r="L1524">
        <v>50</v>
      </c>
      <c r="N1524" t="s">
        <v>269</v>
      </c>
    </row>
    <row r="1525" spans="1:14" outlineLevel="1" x14ac:dyDescent="0.25">
      <c r="A1525" t="s">
        <v>266</v>
      </c>
      <c r="C1525">
        <f>'Remplissage - Sit. Init.'!$I$113</f>
        <v>0</v>
      </c>
      <c r="D1525" t="str">
        <f>_xlfn.CONCAT("Taux de chargement moyen pour une tournée"," (",'Remplissage - Sit. Init.'!$C$313,")")</f>
        <v>Taux de chargement moyen pour une tournée (Catégorie 30)</v>
      </c>
      <c r="F1525" t="str">
        <f t="shared" ref="F1525" si="1475">_xlfn.CONCAT("ELUTourneeTC",RIGHT(LEFT(D1525,LEN(D1525)-1),2))</f>
        <v>ELUTourneeTC30</v>
      </c>
      <c r="G1525" t="s">
        <v>17</v>
      </c>
      <c r="H1525">
        <f>(IF($I$1402="Par catégorie de véhicule sélectionnée (meilleure précision)",1,0)*IF(ISNUMBER(SEARCH(C1525,$I$1401)),1,0))*(IF($I$1403="Le taux de chargement moyen pour une tournée",1,0))</f>
        <v>0</v>
      </c>
      <c r="I1525" s="3"/>
      <c r="K1525" t="s">
        <v>70</v>
      </c>
      <c r="L1525" s="7">
        <v>0.33</v>
      </c>
      <c r="N1525" t="s">
        <v>269</v>
      </c>
    </row>
    <row r="1526" spans="1:14" outlineLevel="1" x14ac:dyDescent="0.25">
      <c r="A1526" t="s">
        <v>266</v>
      </c>
      <c r="C1526">
        <f>'Remplissage - Sit. Init.'!$I$113</f>
        <v>0</v>
      </c>
      <c r="D1526" t="str">
        <f>_xlfn.CONCAT("Masse moyenne transportée sur une tournée"," (",'Remplissage - Sit. Init.'!$C$313,")")</f>
        <v>Masse moyenne transportée sur une tournée (Catégorie 30)</v>
      </c>
      <c r="F1526" t="str">
        <f t="shared" ref="F1526" si="1476">_xlfn.CONCAT("ELUTourneeMasse",RIGHT(LEFT(D1526,LEN(D1526)-1),2))</f>
        <v>ELUTourneeMasse30</v>
      </c>
      <c r="G1526" t="s">
        <v>17</v>
      </c>
      <c r="H1526">
        <f>(IF($I$1402="Par catégorie de véhicule sélectionnée (meilleure précision)",1,0)*IF(ISNUMBER(SEARCH(C1526,$I$1401)),1,0))*(IF($I$1403="La masse moyenne transportée pour une tournée",1,0))</f>
        <v>0</v>
      </c>
      <c r="K1526" t="s">
        <v>148</v>
      </c>
      <c r="L1526">
        <v>1</v>
      </c>
      <c r="N1526" t="s">
        <v>269</v>
      </c>
    </row>
    <row r="1527" spans="1:14" outlineLevel="1" x14ac:dyDescent="0.25">
      <c r="A1527" t="s">
        <v>266</v>
      </c>
      <c r="C1527">
        <f>'Remplissage - Sit. Init.'!$I$113</f>
        <v>0</v>
      </c>
      <c r="D1527" t="str">
        <f>_xlfn.CONCAT("Ordre de grandeur du nombre annuel de tournées"," (",'Remplissage - Sit. Init.'!$C$313,")")</f>
        <v>Ordre de grandeur du nombre annuel de tournées (Catégorie 30)</v>
      </c>
      <c r="F1527" t="str">
        <f t="shared" ref="F1527" si="1477">_xlfn.CONCAT("ELUTourneeNb",RIGHT(LEFT(D1527,LEN(D1527)-1),2))</f>
        <v>ELUTourneeNb30</v>
      </c>
      <c r="G1527" t="s">
        <v>17</v>
      </c>
      <c r="H1527">
        <f>IF($I$1402="Par catégorie de véhicule sélectionnée (meilleure précision)",1,0)*IF(ISNUMBER(SEARCH(C1527,$I$1401)),1,0)</f>
        <v>0</v>
      </c>
      <c r="K1527" t="s">
        <v>283</v>
      </c>
      <c r="L1527">
        <v>100</v>
      </c>
      <c r="N1527" t="s">
        <v>269</v>
      </c>
    </row>
    <row r="1528" spans="1:14" x14ac:dyDescent="0.25">
      <c r="A1528" t="s">
        <v>266</v>
      </c>
      <c r="C1528">
        <f>'Remplissage - Sit. Init.'!$I$23</f>
        <v>0</v>
      </c>
      <c r="D1528" t="str">
        <f>_xlfn.CONCAT("Distance moyenne d'une tournée"," (",'Remplissage - Sit. Init.'!$C$323,")")</f>
        <v>Distance moyenne d'une tournée (Catégorie 31)</v>
      </c>
      <c r="F1528" t="str">
        <f t="shared" ref="F1528" si="1478">_xlfn.CONCAT("ELUTourneeDist",RIGHT(LEFT(D1528,LEN(D1528)-1),2))</f>
        <v>ELUTourneeDist31</v>
      </c>
      <c r="G1528" t="s">
        <v>17</v>
      </c>
      <c r="H1528">
        <f>IF($I$1402="Par catégorie de véhicule sélectionnée (meilleure précision)",1,0)*IF(ISNUMBER(SEARCH(C1528,$I$1401)),1,0)</f>
        <v>0</v>
      </c>
      <c r="K1528" t="s">
        <v>88</v>
      </c>
      <c r="L1528">
        <v>50</v>
      </c>
      <c r="N1528" t="s">
        <v>269</v>
      </c>
    </row>
    <row r="1529" spans="1:14" x14ac:dyDescent="0.25">
      <c r="A1529" t="s">
        <v>266</v>
      </c>
      <c r="C1529">
        <f>'Remplissage - Sit. Init.'!$I$23</f>
        <v>0</v>
      </c>
      <c r="D1529" t="str">
        <f>_xlfn.CONCAT("Taux de chargement moyen pour une tournée"," (",'Remplissage - Sit. Init.'!$C$323,")")</f>
        <v>Taux de chargement moyen pour une tournée (Catégorie 31)</v>
      </c>
      <c r="F1529" t="str">
        <f t="shared" ref="F1529" si="1479">_xlfn.CONCAT("ELUTourneeTC",RIGHT(LEFT(D1529,LEN(D1529)-1),2))</f>
        <v>ELUTourneeTC31</v>
      </c>
      <c r="G1529" t="s">
        <v>17</v>
      </c>
      <c r="H1529">
        <f>(IF($I$1402="Par catégorie de véhicule sélectionnée (meilleure précision)",1,0)*IF(ISNUMBER(SEARCH(C1529,$I$1401)),1,0))*(IF($I$1403="Le taux de chargement moyen pour une tournée",1,0))</f>
        <v>0</v>
      </c>
      <c r="I1529" s="3"/>
      <c r="K1529" t="s">
        <v>70</v>
      </c>
      <c r="L1529" s="7">
        <v>0.33</v>
      </c>
      <c r="N1529" t="s">
        <v>269</v>
      </c>
    </row>
    <row r="1530" spans="1:14" x14ac:dyDescent="0.25">
      <c r="A1530" t="s">
        <v>266</v>
      </c>
      <c r="C1530">
        <f>'Remplissage - Sit. Init.'!$I$23</f>
        <v>0</v>
      </c>
      <c r="D1530" t="str">
        <f>_xlfn.CONCAT("Masse moyenne transportée sur une tournée"," (",'Remplissage - Sit. Init.'!$C$323,")")</f>
        <v>Masse moyenne transportée sur une tournée (Catégorie 31)</v>
      </c>
      <c r="F1530" t="str">
        <f t="shared" ref="F1530" si="1480">_xlfn.CONCAT("ELUTourneeMasse",RIGHT(LEFT(D1530,LEN(D1530)-1),2))</f>
        <v>ELUTourneeMasse31</v>
      </c>
      <c r="G1530" t="s">
        <v>17</v>
      </c>
      <c r="H1530">
        <f>(IF($I$1402="Par catégorie de véhicule sélectionnée (meilleure précision)",1,0)*IF(ISNUMBER(SEARCH(C1530,$I$1401)),1,0))*(IF($I$1403="La masse moyenne transportée pour une tournée",1,0))</f>
        <v>0</v>
      </c>
      <c r="K1530" t="s">
        <v>148</v>
      </c>
      <c r="L1530">
        <v>1</v>
      </c>
      <c r="N1530" t="s">
        <v>269</v>
      </c>
    </row>
    <row r="1531" spans="1:14" x14ac:dyDescent="0.25">
      <c r="A1531" t="s">
        <v>266</v>
      </c>
      <c r="C1531">
        <f>'Remplissage - Sit. Init.'!$I$23</f>
        <v>0</v>
      </c>
      <c r="D1531" t="str">
        <f>_xlfn.CONCAT("Ordre de grandeur du nombre annuel de tournées"," (",'Remplissage - Sit. Init.'!$C$323,")")</f>
        <v>Ordre de grandeur du nombre annuel de tournées (Catégorie 31)</v>
      </c>
      <c r="F1531" t="str">
        <f t="shared" ref="F1531" si="1481">_xlfn.CONCAT("ELUTourneeNb",RIGHT(LEFT(D1531,LEN(D1531)-1),2))</f>
        <v>ELUTourneeNb31</v>
      </c>
      <c r="G1531" t="s">
        <v>17</v>
      </c>
      <c r="H1531">
        <f>IF($I$1402="Par catégorie de véhicule sélectionnée (meilleure précision)",1,0)*IF(ISNUMBER(SEARCH(C1531,$I$1401)),1,0)</f>
        <v>0</v>
      </c>
      <c r="K1531" t="s">
        <v>283</v>
      </c>
      <c r="L1531">
        <v>100</v>
      </c>
      <c r="N1531" t="s">
        <v>269</v>
      </c>
    </row>
    <row r="1532" spans="1:14" outlineLevel="1" x14ac:dyDescent="0.25">
      <c r="A1532" t="s">
        <v>266</v>
      </c>
      <c r="C1532">
        <f>'Remplissage - Sit. Init.'!$I$33</f>
        <v>0</v>
      </c>
      <c r="D1532" t="str">
        <f>_xlfn.CONCAT("Distance moyenne d'une tournée"," (",'Remplissage - Sit. Init.'!$C$333,")")</f>
        <v>Distance moyenne d'une tournée (Catégorie 32)</v>
      </c>
      <c r="F1532" t="str">
        <f t="shared" ref="F1532" si="1482">_xlfn.CONCAT("ELUTourneeDist",RIGHT(LEFT(D1532,LEN(D1532)-1),2))</f>
        <v>ELUTourneeDist32</v>
      </c>
      <c r="G1532" t="s">
        <v>17</v>
      </c>
      <c r="H1532">
        <f>IF($I$1402="Par catégorie de véhicule sélectionnée (meilleure précision)",1,0)*IF(ISNUMBER(SEARCH(C1532,$I$1401)),1,0)</f>
        <v>0</v>
      </c>
      <c r="K1532" t="s">
        <v>88</v>
      </c>
      <c r="L1532">
        <v>50</v>
      </c>
      <c r="N1532" t="s">
        <v>269</v>
      </c>
    </row>
    <row r="1533" spans="1:14" outlineLevel="1" x14ac:dyDescent="0.25">
      <c r="A1533" t="s">
        <v>266</v>
      </c>
      <c r="C1533">
        <f>'Remplissage - Sit. Init.'!$I$33</f>
        <v>0</v>
      </c>
      <c r="D1533" t="str">
        <f>_xlfn.CONCAT("Taux de chargement moyen pour une tournée"," (",'Remplissage - Sit. Init.'!$C$333,")")</f>
        <v>Taux de chargement moyen pour une tournée (Catégorie 32)</v>
      </c>
      <c r="F1533" t="str">
        <f t="shared" ref="F1533" si="1483">_xlfn.CONCAT("ELUTourneeTC",RIGHT(LEFT(D1533,LEN(D1533)-1),2))</f>
        <v>ELUTourneeTC32</v>
      </c>
      <c r="G1533" t="s">
        <v>17</v>
      </c>
      <c r="H1533">
        <f>(IF($I$1402="Par catégorie de véhicule sélectionnée (meilleure précision)",1,0)*IF(ISNUMBER(SEARCH(C1533,$I$1401)),1,0))*(IF($I$1403="Le taux de chargement moyen pour une tournée",1,0))</f>
        <v>0</v>
      </c>
      <c r="I1533" s="3"/>
      <c r="K1533" t="s">
        <v>70</v>
      </c>
      <c r="L1533" s="7">
        <v>0.33</v>
      </c>
      <c r="N1533" t="s">
        <v>269</v>
      </c>
    </row>
    <row r="1534" spans="1:14" outlineLevel="1" x14ac:dyDescent="0.25">
      <c r="A1534" t="s">
        <v>266</v>
      </c>
      <c r="C1534">
        <f>'Remplissage - Sit. Init.'!$I$33</f>
        <v>0</v>
      </c>
      <c r="D1534" t="str">
        <f>_xlfn.CONCAT("Masse moyenne transportée sur une tournée"," (",'Remplissage - Sit. Init.'!$C$333,")")</f>
        <v>Masse moyenne transportée sur une tournée (Catégorie 32)</v>
      </c>
      <c r="F1534" t="str">
        <f t="shared" ref="F1534" si="1484">_xlfn.CONCAT("ELUTourneeMasse",RIGHT(LEFT(D1534,LEN(D1534)-1),2))</f>
        <v>ELUTourneeMasse32</v>
      </c>
      <c r="G1534" t="s">
        <v>17</v>
      </c>
      <c r="H1534">
        <f>(IF($I$1402="Par catégorie de véhicule sélectionnée (meilleure précision)",1,0)*IF(ISNUMBER(SEARCH(C1534,$I$1401)),1,0))*(IF($I$1403="La masse moyenne transportée pour une tournée",1,0))</f>
        <v>0</v>
      </c>
      <c r="K1534" t="s">
        <v>148</v>
      </c>
      <c r="L1534">
        <v>1</v>
      </c>
      <c r="N1534" t="s">
        <v>269</v>
      </c>
    </row>
    <row r="1535" spans="1:14" outlineLevel="1" x14ac:dyDescent="0.25">
      <c r="A1535" t="s">
        <v>266</v>
      </c>
      <c r="C1535">
        <f>'Remplissage - Sit. Init.'!$I$33</f>
        <v>0</v>
      </c>
      <c r="D1535" t="str">
        <f>_xlfn.CONCAT("Ordre de grandeur du nombre annuel de tournées"," (",'Remplissage - Sit. Init.'!$C$333,")")</f>
        <v>Ordre de grandeur du nombre annuel de tournées (Catégorie 32)</v>
      </c>
      <c r="F1535" t="str">
        <f t="shared" ref="F1535" si="1485">_xlfn.CONCAT("ELUTourneeNb",RIGHT(LEFT(D1535,LEN(D1535)-1),2))</f>
        <v>ELUTourneeNb32</v>
      </c>
      <c r="G1535" t="s">
        <v>17</v>
      </c>
      <c r="H1535">
        <f>IF($I$1402="Par catégorie de véhicule sélectionnée (meilleure précision)",1,0)*IF(ISNUMBER(SEARCH(C1535,$I$1401)),1,0)</f>
        <v>0</v>
      </c>
      <c r="K1535" t="s">
        <v>283</v>
      </c>
      <c r="L1535">
        <v>100</v>
      </c>
      <c r="N1535" t="s">
        <v>269</v>
      </c>
    </row>
    <row r="1536" spans="1:14" outlineLevel="1" x14ac:dyDescent="0.25">
      <c r="A1536" t="s">
        <v>266</v>
      </c>
      <c r="C1536">
        <f>'Remplissage - Sit. Init.'!$I$43</f>
        <v>0</v>
      </c>
      <c r="D1536" t="str">
        <f>_xlfn.CONCAT("Distance moyenne d'une tournée"," (",'Remplissage - Sit. Init.'!$C$343,")")</f>
        <v>Distance moyenne d'une tournée (Catégorie 33)</v>
      </c>
      <c r="F1536" t="str">
        <f t="shared" ref="F1536" si="1486">_xlfn.CONCAT("ELUTourneeDist",RIGHT(LEFT(D1536,LEN(D1536)-1),2))</f>
        <v>ELUTourneeDist33</v>
      </c>
      <c r="G1536" t="s">
        <v>17</v>
      </c>
      <c r="H1536">
        <f>IF($I$1402="Par catégorie de véhicule sélectionnée (meilleure précision)",1,0)*IF(ISNUMBER(SEARCH(C1536,$I$1401)),1,0)</f>
        <v>0</v>
      </c>
      <c r="K1536" t="s">
        <v>88</v>
      </c>
      <c r="L1536">
        <v>50</v>
      </c>
      <c r="N1536" t="s">
        <v>269</v>
      </c>
    </row>
    <row r="1537" spans="1:14" outlineLevel="1" x14ac:dyDescent="0.25">
      <c r="A1537" t="s">
        <v>266</v>
      </c>
      <c r="C1537">
        <f>'Remplissage - Sit. Init.'!$I$43</f>
        <v>0</v>
      </c>
      <c r="D1537" t="str">
        <f>_xlfn.CONCAT("Taux de chargement moyen pour une tournée"," (",'Remplissage - Sit. Init.'!$C$343,")")</f>
        <v>Taux de chargement moyen pour une tournée (Catégorie 33)</v>
      </c>
      <c r="F1537" t="str">
        <f t="shared" ref="F1537" si="1487">_xlfn.CONCAT("ELUTourneeTC",RIGHT(LEFT(D1537,LEN(D1537)-1),2))</f>
        <v>ELUTourneeTC33</v>
      </c>
      <c r="G1537" t="s">
        <v>17</v>
      </c>
      <c r="H1537">
        <f>(IF($I$1402="Par catégorie de véhicule sélectionnée (meilleure précision)",1,0)*IF(ISNUMBER(SEARCH(C1537,$I$1401)),1,0))*(IF($I$1403="Le taux de chargement moyen pour une tournée",1,0))</f>
        <v>0</v>
      </c>
      <c r="I1537" s="3"/>
      <c r="K1537" t="s">
        <v>70</v>
      </c>
      <c r="L1537" s="7">
        <v>0.33</v>
      </c>
      <c r="N1537" t="s">
        <v>269</v>
      </c>
    </row>
    <row r="1538" spans="1:14" outlineLevel="1" x14ac:dyDescent="0.25">
      <c r="A1538" t="s">
        <v>266</v>
      </c>
      <c r="C1538">
        <f>'Remplissage - Sit. Init.'!$I$43</f>
        <v>0</v>
      </c>
      <c r="D1538" t="str">
        <f>_xlfn.CONCAT("Masse moyenne transportée sur une tournée"," (",'Remplissage - Sit. Init.'!$C$343,")")</f>
        <v>Masse moyenne transportée sur une tournée (Catégorie 33)</v>
      </c>
      <c r="F1538" t="str">
        <f t="shared" ref="F1538" si="1488">_xlfn.CONCAT("ELUTourneeMasse",RIGHT(LEFT(D1538,LEN(D1538)-1),2))</f>
        <v>ELUTourneeMasse33</v>
      </c>
      <c r="G1538" t="s">
        <v>17</v>
      </c>
      <c r="H1538">
        <f>(IF($I$1402="Par catégorie de véhicule sélectionnée (meilleure précision)",1,0)*IF(ISNUMBER(SEARCH(C1538,$I$1401)),1,0))*(IF($I$1403="La masse moyenne transportée pour une tournée",1,0))</f>
        <v>0</v>
      </c>
      <c r="K1538" t="s">
        <v>148</v>
      </c>
      <c r="L1538">
        <v>1</v>
      </c>
      <c r="N1538" t="s">
        <v>269</v>
      </c>
    </row>
    <row r="1539" spans="1:14" outlineLevel="1" x14ac:dyDescent="0.25">
      <c r="A1539" t="s">
        <v>266</v>
      </c>
      <c r="C1539">
        <f>'Remplissage - Sit. Init.'!$I$43</f>
        <v>0</v>
      </c>
      <c r="D1539" t="str">
        <f>_xlfn.CONCAT("Ordre de grandeur du nombre annuel de tournées"," (",'Remplissage - Sit. Init.'!$C$343,")")</f>
        <v>Ordre de grandeur du nombre annuel de tournées (Catégorie 33)</v>
      </c>
      <c r="F1539" t="str">
        <f t="shared" ref="F1539" si="1489">_xlfn.CONCAT("ELUTourneeNb",RIGHT(LEFT(D1539,LEN(D1539)-1),2))</f>
        <v>ELUTourneeNb33</v>
      </c>
      <c r="G1539" t="s">
        <v>17</v>
      </c>
      <c r="H1539">
        <f>IF($I$1402="Par catégorie de véhicule sélectionnée (meilleure précision)",1,0)*IF(ISNUMBER(SEARCH(C1539,$I$1401)),1,0)</f>
        <v>0</v>
      </c>
      <c r="K1539" t="s">
        <v>283</v>
      </c>
      <c r="L1539">
        <v>100</v>
      </c>
      <c r="N1539" t="s">
        <v>269</v>
      </c>
    </row>
    <row r="1540" spans="1:14" outlineLevel="1" x14ac:dyDescent="0.25">
      <c r="A1540" t="s">
        <v>266</v>
      </c>
      <c r="C1540">
        <f>'Remplissage - Sit. Init.'!$I$53</f>
        <v>0</v>
      </c>
      <c r="D1540" t="str">
        <f>_xlfn.CONCAT("Distance moyenne d'une tournée"," (",'Remplissage - Sit. Init.'!$C$353,")")</f>
        <v>Distance moyenne d'une tournée (Catégorie 34)</v>
      </c>
      <c r="F1540" t="str">
        <f t="shared" ref="F1540" si="1490">_xlfn.CONCAT("ELUTourneeDist",RIGHT(LEFT(D1540,LEN(D1540)-1),2))</f>
        <v>ELUTourneeDist34</v>
      </c>
      <c r="G1540" t="s">
        <v>17</v>
      </c>
      <c r="H1540">
        <f>IF($I$1402="Par catégorie de véhicule sélectionnée (meilleure précision)",1,0)*IF(ISNUMBER(SEARCH(C1540,$I$1401)),1,0)</f>
        <v>0</v>
      </c>
      <c r="K1540" t="s">
        <v>88</v>
      </c>
      <c r="L1540">
        <v>50</v>
      </c>
      <c r="N1540" t="s">
        <v>269</v>
      </c>
    </row>
    <row r="1541" spans="1:14" outlineLevel="1" x14ac:dyDescent="0.25">
      <c r="A1541" t="s">
        <v>266</v>
      </c>
      <c r="C1541">
        <f>'Remplissage - Sit. Init.'!$I$53</f>
        <v>0</v>
      </c>
      <c r="D1541" t="str">
        <f>_xlfn.CONCAT("Taux de chargement moyen pour une tournée"," (",'Remplissage - Sit. Init.'!$C$353,")")</f>
        <v>Taux de chargement moyen pour une tournée (Catégorie 34)</v>
      </c>
      <c r="F1541" t="str">
        <f t="shared" ref="F1541" si="1491">_xlfn.CONCAT("ELUTourneeTC",RIGHT(LEFT(D1541,LEN(D1541)-1),2))</f>
        <v>ELUTourneeTC34</v>
      </c>
      <c r="G1541" t="s">
        <v>17</v>
      </c>
      <c r="H1541">
        <f>(IF($I$1402="Par catégorie de véhicule sélectionnée (meilleure précision)",1,0)*IF(ISNUMBER(SEARCH(C1541,$I$1401)),1,0))*(IF($I$1403="Le taux de chargement moyen pour une tournée",1,0))</f>
        <v>0</v>
      </c>
      <c r="I1541" s="3"/>
      <c r="K1541" t="s">
        <v>70</v>
      </c>
      <c r="L1541" s="7">
        <v>0.33</v>
      </c>
      <c r="N1541" t="s">
        <v>269</v>
      </c>
    </row>
    <row r="1542" spans="1:14" outlineLevel="1" x14ac:dyDescent="0.25">
      <c r="A1542" t="s">
        <v>266</v>
      </c>
      <c r="C1542">
        <f>'Remplissage - Sit. Init.'!$I$53</f>
        <v>0</v>
      </c>
      <c r="D1542" t="str">
        <f>_xlfn.CONCAT("Masse moyenne transportée sur une tournée"," (",'Remplissage - Sit. Init.'!$C$353,")")</f>
        <v>Masse moyenne transportée sur une tournée (Catégorie 34)</v>
      </c>
      <c r="F1542" t="str">
        <f t="shared" ref="F1542" si="1492">_xlfn.CONCAT("ELUTourneeMasse",RIGHT(LEFT(D1542,LEN(D1542)-1),2))</f>
        <v>ELUTourneeMasse34</v>
      </c>
      <c r="G1542" t="s">
        <v>17</v>
      </c>
      <c r="H1542">
        <f>(IF($I$1402="Par catégorie de véhicule sélectionnée (meilleure précision)",1,0)*IF(ISNUMBER(SEARCH(C1542,$I$1401)),1,0))*(IF($I$1403="La masse moyenne transportée pour une tournée",1,0))</f>
        <v>0</v>
      </c>
      <c r="K1542" t="s">
        <v>148</v>
      </c>
      <c r="L1542">
        <v>1</v>
      </c>
      <c r="N1542" t="s">
        <v>269</v>
      </c>
    </row>
    <row r="1543" spans="1:14" outlineLevel="1" x14ac:dyDescent="0.25">
      <c r="A1543" t="s">
        <v>266</v>
      </c>
      <c r="C1543">
        <f>'Remplissage - Sit. Init.'!$I$53</f>
        <v>0</v>
      </c>
      <c r="D1543" t="str">
        <f>_xlfn.CONCAT("Ordre de grandeur du nombre annuel de tournées"," (",'Remplissage - Sit. Init.'!$C$353,")")</f>
        <v>Ordre de grandeur du nombre annuel de tournées (Catégorie 34)</v>
      </c>
      <c r="F1543" t="str">
        <f t="shared" ref="F1543" si="1493">_xlfn.CONCAT("ELUTourneeNb",RIGHT(LEFT(D1543,LEN(D1543)-1),2))</f>
        <v>ELUTourneeNb34</v>
      </c>
      <c r="G1543" t="s">
        <v>17</v>
      </c>
      <c r="H1543">
        <f>IF($I$1402="Par catégorie de véhicule sélectionnée (meilleure précision)",1,0)*IF(ISNUMBER(SEARCH(C1543,$I$1401)),1,0)</f>
        <v>0</v>
      </c>
      <c r="K1543" t="s">
        <v>283</v>
      </c>
      <c r="L1543">
        <v>100</v>
      </c>
      <c r="N1543" t="s">
        <v>269</v>
      </c>
    </row>
    <row r="1544" spans="1:14" outlineLevel="1" x14ac:dyDescent="0.25">
      <c r="A1544" t="s">
        <v>266</v>
      </c>
      <c r="C1544">
        <f>'Remplissage - Sit. Init.'!$I$63</f>
        <v>0</v>
      </c>
      <c r="D1544" t="str">
        <f>_xlfn.CONCAT("Distance moyenne d'une tournée"," (",'Remplissage - Sit. Init.'!$C$363,")")</f>
        <v>Distance moyenne d'une tournée (Catégorie 35)</v>
      </c>
      <c r="F1544" t="str">
        <f t="shared" ref="F1544" si="1494">_xlfn.CONCAT("ELUTourneeDist",RIGHT(LEFT(D1544,LEN(D1544)-1),2))</f>
        <v>ELUTourneeDist35</v>
      </c>
      <c r="G1544" t="s">
        <v>17</v>
      </c>
      <c r="H1544">
        <f>IF($I$1402="Par catégorie de véhicule sélectionnée (meilleure précision)",1,0)*IF(ISNUMBER(SEARCH(C1544,$I$1401)),1,0)</f>
        <v>0</v>
      </c>
      <c r="K1544" t="s">
        <v>88</v>
      </c>
      <c r="L1544">
        <v>50</v>
      </c>
      <c r="N1544" t="s">
        <v>269</v>
      </c>
    </row>
    <row r="1545" spans="1:14" outlineLevel="1" x14ac:dyDescent="0.25">
      <c r="A1545" t="s">
        <v>266</v>
      </c>
      <c r="C1545">
        <f>'Remplissage - Sit. Init.'!$I$63</f>
        <v>0</v>
      </c>
      <c r="D1545" t="str">
        <f>_xlfn.CONCAT("Taux de chargement moyen pour une tournée"," (",'Remplissage - Sit. Init.'!$C$363,")")</f>
        <v>Taux de chargement moyen pour une tournée (Catégorie 35)</v>
      </c>
      <c r="F1545" t="str">
        <f t="shared" ref="F1545" si="1495">_xlfn.CONCAT("ELUTourneeTC",RIGHT(LEFT(D1545,LEN(D1545)-1),2))</f>
        <v>ELUTourneeTC35</v>
      </c>
      <c r="G1545" t="s">
        <v>17</v>
      </c>
      <c r="H1545">
        <f>(IF($I$1402="Par catégorie de véhicule sélectionnée (meilleure précision)",1,0)*IF(ISNUMBER(SEARCH(C1545,$I$1401)),1,0))*(IF($I$1403="Le taux de chargement moyen pour une tournée",1,0))</f>
        <v>0</v>
      </c>
      <c r="I1545" s="3"/>
      <c r="K1545" t="s">
        <v>70</v>
      </c>
      <c r="L1545" s="7">
        <v>0.33</v>
      </c>
      <c r="N1545" t="s">
        <v>269</v>
      </c>
    </row>
    <row r="1546" spans="1:14" outlineLevel="1" x14ac:dyDescent="0.25">
      <c r="A1546" t="s">
        <v>266</v>
      </c>
      <c r="C1546">
        <f>'Remplissage - Sit. Init.'!$I$63</f>
        <v>0</v>
      </c>
      <c r="D1546" t="str">
        <f>_xlfn.CONCAT("Masse moyenne transportée sur une tournée"," (",'Remplissage - Sit. Init.'!$C$363,")")</f>
        <v>Masse moyenne transportée sur une tournée (Catégorie 35)</v>
      </c>
      <c r="F1546" t="str">
        <f t="shared" ref="F1546" si="1496">_xlfn.CONCAT("ELUTourneeMasse",RIGHT(LEFT(D1546,LEN(D1546)-1),2))</f>
        <v>ELUTourneeMasse35</v>
      </c>
      <c r="G1546" t="s">
        <v>17</v>
      </c>
      <c r="H1546">
        <f>(IF($I$1402="Par catégorie de véhicule sélectionnée (meilleure précision)",1,0)*IF(ISNUMBER(SEARCH(C1546,$I$1401)),1,0))*(IF($I$1403="La masse moyenne transportée pour une tournée",1,0))</f>
        <v>0</v>
      </c>
      <c r="K1546" t="s">
        <v>148</v>
      </c>
      <c r="L1546">
        <v>1</v>
      </c>
      <c r="N1546" t="s">
        <v>269</v>
      </c>
    </row>
    <row r="1547" spans="1:14" outlineLevel="1" x14ac:dyDescent="0.25">
      <c r="A1547" t="s">
        <v>266</v>
      </c>
      <c r="C1547">
        <f>'Remplissage - Sit. Init.'!$I$63</f>
        <v>0</v>
      </c>
      <c r="D1547" t="str">
        <f>_xlfn.CONCAT("Ordre de grandeur du nombre annuel de tournées"," (",'Remplissage - Sit. Init.'!$C$363,")")</f>
        <v>Ordre de grandeur du nombre annuel de tournées (Catégorie 35)</v>
      </c>
      <c r="F1547" t="str">
        <f t="shared" ref="F1547" si="1497">_xlfn.CONCAT("ELUTourneeNb",RIGHT(LEFT(D1547,LEN(D1547)-1),2))</f>
        <v>ELUTourneeNb35</v>
      </c>
      <c r="G1547" t="s">
        <v>17</v>
      </c>
      <c r="H1547">
        <f>IF($I$1402="Par catégorie de véhicule sélectionnée (meilleure précision)",1,0)*IF(ISNUMBER(SEARCH(C1547,$I$1401)),1,0)</f>
        <v>0</v>
      </c>
      <c r="K1547" t="s">
        <v>283</v>
      </c>
      <c r="L1547">
        <v>100</v>
      </c>
      <c r="N1547" t="s">
        <v>269</v>
      </c>
    </row>
    <row r="1548" spans="1:14" outlineLevel="1" x14ac:dyDescent="0.25">
      <c r="A1548" t="s">
        <v>266</v>
      </c>
      <c r="C1548">
        <f>'Remplissage - Sit. Init.'!$I$73</f>
        <v>0</v>
      </c>
      <c r="D1548" t="str">
        <f>_xlfn.CONCAT("Distance moyenne d'une tournée"," (",'Remplissage - Sit. Init.'!$C$373,")")</f>
        <v>Distance moyenne d'une tournée (Catégorie 36)</v>
      </c>
      <c r="F1548" t="str">
        <f t="shared" ref="F1548" si="1498">_xlfn.CONCAT("ELUTourneeDist",RIGHT(LEFT(D1548,LEN(D1548)-1),2))</f>
        <v>ELUTourneeDist36</v>
      </c>
      <c r="G1548" t="s">
        <v>17</v>
      </c>
      <c r="H1548">
        <f>IF($I$1402="Par catégorie de véhicule sélectionnée (meilleure précision)",1,0)*IF(ISNUMBER(SEARCH(C1548,$I$1401)),1,0)</f>
        <v>0</v>
      </c>
      <c r="K1548" t="s">
        <v>88</v>
      </c>
      <c r="L1548">
        <v>50</v>
      </c>
      <c r="N1548" t="s">
        <v>269</v>
      </c>
    </row>
    <row r="1549" spans="1:14" outlineLevel="1" x14ac:dyDescent="0.25">
      <c r="A1549" t="s">
        <v>266</v>
      </c>
      <c r="C1549">
        <f>'Remplissage - Sit. Init.'!$I$73</f>
        <v>0</v>
      </c>
      <c r="D1549" t="str">
        <f>_xlfn.CONCAT("Taux de chargement moyen pour une tournée"," (",'Remplissage - Sit. Init.'!$C$373,")")</f>
        <v>Taux de chargement moyen pour une tournée (Catégorie 36)</v>
      </c>
      <c r="F1549" t="str">
        <f t="shared" ref="F1549" si="1499">_xlfn.CONCAT("ELUTourneeTC",RIGHT(LEFT(D1549,LEN(D1549)-1),2))</f>
        <v>ELUTourneeTC36</v>
      </c>
      <c r="G1549" t="s">
        <v>17</v>
      </c>
      <c r="H1549">
        <f>(IF($I$1402="Par catégorie de véhicule sélectionnée (meilleure précision)",1,0)*IF(ISNUMBER(SEARCH(C1549,$I$1401)),1,0))*(IF($I$1403="Le taux de chargement moyen pour une tournée",1,0))</f>
        <v>0</v>
      </c>
      <c r="I1549" s="3"/>
      <c r="K1549" t="s">
        <v>70</v>
      </c>
      <c r="L1549" s="7">
        <v>0.33</v>
      </c>
      <c r="N1549" t="s">
        <v>269</v>
      </c>
    </row>
    <row r="1550" spans="1:14" outlineLevel="1" x14ac:dyDescent="0.25">
      <c r="A1550" t="s">
        <v>266</v>
      </c>
      <c r="C1550">
        <f>'Remplissage - Sit. Init.'!$I$73</f>
        <v>0</v>
      </c>
      <c r="D1550" t="str">
        <f>_xlfn.CONCAT("Masse moyenne transportée sur une tournée"," (",'Remplissage - Sit. Init.'!$C$373,")")</f>
        <v>Masse moyenne transportée sur une tournée (Catégorie 36)</v>
      </c>
      <c r="F1550" t="str">
        <f t="shared" ref="F1550" si="1500">_xlfn.CONCAT("ELUTourneeMasse",RIGHT(LEFT(D1550,LEN(D1550)-1),2))</f>
        <v>ELUTourneeMasse36</v>
      </c>
      <c r="G1550" t="s">
        <v>17</v>
      </c>
      <c r="H1550">
        <f>(IF($I$1402="Par catégorie de véhicule sélectionnée (meilleure précision)",1,0)*IF(ISNUMBER(SEARCH(C1550,$I$1401)),1,0))*(IF($I$1403="La masse moyenne transportée pour une tournée",1,0))</f>
        <v>0</v>
      </c>
      <c r="K1550" t="s">
        <v>148</v>
      </c>
      <c r="L1550">
        <v>1</v>
      </c>
      <c r="N1550" t="s">
        <v>269</v>
      </c>
    </row>
    <row r="1551" spans="1:14" outlineLevel="1" x14ac:dyDescent="0.25">
      <c r="A1551" t="s">
        <v>266</v>
      </c>
      <c r="C1551">
        <f>'Remplissage - Sit. Init.'!$I$73</f>
        <v>0</v>
      </c>
      <c r="D1551" t="str">
        <f>_xlfn.CONCAT("Ordre de grandeur du nombre annuel de tournées"," (",'Remplissage - Sit. Init.'!$C$373,")")</f>
        <v>Ordre de grandeur du nombre annuel de tournées (Catégorie 36)</v>
      </c>
      <c r="F1551" t="str">
        <f t="shared" ref="F1551" si="1501">_xlfn.CONCAT("ELUTourneeNb",RIGHT(LEFT(D1551,LEN(D1551)-1),2))</f>
        <v>ELUTourneeNb36</v>
      </c>
      <c r="G1551" t="s">
        <v>17</v>
      </c>
      <c r="H1551">
        <f>IF($I$1402="Par catégorie de véhicule sélectionnée (meilleure précision)",1,0)*IF(ISNUMBER(SEARCH(C1551,$I$1401)),1,0)</f>
        <v>0</v>
      </c>
      <c r="K1551" t="s">
        <v>283</v>
      </c>
      <c r="L1551">
        <v>100</v>
      </c>
      <c r="N1551" t="s">
        <v>269</v>
      </c>
    </row>
    <row r="1552" spans="1:14" outlineLevel="1" x14ac:dyDescent="0.25">
      <c r="A1552" t="s">
        <v>266</v>
      </c>
      <c r="C1552">
        <f>'Remplissage - Sit. Init.'!$I$83</f>
        <v>0</v>
      </c>
      <c r="D1552" t="str">
        <f>_xlfn.CONCAT("Distance moyenne d'une tournée"," (",'Remplissage - Sit. Init.'!$C$383,")")</f>
        <v>Distance moyenne d'une tournée (Catégorie 37)</v>
      </c>
      <c r="F1552" t="str">
        <f t="shared" ref="F1552" si="1502">_xlfn.CONCAT("ELUTourneeDist",RIGHT(LEFT(D1552,LEN(D1552)-1),2))</f>
        <v>ELUTourneeDist37</v>
      </c>
      <c r="G1552" t="s">
        <v>17</v>
      </c>
      <c r="H1552">
        <f>IF($I$1402="Par catégorie de véhicule sélectionnée (meilleure précision)",1,0)*IF(ISNUMBER(SEARCH(C1552,$I$1401)),1,0)</f>
        <v>0</v>
      </c>
      <c r="K1552" t="s">
        <v>88</v>
      </c>
      <c r="L1552">
        <v>50</v>
      </c>
      <c r="N1552" t="s">
        <v>269</v>
      </c>
    </row>
    <row r="1553" spans="1:14" outlineLevel="1" x14ac:dyDescent="0.25">
      <c r="A1553" t="s">
        <v>266</v>
      </c>
      <c r="C1553">
        <f>'Remplissage - Sit. Init.'!$I$83</f>
        <v>0</v>
      </c>
      <c r="D1553" t="str">
        <f>_xlfn.CONCAT("Taux de chargement moyen pour une tournée"," (",'Remplissage - Sit. Init.'!$C$383,")")</f>
        <v>Taux de chargement moyen pour une tournée (Catégorie 37)</v>
      </c>
      <c r="F1553" t="str">
        <f t="shared" ref="F1553" si="1503">_xlfn.CONCAT("ELUTourneeTC",RIGHT(LEFT(D1553,LEN(D1553)-1),2))</f>
        <v>ELUTourneeTC37</v>
      </c>
      <c r="G1553" t="s">
        <v>17</v>
      </c>
      <c r="H1553">
        <f>(IF($I$1402="Par catégorie de véhicule sélectionnée (meilleure précision)",1,0)*IF(ISNUMBER(SEARCH(C1553,$I$1401)),1,0))*(IF($I$1403="Le taux de chargement moyen pour une tournée",1,0))</f>
        <v>0</v>
      </c>
      <c r="I1553" s="3"/>
      <c r="K1553" t="s">
        <v>70</v>
      </c>
      <c r="L1553" s="7">
        <v>0.33</v>
      </c>
      <c r="N1553" t="s">
        <v>269</v>
      </c>
    </row>
    <row r="1554" spans="1:14" outlineLevel="1" x14ac:dyDescent="0.25">
      <c r="A1554" t="s">
        <v>266</v>
      </c>
      <c r="C1554">
        <f>'Remplissage - Sit. Init.'!$I$83</f>
        <v>0</v>
      </c>
      <c r="D1554" t="str">
        <f>_xlfn.CONCAT("Masse moyenne transportée sur une tournée"," (",'Remplissage - Sit. Init.'!$C$383,")")</f>
        <v>Masse moyenne transportée sur une tournée (Catégorie 37)</v>
      </c>
      <c r="F1554" t="str">
        <f t="shared" ref="F1554" si="1504">_xlfn.CONCAT("ELUTourneeMasse",RIGHT(LEFT(D1554,LEN(D1554)-1),2))</f>
        <v>ELUTourneeMasse37</v>
      </c>
      <c r="G1554" t="s">
        <v>17</v>
      </c>
      <c r="H1554">
        <f>(IF($I$1402="Par catégorie de véhicule sélectionnée (meilleure précision)",1,0)*IF(ISNUMBER(SEARCH(C1554,$I$1401)),1,0))*(IF($I$1403="La masse moyenne transportée pour une tournée",1,0))</f>
        <v>0</v>
      </c>
      <c r="K1554" t="s">
        <v>148</v>
      </c>
      <c r="L1554">
        <v>1</v>
      </c>
      <c r="N1554" t="s">
        <v>269</v>
      </c>
    </row>
    <row r="1555" spans="1:14" outlineLevel="1" x14ac:dyDescent="0.25">
      <c r="A1555" t="s">
        <v>266</v>
      </c>
      <c r="C1555">
        <f>'Remplissage - Sit. Init.'!$I$83</f>
        <v>0</v>
      </c>
      <c r="D1555" t="str">
        <f>_xlfn.CONCAT("Ordre de grandeur du nombre annuel de tournées"," (",'Remplissage - Sit. Init.'!$C$383,")")</f>
        <v>Ordre de grandeur du nombre annuel de tournées (Catégorie 37)</v>
      </c>
      <c r="F1555" t="str">
        <f t="shared" ref="F1555" si="1505">_xlfn.CONCAT("ELUTourneeNb",RIGHT(LEFT(D1555,LEN(D1555)-1),2))</f>
        <v>ELUTourneeNb37</v>
      </c>
      <c r="G1555" t="s">
        <v>17</v>
      </c>
      <c r="H1555">
        <f>IF($I$1402="Par catégorie de véhicule sélectionnée (meilleure précision)",1,0)*IF(ISNUMBER(SEARCH(C1555,$I$1401)),1,0)</f>
        <v>0</v>
      </c>
      <c r="K1555" t="s">
        <v>283</v>
      </c>
      <c r="L1555">
        <v>100</v>
      </c>
      <c r="N1555" t="s">
        <v>269</v>
      </c>
    </row>
    <row r="1556" spans="1:14" outlineLevel="1" x14ac:dyDescent="0.25">
      <c r="A1556" t="s">
        <v>266</v>
      </c>
      <c r="C1556">
        <f>'Remplissage - Sit. Init.'!$I$93</f>
        <v>0</v>
      </c>
      <c r="D1556" t="str">
        <f>_xlfn.CONCAT("Distance moyenne d'une tournée"," (",'Remplissage - Sit. Init.'!$C$393,")")</f>
        <v>Distance moyenne d'une tournée (Catégorie 38)</v>
      </c>
      <c r="F1556" t="str">
        <f t="shared" ref="F1556" si="1506">_xlfn.CONCAT("ELUTourneeDist",RIGHT(LEFT(D1556,LEN(D1556)-1),2))</f>
        <v>ELUTourneeDist38</v>
      </c>
      <c r="G1556" t="s">
        <v>17</v>
      </c>
      <c r="H1556">
        <f>IF($I$1402="Par catégorie de véhicule sélectionnée (meilleure précision)",1,0)*IF(ISNUMBER(SEARCH(C1556,$I$1401)),1,0)</f>
        <v>0</v>
      </c>
      <c r="K1556" t="s">
        <v>88</v>
      </c>
      <c r="L1556">
        <v>50</v>
      </c>
      <c r="N1556" t="s">
        <v>269</v>
      </c>
    </row>
    <row r="1557" spans="1:14" outlineLevel="1" x14ac:dyDescent="0.25">
      <c r="A1557" t="s">
        <v>266</v>
      </c>
      <c r="C1557">
        <f>'Remplissage - Sit. Init.'!$I$93</f>
        <v>0</v>
      </c>
      <c r="D1557" t="str">
        <f>_xlfn.CONCAT("Taux de chargement moyen pour une tournée"," (",'Remplissage - Sit. Init.'!$C$393,")")</f>
        <v>Taux de chargement moyen pour une tournée (Catégorie 38)</v>
      </c>
      <c r="F1557" t="str">
        <f t="shared" ref="F1557" si="1507">_xlfn.CONCAT("ELUTourneeTC",RIGHT(LEFT(D1557,LEN(D1557)-1),2))</f>
        <v>ELUTourneeTC38</v>
      </c>
      <c r="G1557" t="s">
        <v>17</v>
      </c>
      <c r="H1557">
        <f>(IF($I$1402="Par catégorie de véhicule sélectionnée (meilleure précision)",1,0)*IF(ISNUMBER(SEARCH(C1557,$I$1401)),1,0))*(IF($I$1403="Le taux de chargement moyen pour une tournée",1,0))</f>
        <v>0</v>
      </c>
      <c r="I1557" s="3"/>
      <c r="K1557" t="s">
        <v>70</v>
      </c>
      <c r="L1557" s="7">
        <v>0.33</v>
      </c>
      <c r="N1557" t="s">
        <v>269</v>
      </c>
    </row>
    <row r="1558" spans="1:14" outlineLevel="1" x14ac:dyDescent="0.25">
      <c r="A1558" t="s">
        <v>266</v>
      </c>
      <c r="C1558">
        <f>'Remplissage - Sit. Init.'!$I$93</f>
        <v>0</v>
      </c>
      <c r="D1558" t="str">
        <f>_xlfn.CONCAT("Masse moyenne transportée sur une tournée"," (",'Remplissage - Sit. Init.'!$C$393,")")</f>
        <v>Masse moyenne transportée sur une tournée (Catégorie 38)</v>
      </c>
      <c r="F1558" t="str">
        <f t="shared" ref="F1558" si="1508">_xlfn.CONCAT("ELUTourneeMasse",RIGHT(LEFT(D1558,LEN(D1558)-1),2))</f>
        <v>ELUTourneeMasse38</v>
      </c>
      <c r="G1558" t="s">
        <v>17</v>
      </c>
      <c r="H1558">
        <f>(IF($I$1402="Par catégorie de véhicule sélectionnée (meilleure précision)",1,0)*IF(ISNUMBER(SEARCH(C1558,$I$1401)),1,0))*(IF($I$1403="La masse moyenne transportée pour une tournée",1,0))</f>
        <v>0</v>
      </c>
      <c r="K1558" t="s">
        <v>148</v>
      </c>
      <c r="L1558">
        <v>1</v>
      </c>
      <c r="N1558" t="s">
        <v>269</v>
      </c>
    </row>
    <row r="1559" spans="1:14" outlineLevel="1" x14ac:dyDescent="0.25">
      <c r="A1559" t="s">
        <v>266</v>
      </c>
      <c r="C1559">
        <f>'Remplissage - Sit. Init.'!$I$93</f>
        <v>0</v>
      </c>
      <c r="D1559" t="str">
        <f>_xlfn.CONCAT("Ordre de grandeur du nombre annuel de tournées"," (",'Remplissage - Sit. Init.'!$C$393,")")</f>
        <v>Ordre de grandeur du nombre annuel de tournées (Catégorie 38)</v>
      </c>
      <c r="F1559" t="str">
        <f t="shared" ref="F1559" si="1509">_xlfn.CONCAT("ELUTourneeNb",RIGHT(LEFT(D1559,LEN(D1559)-1),2))</f>
        <v>ELUTourneeNb38</v>
      </c>
      <c r="G1559" t="s">
        <v>17</v>
      </c>
      <c r="H1559">
        <f>IF($I$1402="Par catégorie de véhicule sélectionnée (meilleure précision)",1,0)*IF(ISNUMBER(SEARCH(C1559,$I$1401)),1,0)</f>
        <v>0</v>
      </c>
      <c r="K1559" t="s">
        <v>283</v>
      </c>
      <c r="L1559">
        <v>100</v>
      </c>
      <c r="N1559" t="s">
        <v>269</v>
      </c>
    </row>
    <row r="1560" spans="1:14" outlineLevel="1" x14ac:dyDescent="0.25">
      <c r="A1560" t="s">
        <v>266</v>
      </c>
      <c r="C1560">
        <f>'Remplissage - Sit. Init.'!$I$103</f>
        <v>0</v>
      </c>
      <c r="D1560" t="str">
        <f>_xlfn.CONCAT("Distance moyenne d'une tournée"," (",'Remplissage - Sit. Init.'!$C$403,")")</f>
        <v>Distance moyenne d'une tournée (Catégorie 39)</v>
      </c>
      <c r="F1560" t="str">
        <f t="shared" ref="F1560" si="1510">_xlfn.CONCAT("ELUTourneeDist",RIGHT(LEFT(D1560,LEN(D1560)-1),2))</f>
        <v>ELUTourneeDist39</v>
      </c>
      <c r="G1560" t="s">
        <v>17</v>
      </c>
      <c r="H1560">
        <f>IF($I$1402="Par catégorie de véhicule sélectionnée (meilleure précision)",1,0)*IF(ISNUMBER(SEARCH(C1560,$I$1401)),1,0)</f>
        <v>0</v>
      </c>
      <c r="K1560" t="s">
        <v>88</v>
      </c>
      <c r="L1560">
        <v>50</v>
      </c>
      <c r="N1560" t="s">
        <v>269</v>
      </c>
    </row>
    <row r="1561" spans="1:14" outlineLevel="1" x14ac:dyDescent="0.25">
      <c r="A1561" t="s">
        <v>266</v>
      </c>
      <c r="C1561">
        <f>'Remplissage - Sit. Init.'!$I$103</f>
        <v>0</v>
      </c>
      <c r="D1561" t="str">
        <f>_xlfn.CONCAT("Taux de chargement moyen pour une tournée"," (",'Remplissage - Sit. Init.'!$C$403,")")</f>
        <v>Taux de chargement moyen pour une tournée (Catégorie 39)</v>
      </c>
      <c r="F1561" t="str">
        <f t="shared" ref="F1561" si="1511">_xlfn.CONCAT("ELUTourneeTC",RIGHT(LEFT(D1561,LEN(D1561)-1),2))</f>
        <v>ELUTourneeTC39</v>
      </c>
      <c r="G1561" t="s">
        <v>17</v>
      </c>
      <c r="H1561">
        <f>(IF($I$1402="Par catégorie de véhicule sélectionnée (meilleure précision)",1,0)*IF(ISNUMBER(SEARCH(C1561,$I$1401)),1,0))*(IF($I$1403="Le taux de chargement moyen pour une tournée",1,0))</f>
        <v>0</v>
      </c>
      <c r="I1561" s="3"/>
      <c r="K1561" t="s">
        <v>70</v>
      </c>
      <c r="L1561" s="7">
        <v>0.33</v>
      </c>
      <c r="N1561" t="s">
        <v>269</v>
      </c>
    </row>
    <row r="1562" spans="1:14" outlineLevel="1" x14ac:dyDescent="0.25">
      <c r="A1562" t="s">
        <v>266</v>
      </c>
      <c r="C1562">
        <f>'Remplissage - Sit. Init.'!$I$103</f>
        <v>0</v>
      </c>
      <c r="D1562" t="str">
        <f>_xlfn.CONCAT("Masse moyenne transportée sur une tournée"," (",'Remplissage - Sit. Init.'!$C$403,")")</f>
        <v>Masse moyenne transportée sur une tournée (Catégorie 39)</v>
      </c>
      <c r="F1562" t="str">
        <f t="shared" ref="F1562" si="1512">_xlfn.CONCAT("ELUTourneeMasse",RIGHT(LEFT(D1562,LEN(D1562)-1),2))</f>
        <v>ELUTourneeMasse39</v>
      </c>
      <c r="G1562" t="s">
        <v>17</v>
      </c>
      <c r="H1562">
        <f>(IF($I$1402="Par catégorie de véhicule sélectionnée (meilleure précision)",1,0)*IF(ISNUMBER(SEARCH(C1562,$I$1401)),1,0))*(IF($I$1403="La masse moyenne transportée pour une tournée",1,0))</f>
        <v>0</v>
      </c>
      <c r="K1562" t="s">
        <v>148</v>
      </c>
      <c r="L1562">
        <v>1</v>
      </c>
      <c r="N1562" t="s">
        <v>269</v>
      </c>
    </row>
    <row r="1563" spans="1:14" outlineLevel="1" x14ac:dyDescent="0.25">
      <c r="A1563" t="s">
        <v>266</v>
      </c>
      <c r="C1563">
        <f>'Remplissage - Sit. Init.'!$I$103</f>
        <v>0</v>
      </c>
      <c r="D1563" t="str">
        <f>_xlfn.CONCAT("Ordre de grandeur du nombre annuel de tournées"," (",'Remplissage - Sit. Init.'!$C$403,")")</f>
        <v>Ordre de grandeur du nombre annuel de tournées (Catégorie 39)</v>
      </c>
      <c r="F1563" t="str">
        <f t="shared" ref="F1563" si="1513">_xlfn.CONCAT("ELUTourneeNb",RIGHT(LEFT(D1563,LEN(D1563)-1),2))</f>
        <v>ELUTourneeNb39</v>
      </c>
      <c r="G1563" t="s">
        <v>17</v>
      </c>
      <c r="H1563">
        <f>IF($I$1402="Par catégorie de véhicule sélectionnée (meilleure précision)",1,0)*IF(ISNUMBER(SEARCH(C1563,$I$1401)),1,0)</f>
        <v>0</v>
      </c>
      <c r="K1563" t="s">
        <v>283</v>
      </c>
      <c r="L1563">
        <v>100</v>
      </c>
      <c r="N1563" t="s">
        <v>269</v>
      </c>
    </row>
    <row r="1564" spans="1:14" outlineLevel="1" x14ac:dyDescent="0.25">
      <c r="A1564" t="s">
        <v>266</v>
      </c>
      <c r="C1564">
        <f>'Remplissage - Sit. Init.'!$I$113</f>
        <v>0</v>
      </c>
      <c r="D1564" t="str">
        <f>_xlfn.CONCAT("Distance moyenne d'une tournée"," (",'Remplissage - Sit. Init.'!$C$413,")")</f>
        <v>Distance moyenne d'une tournée (Catégorie 40)</v>
      </c>
      <c r="F1564" t="str">
        <f t="shared" ref="F1564" si="1514">_xlfn.CONCAT("ELUTourneeDist",RIGHT(LEFT(D1564,LEN(D1564)-1),2))</f>
        <v>ELUTourneeDist40</v>
      </c>
      <c r="G1564" t="s">
        <v>17</v>
      </c>
      <c r="H1564">
        <f>IF($I$1402="Par catégorie de véhicule sélectionnée (meilleure précision)",1,0)*IF(ISNUMBER(SEARCH(C1564,$I$1401)),1,0)</f>
        <v>0</v>
      </c>
      <c r="K1564" t="s">
        <v>88</v>
      </c>
      <c r="L1564">
        <v>50</v>
      </c>
      <c r="N1564" t="s">
        <v>269</v>
      </c>
    </row>
    <row r="1565" spans="1:14" outlineLevel="1" x14ac:dyDescent="0.25">
      <c r="A1565" t="s">
        <v>266</v>
      </c>
      <c r="C1565">
        <f>'Remplissage - Sit. Init.'!$I$113</f>
        <v>0</v>
      </c>
      <c r="D1565" t="str">
        <f>_xlfn.CONCAT("Taux de chargement moyen pour une tournée"," (",'Remplissage - Sit. Init.'!$C$413,")")</f>
        <v>Taux de chargement moyen pour une tournée (Catégorie 40)</v>
      </c>
      <c r="F1565" t="str">
        <f t="shared" ref="F1565" si="1515">_xlfn.CONCAT("ELUTourneeTC",RIGHT(LEFT(D1565,LEN(D1565)-1),2))</f>
        <v>ELUTourneeTC40</v>
      </c>
      <c r="G1565" t="s">
        <v>17</v>
      </c>
      <c r="H1565">
        <f>(IF($I$1402="Par catégorie de véhicule sélectionnée (meilleure précision)",1,0)*IF(ISNUMBER(SEARCH(C1565,$I$1401)),1,0))*(IF($I$1403="Le taux de chargement moyen pour une tournée",1,0))</f>
        <v>0</v>
      </c>
      <c r="I1565" s="3"/>
      <c r="K1565" t="s">
        <v>70</v>
      </c>
      <c r="L1565" s="7">
        <v>0.33</v>
      </c>
      <c r="N1565" t="s">
        <v>269</v>
      </c>
    </row>
    <row r="1566" spans="1:14" outlineLevel="1" x14ac:dyDescent="0.25">
      <c r="A1566" t="s">
        <v>266</v>
      </c>
      <c r="C1566">
        <f>'Remplissage - Sit. Init.'!$I$113</f>
        <v>0</v>
      </c>
      <c r="D1566" t="str">
        <f>_xlfn.CONCAT("Masse moyenne transportée sur une tournée"," (",'Remplissage - Sit. Init.'!$C$413,")")</f>
        <v>Masse moyenne transportée sur une tournée (Catégorie 40)</v>
      </c>
      <c r="F1566" t="str">
        <f t="shared" ref="F1566" si="1516">_xlfn.CONCAT("ELUTourneeMasse",RIGHT(LEFT(D1566,LEN(D1566)-1),2))</f>
        <v>ELUTourneeMasse40</v>
      </c>
      <c r="G1566" t="s">
        <v>17</v>
      </c>
      <c r="H1566">
        <f>(IF($I$1402="Par catégorie de véhicule sélectionnée (meilleure précision)",1,0)*IF(ISNUMBER(SEARCH(C1566,$I$1401)),1,0))*(IF($I$1403="La masse moyenne transportée pour une tournée",1,0))</f>
        <v>0</v>
      </c>
      <c r="K1566" t="s">
        <v>148</v>
      </c>
      <c r="L1566">
        <v>1</v>
      </c>
      <c r="N1566" t="s">
        <v>269</v>
      </c>
    </row>
    <row r="1567" spans="1:14" outlineLevel="1" x14ac:dyDescent="0.25">
      <c r="A1567" t="s">
        <v>266</v>
      </c>
      <c r="C1567">
        <f>'Remplissage - Sit. Init.'!$I$113</f>
        <v>0</v>
      </c>
      <c r="D1567" t="str">
        <f>_xlfn.CONCAT("Ordre de grandeur du nombre annuel de tournées"," (",'Remplissage - Sit. Init.'!$C$413,")")</f>
        <v>Ordre de grandeur du nombre annuel de tournées (Catégorie 40)</v>
      </c>
      <c r="F1567" t="str">
        <f t="shared" ref="F1567" si="1517">_xlfn.CONCAT("ELUTourneeNb",RIGHT(LEFT(D1567,LEN(D1567)-1),2))</f>
        <v>ELUTourneeNb40</v>
      </c>
      <c r="G1567" t="s">
        <v>17</v>
      </c>
      <c r="H1567">
        <f>IF($I$1402="Par catégorie de véhicule sélectionnée (meilleure précision)",1,0)*IF(ISNUMBER(SEARCH(C1567,$I$1401)),1,0)</f>
        <v>0</v>
      </c>
      <c r="K1567" t="s">
        <v>283</v>
      </c>
      <c r="L1567">
        <v>100</v>
      </c>
      <c r="N1567" t="s">
        <v>269</v>
      </c>
    </row>
    <row r="1568" spans="1:14" outlineLevel="1" x14ac:dyDescent="0.25">
      <c r="A1568" t="s">
        <v>266</v>
      </c>
      <c r="C1568">
        <f>'Remplissage - Sit. Init.'!$I$73</f>
        <v>0</v>
      </c>
      <c r="D1568" t="str">
        <f>_xlfn.CONCAT("Distance moyenne d'une tournée"," (",'Remplissage - Sit. Init.'!$C$423,")")</f>
        <v>Distance moyenne d'une tournée (Catégorie 41)</v>
      </c>
      <c r="F1568" t="str">
        <f t="shared" ref="F1568" si="1518">_xlfn.CONCAT("ELUTourneeDist",RIGHT(LEFT(D1568,LEN(D1568)-1),2))</f>
        <v>ELUTourneeDist41</v>
      </c>
      <c r="G1568" t="s">
        <v>17</v>
      </c>
      <c r="H1568">
        <f>IF($I$1402="Par catégorie de véhicule sélectionnée (meilleure précision)",1,0)*IF(ISNUMBER(SEARCH(C1568,$I$1401)),1,0)</f>
        <v>0</v>
      </c>
      <c r="K1568" t="s">
        <v>88</v>
      </c>
      <c r="L1568">
        <v>50</v>
      </c>
      <c r="N1568" t="s">
        <v>269</v>
      </c>
    </row>
    <row r="1569" spans="1:14" outlineLevel="1" x14ac:dyDescent="0.25">
      <c r="A1569" t="s">
        <v>266</v>
      </c>
      <c r="C1569">
        <f>'Remplissage - Sit. Init.'!$I$73</f>
        <v>0</v>
      </c>
      <c r="D1569" t="str">
        <f>_xlfn.CONCAT("Taux de chargement moyen pour une tournée"," (",'Remplissage - Sit. Init.'!$C$423,")")</f>
        <v>Taux de chargement moyen pour une tournée (Catégorie 41)</v>
      </c>
      <c r="F1569" t="str">
        <f t="shared" ref="F1569" si="1519">_xlfn.CONCAT("ELUTourneeTC",RIGHT(LEFT(D1569,LEN(D1569)-1),2))</f>
        <v>ELUTourneeTC41</v>
      </c>
      <c r="G1569" t="s">
        <v>17</v>
      </c>
      <c r="H1569">
        <f>(IF($I$1402="Par catégorie de véhicule sélectionnée (meilleure précision)",1,0)*IF(ISNUMBER(SEARCH(C1569,$I$1401)),1,0))*(IF($I$1403="Le taux de chargement moyen pour une tournée",1,0))</f>
        <v>0</v>
      </c>
      <c r="I1569" s="3"/>
      <c r="K1569" t="s">
        <v>70</v>
      </c>
      <c r="L1569" s="7">
        <v>0.33</v>
      </c>
      <c r="N1569" t="s">
        <v>269</v>
      </c>
    </row>
    <row r="1570" spans="1:14" outlineLevel="1" x14ac:dyDescent="0.25">
      <c r="A1570" t="s">
        <v>266</v>
      </c>
      <c r="C1570">
        <f>'Remplissage - Sit. Init.'!$I$73</f>
        <v>0</v>
      </c>
      <c r="D1570" t="str">
        <f>_xlfn.CONCAT("Masse moyenne transportée sur une tournée"," (",'Remplissage - Sit. Init.'!$C$423,")")</f>
        <v>Masse moyenne transportée sur une tournée (Catégorie 41)</v>
      </c>
      <c r="F1570" t="str">
        <f t="shared" ref="F1570" si="1520">_xlfn.CONCAT("ELUTourneeMasse",RIGHT(LEFT(D1570,LEN(D1570)-1),2))</f>
        <v>ELUTourneeMasse41</v>
      </c>
      <c r="G1570" t="s">
        <v>17</v>
      </c>
      <c r="H1570">
        <f>(IF($I$1402="Par catégorie de véhicule sélectionnée (meilleure précision)",1,0)*IF(ISNUMBER(SEARCH(C1570,$I$1401)),1,0))*(IF($I$1403="La masse moyenne transportée pour une tournée",1,0))</f>
        <v>0</v>
      </c>
      <c r="K1570" t="s">
        <v>148</v>
      </c>
      <c r="L1570">
        <v>1</v>
      </c>
      <c r="N1570" t="s">
        <v>269</v>
      </c>
    </row>
    <row r="1571" spans="1:14" outlineLevel="1" x14ac:dyDescent="0.25">
      <c r="A1571" t="s">
        <v>266</v>
      </c>
      <c r="C1571">
        <f>'Remplissage - Sit. Init.'!$I$73</f>
        <v>0</v>
      </c>
      <c r="D1571" t="str">
        <f>_xlfn.CONCAT("Ordre de grandeur du nombre annuel de tournées"," (",'Remplissage - Sit. Init.'!$C$423,")")</f>
        <v>Ordre de grandeur du nombre annuel de tournées (Catégorie 41)</v>
      </c>
      <c r="F1571" t="str">
        <f t="shared" ref="F1571" si="1521">_xlfn.CONCAT("ELUTourneeNb",RIGHT(LEFT(D1571,LEN(D1571)-1),2))</f>
        <v>ELUTourneeNb41</v>
      </c>
      <c r="G1571" t="s">
        <v>17</v>
      </c>
      <c r="H1571">
        <f>IF($I$1402="Par catégorie de véhicule sélectionnée (meilleure précision)",1,0)*IF(ISNUMBER(SEARCH(C1571,$I$1401)),1,0)</f>
        <v>0</v>
      </c>
      <c r="K1571" t="s">
        <v>283</v>
      </c>
      <c r="L1571">
        <v>100</v>
      </c>
      <c r="N1571" t="s">
        <v>269</v>
      </c>
    </row>
    <row r="1572" spans="1:14" outlineLevel="1" x14ac:dyDescent="0.25">
      <c r="A1572" t="s">
        <v>266</v>
      </c>
      <c r="C1572">
        <f>'Remplissage - Sit. Init.'!$I$83</f>
        <v>0</v>
      </c>
      <c r="D1572" t="str">
        <f>_xlfn.CONCAT("Distance moyenne d'une tournée"," (",'Remplissage - Sit. Init.'!$C$433,")")</f>
        <v>Distance moyenne d'une tournée (Catégorie 42)</v>
      </c>
      <c r="F1572" t="str">
        <f t="shared" ref="F1572" si="1522">_xlfn.CONCAT("ELUTourneeDist",RIGHT(LEFT(D1572,LEN(D1572)-1),2))</f>
        <v>ELUTourneeDist42</v>
      </c>
      <c r="G1572" t="s">
        <v>17</v>
      </c>
      <c r="H1572">
        <f>IF($I$1402="Par catégorie de véhicule sélectionnée (meilleure précision)",1,0)*IF(ISNUMBER(SEARCH(C1572,$I$1401)),1,0)</f>
        <v>0</v>
      </c>
      <c r="K1572" t="s">
        <v>88</v>
      </c>
      <c r="L1572">
        <v>50</v>
      </c>
      <c r="N1572" t="s">
        <v>269</v>
      </c>
    </row>
    <row r="1573" spans="1:14" outlineLevel="1" x14ac:dyDescent="0.25">
      <c r="A1573" t="s">
        <v>266</v>
      </c>
      <c r="C1573">
        <f>'Remplissage - Sit. Init.'!$I$83</f>
        <v>0</v>
      </c>
      <c r="D1573" t="str">
        <f>_xlfn.CONCAT("Taux de chargement moyen pour une tournée"," (",'Remplissage - Sit. Init.'!$C$433,")")</f>
        <v>Taux de chargement moyen pour une tournée (Catégorie 42)</v>
      </c>
      <c r="F1573" t="str">
        <f t="shared" ref="F1573" si="1523">_xlfn.CONCAT("ELUTourneeTC",RIGHT(LEFT(D1573,LEN(D1573)-1),2))</f>
        <v>ELUTourneeTC42</v>
      </c>
      <c r="G1573" t="s">
        <v>17</v>
      </c>
      <c r="H1573">
        <f>(IF($I$1402="Par catégorie de véhicule sélectionnée (meilleure précision)",1,0)*IF(ISNUMBER(SEARCH(C1573,$I$1401)),1,0))*(IF($I$1403="Le taux de chargement moyen pour une tournée",1,0))</f>
        <v>0</v>
      </c>
      <c r="I1573" s="3"/>
      <c r="K1573" t="s">
        <v>70</v>
      </c>
      <c r="L1573" s="7">
        <v>0.33</v>
      </c>
      <c r="N1573" t="s">
        <v>269</v>
      </c>
    </row>
    <row r="1574" spans="1:14" outlineLevel="1" x14ac:dyDescent="0.25">
      <c r="A1574" t="s">
        <v>266</v>
      </c>
      <c r="C1574">
        <f>'Remplissage - Sit. Init.'!$I$83</f>
        <v>0</v>
      </c>
      <c r="D1574" t="str">
        <f>_xlfn.CONCAT("Masse moyenne transportée sur une tournée"," (",'Remplissage - Sit. Init.'!$C$433,")")</f>
        <v>Masse moyenne transportée sur une tournée (Catégorie 42)</v>
      </c>
      <c r="F1574" t="str">
        <f t="shared" ref="F1574" si="1524">_xlfn.CONCAT("ELUTourneeMasse",RIGHT(LEFT(D1574,LEN(D1574)-1),2))</f>
        <v>ELUTourneeMasse42</v>
      </c>
      <c r="G1574" t="s">
        <v>17</v>
      </c>
      <c r="H1574">
        <f>(IF($I$1402="Par catégorie de véhicule sélectionnée (meilleure précision)",1,0)*IF(ISNUMBER(SEARCH(C1574,$I$1401)),1,0))*(IF($I$1403="La masse moyenne transportée pour une tournée",1,0))</f>
        <v>0</v>
      </c>
      <c r="K1574" t="s">
        <v>148</v>
      </c>
      <c r="L1574">
        <v>1</v>
      </c>
      <c r="N1574" t="s">
        <v>269</v>
      </c>
    </row>
    <row r="1575" spans="1:14" outlineLevel="1" x14ac:dyDescent="0.25">
      <c r="A1575" t="s">
        <v>266</v>
      </c>
      <c r="C1575">
        <f>'Remplissage - Sit. Init.'!$I$83</f>
        <v>0</v>
      </c>
      <c r="D1575" t="str">
        <f>_xlfn.CONCAT("Ordre de grandeur du nombre annuel de tournées"," (",'Remplissage - Sit. Init.'!$C$433,")")</f>
        <v>Ordre de grandeur du nombre annuel de tournées (Catégorie 42)</v>
      </c>
      <c r="F1575" t="str">
        <f t="shared" ref="F1575" si="1525">_xlfn.CONCAT("ELUTourneeNb",RIGHT(LEFT(D1575,LEN(D1575)-1),2))</f>
        <v>ELUTourneeNb42</v>
      </c>
      <c r="G1575" t="s">
        <v>17</v>
      </c>
      <c r="H1575">
        <f>IF($I$1402="Par catégorie de véhicule sélectionnée (meilleure précision)",1,0)*IF(ISNUMBER(SEARCH(C1575,$I$1401)),1,0)</f>
        <v>0</v>
      </c>
      <c r="K1575" t="s">
        <v>283</v>
      </c>
      <c r="L1575">
        <v>100</v>
      </c>
      <c r="N1575" t="s">
        <v>269</v>
      </c>
    </row>
    <row r="1576" spans="1:14" outlineLevel="1" x14ac:dyDescent="0.25">
      <c r="A1576" t="s">
        <v>266</v>
      </c>
      <c r="C1576">
        <f>'Remplissage - Sit. Init.'!$I$93</f>
        <v>0</v>
      </c>
      <c r="D1576" t="str">
        <f>_xlfn.CONCAT("Distance moyenne d'une tournée"," (",'Remplissage - Sit. Init.'!$C$443,")")</f>
        <v>Distance moyenne d'une tournée (Catégorie 43)</v>
      </c>
      <c r="F1576" t="str">
        <f t="shared" ref="F1576" si="1526">_xlfn.CONCAT("ELUTourneeDist",RIGHT(LEFT(D1576,LEN(D1576)-1),2))</f>
        <v>ELUTourneeDist43</v>
      </c>
      <c r="G1576" t="s">
        <v>17</v>
      </c>
      <c r="H1576">
        <f>IF($I$1402="Par catégorie de véhicule sélectionnée (meilleure précision)",1,0)*IF(ISNUMBER(SEARCH(C1576,$I$1401)),1,0)</f>
        <v>0</v>
      </c>
      <c r="K1576" t="s">
        <v>88</v>
      </c>
      <c r="L1576">
        <v>50</v>
      </c>
      <c r="N1576" t="s">
        <v>269</v>
      </c>
    </row>
    <row r="1577" spans="1:14" outlineLevel="1" x14ac:dyDescent="0.25">
      <c r="A1577" t="s">
        <v>266</v>
      </c>
      <c r="C1577">
        <f>'Remplissage - Sit. Init.'!$I$93</f>
        <v>0</v>
      </c>
      <c r="D1577" t="str">
        <f>_xlfn.CONCAT("Taux de chargement moyen pour une tournée"," (",'Remplissage - Sit. Init.'!$C$443,")")</f>
        <v>Taux de chargement moyen pour une tournée (Catégorie 43)</v>
      </c>
      <c r="F1577" t="str">
        <f t="shared" ref="F1577" si="1527">_xlfn.CONCAT("ELUTourneeTC",RIGHT(LEFT(D1577,LEN(D1577)-1),2))</f>
        <v>ELUTourneeTC43</v>
      </c>
      <c r="G1577" t="s">
        <v>17</v>
      </c>
      <c r="H1577">
        <f>(IF($I$1402="Par catégorie de véhicule sélectionnée (meilleure précision)",1,0)*IF(ISNUMBER(SEARCH(C1577,$I$1401)),1,0))*(IF($I$1403="Le taux de chargement moyen pour une tournée",1,0))</f>
        <v>0</v>
      </c>
      <c r="I1577" s="3"/>
      <c r="K1577" t="s">
        <v>70</v>
      </c>
      <c r="L1577" s="7">
        <v>0.33</v>
      </c>
      <c r="N1577" t="s">
        <v>269</v>
      </c>
    </row>
    <row r="1578" spans="1:14" outlineLevel="1" x14ac:dyDescent="0.25">
      <c r="A1578" t="s">
        <v>266</v>
      </c>
      <c r="C1578">
        <f>'Remplissage - Sit. Init.'!$I$93</f>
        <v>0</v>
      </c>
      <c r="D1578" t="str">
        <f>_xlfn.CONCAT("Masse moyenne transportée sur une tournée"," (",'Remplissage - Sit. Init.'!$C$443,")")</f>
        <v>Masse moyenne transportée sur une tournée (Catégorie 43)</v>
      </c>
      <c r="F1578" t="str">
        <f t="shared" ref="F1578" si="1528">_xlfn.CONCAT("ELUTourneeMasse",RIGHT(LEFT(D1578,LEN(D1578)-1),2))</f>
        <v>ELUTourneeMasse43</v>
      </c>
      <c r="G1578" t="s">
        <v>17</v>
      </c>
      <c r="H1578">
        <f>(IF($I$1402="Par catégorie de véhicule sélectionnée (meilleure précision)",1,0)*IF(ISNUMBER(SEARCH(C1578,$I$1401)),1,0))*(IF($I$1403="La masse moyenne transportée pour une tournée",1,0))</f>
        <v>0</v>
      </c>
      <c r="K1578" t="s">
        <v>148</v>
      </c>
      <c r="L1578">
        <v>1</v>
      </c>
      <c r="N1578" t="s">
        <v>269</v>
      </c>
    </row>
    <row r="1579" spans="1:14" outlineLevel="1" x14ac:dyDescent="0.25">
      <c r="A1579" t="s">
        <v>266</v>
      </c>
      <c r="C1579">
        <f>'Remplissage - Sit. Init.'!$I$93</f>
        <v>0</v>
      </c>
      <c r="D1579" t="str">
        <f>_xlfn.CONCAT("Ordre de grandeur du nombre annuel de tournées"," (",'Remplissage - Sit. Init.'!$C$443,")")</f>
        <v>Ordre de grandeur du nombre annuel de tournées (Catégorie 43)</v>
      </c>
      <c r="F1579" t="str">
        <f t="shared" ref="F1579" si="1529">_xlfn.CONCAT("ELUTourneeNb",RIGHT(LEFT(D1579,LEN(D1579)-1),2))</f>
        <v>ELUTourneeNb43</v>
      </c>
      <c r="G1579" t="s">
        <v>17</v>
      </c>
      <c r="H1579">
        <f>IF($I$1402="Par catégorie de véhicule sélectionnée (meilleure précision)",1,0)*IF(ISNUMBER(SEARCH(C1579,$I$1401)),1,0)</f>
        <v>0</v>
      </c>
      <c r="K1579" t="s">
        <v>283</v>
      </c>
      <c r="L1579">
        <v>100</v>
      </c>
      <c r="N1579" t="s">
        <v>269</v>
      </c>
    </row>
    <row r="1580" spans="1:14" outlineLevel="1" x14ac:dyDescent="0.25">
      <c r="A1580" t="s">
        <v>266</v>
      </c>
      <c r="C1580">
        <f>'Remplissage - Sit. Init.'!$I$103</f>
        <v>0</v>
      </c>
      <c r="D1580" t="str">
        <f>_xlfn.CONCAT("Distance moyenne d'une tournée"," (",'Remplissage - Sit. Init.'!$C$453,")")</f>
        <v>Distance moyenne d'une tournée (Catégorie 44)</v>
      </c>
      <c r="F1580" t="str">
        <f t="shared" ref="F1580" si="1530">_xlfn.CONCAT("ELUTourneeDist",RIGHT(LEFT(D1580,LEN(D1580)-1),2))</f>
        <v>ELUTourneeDist44</v>
      </c>
      <c r="G1580" t="s">
        <v>17</v>
      </c>
      <c r="H1580">
        <f>IF($I$1402="Par catégorie de véhicule sélectionnée (meilleure précision)",1,0)*IF(ISNUMBER(SEARCH(C1580,$I$1401)),1,0)</f>
        <v>0</v>
      </c>
      <c r="K1580" t="s">
        <v>88</v>
      </c>
      <c r="L1580">
        <v>50</v>
      </c>
      <c r="N1580" t="s">
        <v>269</v>
      </c>
    </row>
    <row r="1581" spans="1:14" outlineLevel="1" x14ac:dyDescent="0.25">
      <c r="A1581" t="s">
        <v>266</v>
      </c>
      <c r="C1581">
        <f>'Remplissage - Sit. Init.'!$I$103</f>
        <v>0</v>
      </c>
      <c r="D1581" t="str">
        <f>_xlfn.CONCAT("Taux de chargement moyen pour une tournée"," (",'Remplissage - Sit. Init.'!$C$453,")")</f>
        <v>Taux de chargement moyen pour une tournée (Catégorie 44)</v>
      </c>
      <c r="F1581" t="str">
        <f t="shared" ref="F1581" si="1531">_xlfn.CONCAT("ELUTourneeTC",RIGHT(LEFT(D1581,LEN(D1581)-1),2))</f>
        <v>ELUTourneeTC44</v>
      </c>
      <c r="G1581" t="s">
        <v>17</v>
      </c>
      <c r="H1581">
        <f>(IF($I$1402="Par catégorie de véhicule sélectionnée (meilleure précision)",1,0)*IF(ISNUMBER(SEARCH(C1581,$I$1401)),1,0))*(IF($I$1403="Le taux de chargement moyen pour une tournée",1,0))</f>
        <v>0</v>
      </c>
      <c r="I1581" s="3"/>
      <c r="K1581" t="s">
        <v>70</v>
      </c>
      <c r="L1581" s="7">
        <v>0.33</v>
      </c>
      <c r="N1581" t="s">
        <v>269</v>
      </c>
    </row>
    <row r="1582" spans="1:14" outlineLevel="1" x14ac:dyDescent="0.25">
      <c r="A1582" t="s">
        <v>266</v>
      </c>
      <c r="C1582">
        <f>'Remplissage - Sit. Init.'!$I$103</f>
        <v>0</v>
      </c>
      <c r="D1582" t="str">
        <f>_xlfn.CONCAT("Masse moyenne transportée sur une tournée"," (",'Remplissage - Sit. Init.'!$C$453,")")</f>
        <v>Masse moyenne transportée sur une tournée (Catégorie 44)</v>
      </c>
      <c r="F1582" t="str">
        <f t="shared" ref="F1582" si="1532">_xlfn.CONCAT("ELUTourneeMasse",RIGHT(LEFT(D1582,LEN(D1582)-1),2))</f>
        <v>ELUTourneeMasse44</v>
      </c>
      <c r="G1582" t="s">
        <v>17</v>
      </c>
      <c r="H1582">
        <f>(IF($I$1402="Par catégorie de véhicule sélectionnée (meilleure précision)",1,0)*IF(ISNUMBER(SEARCH(C1582,$I$1401)),1,0))*(IF($I$1403="La masse moyenne transportée pour une tournée",1,0))</f>
        <v>0</v>
      </c>
      <c r="K1582" t="s">
        <v>148</v>
      </c>
      <c r="L1582">
        <v>1</v>
      </c>
      <c r="N1582" t="s">
        <v>269</v>
      </c>
    </row>
    <row r="1583" spans="1:14" outlineLevel="1" x14ac:dyDescent="0.25">
      <c r="A1583" t="s">
        <v>266</v>
      </c>
      <c r="C1583">
        <f>'Remplissage - Sit. Init.'!$I$103</f>
        <v>0</v>
      </c>
      <c r="D1583" t="str">
        <f>_xlfn.CONCAT("Ordre de grandeur du nombre annuel de tournées"," (",'Remplissage - Sit. Init.'!$C$453,")")</f>
        <v>Ordre de grandeur du nombre annuel de tournées (Catégorie 44)</v>
      </c>
      <c r="F1583" t="str">
        <f t="shared" ref="F1583" si="1533">_xlfn.CONCAT("ELUTourneeNb",RIGHT(LEFT(D1583,LEN(D1583)-1),2))</f>
        <v>ELUTourneeNb44</v>
      </c>
      <c r="G1583" t="s">
        <v>17</v>
      </c>
      <c r="H1583">
        <f>IF($I$1402="Par catégorie de véhicule sélectionnée (meilleure précision)",1,0)*IF(ISNUMBER(SEARCH(C1583,$I$1401)),1,0)</f>
        <v>0</v>
      </c>
      <c r="K1583" t="s">
        <v>283</v>
      </c>
      <c r="L1583">
        <v>100</v>
      </c>
      <c r="N1583" t="s">
        <v>269</v>
      </c>
    </row>
    <row r="1584" spans="1:14" outlineLevel="1" x14ac:dyDescent="0.25">
      <c r="A1584" t="s">
        <v>266</v>
      </c>
      <c r="C1584">
        <f>'Remplissage - Sit. Init.'!$I$113</f>
        <v>0</v>
      </c>
      <c r="D1584" t="str">
        <f>_xlfn.CONCAT("Distance moyenne d'une tournée"," (",'Remplissage - Sit. Init.'!$C$463,")")</f>
        <v>Distance moyenne d'une tournée (Catégorie 45)</v>
      </c>
      <c r="F1584" t="str">
        <f t="shared" ref="F1584" si="1534">_xlfn.CONCAT("ELUTourneeDist",RIGHT(LEFT(D1584,LEN(D1584)-1),2))</f>
        <v>ELUTourneeDist45</v>
      </c>
      <c r="G1584" t="s">
        <v>17</v>
      </c>
      <c r="H1584">
        <f>IF($I$1402="Par catégorie de véhicule sélectionnée (meilleure précision)",1,0)*IF(ISNUMBER(SEARCH(C1584,$I$1401)),1,0)</f>
        <v>0</v>
      </c>
      <c r="K1584" t="s">
        <v>88</v>
      </c>
      <c r="L1584">
        <v>50</v>
      </c>
      <c r="N1584" t="s">
        <v>269</v>
      </c>
    </row>
    <row r="1585" spans="1:17" outlineLevel="1" x14ac:dyDescent="0.25">
      <c r="A1585" t="s">
        <v>266</v>
      </c>
      <c r="C1585">
        <f>'Remplissage - Sit. Init.'!$I$113</f>
        <v>0</v>
      </c>
      <c r="D1585" t="str">
        <f>_xlfn.CONCAT("Taux de chargement moyen pour une tournée"," (",'Remplissage - Sit. Init.'!$C$463,")")</f>
        <v>Taux de chargement moyen pour une tournée (Catégorie 45)</v>
      </c>
      <c r="F1585" t="str">
        <f t="shared" ref="F1585" si="1535">_xlfn.CONCAT("ELUTourneeTC",RIGHT(LEFT(D1585,LEN(D1585)-1),2))</f>
        <v>ELUTourneeTC45</v>
      </c>
      <c r="G1585" t="s">
        <v>17</v>
      </c>
      <c r="H1585">
        <f>(IF($I$1402="Par catégorie de véhicule sélectionnée (meilleure précision)",1,0)*IF(ISNUMBER(SEARCH(C1585,$I$1401)),1,0))*(IF($I$1403="Le taux de chargement moyen pour une tournée",1,0))</f>
        <v>0</v>
      </c>
      <c r="I1585" s="3"/>
      <c r="K1585" t="s">
        <v>70</v>
      </c>
      <c r="L1585" s="7">
        <v>0.33</v>
      </c>
      <c r="N1585" t="s">
        <v>269</v>
      </c>
    </row>
    <row r="1586" spans="1:17" outlineLevel="1" x14ac:dyDescent="0.25">
      <c r="A1586" t="s">
        <v>266</v>
      </c>
      <c r="C1586">
        <f>'Remplissage - Sit. Init.'!$I$113</f>
        <v>0</v>
      </c>
      <c r="D1586" t="str">
        <f>_xlfn.CONCAT("Masse moyenne transportée sur une tournée"," (",'Remplissage - Sit. Init.'!$C$463,")")</f>
        <v>Masse moyenne transportée sur une tournée (Catégorie 45)</v>
      </c>
      <c r="F1586" t="str">
        <f t="shared" ref="F1586" si="1536">_xlfn.CONCAT("ELUTourneeMasse",RIGHT(LEFT(D1586,LEN(D1586)-1),2))</f>
        <v>ELUTourneeMasse45</v>
      </c>
      <c r="G1586" t="s">
        <v>17</v>
      </c>
      <c r="H1586">
        <f>(IF($I$1402="Par catégorie de véhicule sélectionnée (meilleure précision)",1,0)*IF(ISNUMBER(SEARCH(C1586,$I$1401)),1,0))*(IF($I$1403="La masse moyenne transportée pour une tournée",1,0))</f>
        <v>0</v>
      </c>
      <c r="K1586" t="s">
        <v>148</v>
      </c>
      <c r="L1586">
        <v>1</v>
      </c>
      <c r="N1586" t="s">
        <v>269</v>
      </c>
    </row>
    <row r="1587" spans="1:17" outlineLevel="1" x14ac:dyDescent="0.25">
      <c r="A1587" t="s">
        <v>266</v>
      </c>
      <c r="C1587">
        <f>'Remplissage - Sit. Init.'!$I$113</f>
        <v>0</v>
      </c>
      <c r="D1587" t="str">
        <f>_xlfn.CONCAT("Ordre de grandeur du nombre annuel de tournées"," (",'Remplissage - Sit. Init.'!$C$463,")")</f>
        <v>Ordre de grandeur du nombre annuel de tournées (Catégorie 45)</v>
      </c>
      <c r="F1587" t="str">
        <f t="shared" ref="F1587" si="1537">_xlfn.CONCAT("ELUTourneeNb",RIGHT(LEFT(D1587,LEN(D1587)-1),2))</f>
        <v>ELUTourneeNb45</v>
      </c>
      <c r="G1587" t="s">
        <v>17</v>
      </c>
      <c r="H1587">
        <f>IF($I$1402="Par catégorie de véhicule sélectionnée (meilleure précision)",1,0)*IF(ISNUMBER(SEARCH(C1587,$I$1401)),1,0)</f>
        <v>0</v>
      </c>
      <c r="K1587" t="s">
        <v>283</v>
      </c>
      <c r="L1587">
        <v>100</v>
      </c>
      <c r="N1587" t="s">
        <v>269</v>
      </c>
    </row>
    <row r="1588" spans="1:17" x14ac:dyDescent="0.25">
      <c r="A1588" t="s">
        <v>284</v>
      </c>
      <c r="D1588" t="s">
        <v>285</v>
      </c>
      <c r="F1588" t="s">
        <v>286</v>
      </c>
      <c r="G1588" t="s">
        <v>60</v>
      </c>
      <c r="H1588">
        <f>IF(OR(ISNUMBER(SEARCH("C4",$I$18)),ISNUMBER(SEARCH("C4",$I$17))),1,0)</f>
        <v>1</v>
      </c>
      <c r="I1588" t="s">
        <v>287</v>
      </c>
      <c r="J1588" t="s">
        <v>1822</v>
      </c>
      <c r="N1588" t="s">
        <v>288</v>
      </c>
    </row>
    <row r="1589" spans="1:17" x14ac:dyDescent="0.25">
      <c r="A1589" t="s">
        <v>284</v>
      </c>
      <c r="D1589" t="s">
        <v>289</v>
      </c>
      <c r="F1589" t="s">
        <v>290</v>
      </c>
      <c r="G1589" t="s">
        <v>36</v>
      </c>
      <c r="H1589">
        <f>IF(OR(ISNUMBER(SEARCH("C4",$I$18)),ISNUMBER(SEARCH("C4",$I$17))),1,0)</f>
        <v>1</v>
      </c>
      <c r="I1589" t="s">
        <v>291</v>
      </c>
      <c r="J1589" t="s">
        <v>243</v>
      </c>
      <c r="N1589" t="s">
        <v>288</v>
      </c>
    </row>
    <row r="1590" spans="1:17" x14ac:dyDescent="0.25">
      <c r="A1590" t="s">
        <v>284</v>
      </c>
      <c r="D1590" t="s">
        <v>240</v>
      </c>
      <c r="F1590" t="s">
        <v>292</v>
      </c>
      <c r="G1590" t="s">
        <v>36</v>
      </c>
      <c r="H1590">
        <f>IF(OR(ISNUMBER(SEARCH("C4",$I$18)),ISNUMBER(SEARCH("C4",$I$17))),1,0)</f>
        <v>1</v>
      </c>
      <c r="I1590" t="s">
        <v>273</v>
      </c>
      <c r="J1590" t="s">
        <v>274</v>
      </c>
      <c r="N1590" t="s">
        <v>288</v>
      </c>
    </row>
    <row r="1591" spans="1:17" x14ac:dyDescent="0.25">
      <c r="A1591" t="s">
        <v>284</v>
      </c>
      <c r="D1591" t="s">
        <v>275</v>
      </c>
      <c r="F1591" t="s">
        <v>293</v>
      </c>
      <c r="G1591" t="s">
        <v>17</v>
      </c>
      <c r="H1591">
        <f>IF($I$682="Proposer un ordre de grandeur commun à toutes les catégories de véhicules",1,0)</f>
        <v>0</v>
      </c>
      <c r="I1591">
        <v>75</v>
      </c>
      <c r="K1591" t="s">
        <v>88</v>
      </c>
      <c r="N1591" t="s">
        <v>288</v>
      </c>
    </row>
    <row r="1592" spans="1:17" x14ac:dyDescent="0.25">
      <c r="A1592" t="s">
        <v>284</v>
      </c>
      <c r="D1592" t="s">
        <v>294</v>
      </c>
      <c r="F1592" t="s">
        <v>295</v>
      </c>
      <c r="G1592" t="s">
        <v>17</v>
      </c>
      <c r="H1592">
        <f>(IF($I$682="Proposer un ordre de grandeur commun à toutes les catégories de véhicules",1,0))*(IF($I$730="Le taux de chargement moyen pour une tournée",1,0))</f>
        <v>0</v>
      </c>
      <c r="I1592" s="3">
        <f>IF($I$730="Le taux de chargement moyen pour une tournée",1,0)</f>
        <v>0</v>
      </c>
      <c r="K1592" t="s">
        <v>70</v>
      </c>
      <c r="N1592" t="s">
        <v>288</v>
      </c>
    </row>
    <row r="1593" spans="1:17" x14ac:dyDescent="0.25">
      <c r="A1593" t="s">
        <v>284</v>
      </c>
      <c r="D1593" t="s">
        <v>279</v>
      </c>
      <c r="F1593" t="s">
        <v>296</v>
      </c>
      <c r="G1593" t="s">
        <v>17</v>
      </c>
      <c r="H1593">
        <f>(IF($I$682="Proposer un ordre de grandeur commun à toutes les catégories de véhicules",1,0))*(IF($I$730="La masse moyenne transportée pour une tournée",1,0))</f>
        <v>0</v>
      </c>
      <c r="I1593" s="14">
        <v>5</v>
      </c>
      <c r="K1593" t="s">
        <v>148</v>
      </c>
      <c r="N1593" t="s">
        <v>288</v>
      </c>
    </row>
    <row r="1594" spans="1:17" x14ac:dyDescent="0.25">
      <c r="A1594" t="s">
        <v>284</v>
      </c>
      <c r="D1594" t="s">
        <v>281</v>
      </c>
      <c r="F1594" t="s">
        <v>297</v>
      </c>
      <c r="G1594" t="s">
        <v>17</v>
      </c>
      <c r="H1594">
        <f>IF($I$682="Proposer un ordre de grandeur commun à toutes les catégories de véhicules",1,0)</f>
        <v>0</v>
      </c>
      <c r="I1594">
        <v>27</v>
      </c>
      <c r="K1594" t="s">
        <v>283</v>
      </c>
      <c r="N1594" t="s">
        <v>288</v>
      </c>
    </row>
    <row r="1595" spans="1:17" x14ac:dyDescent="0.25">
      <c r="A1595" t="s">
        <v>284</v>
      </c>
      <c r="D1595" t="s">
        <v>298</v>
      </c>
      <c r="F1595" t="s">
        <v>299</v>
      </c>
      <c r="G1595" t="s">
        <v>17</v>
      </c>
      <c r="H1595">
        <f>IF($I$682="Proposer un ordre de grandeur commun à toutes les catégories de véhicules",1,0)</f>
        <v>0</v>
      </c>
      <c r="I1595" s="18">
        <v>0.1</v>
      </c>
      <c r="K1595" t="s">
        <v>70</v>
      </c>
      <c r="N1595" t="s">
        <v>288</v>
      </c>
    </row>
    <row r="1596" spans="1:17" x14ac:dyDescent="0.25">
      <c r="A1596" t="s">
        <v>284</v>
      </c>
      <c r="C1596">
        <v>0</v>
      </c>
      <c r="D1596" t="str">
        <f>_xlfn.CONCAT("Distance moyenne d'une tournée (Catégorie " &amp; $P1596 &amp; ")")</f>
        <v>Distance moyenne d'une tournée (Catégorie 1)</v>
      </c>
      <c r="F1596" t="str">
        <f>"LivrNuitTourneeDist" &amp; $P1596</f>
        <v>LivrNuitTourneeDist1</v>
      </c>
      <c r="G1596" t="s">
        <v>17</v>
      </c>
      <c r="H1596">
        <f>IF($I$733="Par catégorie de véhicule sélectionnée (meilleure précision)",1,0)*IF(ISNUMBER(SEARCH(C1596,$I$732)),1,0)</f>
        <v>0</v>
      </c>
      <c r="I1596">
        <v>5</v>
      </c>
      <c r="K1596" t="s">
        <v>88</v>
      </c>
      <c r="N1596" t="s">
        <v>288</v>
      </c>
      <c r="P1596">
        <v>1</v>
      </c>
      <c r="Q1596" s="31" t="s">
        <v>527</v>
      </c>
    </row>
    <row r="1597" spans="1:17" x14ac:dyDescent="0.25">
      <c r="A1597" t="s">
        <v>284</v>
      </c>
      <c r="C1597">
        <v>0</v>
      </c>
      <c r="D1597" t="str">
        <f>_xlfn.CONCAT("Taux de chargement moyen pour une tournée (Catégorie " &amp; $P1597 &amp; ")")</f>
        <v>Taux de chargement moyen pour une tournée (Catégorie 1)</v>
      </c>
      <c r="F1597" t="str">
        <f>"LivrNuitTourneeTC" &amp; $P1597</f>
        <v>LivrNuitTourneeTC1</v>
      </c>
      <c r="G1597" t="s">
        <v>17</v>
      </c>
      <c r="H1597">
        <f>(IF($I$733="Par catégorie de véhicule sélectionnée (meilleure précision)",1,0)*IF(ISNUMBER(SEARCH(C1597,$I$732)),1,0))*(IF($I$734="Le taux de chargement moyen pour une tournée",1,0))</f>
        <v>0</v>
      </c>
      <c r="I1597" s="3">
        <v>0.34</v>
      </c>
      <c r="K1597" t="s">
        <v>70</v>
      </c>
      <c r="N1597" t="s">
        <v>288</v>
      </c>
      <c r="P1597">
        <f>P1596</f>
        <v>1</v>
      </c>
      <c r="Q1597" s="31" t="s">
        <v>527</v>
      </c>
    </row>
    <row r="1598" spans="1:17" x14ac:dyDescent="0.25">
      <c r="A1598" t="s">
        <v>284</v>
      </c>
      <c r="C1598">
        <v>0</v>
      </c>
      <c r="D1598" t="str">
        <f>_xlfn.CONCAT("Masse moyenne transportée sur une tournée (Catégorie " &amp; $P1598 &amp; ")")</f>
        <v>Masse moyenne transportée sur une tournée (Catégorie 1)</v>
      </c>
      <c r="F1598" t="str">
        <f>"LivrNuitTourneeMasse" &amp; $P1598</f>
        <v>LivrNuitTourneeMasse1</v>
      </c>
      <c r="G1598" t="s">
        <v>17</v>
      </c>
      <c r="H1598">
        <f>(IF($I$733="Par catégorie de véhicule sélectionnée (meilleure précision)",1,0)*IF(ISNUMBER(SEARCH(C1598,$I$732)),1,0))*(IF($I$734="La masse moyenne transportée pour une tournée",1,0))</f>
        <v>0</v>
      </c>
      <c r="I1598">
        <v>9</v>
      </c>
      <c r="K1598" t="s">
        <v>148</v>
      </c>
      <c r="N1598" t="s">
        <v>288</v>
      </c>
      <c r="P1598">
        <f>P1597</f>
        <v>1</v>
      </c>
      <c r="Q1598" s="31" t="s">
        <v>527</v>
      </c>
    </row>
    <row r="1599" spans="1:17" x14ac:dyDescent="0.25">
      <c r="A1599" t="s">
        <v>284</v>
      </c>
      <c r="C1599">
        <v>0</v>
      </c>
      <c r="D1599" t="str">
        <f>_xlfn.CONCAT("Ordre de grandeur du nombre annuel de tournées (Catégorie " &amp; $P1599 &amp; ")")</f>
        <v>Ordre de grandeur du nombre annuel de tournées (Catégorie 1)</v>
      </c>
      <c r="F1599" t="str">
        <f>"LivrNuitTourneeNb" &amp; $P1599</f>
        <v>LivrNuitTourneeNb1</v>
      </c>
      <c r="G1599" t="s">
        <v>17</v>
      </c>
      <c r="H1599">
        <f>IF($I$733="Par catégorie de véhicule sélectionnée (meilleure précision)",1,0)*IF(ISNUMBER(SEARCH(C1599,$I$732)),1,0)</f>
        <v>0</v>
      </c>
      <c r="I1599">
        <v>60</v>
      </c>
      <c r="K1599" t="s">
        <v>283</v>
      </c>
      <c r="N1599" t="s">
        <v>288</v>
      </c>
      <c r="P1599">
        <f>P1598</f>
        <v>1</v>
      </c>
      <c r="Q1599" s="31" t="s">
        <v>527</v>
      </c>
    </row>
    <row r="1600" spans="1:17" x14ac:dyDescent="0.25">
      <c r="A1600" t="s">
        <v>284</v>
      </c>
      <c r="C1600">
        <v>0</v>
      </c>
      <c r="D1600" t="str">
        <f>_xlfn.CONCAT("% de livraisons déjà en horaire décalé (Catégorie " &amp; $P1600 &amp; ")")</f>
        <v>% de livraisons déjà en horaire décalé (Catégorie 1)</v>
      </c>
      <c r="F1600" t="str">
        <f>"LivrNuitInitDecal" &amp; $P1600</f>
        <v>LivrNuitInitDecal1</v>
      </c>
      <c r="G1600" t="s">
        <v>17</v>
      </c>
      <c r="H1600">
        <f>IF($I$733="Par catégorie de véhicule sélectionnée (meilleure précision)",1,0)*IF(ISNUMBER(SEARCH(C1600,$I$732)),1,0)</f>
        <v>0</v>
      </c>
      <c r="I1600" s="18"/>
      <c r="K1600" t="s">
        <v>70</v>
      </c>
      <c r="N1600" t="s">
        <v>288</v>
      </c>
      <c r="P1600">
        <f>P1599</f>
        <v>1</v>
      </c>
      <c r="Q1600" s="31" t="s">
        <v>527</v>
      </c>
    </row>
    <row r="1601" spans="1:17" outlineLevel="1" x14ac:dyDescent="0.25">
      <c r="A1601" t="s">
        <v>284</v>
      </c>
      <c r="C1601">
        <v>0</v>
      </c>
      <c r="D1601" t="str">
        <f>_xlfn.CONCAT("Distance moyenne d'une tournée (Catégorie " &amp; $P1601 &amp; ")")</f>
        <v>Distance moyenne d'une tournée (Catégorie 2)</v>
      </c>
      <c r="F1601" t="str">
        <f>"LivrNuitTourneeDist" &amp; $P1601</f>
        <v>LivrNuitTourneeDist2</v>
      </c>
      <c r="G1601" t="s">
        <v>17</v>
      </c>
      <c r="H1601">
        <f>IF($I$733="Par catégorie de véhicule sélectionnée (meilleure précision)",1,0)*IF(ISNUMBER(SEARCH(C1601,$I$732)),1,0)</f>
        <v>0</v>
      </c>
      <c r="I1601">
        <v>5</v>
      </c>
      <c r="K1601" t="s">
        <v>88</v>
      </c>
      <c r="N1601" t="s">
        <v>288</v>
      </c>
      <c r="P1601">
        <f>P1600+1</f>
        <v>2</v>
      </c>
      <c r="Q1601" s="31" t="s">
        <v>527</v>
      </c>
    </row>
    <row r="1602" spans="1:17" outlineLevel="1" x14ac:dyDescent="0.25">
      <c r="A1602" t="s">
        <v>284</v>
      </c>
      <c r="C1602">
        <v>0</v>
      </c>
      <c r="D1602" t="str">
        <f>_xlfn.CONCAT("Taux de chargement moyen pour une tournée (Catégorie " &amp; $P1602 &amp; ")")</f>
        <v>Taux de chargement moyen pour une tournée (Catégorie 2)</v>
      </c>
      <c r="F1602" t="str">
        <f>"LivrNuitTourneeTC" &amp; $P1602</f>
        <v>LivrNuitTourneeTC2</v>
      </c>
      <c r="G1602" t="s">
        <v>17</v>
      </c>
      <c r="H1602">
        <f>(IF($I$733="Par catégorie de véhicule sélectionnée (meilleure précision)",1,0)*IF(ISNUMBER(SEARCH(C1602,$I$732)),1,0))*(IF($I$734="Le taux de chargement moyen pour une tournée",1,0))</f>
        <v>0</v>
      </c>
      <c r="I1602" s="3">
        <v>0.34</v>
      </c>
      <c r="K1602" t="s">
        <v>70</v>
      </c>
      <c r="N1602" t="s">
        <v>288</v>
      </c>
      <c r="P1602">
        <f>P1601</f>
        <v>2</v>
      </c>
      <c r="Q1602" s="31" t="s">
        <v>527</v>
      </c>
    </row>
    <row r="1603" spans="1:17" outlineLevel="1" x14ac:dyDescent="0.25">
      <c r="A1603" t="s">
        <v>284</v>
      </c>
      <c r="C1603">
        <v>0</v>
      </c>
      <c r="D1603" t="str">
        <f>_xlfn.CONCAT("Masse moyenne transportée sur une tournée (Catégorie " &amp; $P1603 &amp; ")")</f>
        <v>Masse moyenne transportée sur une tournée (Catégorie 2)</v>
      </c>
      <c r="F1603" t="str">
        <f>"LivrNuitTourneeMasse" &amp; $P1603</f>
        <v>LivrNuitTourneeMasse2</v>
      </c>
      <c r="G1603" t="s">
        <v>17</v>
      </c>
      <c r="H1603">
        <f>(IF($I$733="Par catégorie de véhicule sélectionnée (meilleure précision)",1,0)*IF(ISNUMBER(SEARCH(C1603,$I$732)),1,0))*(IF($I$734="La masse moyenne transportée pour une tournée",1,0))</f>
        <v>0</v>
      </c>
      <c r="I1603">
        <v>9</v>
      </c>
      <c r="K1603" t="s">
        <v>148</v>
      </c>
      <c r="N1603" t="s">
        <v>288</v>
      </c>
      <c r="P1603">
        <f>P1602</f>
        <v>2</v>
      </c>
      <c r="Q1603" s="31" t="s">
        <v>527</v>
      </c>
    </row>
    <row r="1604" spans="1:17" outlineLevel="1" x14ac:dyDescent="0.25">
      <c r="A1604" t="s">
        <v>284</v>
      </c>
      <c r="C1604">
        <v>0</v>
      </c>
      <c r="D1604" t="str">
        <f>_xlfn.CONCAT("Ordre de grandeur du nombre annuel de tournées (Catégorie " &amp; $P1604 &amp; ")")</f>
        <v>Ordre de grandeur du nombre annuel de tournées (Catégorie 2)</v>
      </c>
      <c r="F1604" t="str">
        <f>"LivrNuitTourneeNb" &amp; $P1604</f>
        <v>LivrNuitTourneeNb2</v>
      </c>
      <c r="G1604" t="s">
        <v>17</v>
      </c>
      <c r="H1604">
        <f>IF($I$733="Par catégorie de véhicule sélectionnée (meilleure précision)",1,0)*IF(ISNUMBER(SEARCH(C1604,$I$732)),1,0)</f>
        <v>0</v>
      </c>
      <c r="I1604">
        <v>60</v>
      </c>
      <c r="K1604" t="s">
        <v>283</v>
      </c>
      <c r="N1604" t="s">
        <v>288</v>
      </c>
      <c r="P1604">
        <f>P1603</f>
        <v>2</v>
      </c>
      <c r="Q1604" s="31" t="s">
        <v>527</v>
      </c>
    </row>
    <row r="1605" spans="1:17" outlineLevel="1" x14ac:dyDescent="0.25">
      <c r="A1605" t="s">
        <v>284</v>
      </c>
      <c r="C1605">
        <v>0</v>
      </c>
      <c r="D1605" t="str">
        <f>_xlfn.CONCAT("% de livraisons déjà en horaire décalé (Catégorie " &amp; $P1605 &amp; ")")</f>
        <v>% de livraisons déjà en horaire décalé (Catégorie 2)</v>
      </c>
      <c r="F1605" t="str">
        <f>"LivrNuitInitDecal" &amp; $P1605</f>
        <v>LivrNuitInitDecal2</v>
      </c>
      <c r="G1605" t="s">
        <v>17</v>
      </c>
      <c r="H1605">
        <f>IF($I$733="Par catégorie de véhicule sélectionnée (meilleure précision)",1,0)*IF(ISNUMBER(SEARCH(C1605,$I$732)),1,0)</f>
        <v>0</v>
      </c>
      <c r="I1605" s="18"/>
      <c r="K1605" t="s">
        <v>70</v>
      </c>
      <c r="N1605" t="s">
        <v>288</v>
      </c>
      <c r="P1605">
        <f>P1604</f>
        <v>2</v>
      </c>
      <c r="Q1605" s="31" t="s">
        <v>527</v>
      </c>
    </row>
    <row r="1606" spans="1:17" outlineLevel="1" x14ac:dyDescent="0.25">
      <c r="A1606" t="s">
        <v>284</v>
      </c>
      <c r="C1606">
        <v>0</v>
      </c>
      <c r="D1606" t="str">
        <f t="shared" ref="D1606" si="1538">_xlfn.CONCAT("Distance moyenne d'une tournée (Catégorie " &amp; $P1606 &amp; ")")</f>
        <v>Distance moyenne d'une tournée (Catégorie 3)</v>
      </c>
      <c r="F1606" t="str">
        <f t="shared" ref="F1606" si="1539">"LivrNuitTourneeDist" &amp; $P1606</f>
        <v>LivrNuitTourneeDist3</v>
      </c>
      <c r="G1606" t="s">
        <v>17</v>
      </c>
      <c r="H1606">
        <f>IF($I$733="Par catégorie de véhicule sélectionnée (meilleure précision)",1,0)*IF(ISNUMBER(SEARCH(C1606,$I$732)),1,0)</f>
        <v>0</v>
      </c>
      <c r="K1606" t="s">
        <v>88</v>
      </c>
      <c r="N1606" t="s">
        <v>288</v>
      </c>
      <c r="P1606">
        <f t="shared" ref="P1606" si="1540">P1605+1</f>
        <v>3</v>
      </c>
      <c r="Q1606" s="31" t="s">
        <v>527</v>
      </c>
    </row>
    <row r="1607" spans="1:17" outlineLevel="1" x14ac:dyDescent="0.25">
      <c r="A1607" t="s">
        <v>284</v>
      </c>
      <c r="C1607">
        <v>0</v>
      </c>
      <c r="D1607" t="str">
        <f t="shared" ref="D1607" si="1541">_xlfn.CONCAT("Taux de chargement moyen pour une tournée (Catégorie " &amp; $P1607 &amp; ")")</f>
        <v>Taux de chargement moyen pour une tournée (Catégorie 3)</v>
      </c>
      <c r="F1607" t="str">
        <f t="shared" ref="F1607" si="1542">"LivrNuitTourneeTC" &amp; $P1607</f>
        <v>LivrNuitTourneeTC3</v>
      </c>
      <c r="G1607" t="s">
        <v>17</v>
      </c>
      <c r="H1607">
        <f>(IF($I$733="Par catégorie de véhicule sélectionnée (meilleure précision)",1,0)*IF(ISNUMBER(SEARCH(C1607,$I$732)),1,0))*(IF($I$734="Le taux de chargement moyen pour une tournée",1,0))</f>
        <v>0</v>
      </c>
      <c r="I1607" s="3"/>
      <c r="K1607" t="s">
        <v>70</v>
      </c>
      <c r="N1607" t="s">
        <v>288</v>
      </c>
      <c r="P1607">
        <f t="shared" ref="P1607:P1610" si="1543">P1606</f>
        <v>3</v>
      </c>
      <c r="Q1607" s="31" t="s">
        <v>527</v>
      </c>
    </row>
    <row r="1608" spans="1:17" outlineLevel="1" x14ac:dyDescent="0.25">
      <c r="A1608" t="s">
        <v>284</v>
      </c>
      <c r="C1608">
        <v>0</v>
      </c>
      <c r="D1608" t="str">
        <f t="shared" ref="D1608" si="1544">_xlfn.CONCAT("Masse moyenne transportée sur une tournée (Catégorie " &amp; $P1608 &amp; ")")</f>
        <v>Masse moyenne transportée sur une tournée (Catégorie 3)</v>
      </c>
      <c r="F1608" t="str">
        <f t="shared" ref="F1608" si="1545">"LivrNuitTourneeMasse" &amp; $P1608</f>
        <v>LivrNuitTourneeMasse3</v>
      </c>
      <c r="G1608" t="s">
        <v>17</v>
      </c>
      <c r="H1608">
        <f>(IF($I$733="Par catégorie de véhicule sélectionnée (meilleure précision)",1,0)*IF(ISNUMBER(SEARCH(C1608,$I$732)),1,0))*(IF($I$734="La masse moyenne transportée pour une tournée",1,0))</f>
        <v>0</v>
      </c>
      <c r="K1608" t="s">
        <v>148</v>
      </c>
      <c r="N1608" t="s">
        <v>288</v>
      </c>
      <c r="P1608">
        <f t="shared" si="1543"/>
        <v>3</v>
      </c>
      <c r="Q1608" s="31" t="s">
        <v>527</v>
      </c>
    </row>
    <row r="1609" spans="1:17" outlineLevel="1" x14ac:dyDescent="0.25">
      <c r="A1609" t="s">
        <v>284</v>
      </c>
      <c r="C1609">
        <v>0</v>
      </c>
      <c r="D1609" t="str">
        <f t="shared" ref="D1609" si="1546">_xlfn.CONCAT("Ordre de grandeur du nombre annuel de tournées (Catégorie " &amp; $P1609 &amp; ")")</f>
        <v>Ordre de grandeur du nombre annuel de tournées (Catégorie 3)</v>
      </c>
      <c r="F1609" t="str">
        <f t="shared" ref="F1609" si="1547">"LivrNuitTourneeNb" &amp; $P1609</f>
        <v>LivrNuitTourneeNb3</v>
      </c>
      <c r="G1609" t="s">
        <v>17</v>
      </c>
      <c r="H1609">
        <f>IF($I$733="Par catégorie de véhicule sélectionnée (meilleure précision)",1,0)*IF(ISNUMBER(SEARCH(C1609,$I$732)),1,0)</f>
        <v>0</v>
      </c>
      <c r="K1609" t="s">
        <v>283</v>
      </c>
      <c r="N1609" t="s">
        <v>288</v>
      </c>
      <c r="P1609">
        <f t="shared" si="1543"/>
        <v>3</v>
      </c>
      <c r="Q1609" s="31" t="s">
        <v>527</v>
      </c>
    </row>
    <row r="1610" spans="1:17" outlineLevel="1" x14ac:dyDescent="0.25">
      <c r="A1610" t="s">
        <v>284</v>
      </c>
      <c r="C1610">
        <v>0</v>
      </c>
      <c r="D1610" t="str">
        <f t="shared" ref="D1610" si="1548">_xlfn.CONCAT("% de livraisons déjà en horaire décalé (Catégorie " &amp; $P1610 &amp; ")")</f>
        <v>% de livraisons déjà en horaire décalé (Catégorie 3)</v>
      </c>
      <c r="F1610" t="str">
        <f t="shared" ref="F1610" si="1549">"LivrNuitInitDecal" &amp; $P1610</f>
        <v>LivrNuitInitDecal3</v>
      </c>
      <c r="G1610" t="s">
        <v>17</v>
      </c>
      <c r="H1610">
        <f>IF($I$733="Par catégorie de véhicule sélectionnée (meilleure précision)",1,0)*IF(ISNUMBER(SEARCH(C1610,$I$732)),1,0)</f>
        <v>0</v>
      </c>
      <c r="I1610" s="18"/>
      <c r="K1610" t="s">
        <v>70</v>
      </c>
      <c r="N1610" t="s">
        <v>288</v>
      </c>
      <c r="P1610">
        <f t="shared" si="1543"/>
        <v>3</v>
      </c>
      <c r="Q1610" s="31" t="s">
        <v>527</v>
      </c>
    </row>
    <row r="1611" spans="1:17" outlineLevel="1" x14ac:dyDescent="0.25">
      <c r="A1611" t="s">
        <v>284</v>
      </c>
      <c r="C1611">
        <v>0</v>
      </c>
      <c r="D1611" t="str">
        <f t="shared" ref="D1611" si="1550">_xlfn.CONCAT("Distance moyenne d'une tournée (Catégorie " &amp; $P1611 &amp; ")")</f>
        <v>Distance moyenne d'une tournée (Catégorie 4)</v>
      </c>
      <c r="F1611" t="str">
        <f t="shared" ref="F1611" si="1551">"LivrNuitTourneeDist" &amp; $P1611</f>
        <v>LivrNuitTourneeDist4</v>
      </c>
      <c r="G1611" t="s">
        <v>17</v>
      </c>
      <c r="H1611">
        <f>IF($I$733="Par catégorie de véhicule sélectionnée (meilleure précision)",1,0)*IF(ISNUMBER(SEARCH(C1611,$I$732)),1,0)</f>
        <v>0</v>
      </c>
      <c r="K1611" t="s">
        <v>88</v>
      </c>
      <c r="N1611" t="s">
        <v>288</v>
      </c>
      <c r="P1611">
        <f t="shared" ref="P1611" si="1552">P1610+1</f>
        <v>4</v>
      </c>
      <c r="Q1611" s="31" t="s">
        <v>527</v>
      </c>
    </row>
    <row r="1612" spans="1:17" outlineLevel="1" x14ac:dyDescent="0.25">
      <c r="A1612" t="s">
        <v>284</v>
      </c>
      <c r="C1612">
        <v>0</v>
      </c>
      <c r="D1612" t="str">
        <f t="shared" ref="D1612" si="1553">_xlfn.CONCAT("Taux de chargement moyen pour une tournée (Catégorie " &amp; $P1612 &amp; ")")</f>
        <v>Taux de chargement moyen pour une tournée (Catégorie 4)</v>
      </c>
      <c r="F1612" t="str">
        <f t="shared" ref="F1612" si="1554">"LivrNuitTourneeTC" &amp; $P1612</f>
        <v>LivrNuitTourneeTC4</v>
      </c>
      <c r="G1612" t="s">
        <v>17</v>
      </c>
      <c r="H1612">
        <f>(IF($I$733="Par catégorie de véhicule sélectionnée (meilleure précision)",1,0)*IF(ISNUMBER(SEARCH(C1612,$I$732)),1,0))*(IF($I$734="Le taux de chargement moyen pour une tournée",1,0))</f>
        <v>0</v>
      </c>
      <c r="I1612" s="3"/>
      <c r="K1612" t="s">
        <v>70</v>
      </c>
      <c r="N1612" t="s">
        <v>288</v>
      </c>
      <c r="P1612">
        <f t="shared" ref="P1612:P1615" si="1555">P1611</f>
        <v>4</v>
      </c>
      <c r="Q1612" s="31" t="s">
        <v>527</v>
      </c>
    </row>
    <row r="1613" spans="1:17" outlineLevel="1" x14ac:dyDescent="0.25">
      <c r="A1613" t="s">
        <v>284</v>
      </c>
      <c r="C1613">
        <v>0</v>
      </c>
      <c r="D1613" t="str">
        <f t="shared" ref="D1613" si="1556">_xlfn.CONCAT("Masse moyenne transportée sur une tournée (Catégorie " &amp; $P1613 &amp; ")")</f>
        <v>Masse moyenne transportée sur une tournée (Catégorie 4)</v>
      </c>
      <c r="F1613" t="str">
        <f t="shared" ref="F1613" si="1557">"LivrNuitTourneeMasse" &amp; $P1613</f>
        <v>LivrNuitTourneeMasse4</v>
      </c>
      <c r="G1613" t="s">
        <v>17</v>
      </c>
      <c r="H1613">
        <f>(IF($I$733="Par catégorie de véhicule sélectionnée (meilleure précision)",1,0)*IF(ISNUMBER(SEARCH(C1613,$I$732)),1,0))*(IF($I$734="La masse moyenne transportée pour une tournée",1,0))</f>
        <v>0</v>
      </c>
      <c r="K1613" t="s">
        <v>148</v>
      </c>
      <c r="N1613" t="s">
        <v>288</v>
      </c>
      <c r="P1613">
        <f t="shared" si="1555"/>
        <v>4</v>
      </c>
      <c r="Q1613" s="31" t="s">
        <v>527</v>
      </c>
    </row>
    <row r="1614" spans="1:17" outlineLevel="1" x14ac:dyDescent="0.25">
      <c r="A1614" t="s">
        <v>284</v>
      </c>
      <c r="C1614">
        <v>0</v>
      </c>
      <c r="D1614" t="str">
        <f t="shared" ref="D1614" si="1558">_xlfn.CONCAT("Ordre de grandeur du nombre annuel de tournées (Catégorie " &amp; $P1614 &amp; ")")</f>
        <v>Ordre de grandeur du nombre annuel de tournées (Catégorie 4)</v>
      </c>
      <c r="F1614" t="str">
        <f t="shared" ref="F1614" si="1559">"LivrNuitTourneeNb" &amp; $P1614</f>
        <v>LivrNuitTourneeNb4</v>
      </c>
      <c r="G1614" t="s">
        <v>17</v>
      </c>
      <c r="H1614">
        <f>IF($I$733="Par catégorie de véhicule sélectionnée (meilleure précision)",1,0)*IF(ISNUMBER(SEARCH(C1614,$I$732)),1,0)</f>
        <v>0</v>
      </c>
      <c r="K1614" t="s">
        <v>283</v>
      </c>
      <c r="N1614" t="s">
        <v>288</v>
      </c>
      <c r="P1614">
        <f t="shared" si="1555"/>
        <v>4</v>
      </c>
      <c r="Q1614" s="31" t="s">
        <v>527</v>
      </c>
    </row>
    <row r="1615" spans="1:17" outlineLevel="1" x14ac:dyDescent="0.25">
      <c r="A1615" t="s">
        <v>284</v>
      </c>
      <c r="C1615">
        <v>0</v>
      </c>
      <c r="D1615" t="str">
        <f t="shared" ref="D1615" si="1560">_xlfn.CONCAT("% de livraisons déjà en horaire décalé (Catégorie " &amp; $P1615 &amp; ")")</f>
        <v>% de livraisons déjà en horaire décalé (Catégorie 4)</v>
      </c>
      <c r="F1615" t="str">
        <f t="shared" ref="F1615" si="1561">"LivrNuitInitDecal" &amp; $P1615</f>
        <v>LivrNuitInitDecal4</v>
      </c>
      <c r="G1615" t="s">
        <v>17</v>
      </c>
      <c r="H1615">
        <f>IF($I$733="Par catégorie de véhicule sélectionnée (meilleure précision)",1,0)*IF(ISNUMBER(SEARCH(C1615,$I$732)),1,0)</f>
        <v>0</v>
      </c>
      <c r="I1615" s="18"/>
      <c r="K1615" t="s">
        <v>70</v>
      </c>
      <c r="N1615" t="s">
        <v>288</v>
      </c>
      <c r="P1615">
        <f t="shared" si="1555"/>
        <v>4</v>
      </c>
      <c r="Q1615" s="31" t="s">
        <v>527</v>
      </c>
    </row>
    <row r="1616" spans="1:17" outlineLevel="1" x14ac:dyDescent="0.25">
      <c r="A1616" t="s">
        <v>284</v>
      </c>
      <c r="C1616">
        <v>0</v>
      </c>
      <c r="D1616" t="str">
        <f t="shared" ref="D1616" si="1562">_xlfn.CONCAT("Distance moyenne d'une tournée (Catégorie " &amp; $P1616 &amp; ")")</f>
        <v>Distance moyenne d'une tournée (Catégorie 5)</v>
      </c>
      <c r="F1616" t="str">
        <f t="shared" ref="F1616" si="1563">"LivrNuitTourneeDist" &amp; $P1616</f>
        <v>LivrNuitTourneeDist5</v>
      </c>
      <c r="G1616" t="s">
        <v>17</v>
      </c>
      <c r="H1616">
        <f>IF($I$733="Par catégorie de véhicule sélectionnée (meilleure précision)",1,0)*IF(ISNUMBER(SEARCH(C1616,$I$732)),1,0)</f>
        <v>0</v>
      </c>
      <c r="K1616" t="s">
        <v>88</v>
      </c>
      <c r="N1616" t="s">
        <v>288</v>
      </c>
      <c r="P1616">
        <f t="shared" ref="P1616" si="1564">P1615+1</f>
        <v>5</v>
      </c>
      <c r="Q1616" s="31" t="s">
        <v>527</v>
      </c>
    </row>
    <row r="1617" spans="1:17" outlineLevel="1" x14ac:dyDescent="0.25">
      <c r="A1617" t="s">
        <v>284</v>
      </c>
      <c r="C1617">
        <v>0</v>
      </c>
      <c r="D1617" t="str">
        <f t="shared" ref="D1617" si="1565">_xlfn.CONCAT("Taux de chargement moyen pour une tournée (Catégorie " &amp; $P1617 &amp; ")")</f>
        <v>Taux de chargement moyen pour une tournée (Catégorie 5)</v>
      </c>
      <c r="F1617" t="str">
        <f t="shared" ref="F1617" si="1566">"LivrNuitTourneeTC" &amp; $P1617</f>
        <v>LivrNuitTourneeTC5</v>
      </c>
      <c r="G1617" t="s">
        <v>17</v>
      </c>
      <c r="H1617">
        <f>(IF($I$733="Par catégorie de véhicule sélectionnée (meilleure précision)",1,0)*IF(ISNUMBER(SEARCH(C1617,$I$732)),1,0))*(IF($I$734="Le taux de chargement moyen pour une tournée",1,0))</f>
        <v>0</v>
      </c>
      <c r="I1617" s="3"/>
      <c r="K1617" t="s">
        <v>70</v>
      </c>
      <c r="N1617" t="s">
        <v>288</v>
      </c>
      <c r="P1617">
        <f t="shared" ref="P1617:P1620" si="1567">P1616</f>
        <v>5</v>
      </c>
      <c r="Q1617" s="31" t="s">
        <v>527</v>
      </c>
    </row>
    <row r="1618" spans="1:17" outlineLevel="1" x14ac:dyDescent="0.25">
      <c r="A1618" t="s">
        <v>284</v>
      </c>
      <c r="C1618">
        <v>0</v>
      </c>
      <c r="D1618" t="str">
        <f t="shared" ref="D1618" si="1568">_xlfn.CONCAT("Masse moyenne transportée sur une tournée (Catégorie " &amp; $P1618 &amp; ")")</f>
        <v>Masse moyenne transportée sur une tournée (Catégorie 5)</v>
      </c>
      <c r="F1618" t="str">
        <f t="shared" ref="F1618" si="1569">"LivrNuitTourneeMasse" &amp; $P1618</f>
        <v>LivrNuitTourneeMasse5</v>
      </c>
      <c r="G1618" t="s">
        <v>17</v>
      </c>
      <c r="H1618">
        <f>(IF($I$733="Par catégorie de véhicule sélectionnée (meilleure précision)",1,0)*IF(ISNUMBER(SEARCH(C1618,$I$732)),1,0))*(IF($I$734="La masse moyenne transportée pour une tournée",1,0))</f>
        <v>0</v>
      </c>
      <c r="K1618" t="s">
        <v>148</v>
      </c>
      <c r="N1618" t="s">
        <v>288</v>
      </c>
      <c r="P1618">
        <f t="shared" si="1567"/>
        <v>5</v>
      </c>
      <c r="Q1618" s="31" t="s">
        <v>527</v>
      </c>
    </row>
    <row r="1619" spans="1:17" outlineLevel="1" x14ac:dyDescent="0.25">
      <c r="A1619" t="s">
        <v>284</v>
      </c>
      <c r="C1619">
        <v>0</v>
      </c>
      <c r="D1619" t="str">
        <f t="shared" ref="D1619" si="1570">_xlfn.CONCAT("Ordre de grandeur du nombre annuel de tournées (Catégorie " &amp; $P1619 &amp; ")")</f>
        <v>Ordre de grandeur du nombre annuel de tournées (Catégorie 5)</v>
      </c>
      <c r="F1619" t="str">
        <f t="shared" ref="F1619" si="1571">"LivrNuitTourneeNb" &amp; $P1619</f>
        <v>LivrNuitTourneeNb5</v>
      </c>
      <c r="G1619" t="s">
        <v>17</v>
      </c>
      <c r="H1619">
        <f>IF($I$733="Par catégorie de véhicule sélectionnée (meilleure précision)",1,0)*IF(ISNUMBER(SEARCH(C1619,$I$732)),1,0)</f>
        <v>0</v>
      </c>
      <c r="K1619" t="s">
        <v>283</v>
      </c>
      <c r="N1619" t="s">
        <v>288</v>
      </c>
      <c r="P1619">
        <f t="shared" si="1567"/>
        <v>5</v>
      </c>
      <c r="Q1619" s="31" t="s">
        <v>527</v>
      </c>
    </row>
    <row r="1620" spans="1:17" outlineLevel="1" x14ac:dyDescent="0.25">
      <c r="A1620" t="s">
        <v>284</v>
      </c>
      <c r="C1620">
        <v>0</v>
      </c>
      <c r="D1620" t="str">
        <f t="shared" ref="D1620" si="1572">_xlfn.CONCAT("% de livraisons déjà en horaire décalé (Catégorie " &amp; $P1620 &amp; ")")</f>
        <v>% de livraisons déjà en horaire décalé (Catégorie 5)</v>
      </c>
      <c r="F1620" t="str">
        <f t="shared" ref="F1620" si="1573">"LivrNuitInitDecal" &amp; $P1620</f>
        <v>LivrNuitInitDecal5</v>
      </c>
      <c r="G1620" t="s">
        <v>17</v>
      </c>
      <c r="H1620">
        <f>IF($I$733="Par catégorie de véhicule sélectionnée (meilleure précision)",1,0)*IF(ISNUMBER(SEARCH(C1620,$I$732)),1,0)</f>
        <v>0</v>
      </c>
      <c r="I1620" s="18"/>
      <c r="K1620" t="s">
        <v>70</v>
      </c>
      <c r="N1620" t="s">
        <v>288</v>
      </c>
      <c r="P1620">
        <f t="shared" si="1567"/>
        <v>5</v>
      </c>
      <c r="Q1620" s="31" t="s">
        <v>527</v>
      </c>
    </row>
    <row r="1621" spans="1:17" outlineLevel="1" x14ac:dyDescent="0.25">
      <c r="A1621" t="s">
        <v>284</v>
      </c>
      <c r="C1621">
        <v>0</v>
      </c>
      <c r="D1621" t="str">
        <f t="shared" ref="D1621:D1636" si="1574">_xlfn.CONCAT("Distance moyenne d'une tournée (Catégorie " &amp; $P1621 &amp; ")")</f>
        <v>Distance moyenne d'une tournée (Catégorie 6)</v>
      </c>
      <c r="F1621" t="str">
        <f t="shared" ref="F1621:F1636" si="1575">"LivrNuitTourneeDist" &amp; $P1621</f>
        <v>LivrNuitTourneeDist6</v>
      </c>
      <c r="G1621" t="s">
        <v>17</v>
      </c>
      <c r="H1621">
        <f>IF($I$733="Par catégorie de véhicule sélectionnée (meilleure précision)",1,0)*IF(ISNUMBER(SEARCH(C1621,$I$732)),1,0)</f>
        <v>0</v>
      </c>
      <c r="K1621" t="s">
        <v>88</v>
      </c>
      <c r="N1621" t="s">
        <v>288</v>
      </c>
      <c r="P1621">
        <f t="shared" ref="P1621" si="1576">P1620+1</f>
        <v>6</v>
      </c>
      <c r="Q1621" s="31" t="s">
        <v>527</v>
      </c>
    </row>
    <row r="1622" spans="1:17" outlineLevel="1" x14ac:dyDescent="0.25">
      <c r="A1622" t="s">
        <v>284</v>
      </c>
      <c r="C1622">
        <v>0</v>
      </c>
      <c r="D1622" t="str">
        <f t="shared" ref="D1622:D1637" si="1577">_xlfn.CONCAT("Taux de chargement moyen pour une tournée (Catégorie " &amp; $P1622 &amp; ")")</f>
        <v>Taux de chargement moyen pour une tournée (Catégorie 6)</v>
      </c>
      <c r="F1622" t="str">
        <f t="shared" ref="F1622:F1637" si="1578">"LivrNuitTourneeTC" &amp; $P1622</f>
        <v>LivrNuitTourneeTC6</v>
      </c>
      <c r="G1622" t="s">
        <v>17</v>
      </c>
      <c r="H1622">
        <f>(IF($I$733="Par catégorie de véhicule sélectionnée (meilleure précision)",1,0)*IF(ISNUMBER(SEARCH(C1622,$I$732)),1,0))*(IF($I$734="Le taux de chargement moyen pour une tournée",1,0))</f>
        <v>0</v>
      </c>
      <c r="I1622" s="3"/>
      <c r="K1622" t="s">
        <v>70</v>
      </c>
      <c r="N1622" t="s">
        <v>288</v>
      </c>
      <c r="P1622">
        <f t="shared" ref="P1622:P1625" si="1579">P1621</f>
        <v>6</v>
      </c>
      <c r="Q1622" s="31" t="s">
        <v>527</v>
      </c>
    </row>
    <row r="1623" spans="1:17" outlineLevel="1" x14ac:dyDescent="0.25">
      <c r="A1623" t="s">
        <v>284</v>
      </c>
      <c r="C1623">
        <v>0</v>
      </c>
      <c r="D1623" t="str">
        <f t="shared" ref="D1623:D1638" si="1580">_xlfn.CONCAT("Masse moyenne transportée sur une tournée (Catégorie " &amp; $P1623 &amp; ")")</f>
        <v>Masse moyenne transportée sur une tournée (Catégorie 6)</v>
      </c>
      <c r="F1623" t="str">
        <f t="shared" ref="F1623:F1638" si="1581">"LivrNuitTourneeMasse" &amp; $P1623</f>
        <v>LivrNuitTourneeMasse6</v>
      </c>
      <c r="G1623" t="s">
        <v>17</v>
      </c>
      <c r="H1623">
        <f>(IF($I$733="Par catégorie de véhicule sélectionnée (meilleure précision)",1,0)*IF(ISNUMBER(SEARCH(C1623,$I$732)),1,0))*(IF($I$734="La masse moyenne transportée pour une tournée",1,0))</f>
        <v>0</v>
      </c>
      <c r="K1623" t="s">
        <v>148</v>
      </c>
      <c r="N1623" t="s">
        <v>288</v>
      </c>
      <c r="P1623">
        <f t="shared" si="1579"/>
        <v>6</v>
      </c>
      <c r="Q1623" s="31" t="s">
        <v>527</v>
      </c>
    </row>
    <row r="1624" spans="1:17" outlineLevel="1" x14ac:dyDescent="0.25">
      <c r="A1624" t="s">
        <v>284</v>
      </c>
      <c r="C1624">
        <v>0</v>
      </c>
      <c r="D1624" t="str">
        <f t="shared" ref="D1624:D1639" si="1582">_xlfn.CONCAT("Ordre de grandeur du nombre annuel de tournées (Catégorie " &amp; $P1624 &amp; ")")</f>
        <v>Ordre de grandeur du nombre annuel de tournées (Catégorie 6)</v>
      </c>
      <c r="F1624" t="str">
        <f t="shared" ref="F1624:F1639" si="1583">"LivrNuitTourneeNb" &amp; $P1624</f>
        <v>LivrNuitTourneeNb6</v>
      </c>
      <c r="G1624" t="s">
        <v>17</v>
      </c>
      <c r="H1624">
        <f>IF($I$733="Par catégorie de véhicule sélectionnée (meilleure précision)",1,0)*IF(ISNUMBER(SEARCH(C1624,$I$732)),1,0)</f>
        <v>0</v>
      </c>
      <c r="K1624" t="s">
        <v>283</v>
      </c>
      <c r="N1624" t="s">
        <v>288</v>
      </c>
      <c r="P1624">
        <f t="shared" si="1579"/>
        <v>6</v>
      </c>
      <c r="Q1624" s="31" t="s">
        <v>527</v>
      </c>
    </row>
    <row r="1625" spans="1:17" outlineLevel="1" x14ac:dyDescent="0.25">
      <c r="A1625" t="s">
        <v>284</v>
      </c>
      <c r="C1625">
        <v>0</v>
      </c>
      <c r="D1625" t="str">
        <f t="shared" ref="D1625:D1640" si="1584">_xlfn.CONCAT("% de livraisons déjà en horaire décalé (Catégorie " &amp; $P1625 &amp; ")")</f>
        <v>% de livraisons déjà en horaire décalé (Catégorie 6)</v>
      </c>
      <c r="F1625" t="str">
        <f t="shared" ref="F1625:F1640" si="1585">"LivrNuitInitDecal" &amp; $P1625</f>
        <v>LivrNuitInitDecal6</v>
      </c>
      <c r="G1625" t="s">
        <v>17</v>
      </c>
      <c r="H1625">
        <f>IF($I$733="Par catégorie de véhicule sélectionnée (meilleure précision)",1,0)*IF(ISNUMBER(SEARCH(C1625,$I$732)),1,0)</f>
        <v>0</v>
      </c>
      <c r="I1625" s="18"/>
      <c r="K1625" t="s">
        <v>70</v>
      </c>
      <c r="N1625" t="s">
        <v>288</v>
      </c>
      <c r="P1625">
        <f t="shared" si="1579"/>
        <v>6</v>
      </c>
      <c r="Q1625" s="31" t="s">
        <v>527</v>
      </c>
    </row>
    <row r="1626" spans="1:17" outlineLevel="1" x14ac:dyDescent="0.25">
      <c r="A1626" t="s">
        <v>284</v>
      </c>
      <c r="C1626">
        <v>0</v>
      </c>
      <c r="D1626" t="str">
        <f t="shared" ref="D1626:D1641" si="1586">_xlfn.CONCAT("Distance moyenne d'une tournée (Catégorie " &amp; $P1626 &amp; ")")</f>
        <v>Distance moyenne d'une tournée (Catégorie 7)</v>
      </c>
      <c r="F1626" t="str">
        <f t="shared" ref="F1626:F1641" si="1587">"LivrNuitTourneeDist" &amp; $P1626</f>
        <v>LivrNuitTourneeDist7</v>
      </c>
      <c r="G1626" t="s">
        <v>17</v>
      </c>
      <c r="H1626">
        <f>IF($I$733="Par catégorie de véhicule sélectionnée (meilleure précision)",1,0)*IF(ISNUMBER(SEARCH(C1626,$I$732)),1,0)</f>
        <v>0</v>
      </c>
      <c r="K1626" t="s">
        <v>88</v>
      </c>
      <c r="N1626" t="s">
        <v>288</v>
      </c>
      <c r="P1626">
        <f t="shared" ref="P1626" si="1588">P1625+1</f>
        <v>7</v>
      </c>
      <c r="Q1626" s="31" t="s">
        <v>527</v>
      </c>
    </row>
    <row r="1627" spans="1:17" outlineLevel="1" x14ac:dyDescent="0.25">
      <c r="A1627" t="s">
        <v>284</v>
      </c>
      <c r="C1627">
        <v>0</v>
      </c>
      <c r="D1627" t="str">
        <f t="shared" ref="D1627:D1642" si="1589">_xlfn.CONCAT("Taux de chargement moyen pour une tournée (Catégorie " &amp; $P1627 &amp; ")")</f>
        <v>Taux de chargement moyen pour une tournée (Catégorie 7)</v>
      </c>
      <c r="F1627" t="str">
        <f t="shared" ref="F1627:F1642" si="1590">"LivrNuitTourneeTC" &amp; $P1627</f>
        <v>LivrNuitTourneeTC7</v>
      </c>
      <c r="G1627" t="s">
        <v>17</v>
      </c>
      <c r="H1627">
        <f>(IF($I$733="Par catégorie de véhicule sélectionnée (meilleure précision)",1,0)*IF(ISNUMBER(SEARCH(C1627,$I$732)),1,0))*(IF($I$734="Le taux de chargement moyen pour une tournée",1,0))</f>
        <v>0</v>
      </c>
      <c r="I1627" s="3"/>
      <c r="K1627" t="s">
        <v>70</v>
      </c>
      <c r="N1627" t="s">
        <v>288</v>
      </c>
      <c r="P1627">
        <f t="shared" ref="P1627:P1630" si="1591">P1626</f>
        <v>7</v>
      </c>
      <c r="Q1627" s="31" t="s">
        <v>527</v>
      </c>
    </row>
    <row r="1628" spans="1:17" outlineLevel="1" x14ac:dyDescent="0.25">
      <c r="A1628" t="s">
        <v>284</v>
      </c>
      <c r="C1628">
        <v>0</v>
      </c>
      <c r="D1628" t="str">
        <f t="shared" ref="D1628:D1643" si="1592">_xlfn.CONCAT("Masse moyenne transportée sur une tournée (Catégorie " &amp; $P1628 &amp; ")")</f>
        <v>Masse moyenne transportée sur une tournée (Catégorie 7)</v>
      </c>
      <c r="F1628" t="str">
        <f t="shared" ref="F1628:F1643" si="1593">"LivrNuitTourneeMasse" &amp; $P1628</f>
        <v>LivrNuitTourneeMasse7</v>
      </c>
      <c r="G1628" t="s">
        <v>17</v>
      </c>
      <c r="H1628">
        <f>(IF($I$733="Par catégorie de véhicule sélectionnée (meilleure précision)",1,0)*IF(ISNUMBER(SEARCH(C1628,$I$732)),1,0))*(IF($I$734="La masse moyenne transportée pour une tournée",1,0))</f>
        <v>0</v>
      </c>
      <c r="K1628" t="s">
        <v>148</v>
      </c>
      <c r="N1628" t="s">
        <v>288</v>
      </c>
      <c r="P1628">
        <f t="shared" si="1591"/>
        <v>7</v>
      </c>
      <c r="Q1628" s="31" t="s">
        <v>527</v>
      </c>
    </row>
    <row r="1629" spans="1:17" outlineLevel="1" x14ac:dyDescent="0.25">
      <c r="A1629" t="s">
        <v>284</v>
      </c>
      <c r="C1629">
        <v>0</v>
      </c>
      <c r="D1629" t="str">
        <f t="shared" ref="D1629:D1644" si="1594">_xlfn.CONCAT("Ordre de grandeur du nombre annuel de tournées (Catégorie " &amp; $P1629 &amp; ")")</f>
        <v>Ordre de grandeur du nombre annuel de tournées (Catégorie 7)</v>
      </c>
      <c r="F1629" t="str">
        <f t="shared" ref="F1629:F1644" si="1595">"LivrNuitTourneeNb" &amp; $P1629</f>
        <v>LivrNuitTourneeNb7</v>
      </c>
      <c r="G1629" t="s">
        <v>17</v>
      </c>
      <c r="H1629">
        <f>IF($I$733="Par catégorie de véhicule sélectionnée (meilleure précision)",1,0)*IF(ISNUMBER(SEARCH(C1629,$I$732)),1,0)</f>
        <v>0</v>
      </c>
      <c r="K1629" t="s">
        <v>283</v>
      </c>
      <c r="N1629" t="s">
        <v>288</v>
      </c>
      <c r="P1629">
        <f t="shared" si="1591"/>
        <v>7</v>
      </c>
      <c r="Q1629" s="31" t="s">
        <v>527</v>
      </c>
    </row>
    <row r="1630" spans="1:17" outlineLevel="1" x14ac:dyDescent="0.25">
      <c r="A1630" t="s">
        <v>284</v>
      </c>
      <c r="C1630">
        <v>0</v>
      </c>
      <c r="D1630" t="str">
        <f t="shared" ref="D1630:D1645" si="1596">_xlfn.CONCAT("% de livraisons déjà en horaire décalé (Catégorie " &amp; $P1630 &amp; ")")</f>
        <v>% de livraisons déjà en horaire décalé (Catégorie 7)</v>
      </c>
      <c r="F1630" t="str">
        <f t="shared" ref="F1630:F1645" si="1597">"LivrNuitInitDecal" &amp; $P1630</f>
        <v>LivrNuitInitDecal7</v>
      </c>
      <c r="G1630" t="s">
        <v>17</v>
      </c>
      <c r="H1630">
        <f>IF($I$733="Par catégorie de véhicule sélectionnée (meilleure précision)",1,0)*IF(ISNUMBER(SEARCH(C1630,$I$732)),1,0)</f>
        <v>0</v>
      </c>
      <c r="I1630" s="18"/>
      <c r="K1630" t="s">
        <v>70</v>
      </c>
      <c r="N1630" t="s">
        <v>288</v>
      </c>
      <c r="P1630">
        <f t="shared" si="1591"/>
        <v>7</v>
      </c>
      <c r="Q1630" s="31" t="s">
        <v>527</v>
      </c>
    </row>
    <row r="1631" spans="1:17" outlineLevel="1" x14ac:dyDescent="0.25">
      <c r="A1631" t="s">
        <v>284</v>
      </c>
      <c r="C1631">
        <v>0</v>
      </c>
      <c r="D1631" t="str">
        <f t="shared" ref="D1631" si="1598">_xlfn.CONCAT("Distance moyenne d'une tournée (Catégorie " &amp; $P1631 &amp; ")")</f>
        <v>Distance moyenne d'une tournée (Catégorie 8)</v>
      </c>
      <c r="F1631" t="str">
        <f t="shared" ref="F1631" si="1599">"LivrNuitTourneeDist" &amp; $P1631</f>
        <v>LivrNuitTourneeDist8</v>
      </c>
      <c r="G1631" t="s">
        <v>17</v>
      </c>
      <c r="H1631">
        <f>IF($I$733="Par catégorie de véhicule sélectionnée (meilleure précision)",1,0)*IF(ISNUMBER(SEARCH(C1631,$I$732)),1,0)</f>
        <v>0</v>
      </c>
      <c r="K1631" t="s">
        <v>88</v>
      </c>
      <c r="N1631" t="s">
        <v>288</v>
      </c>
      <c r="P1631">
        <f t="shared" ref="P1631" si="1600">P1630+1</f>
        <v>8</v>
      </c>
      <c r="Q1631" s="31" t="s">
        <v>527</v>
      </c>
    </row>
    <row r="1632" spans="1:17" outlineLevel="1" x14ac:dyDescent="0.25">
      <c r="A1632" t="s">
        <v>284</v>
      </c>
      <c r="C1632">
        <v>0</v>
      </c>
      <c r="D1632" t="str">
        <f t="shared" ref="D1632" si="1601">_xlfn.CONCAT("Taux de chargement moyen pour une tournée (Catégorie " &amp; $P1632 &amp; ")")</f>
        <v>Taux de chargement moyen pour une tournée (Catégorie 8)</v>
      </c>
      <c r="F1632" t="str">
        <f t="shared" ref="F1632" si="1602">"LivrNuitTourneeTC" &amp; $P1632</f>
        <v>LivrNuitTourneeTC8</v>
      </c>
      <c r="G1632" t="s">
        <v>17</v>
      </c>
      <c r="H1632">
        <f>(IF($I$733="Par catégorie de véhicule sélectionnée (meilleure précision)",1,0)*IF(ISNUMBER(SEARCH(C1632,$I$732)),1,0))*(IF($I$734="Le taux de chargement moyen pour une tournée",1,0))</f>
        <v>0</v>
      </c>
      <c r="I1632" s="3"/>
      <c r="K1632" t="s">
        <v>70</v>
      </c>
      <c r="N1632" t="s">
        <v>288</v>
      </c>
      <c r="P1632">
        <f t="shared" ref="P1632:P1635" si="1603">P1631</f>
        <v>8</v>
      </c>
      <c r="Q1632" s="31" t="s">
        <v>527</v>
      </c>
    </row>
    <row r="1633" spans="1:17" outlineLevel="1" x14ac:dyDescent="0.25">
      <c r="A1633" t="s">
        <v>284</v>
      </c>
      <c r="C1633">
        <v>0</v>
      </c>
      <c r="D1633" t="str">
        <f t="shared" ref="D1633" si="1604">_xlfn.CONCAT("Masse moyenne transportée sur une tournée (Catégorie " &amp; $P1633 &amp; ")")</f>
        <v>Masse moyenne transportée sur une tournée (Catégorie 8)</v>
      </c>
      <c r="F1633" t="str">
        <f t="shared" ref="F1633" si="1605">"LivrNuitTourneeMasse" &amp; $P1633</f>
        <v>LivrNuitTourneeMasse8</v>
      </c>
      <c r="G1633" t="s">
        <v>17</v>
      </c>
      <c r="H1633">
        <f>(IF($I$733="Par catégorie de véhicule sélectionnée (meilleure précision)",1,0)*IF(ISNUMBER(SEARCH(C1633,$I$732)),1,0))*(IF($I$734="La masse moyenne transportée pour une tournée",1,0))</f>
        <v>0</v>
      </c>
      <c r="K1633" t="s">
        <v>148</v>
      </c>
      <c r="N1633" t="s">
        <v>288</v>
      </c>
      <c r="P1633">
        <f t="shared" si="1603"/>
        <v>8</v>
      </c>
      <c r="Q1633" s="31" t="s">
        <v>527</v>
      </c>
    </row>
    <row r="1634" spans="1:17" outlineLevel="1" x14ac:dyDescent="0.25">
      <c r="A1634" t="s">
        <v>284</v>
      </c>
      <c r="C1634">
        <v>0</v>
      </c>
      <c r="D1634" t="str">
        <f t="shared" ref="D1634" si="1606">_xlfn.CONCAT("Ordre de grandeur du nombre annuel de tournées (Catégorie " &amp; $P1634 &amp; ")")</f>
        <v>Ordre de grandeur du nombre annuel de tournées (Catégorie 8)</v>
      </c>
      <c r="F1634" t="str">
        <f t="shared" ref="F1634" si="1607">"LivrNuitTourneeNb" &amp; $P1634</f>
        <v>LivrNuitTourneeNb8</v>
      </c>
      <c r="G1634" t="s">
        <v>17</v>
      </c>
      <c r="H1634">
        <f>IF($I$733="Par catégorie de véhicule sélectionnée (meilleure précision)",1,0)*IF(ISNUMBER(SEARCH(C1634,$I$732)),1,0)</f>
        <v>0</v>
      </c>
      <c r="K1634" t="s">
        <v>283</v>
      </c>
      <c r="N1634" t="s">
        <v>288</v>
      </c>
      <c r="P1634">
        <f t="shared" si="1603"/>
        <v>8</v>
      </c>
      <c r="Q1634" s="31" t="s">
        <v>527</v>
      </c>
    </row>
    <row r="1635" spans="1:17" outlineLevel="1" x14ac:dyDescent="0.25">
      <c r="A1635" t="s">
        <v>284</v>
      </c>
      <c r="C1635">
        <v>0</v>
      </c>
      <c r="D1635" t="str">
        <f t="shared" ref="D1635" si="1608">_xlfn.CONCAT("% de livraisons déjà en horaire décalé (Catégorie " &amp; $P1635 &amp; ")")</f>
        <v>% de livraisons déjà en horaire décalé (Catégorie 8)</v>
      </c>
      <c r="F1635" t="str">
        <f t="shared" ref="F1635" si="1609">"LivrNuitInitDecal" &amp; $P1635</f>
        <v>LivrNuitInitDecal8</v>
      </c>
      <c r="G1635" t="s">
        <v>17</v>
      </c>
      <c r="H1635">
        <f>IF($I$733="Par catégorie de véhicule sélectionnée (meilleure précision)",1,0)*IF(ISNUMBER(SEARCH(C1635,$I$732)),1,0)</f>
        <v>0</v>
      </c>
      <c r="I1635" s="18"/>
      <c r="K1635" t="s">
        <v>70</v>
      </c>
      <c r="N1635" t="s">
        <v>288</v>
      </c>
      <c r="P1635">
        <f t="shared" si="1603"/>
        <v>8</v>
      </c>
      <c r="Q1635" s="31" t="s">
        <v>527</v>
      </c>
    </row>
    <row r="1636" spans="1:17" outlineLevel="1" x14ac:dyDescent="0.25">
      <c r="A1636" t="s">
        <v>284</v>
      </c>
      <c r="C1636">
        <v>0</v>
      </c>
      <c r="D1636" t="str">
        <f t="shared" si="1574"/>
        <v>Distance moyenne d'une tournée (Catégorie 9)</v>
      </c>
      <c r="F1636" t="str">
        <f t="shared" si="1575"/>
        <v>LivrNuitTourneeDist9</v>
      </c>
      <c r="G1636" t="s">
        <v>17</v>
      </c>
      <c r="H1636">
        <f>IF($I$733="Par catégorie de véhicule sélectionnée (meilleure précision)",1,0)*IF(ISNUMBER(SEARCH(C1636,$I$732)),1,0)</f>
        <v>0</v>
      </c>
      <c r="K1636" t="s">
        <v>88</v>
      </c>
      <c r="N1636" t="s">
        <v>288</v>
      </c>
      <c r="P1636">
        <f t="shared" ref="P1636" si="1610">P1635+1</f>
        <v>9</v>
      </c>
      <c r="Q1636" s="31" t="s">
        <v>527</v>
      </c>
    </row>
    <row r="1637" spans="1:17" outlineLevel="1" x14ac:dyDescent="0.25">
      <c r="A1637" t="s">
        <v>284</v>
      </c>
      <c r="C1637">
        <v>0</v>
      </c>
      <c r="D1637" t="str">
        <f t="shared" si="1577"/>
        <v>Taux de chargement moyen pour une tournée (Catégorie 9)</v>
      </c>
      <c r="F1637" t="str">
        <f t="shared" si="1578"/>
        <v>LivrNuitTourneeTC9</v>
      </c>
      <c r="G1637" t="s">
        <v>17</v>
      </c>
      <c r="H1637">
        <f>(IF($I$733="Par catégorie de véhicule sélectionnée (meilleure précision)",1,0)*IF(ISNUMBER(SEARCH(C1637,$I$732)),1,0))*(IF($I$734="Le taux de chargement moyen pour une tournée",1,0))</f>
        <v>0</v>
      </c>
      <c r="I1637" s="3"/>
      <c r="K1637" t="s">
        <v>70</v>
      </c>
      <c r="N1637" t="s">
        <v>288</v>
      </c>
      <c r="P1637">
        <f t="shared" ref="P1637:P1640" si="1611">P1636</f>
        <v>9</v>
      </c>
      <c r="Q1637" s="31" t="s">
        <v>527</v>
      </c>
    </row>
    <row r="1638" spans="1:17" outlineLevel="1" x14ac:dyDescent="0.25">
      <c r="A1638" t="s">
        <v>284</v>
      </c>
      <c r="C1638">
        <v>0</v>
      </c>
      <c r="D1638" t="str">
        <f t="shared" si="1580"/>
        <v>Masse moyenne transportée sur une tournée (Catégorie 9)</v>
      </c>
      <c r="F1638" t="str">
        <f t="shared" si="1581"/>
        <v>LivrNuitTourneeMasse9</v>
      </c>
      <c r="G1638" t="s">
        <v>17</v>
      </c>
      <c r="H1638">
        <f>(IF($I$733="Par catégorie de véhicule sélectionnée (meilleure précision)",1,0)*IF(ISNUMBER(SEARCH(C1638,$I$732)),1,0))*(IF($I$734="La masse moyenne transportée pour une tournée",1,0))</f>
        <v>0</v>
      </c>
      <c r="K1638" t="s">
        <v>148</v>
      </c>
      <c r="N1638" t="s">
        <v>288</v>
      </c>
      <c r="P1638">
        <f t="shared" si="1611"/>
        <v>9</v>
      </c>
      <c r="Q1638" s="31" t="s">
        <v>527</v>
      </c>
    </row>
    <row r="1639" spans="1:17" outlineLevel="1" x14ac:dyDescent="0.25">
      <c r="A1639" t="s">
        <v>284</v>
      </c>
      <c r="C1639">
        <v>0</v>
      </c>
      <c r="D1639" t="str">
        <f t="shared" si="1582"/>
        <v>Ordre de grandeur du nombre annuel de tournées (Catégorie 9)</v>
      </c>
      <c r="F1639" t="str">
        <f t="shared" si="1583"/>
        <v>LivrNuitTourneeNb9</v>
      </c>
      <c r="G1639" t="s">
        <v>17</v>
      </c>
      <c r="H1639">
        <f>IF($I$733="Par catégorie de véhicule sélectionnée (meilleure précision)",1,0)*IF(ISNUMBER(SEARCH(C1639,$I$732)),1,0)</f>
        <v>0</v>
      </c>
      <c r="K1639" t="s">
        <v>283</v>
      </c>
      <c r="N1639" t="s">
        <v>288</v>
      </c>
      <c r="P1639">
        <f t="shared" si="1611"/>
        <v>9</v>
      </c>
      <c r="Q1639" s="31" t="s">
        <v>527</v>
      </c>
    </row>
    <row r="1640" spans="1:17" outlineLevel="1" x14ac:dyDescent="0.25">
      <c r="A1640" t="s">
        <v>284</v>
      </c>
      <c r="C1640">
        <v>0</v>
      </c>
      <c r="D1640" t="str">
        <f t="shared" si="1584"/>
        <v>% de livraisons déjà en horaire décalé (Catégorie 9)</v>
      </c>
      <c r="F1640" t="str">
        <f t="shared" si="1585"/>
        <v>LivrNuitInitDecal9</v>
      </c>
      <c r="G1640" t="s">
        <v>17</v>
      </c>
      <c r="H1640">
        <f>IF($I$733="Par catégorie de véhicule sélectionnée (meilleure précision)",1,0)*IF(ISNUMBER(SEARCH(C1640,$I$732)),1,0)</f>
        <v>0</v>
      </c>
      <c r="I1640" s="18"/>
      <c r="K1640" t="s">
        <v>70</v>
      </c>
      <c r="N1640" t="s">
        <v>288</v>
      </c>
      <c r="P1640">
        <f t="shared" si="1611"/>
        <v>9</v>
      </c>
      <c r="Q1640" s="31" t="s">
        <v>527</v>
      </c>
    </row>
    <row r="1641" spans="1:17" outlineLevel="1" x14ac:dyDescent="0.25">
      <c r="A1641" t="s">
        <v>284</v>
      </c>
      <c r="C1641">
        <v>0</v>
      </c>
      <c r="D1641" t="str">
        <f t="shared" si="1586"/>
        <v>Distance moyenne d'une tournée (Catégorie 10)</v>
      </c>
      <c r="F1641" t="str">
        <f t="shared" si="1587"/>
        <v>LivrNuitTourneeDist10</v>
      </c>
      <c r="G1641" t="s">
        <v>17</v>
      </c>
      <c r="H1641">
        <f>IF($I$733="Par catégorie de véhicule sélectionnée (meilleure précision)",1,0)*IF(ISNUMBER(SEARCH(C1641,$I$732)),1,0)</f>
        <v>0</v>
      </c>
      <c r="K1641" t="s">
        <v>88</v>
      </c>
      <c r="N1641" t="s">
        <v>288</v>
      </c>
      <c r="P1641">
        <f t="shared" ref="P1641" si="1612">P1640+1</f>
        <v>10</v>
      </c>
      <c r="Q1641" s="31" t="s">
        <v>527</v>
      </c>
    </row>
    <row r="1642" spans="1:17" outlineLevel="1" x14ac:dyDescent="0.25">
      <c r="A1642" t="s">
        <v>284</v>
      </c>
      <c r="C1642">
        <v>0</v>
      </c>
      <c r="D1642" t="str">
        <f t="shared" si="1589"/>
        <v>Taux de chargement moyen pour une tournée (Catégorie 10)</v>
      </c>
      <c r="F1642" t="str">
        <f t="shared" si="1590"/>
        <v>LivrNuitTourneeTC10</v>
      </c>
      <c r="G1642" t="s">
        <v>17</v>
      </c>
      <c r="H1642">
        <f>(IF($I$733="Par catégorie de véhicule sélectionnée (meilleure précision)",1,0)*IF(ISNUMBER(SEARCH(C1642,$I$732)),1,0))*(IF($I$734="Le taux de chargement moyen pour une tournée",1,0))</f>
        <v>0</v>
      </c>
      <c r="I1642" s="3"/>
      <c r="K1642" t="s">
        <v>70</v>
      </c>
      <c r="N1642" t="s">
        <v>288</v>
      </c>
      <c r="P1642">
        <f t="shared" ref="P1642:P1645" si="1613">P1641</f>
        <v>10</v>
      </c>
      <c r="Q1642" s="31" t="s">
        <v>527</v>
      </c>
    </row>
    <row r="1643" spans="1:17" outlineLevel="1" x14ac:dyDescent="0.25">
      <c r="A1643" t="s">
        <v>284</v>
      </c>
      <c r="C1643">
        <v>0</v>
      </c>
      <c r="D1643" t="str">
        <f t="shared" si="1592"/>
        <v>Masse moyenne transportée sur une tournée (Catégorie 10)</v>
      </c>
      <c r="F1643" t="str">
        <f t="shared" si="1593"/>
        <v>LivrNuitTourneeMasse10</v>
      </c>
      <c r="G1643" t="s">
        <v>17</v>
      </c>
      <c r="H1643">
        <f>(IF($I$733="Par catégorie de véhicule sélectionnée (meilleure précision)",1,0)*IF(ISNUMBER(SEARCH(C1643,$I$732)),1,0))*(IF($I$734="La masse moyenne transportée pour une tournée",1,0))</f>
        <v>0</v>
      </c>
      <c r="K1643" t="s">
        <v>148</v>
      </c>
      <c r="N1643" t="s">
        <v>288</v>
      </c>
      <c r="P1643">
        <f t="shared" si="1613"/>
        <v>10</v>
      </c>
      <c r="Q1643" s="31" t="s">
        <v>527</v>
      </c>
    </row>
    <row r="1644" spans="1:17" outlineLevel="1" x14ac:dyDescent="0.25">
      <c r="A1644" t="s">
        <v>284</v>
      </c>
      <c r="C1644">
        <v>0</v>
      </c>
      <c r="D1644" t="str">
        <f t="shared" si="1594"/>
        <v>Ordre de grandeur du nombre annuel de tournées (Catégorie 10)</v>
      </c>
      <c r="F1644" t="str">
        <f t="shared" si="1595"/>
        <v>LivrNuitTourneeNb10</v>
      </c>
      <c r="G1644" t="s">
        <v>17</v>
      </c>
      <c r="H1644">
        <f>IF($I$733="Par catégorie de véhicule sélectionnée (meilleure précision)",1,0)*IF(ISNUMBER(SEARCH(C1644,$I$732)),1,0)</f>
        <v>0</v>
      </c>
      <c r="K1644" t="s">
        <v>283</v>
      </c>
      <c r="N1644" t="s">
        <v>288</v>
      </c>
      <c r="P1644">
        <f t="shared" si="1613"/>
        <v>10</v>
      </c>
      <c r="Q1644" s="31" t="s">
        <v>527</v>
      </c>
    </row>
    <row r="1645" spans="1:17" outlineLevel="1" x14ac:dyDescent="0.25">
      <c r="A1645" t="s">
        <v>284</v>
      </c>
      <c r="C1645">
        <v>0</v>
      </c>
      <c r="D1645" t="str">
        <f t="shared" si="1596"/>
        <v>% de livraisons déjà en horaire décalé (Catégorie 10)</v>
      </c>
      <c r="F1645" t="str">
        <f t="shared" si="1597"/>
        <v>LivrNuitInitDecal10</v>
      </c>
      <c r="G1645" t="s">
        <v>17</v>
      </c>
      <c r="H1645">
        <f>IF($I$733="Par catégorie de véhicule sélectionnée (meilleure précision)",1,0)*IF(ISNUMBER(SEARCH(C1645,$I$732)),1,0)</f>
        <v>0</v>
      </c>
      <c r="I1645" s="18"/>
      <c r="K1645" t="s">
        <v>70</v>
      </c>
      <c r="N1645" t="s">
        <v>288</v>
      </c>
      <c r="P1645">
        <f t="shared" si="1613"/>
        <v>10</v>
      </c>
      <c r="Q1645" s="31" t="s">
        <v>527</v>
      </c>
    </row>
    <row r="1646" spans="1:17" outlineLevel="1" x14ac:dyDescent="0.25">
      <c r="A1646" t="s">
        <v>284</v>
      </c>
      <c r="C1646">
        <v>0</v>
      </c>
      <c r="D1646" t="str">
        <f>_xlfn.CONCAT("Distance moyenne d'une tournée (Catégorie " &amp; $P1646 &amp; ")")</f>
        <v>Distance moyenne d'une tournée (Catégorie 11)</v>
      </c>
      <c r="F1646" t="str">
        <f>"LivrNuitTourneeDist" &amp; $P1646</f>
        <v>LivrNuitTourneeDist11</v>
      </c>
      <c r="G1646" t="s">
        <v>17</v>
      </c>
      <c r="H1646">
        <f>IF($I$733="Par catégorie de véhicule sélectionnée (meilleure précision)",1,0)*IF(ISNUMBER(SEARCH(C1646,$I$732)),1,0)</f>
        <v>0</v>
      </c>
      <c r="K1646" t="s">
        <v>88</v>
      </c>
      <c r="N1646" t="s">
        <v>288</v>
      </c>
      <c r="P1646">
        <f>P1645+1</f>
        <v>11</v>
      </c>
      <c r="Q1646" s="31" t="s">
        <v>527</v>
      </c>
    </row>
    <row r="1647" spans="1:17" outlineLevel="1" x14ac:dyDescent="0.25">
      <c r="A1647" t="s">
        <v>284</v>
      </c>
      <c r="C1647">
        <v>0</v>
      </c>
      <c r="D1647" t="str">
        <f>_xlfn.CONCAT("Taux de chargement moyen pour une tournée (Catégorie " &amp; $P1647 &amp; ")")</f>
        <v>Taux de chargement moyen pour une tournée (Catégorie 11)</v>
      </c>
      <c r="F1647" t="str">
        <f>"LivrNuitTourneeTC" &amp; $P1647</f>
        <v>LivrNuitTourneeTC11</v>
      </c>
      <c r="G1647" t="s">
        <v>17</v>
      </c>
      <c r="H1647">
        <f>(IF($I$733="Par catégorie de véhicule sélectionnée (meilleure précision)",1,0)*IF(ISNUMBER(SEARCH(C1647,$I$732)),1,0))*(IF($I$734="Le taux de chargement moyen pour une tournée",1,0))</f>
        <v>0</v>
      </c>
      <c r="I1647" s="3"/>
      <c r="K1647" t="s">
        <v>70</v>
      </c>
      <c r="N1647" t="s">
        <v>288</v>
      </c>
      <c r="P1647">
        <f>P1646</f>
        <v>11</v>
      </c>
      <c r="Q1647" s="31" t="s">
        <v>527</v>
      </c>
    </row>
    <row r="1648" spans="1:17" outlineLevel="1" x14ac:dyDescent="0.25">
      <c r="A1648" t="s">
        <v>284</v>
      </c>
      <c r="C1648">
        <v>0</v>
      </c>
      <c r="D1648" t="str">
        <f>_xlfn.CONCAT("Masse moyenne transportée sur une tournée (Catégorie " &amp; $P1648 &amp; ")")</f>
        <v>Masse moyenne transportée sur une tournée (Catégorie 11)</v>
      </c>
      <c r="F1648" t="str">
        <f>"LivrNuitTourneeMasse" &amp; $P1648</f>
        <v>LivrNuitTourneeMasse11</v>
      </c>
      <c r="G1648" t="s">
        <v>17</v>
      </c>
      <c r="H1648">
        <f>(IF($I$733="Par catégorie de véhicule sélectionnée (meilleure précision)",1,0)*IF(ISNUMBER(SEARCH(C1648,$I$732)),1,0))*(IF($I$734="La masse moyenne transportée pour une tournée",1,0))</f>
        <v>0</v>
      </c>
      <c r="K1648" t="s">
        <v>148</v>
      </c>
      <c r="N1648" t="s">
        <v>288</v>
      </c>
      <c r="P1648">
        <f>P1647</f>
        <v>11</v>
      </c>
      <c r="Q1648" s="31" t="s">
        <v>527</v>
      </c>
    </row>
    <row r="1649" spans="1:17" outlineLevel="1" x14ac:dyDescent="0.25">
      <c r="A1649" t="s">
        <v>284</v>
      </c>
      <c r="C1649">
        <v>0</v>
      </c>
      <c r="D1649" t="str">
        <f>_xlfn.CONCAT("Ordre de grandeur du nombre annuel de tournées (Catégorie " &amp; $P1649 &amp; ")")</f>
        <v>Ordre de grandeur du nombre annuel de tournées (Catégorie 11)</v>
      </c>
      <c r="F1649" t="str">
        <f>"LivrNuitTourneeNb" &amp; $P1649</f>
        <v>LivrNuitTourneeNb11</v>
      </c>
      <c r="G1649" t="s">
        <v>17</v>
      </c>
      <c r="H1649">
        <f>IF($I$733="Par catégorie de véhicule sélectionnée (meilleure précision)",1,0)*IF(ISNUMBER(SEARCH(C1649,$I$732)),1,0)</f>
        <v>0</v>
      </c>
      <c r="K1649" t="s">
        <v>283</v>
      </c>
      <c r="N1649" t="s">
        <v>288</v>
      </c>
      <c r="P1649">
        <f>P1648</f>
        <v>11</v>
      </c>
      <c r="Q1649" s="31" t="s">
        <v>527</v>
      </c>
    </row>
    <row r="1650" spans="1:17" outlineLevel="1" x14ac:dyDescent="0.25">
      <c r="A1650" t="s">
        <v>284</v>
      </c>
      <c r="C1650">
        <v>0</v>
      </c>
      <c r="D1650" t="str">
        <f>_xlfn.CONCAT("% de livraisons déjà en horaire décalé (Catégorie " &amp; $P1650 &amp; ")")</f>
        <v>% de livraisons déjà en horaire décalé (Catégorie 11)</v>
      </c>
      <c r="F1650" t="str">
        <f>"LivrNuitInitDecal" &amp; $P1650</f>
        <v>LivrNuitInitDecal11</v>
      </c>
      <c r="G1650" t="s">
        <v>17</v>
      </c>
      <c r="H1650">
        <f>IF($I$733="Par catégorie de véhicule sélectionnée (meilleure précision)",1,0)*IF(ISNUMBER(SEARCH(C1650,$I$732)),1,0)</f>
        <v>0</v>
      </c>
      <c r="I1650" s="18"/>
      <c r="K1650" t="s">
        <v>70</v>
      </c>
      <c r="N1650" t="s">
        <v>288</v>
      </c>
      <c r="P1650">
        <f>P1649</f>
        <v>11</v>
      </c>
      <c r="Q1650" s="31" t="s">
        <v>527</v>
      </c>
    </row>
    <row r="1651" spans="1:17" outlineLevel="1" x14ac:dyDescent="0.25">
      <c r="A1651" t="s">
        <v>284</v>
      </c>
      <c r="C1651">
        <v>0</v>
      </c>
      <c r="D1651" t="str">
        <f t="shared" ref="D1651" si="1614">_xlfn.CONCAT("Distance moyenne d'une tournée (Catégorie " &amp; $P1651 &amp; ")")</f>
        <v>Distance moyenne d'une tournée (Catégorie 12)</v>
      </c>
      <c r="F1651" t="str">
        <f t="shared" ref="F1651" si="1615">"LivrNuitTourneeDist" &amp; $P1651</f>
        <v>LivrNuitTourneeDist12</v>
      </c>
      <c r="G1651" t="s">
        <v>17</v>
      </c>
      <c r="H1651">
        <f>IF($I$733="Par catégorie de véhicule sélectionnée (meilleure précision)",1,0)*IF(ISNUMBER(SEARCH(C1651,$I$732)),1,0)</f>
        <v>0</v>
      </c>
      <c r="K1651" t="s">
        <v>88</v>
      </c>
      <c r="N1651" t="s">
        <v>288</v>
      </c>
      <c r="P1651">
        <f t="shared" ref="P1651" si="1616">P1650+1</f>
        <v>12</v>
      </c>
      <c r="Q1651" s="31" t="s">
        <v>527</v>
      </c>
    </row>
    <row r="1652" spans="1:17" outlineLevel="1" x14ac:dyDescent="0.25">
      <c r="A1652" t="s">
        <v>284</v>
      </c>
      <c r="C1652">
        <v>0</v>
      </c>
      <c r="D1652" t="str">
        <f t="shared" ref="D1652" si="1617">_xlfn.CONCAT("Taux de chargement moyen pour une tournée (Catégorie " &amp; $P1652 &amp; ")")</f>
        <v>Taux de chargement moyen pour une tournée (Catégorie 12)</v>
      </c>
      <c r="F1652" t="str">
        <f t="shared" ref="F1652" si="1618">"LivrNuitTourneeTC" &amp; $P1652</f>
        <v>LivrNuitTourneeTC12</v>
      </c>
      <c r="G1652" t="s">
        <v>17</v>
      </c>
      <c r="H1652">
        <f>(IF($I$733="Par catégorie de véhicule sélectionnée (meilleure précision)",1,0)*IF(ISNUMBER(SEARCH(C1652,$I$732)),1,0))*(IF($I$734="Le taux de chargement moyen pour une tournée",1,0))</f>
        <v>0</v>
      </c>
      <c r="I1652" s="3"/>
      <c r="K1652" t="s">
        <v>70</v>
      </c>
      <c r="N1652" t="s">
        <v>288</v>
      </c>
      <c r="P1652">
        <f t="shared" ref="P1652:P1655" si="1619">P1651</f>
        <v>12</v>
      </c>
      <c r="Q1652" s="31" t="s">
        <v>527</v>
      </c>
    </row>
    <row r="1653" spans="1:17" outlineLevel="1" x14ac:dyDescent="0.25">
      <c r="A1653" t="s">
        <v>284</v>
      </c>
      <c r="C1653">
        <v>0</v>
      </c>
      <c r="D1653" t="str">
        <f t="shared" ref="D1653" si="1620">_xlfn.CONCAT("Masse moyenne transportée sur une tournée (Catégorie " &amp; $P1653 &amp; ")")</f>
        <v>Masse moyenne transportée sur une tournée (Catégorie 12)</v>
      </c>
      <c r="F1653" t="str">
        <f t="shared" ref="F1653" si="1621">"LivrNuitTourneeMasse" &amp; $P1653</f>
        <v>LivrNuitTourneeMasse12</v>
      </c>
      <c r="G1653" t="s">
        <v>17</v>
      </c>
      <c r="H1653">
        <f>(IF($I$733="Par catégorie de véhicule sélectionnée (meilleure précision)",1,0)*IF(ISNUMBER(SEARCH(C1653,$I$732)),1,0))*(IF($I$734="La masse moyenne transportée pour une tournée",1,0))</f>
        <v>0</v>
      </c>
      <c r="K1653" t="s">
        <v>148</v>
      </c>
      <c r="N1653" t="s">
        <v>288</v>
      </c>
      <c r="P1653">
        <f t="shared" si="1619"/>
        <v>12</v>
      </c>
      <c r="Q1653" s="31" t="s">
        <v>527</v>
      </c>
    </row>
    <row r="1654" spans="1:17" outlineLevel="1" x14ac:dyDescent="0.25">
      <c r="A1654" t="s">
        <v>284</v>
      </c>
      <c r="C1654">
        <v>0</v>
      </c>
      <c r="D1654" t="str">
        <f t="shared" ref="D1654" si="1622">_xlfn.CONCAT("Ordre de grandeur du nombre annuel de tournées (Catégorie " &amp; $P1654 &amp; ")")</f>
        <v>Ordre de grandeur du nombre annuel de tournées (Catégorie 12)</v>
      </c>
      <c r="F1654" t="str">
        <f t="shared" ref="F1654" si="1623">"LivrNuitTourneeNb" &amp; $P1654</f>
        <v>LivrNuitTourneeNb12</v>
      </c>
      <c r="G1654" t="s">
        <v>17</v>
      </c>
      <c r="H1654">
        <f>IF($I$733="Par catégorie de véhicule sélectionnée (meilleure précision)",1,0)*IF(ISNUMBER(SEARCH(C1654,$I$732)),1,0)</f>
        <v>0</v>
      </c>
      <c r="K1654" t="s">
        <v>283</v>
      </c>
      <c r="N1654" t="s">
        <v>288</v>
      </c>
      <c r="P1654">
        <f t="shared" si="1619"/>
        <v>12</v>
      </c>
      <c r="Q1654" s="31" t="s">
        <v>527</v>
      </c>
    </row>
    <row r="1655" spans="1:17" outlineLevel="1" x14ac:dyDescent="0.25">
      <c r="A1655" t="s">
        <v>284</v>
      </c>
      <c r="C1655">
        <v>0</v>
      </c>
      <c r="D1655" t="str">
        <f t="shared" ref="D1655" si="1624">_xlfn.CONCAT("% de livraisons déjà en horaire décalé (Catégorie " &amp; $P1655 &amp; ")")</f>
        <v>% de livraisons déjà en horaire décalé (Catégorie 12)</v>
      </c>
      <c r="F1655" t="str">
        <f t="shared" ref="F1655" si="1625">"LivrNuitInitDecal" &amp; $P1655</f>
        <v>LivrNuitInitDecal12</v>
      </c>
      <c r="G1655" t="s">
        <v>17</v>
      </c>
      <c r="H1655">
        <f>IF($I$733="Par catégorie de véhicule sélectionnée (meilleure précision)",1,0)*IF(ISNUMBER(SEARCH(C1655,$I$732)),1,0)</f>
        <v>0</v>
      </c>
      <c r="I1655" s="18"/>
      <c r="K1655" t="s">
        <v>70</v>
      </c>
      <c r="N1655" t="s">
        <v>288</v>
      </c>
      <c r="P1655">
        <f t="shared" si="1619"/>
        <v>12</v>
      </c>
      <c r="Q1655" s="31" t="s">
        <v>527</v>
      </c>
    </row>
    <row r="1656" spans="1:17" outlineLevel="1" x14ac:dyDescent="0.25">
      <c r="A1656" t="s">
        <v>284</v>
      </c>
      <c r="C1656">
        <v>0</v>
      </c>
      <c r="D1656" t="str">
        <f t="shared" ref="D1656" si="1626">_xlfn.CONCAT("Distance moyenne d'une tournée (Catégorie " &amp; $P1656 &amp; ")")</f>
        <v>Distance moyenne d'une tournée (Catégorie 13)</v>
      </c>
      <c r="F1656" t="str">
        <f t="shared" ref="F1656" si="1627">"LivrNuitTourneeDist" &amp; $P1656</f>
        <v>LivrNuitTourneeDist13</v>
      </c>
      <c r="G1656" t="s">
        <v>17</v>
      </c>
      <c r="H1656">
        <f>IF($I$733="Par catégorie de véhicule sélectionnée (meilleure précision)",1,0)*IF(ISNUMBER(SEARCH(C1656,$I$732)),1,0)</f>
        <v>0</v>
      </c>
      <c r="K1656" t="s">
        <v>88</v>
      </c>
      <c r="N1656" t="s">
        <v>288</v>
      </c>
      <c r="P1656">
        <f t="shared" ref="P1656" si="1628">P1655+1</f>
        <v>13</v>
      </c>
      <c r="Q1656" s="31" t="s">
        <v>527</v>
      </c>
    </row>
    <row r="1657" spans="1:17" outlineLevel="1" x14ac:dyDescent="0.25">
      <c r="A1657" t="s">
        <v>284</v>
      </c>
      <c r="C1657">
        <v>0</v>
      </c>
      <c r="D1657" t="str">
        <f t="shared" ref="D1657" si="1629">_xlfn.CONCAT("Taux de chargement moyen pour une tournée (Catégorie " &amp; $P1657 &amp; ")")</f>
        <v>Taux de chargement moyen pour une tournée (Catégorie 13)</v>
      </c>
      <c r="F1657" t="str">
        <f t="shared" ref="F1657" si="1630">"LivrNuitTourneeTC" &amp; $P1657</f>
        <v>LivrNuitTourneeTC13</v>
      </c>
      <c r="G1657" t="s">
        <v>17</v>
      </c>
      <c r="H1657">
        <f>(IF($I$733="Par catégorie de véhicule sélectionnée (meilleure précision)",1,0)*IF(ISNUMBER(SEARCH(C1657,$I$732)),1,0))*(IF($I$734="Le taux de chargement moyen pour une tournée",1,0))</f>
        <v>0</v>
      </c>
      <c r="I1657" s="3"/>
      <c r="K1657" t="s">
        <v>70</v>
      </c>
      <c r="N1657" t="s">
        <v>288</v>
      </c>
      <c r="P1657">
        <f t="shared" ref="P1657:P1660" si="1631">P1656</f>
        <v>13</v>
      </c>
      <c r="Q1657" s="31" t="s">
        <v>527</v>
      </c>
    </row>
    <row r="1658" spans="1:17" outlineLevel="1" x14ac:dyDescent="0.25">
      <c r="A1658" t="s">
        <v>284</v>
      </c>
      <c r="C1658">
        <v>0</v>
      </c>
      <c r="D1658" t="str">
        <f t="shared" ref="D1658" si="1632">_xlfn.CONCAT("Masse moyenne transportée sur une tournée (Catégorie " &amp; $P1658 &amp; ")")</f>
        <v>Masse moyenne transportée sur une tournée (Catégorie 13)</v>
      </c>
      <c r="F1658" t="str">
        <f t="shared" ref="F1658" si="1633">"LivrNuitTourneeMasse" &amp; $P1658</f>
        <v>LivrNuitTourneeMasse13</v>
      </c>
      <c r="G1658" t="s">
        <v>17</v>
      </c>
      <c r="H1658">
        <f>(IF($I$733="Par catégorie de véhicule sélectionnée (meilleure précision)",1,0)*IF(ISNUMBER(SEARCH(C1658,$I$732)),1,0))*(IF($I$734="La masse moyenne transportée pour une tournée",1,0))</f>
        <v>0</v>
      </c>
      <c r="K1658" t="s">
        <v>148</v>
      </c>
      <c r="N1658" t="s">
        <v>288</v>
      </c>
      <c r="P1658">
        <f t="shared" si="1631"/>
        <v>13</v>
      </c>
      <c r="Q1658" s="31" t="s">
        <v>527</v>
      </c>
    </row>
    <row r="1659" spans="1:17" outlineLevel="1" x14ac:dyDescent="0.25">
      <c r="A1659" t="s">
        <v>284</v>
      </c>
      <c r="C1659">
        <v>0</v>
      </c>
      <c r="D1659" t="str">
        <f t="shared" ref="D1659" si="1634">_xlfn.CONCAT("Ordre de grandeur du nombre annuel de tournées (Catégorie " &amp; $P1659 &amp; ")")</f>
        <v>Ordre de grandeur du nombre annuel de tournées (Catégorie 13)</v>
      </c>
      <c r="F1659" t="str">
        <f t="shared" ref="F1659" si="1635">"LivrNuitTourneeNb" &amp; $P1659</f>
        <v>LivrNuitTourneeNb13</v>
      </c>
      <c r="G1659" t="s">
        <v>17</v>
      </c>
      <c r="H1659">
        <f>IF($I$733="Par catégorie de véhicule sélectionnée (meilleure précision)",1,0)*IF(ISNUMBER(SEARCH(C1659,$I$732)),1,0)</f>
        <v>0</v>
      </c>
      <c r="K1659" t="s">
        <v>283</v>
      </c>
      <c r="N1659" t="s">
        <v>288</v>
      </c>
      <c r="P1659">
        <f t="shared" si="1631"/>
        <v>13</v>
      </c>
      <c r="Q1659" s="31" t="s">
        <v>527</v>
      </c>
    </row>
    <row r="1660" spans="1:17" outlineLevel="1" x14ac:dyDescent="0.25">
      <c r="A1660" t="s">
        <v>284</v>
      </c>
      <c r="C1660">
        <v>0</v>
      </c>
      <c r="D1660" t="str">
        <f t="shared" ref="D1660" si="1636">_xlfn.CONCAT("% de livraisons déjà en horaire décalé (Catégorie " &amp; $P1660 &amp; ")")</f>
        <v>% de livraisons déjà en horaire décalé (Catégorie 13)</v>
      </c>
      <c r="F1660" t="str">
        <f t="shared" ref="F1660" si="1637">"LivrNuitInitDecal" &amp; $P1660</f>
        <v>LivrNuitInitDecal13</v>
      </c>
      <c r="G1660" t="s">
        <v>17</v>
      </c>
      <c r="H1660">
        <f>IF($I$733="Par catégorie de véhicule sélectionnée (meilleure précision)",1,0)*IF(ISNUMBER(SEARCH(C1660,$I$732)),1,0)</f>
        <v>0</v>
      </c>
      <c r="I1660" s="18"/>
      <c r="K1660" t="s">
        <v>70</v>
      </c>
      <c r="N1660" t="s">
        <v>288</v>
      </c>
      <c r="P1660">
        <f t="shared" si="1631"/>
        <v>13</v>
      </c>
      <c r="Q1660" s="31" t="s">
        <v>527</v>
      </c>
    </row>
    <row r="1661" spans="1:17" outlineLevel="1" x14ac:dyDescent="0.25">
      <c r="A1661" t="s">
        <v>284</v>
      </c>
      <c r="C1661">
        <v>0</v>
      </c>
      <c r="D1661" t="str">
        <f t="shared" ref="D1661" si="1638">_xlfn.CONCAT("Distance moyenne d'une tournée (Catégorie " &amp; $P1661 &amp; ")")</f>
        <v>Distance moyenne d'une tournée (Catégorie 14)</v>
      </c>
      <c r="F1661" t="str">
        <f t="shared" ref="F1661" si="1639">"LivrNuitTourneeDist" &amp; $P1661</f>
        <v>LivrNuitTourneeDist14</v>
      </c>
      <c r="G1661" t="s">
        <v>17</v>
      </c>
      <c r="H1661">
        <f>IF($I$733="Par catégorie de véhicule sélectionnée (meilleure précision)",1,0)*IF(ISNUMBER(SEARCH(C1661,$I$732)),1,0)</f>
        <v>0</v>
      </c>
      <c r="K1661" t="s">
        <v>88</v>
      </c>
      <c r="N1661" t="s">
        <v>288</v>
      </c>
      <c r="P1661">
        <f t="shared" ref="P1661" si="1640">P1660+1</f>
        <v>14</v>
      </c>
      <c r="Q1661" s="31" t="s">
        <v>527</v>
      </c>
    </row>
    <row r="1662" spans="1:17" outlineLevel="1" x14ac:dyDescent="0.25">
      <c r="A1662" t="s">
        <v>284</v>
      </c>
      <c r="C1662">
        <v>0</v>
      </c>
      <c r="D1662" t="str">
        <f t="shared" ref="D1662" si="1641">_xlfn.CONCAT("Taux de chargement moyen pour une tournée (Catégorie " &amp; $P1662 &amp; ")")</f>
        <v>Taux de chargement moyen pour une tournée (Catégorie 14)</v>
      </c>
      <c r="F1662" t="str">
        <f t="shared" ref="F1662" si="1642">"LivrNuitTourneeTC" &amp; $P1662</f>
        <v>LivrNuitTourneeTC14</v>
      </c>
      <c r="G1662" t="s">
        <v>17</v>
      </c>
      <c r="H1662">
        <f>(IF($I$733="Par catégorie de véhicule sélectionnée (meilleure précision)",1,0)*IF(ISNUMBER(SEARCH(C1662,$I$732)),1,0))*(IF($I$734="Le taux de chargement moyen pour une tournée",1,0))</f>
        <v>0</v>
      </c>
      <c r="I1662" s="3"/>
      <c r="K1662" t="s">
        <v>70</v>
      </c>
      <c r="N1662" t="s">
        <v>288</v>
      </c>
      <c r="P1662">
        <f t="shared" ref="P1662:P1665" si="1643">P1661</f>
        <v>14</v>
      </c>
      <c r="Q1662" s="31" t="s">
        <v>527</v>
      </c>
    </row>
    <row r="1663" spans="1:17" outlineLevel="1" x14ac:dyDescent="0.25">
      <c r="A1663" t="s">
        <v>284</v>
      </c>
      <c r="C1663">
        <v>0</v>
      </c>
      <c r="D1663" t="str">
        <f t="shared" ref="D1663" si="1644">_xlfn.CONCAT("Masse moyenne transportée sur une tournée (Catégorie " &amp; $P1663 &amp; ")")</f>
        <v>Masse moyenne transportée sur une tournée (Catégorie 14)</v>
      </c>
      <c r="F1663" t="str">
        <f t="shared" ref="F1663" si="1645">"LivrNuitTourneeMasse" &amp; $P1663</f>
        <v>LivrNuitTourneeMasse14</v>
      </c>
      <c r="G1663" t="s">
        <v>17</v>
      </c>
      <c r="H1663">
        <f>(IF($I$733="Par catégorie de véhicule sélectionnée (meilleure précision)",1,0)*IF(ISNUMBER(SEARCH(C1663,$I$732)),1,0))*(IF($I$734="La masse moyenne transportée pour une tournée",1,0))</f>
        <v>0</v>
      </c>
      <c r="K1663" t="s">
        <v>148</v>
      </c>
      <c r="N1663" t="s">
        <v>288</v>
      </c>
      <c r="P1663">
        <f t="shared" si="1643"/>
        <v>14</v>
      </c>
      <c r="Q1663" s="31" t="s">
        <v>527</v>
      </c>
    </row>
    <row r="1664" spans="1:17" outlineLevel="1" x14ac:dyDescent="0.25">
      <c r="A1664" t="s">
        <v>284</v>
      </c>
      <c r="C1664">
        <v>0</v>
      </c>
      <c r="D1664" t="str">
        <f t="shared" ref="D1664" si="1646">_xlfn.CONCAT("Ordre de grandeur du nombre annuel de tournées (Catégorie " &amp; $P1664 &amp; ")")</f>
        <v>Ordre de grandeur du nombre annuel de tournées (Catégorie 14)</v>
      </c>
      <c r="F1664" t="str">
        <f t="shared" ref="F1664" si="1647">"LivrNuitTourneeNb" &amp; $P1664</f>
        <v>LivrNuitTourneeNb14</v>
      </c>
      <c r="G1664" t="s">
        <v>17</v>
      </c>
      <c r="H1664">
        <f>IF($I$733="Par catégorie de véhicule sélectionnée (meilleure précision)",1,0)*IF(ISNUMBER(SEARCH(C1664,$I$732)),1,0)</f>
        <v>0</v>
      </c>
      <c r="K1664" t="s">
        <v>283</v>
      </c>
      <c r="N1664" t="s">
        <v>288</v>
      </c>
      <c r="P1664">
        <f t="shared" si="1643"/>
        <v>14</v>
      </c>
      <c r="Q1664" s="31" t="s">
        <v>527</v>
      </c>
    </row>
    <row r="1665" spans="1:17" outlineLevel="1" x14ac:dyDescent="0.25">
      <c r="A1665" t="s">
        <v>284</v>
      </c>
      <c r="C1665">
        <v>0</v>
      </c>
      <c r="D1665" t="str">
        <f t="shared" ref="D1665" si="1648">_xlfn.CONCAT("% de livraisons déjà en horaire décalé (Catégorie " &amp; $P1665 &amp; ")")</f>
        <v>% de livraisons déjà en horaire décalé (Catégorie 14)</v>
      </c>
      <c r="F1665" t="str">
        <f t="shared" ref="F1665" si="1649">"LivrNuitInitDecal" &amp; $P1665</f>
        <v>LivrNuitInitDecal14</v>
      </c>
      <c r="G1665" t="s">
        <v>17</v>
      </c>
      <c r="H1665">
        <f>IF($I$733="Par catégorie de véhicule sélectionnée (meilleure précision)",1,0)*IF(ISNUMBER(SEARCH(C1665,$I$732)),1,0)</f>
        <v>0</v>
      </c>
      <c r="I1665" s="18"/>
      <c r="K1665" t="s">
        <v>70</v>
      </c>
      <c r="N1665" t="s">
        <v>288</v>
      </c>
      <c r="P1665">
        <f t="shared" si="1643"/>
        <v>14</v>
      </c>
      <c r="Q1665" s="31" t="s">
        <v>527</v>
      </c>
    </row>
    <row r="1666" spans="1:17" outlineLevel="1" x14ac:dyDescent="0.25">
      <c r="A1666" t="s">
        <v>284</v>
      </c>
      <c r="C1666">
        <v>0</v>
      </c>
      <c r="D1666" t="str">
        <f t="shared" ref="D1666" si="1650">_xlfn.CONCAT("Distance moyenne d'une tournée (Catégorie " &amp; $P1666 &amp; ")")</f>
        <v>Distance moyenne d'une tournée (Catégorie 15)</v>
      </c>
      <c r="F1666" t="str">
        <f t="shared" ref="F1666" si="1651">"LivrNuitTourneeDist" &amp; $P1666</f>
        <v>LivrNuitTourneeDist15</v>
      </c>
      <c r="G1666" t="s">
        <v>17</v>
      </c>
      <c r="H1666">
        <f>IF($I$733="Par catégorie de véhicule sélectionnée (meilleure précision)",1,0)*IF(ISNUMBER(SEARCH(C1666,$I$732)),1,0)</f>
        <v>0</v>
      </c>
      <c r="K1666" t="s">
        <v>88</v>
      </c>
      <c r="N1666" t="s">
        <v>288</v>
      </c>
      <c r="P1666">
        <f t="shared" ref="P1666" si="1652">P1665+1</f>
        <v>15</v>
      </c>
      <c r="Q1666" s="31" t="s">
        <v>527</v>
      </c>
    </row>
    <row r="1667" spans="1:17" outlineLevel="1" x14ac:dyDescent="0.25">
      <c r="A1667" t="s">
        <v>284</v>
      </c>
      <c r="C1667">
        <v>0</v>
      </c>
      <c r="D1667" t="str">
        <f t="shared" ref="D1667" si="1653">_xlfn.CONCAT("Taux de chargement moyen pour une tournée (Catégorie " &amp; $P1667 &amp; ")")</f>
        <v>Taux de chargement moyen pour une tournée (Catégorie 15)</v>
      </c>
      <c r="F1667" t="str">
        <f t="shared" ref="F1667" si="1654">"LivrNuitTourneeTC" &amp; $P1667</f>
        <v>LivrNuitTourneeTC15</v>
      </c>
      <c r="G1667" t="s">
        <v>17</v>
      </c>
      <c r="H1667">
        <f>(IF($I$733="Par catégorie de véhicule sélectionnée (meilleure précision)",1,0)*IF(ISNUMBER(SEARCH(C1667,$I$732)),1,0))*(IF($I$734="Le taux de chargement moyen pour une tournée",1,0))</f>
        <v>0</v>
      </c>
      <c r="I1667" s="3"/>
      <c r="K1667" t="s">
        <v>70</v>
      </c>
      <c r="N1667" t="s">
        <v>288</v>
      </c>
      <c r="P1667">
        <f t="shared" ref="P1667:P1670" si="1655">P1666</f>
        <v>15</v>
      </c>
      <c r="Q1667" s="31" t="s">
        <v>527</v>
      </c>
    </row>
    <row r="1668" spans="1:17" outlineLevel="1" x14ac:dyDescent="0.25">
      <c r="A1668" t="s">
        <v>284</v>
      </c>
      <c r="C1668">
        <v>0</v>
      </c>
      <c r="D1668" t="str">
        <f t="shared" ref="D1668" si="1656">_xlfn.CONCAT("Masse moyenne transportée sur une tournée (Catégorie " &amp; $P1668 &amp; ")")</f>
        <v>Masse moyenne transportée sur une tournée (Catégorie 15)</v>
      </c>
      <c r="F1668" t="str">
        <f t="shared" ref="F1668" si="1657">"LivrNuitTourneeMasse" &amp; $P1668</f>
        <v>LivrNuitTourneeMasse15</v>
      </c>
      <c r="G1668" t="s">
        <v>17</v>
      </c>
      <c r="H1668">
        <f>(IF($I$733="Par catégorie de véhicule sélectionnée (meilleure précision)",1,0)*IF(ISNUMBER(SEARCH(C1668,$I$732)),1,0))*(IF($I$734="La masse moyenne transportée pour une tournée",1,0))</f>
        <v>0</v>
      </c>
      <c r="K1668" t="s">
        <v>148</v>
      </c>
      <c r="N1668" t="s">
        <v>288</v>
      </c>
      <c r="P1668">
        <f t="shared" si="1655"/>
        <v>15</v>
      </c>
      <c r="Q1668" s="31" t="s">
        <v>527</v>
      </c>
    </row>
    <row r="1669" spans="1:17" outlineLevel="1" x14ac:dyDescent="0.25">
      <c r="A1669" t="s">
        <v>284</v>
      </c>
      <c r="C1669">
        <v>0</v>
      </c>
      <c r="D1669" t="str">
        <f t="shared" ref="D1669" si="1658">_xlfn.CONCAT("Ordre de grandeur du nombre annuel de tournées (Catégorie " &amp; $P1669 &amp; ")")</f>
        <v>Ordre de grandeur du nombre annuel de tournées (Catégorie 15)</v>
      </c>
      <c r="F1669" t="str">
        <f t="shared" ref="F1669" si="1659">"LivrNuitTourneeNb" &amp; $P1669</f>
        <v>LivrNuitTourneeNb15</v>
      </c>
      <c r="G1669" t="s">
        <v>17</v>
      </c>
      <c r="H1669">
        <f>IF($I$733="Par catégorie de véhicule sélectionnée (meilleure précision)",1,0)*IF(ISNUMBER(SEARCH(C1669,$I$732)),1,0)</f>
        <v>0</v>
      </c>
      <c r="K1669" t="s">
        <v>283</v>
      </c>
      <c r="N1669" t="s">
        <v>288</v>
      </c>
      <c r="P1669">
        <f t="shared" si="1655"/>
        <v>15</v>
      </c>
      <c r="Q1669" s="31" t="s">
        <v>527</v>
      </c>
    </row>
    <row r="1670" spans="1:17" outlineLevel="1" x14ac:dyDescent="0.25">
      <c r="A1670" t="s">
        <v>284</v>
      </c>
      <c r="C1670">
        <v>0</v>
      </c>
      <c r="D1670" t="str">
        <f t="shared" ref="D1670" si="1660">_xlfn.CONCAT("% de livraisons déjà en horaire décalé (Catégorie " &amp; $P1670 &amp; ")")</f>
        <v>% de livraisons déjà en horaire décalé (Catégorie 15)</v>
      </c>
      <c r="F1670" t="str">
        <f t="shared" ref="F1670" si="1661">"LivrNuitInitDecal" &amp; $P1670</f>
        <v>LivrNuitInitDecal15</v>
      </c>
      <c r="G1670" t="s">
        <v>17</v>
      </c>
      <c r="H1670">
        <f>IF($I$733="Par catégorie de véhicule sélectionnée (meilleure précision)",1,0)*IF(ISNUMBER(SEARCH(C1670,$I$732)),1,0)</f>
        <v>0</v>
      </c>
      <c r="I1670" s="18"/>
      <c r="K1670" t="s">
        <v>70</v>
      </c>
      <c r="N1670" t="s">
        <v>288</v>
      </c>
      <c r="P1670">
        <f t="shared" si="1655"/>
        <v>15</v>
      </c>
      <c r="Q1670" s="31" t="s">
        <v>527</v>
      </c>
    </row>
    <row r="1671" spans="1:17" outlineLevel="1" x14ac:dyDescent="0.25">
      <c r="A1671" t="s">
        <v>284</v>
      </c>
      <c r="C1671">
        <v>0</v>
      </c>
      <c r="D1671" t="str">
        <f t="shared" ref="D1671" si="1662">_xlfn.CONCAT("Distance moyenne d'une tournée (Catégorie " &amp; $P1671 &amp; ")")</f>
        <v>Distance moyenne d'une tournée (Catégorie 16)</v>
      </c>
      <c r="F1671" t="str">
        <f t="shared" ref="F1671" si="1663">"LivrNuitTourneeDist" &amp; $P1671</f>
        <v>LivrNuitTourneeDist16</v>
      </c>
      <c r="G1671" t="s">
        <v>17</v>
      </c>
      <c r="H1671">
        <f>IF($I$733="Par catégorie de véhicule sélectionnée (meilleure précision)",1,0)*IF(ISNUMBER(SEARCH(C1671,$I$732)),1,0)</f>
        <v>0</v>
      </c>
      <c r="K1671" t="s">
        <v>88</v>
      </c>
      <c r="N1671" t="s">
        <v>288</v>
      </c>
      <c r="P1671">
        <f t="shared" ref="P1671" si="1664">P1670+1</f>
        <v>16</v>
      </c>
      <c r="Q1671" s="31" t="s">
        <v>527</v>
      </c>
    </row>
    <row r="1672" spans="1:17" outlineLevel="1" x14ac:dyDescent="0.25">
      <c r="A1672" t="s">
        <v>284</v>
      </c>
      <c r="C1672">
        <v>0</v>
      </c>
      <c r="D1672" t="str">
        <f t="shared" ref="D1672" si="1665">_xlfn.CONCAT("Taux de chargement moyen pour une tournée (Catégorie " &amp; $P1672 &amp; ")")</f>
        <v>Taux de chargement moyen pour une tournée (Catégorie 16)</v>
      </c>
      <c r="F1672" t="str">
        <f t="shared" ref="F1672" si="1666">"LivrNuitTourneeTC" &amp; $P1672</f>
        <v>LivrNuitTourneeTC16</v>
      </c>
      <c r="G1672" t="s">
        <v>17</v>
      </c>
      <c r="H1672">
        <f>(IF($I$733="Par catégorie de véhicule sélectionnée (meilleure précision)",1,0)*IF(ISNUMBER(SEARCH(C1672,$I$732)),1,0))*(IF($I$734="Le taux de chargement moyen pour une tournée",1,0))</f>
        <v>0</v>
      </c>
      <c r="I1672" s="3"/>
      <c r="K1672" t="s">
        <v>70</v>
      </c>
      <c r="N1672" t="s">
        <v>288</v>
      </c>
      <c r="P1672">
        <f t="shared" ref="P1672" si="1667">P1671</f>
        <v>16</v>
      </c>
      <c r="Q1672" s="31" t="s">
        <v>527</v>
      </c>
    </row>
    <row r="1673" spans="1:17" outlineLevel="1" x14ac:dyDescent="0.25">
      <c r="A1673" t="s">
        <v>284</v>
      </c>
      <c r="C1673">
        <v>0</v>
      </c>
      <c r="D1673" t="str">
        <f>_xlfn.CONCAT("Distance moyenne d'une tournée (Catégorie " &amp; $P1673 &amp; ")")</f>
        <v>Distance moyenne d'une tournée (Catégorie 17)</v>
      </c>
      <c r="F1673" t="str">
        <f>"LivrNuitTourneeDist" &amp; $P1673</f>
        <v>LivrNuitTourneeDist17</v>
      </c>
      <c r="G1673" t="s">
        <v>17</v>
      </c>
      <c r="H1673">
        <f>IF($I$733="Par catégorie de véhicule sélectionnée (meilleure précision)",1,0)*IF(ISNUMBER(SEARCH(C1673,$I$732)),1,0)</f>
        <v>0</v>
      </c>
      <c r="K1673" t="s">
        <v>88</v>
      </c>
      <c r="N1673" t="s">
        <v>288</v>
      </c>
      <c r="P1673">
        <f>P1672+1</f>
        <v>17</v>
      </c>
      <c r="Q1673" s="31" t="s">
        <v>527</v>
      </c>
    </row>
    <row r="1674" spans="1:17" outlineLevel="1" x14ac:dyDescent="0.25">
      <c r="A1674" t="s">
        <v>284</v>
      </c>
      <c r="C1674">
        <v>0</v>
      </c>
      <c r="D1674" t="str">
        <f>_xlfn.CONCAT("Taux de chargement moyen pour une tournée (Catégorie " &amp; $P1674 &amp; ")")</f>
        <v>Taux de chargement moyen pour une tournée (Catégorie 17)</v>
      </c>
      <c r="F1674" t="str">
        <f>"LivrNuitTourneeTC" &amp; $P1674</f>
        <v>LivrNuitTourneeTC17</v>
      </c>
      <c r="G1674" t="s">
        <v>17</v>
      </c>
      <c r="H1674">
        <f>(IF($I$733="Par catégorie de véhicule sélectionnée (meilleure précision)",1,0)*IF(ISNUMBER(SEARCH(C1674,$I$732)),1,0))*(IF($I$734="Le taux de chargement moyen pour une tournée",1,0))</f>
        <v>0</v>
      </c>
      <c r="I1674" s="3"/>
      <c r="K1674" t="s">
        <v>70</v>
      </c>
      <c r="N1674" t="s">
        <v>288</v>
      </c>
      <c r="P1674">
        <f>P1673</f>
        <v>17</v>
      </c>
      <c r="Q1674" s="31" t="s">
        <v>527</v>
      </c>
    </row>
    <row r="1675" spans="1:17" outlineLevel="1" x14ac:dyDescent="0.25">
      <c r="A1675" t="s">
        <v>284</v>
      </c>
      <c r="C1675">
        <v>0</v>
      </c>
      <c r="D1675" t="str">
        <f>_xlfn.CONCAT("Masse moyenne transportée sur une tournée (Catégorie " &amp; $P1675 &amp; ")")</f>
        <v>Masse moyenne transportée sur une tournée (Catégorie 17)</v>
      </c>
      <c r="F1675" t="str">
        <f>"LivrNuitTourneeMasse" &amp; $P1675</f>
        <v>LivrNuitTourneeMasse17</v>
      </c>
      <c r="G1675" t="s">
        <v>17</v>
      </c>
      <c r="H1675">
        <f>(IF($I$733="Par catégorie de véhicule sélectionnée (meilleure précision)",1,0)*IF(ISNUMBER(SEARCH(C1675,$I$732)),1,0))*(IF($I$734="La masse moyenne transportée pour une tournée",1,0))</f>
        <v>0</v>
      </c>
      <c r="K1675" t="s">
        <v>148</v>
      </c>
      <c r="N1675" t="s">
        <v>288</v>
      </c>
      <c r="P1675">
        <f>P1674</f>
        <v>17</v>
      </c>
      <c r="Q1675" s="31" t="s">
        <v>527</v>
      </c>
    </row>
    <row r="1676" spans="1:17" outlineLevel="1" x14ac:dyDescent="0.25">
      <c r="A1676" t="s">
        <v>284</v>
      </c>
      <c r="C1676">
        <v>0</v>
      </c>
      <c r="D1676" t="str">
        <f>_xlfn.CONCAT("Ordre de grandeur du nombre annuel de tournées (Catégorie " &amp; $P1676 &amp; ")")</f>
        <v>Ordre de grandeur du nombre annuel de tournées (Catégorie 17)</v>
      </c>
      <c r="F1676" t="str">
        <f>"LivrNuitTourneeNb" &amp; $P1676</f>
        <v>LivrNuitTourneeNb17</v>
      </c>
      <c r="G1676" t="s">
        <v>17</v>
      </c>
      <c r="H1676">
        <f>IF($I$733="Par catégorie de véhicule sélectionnée (meilleure précision)",1,0)*IF(ISNUMBER(SEARCH(C1676,$I$732)),1,0)</f>
        <v>0</v>
      </c>
      <c r="K1676" t="s">
        <v>283</v>
      </c>
      <c r="N1676" t="s">
        <v>288</v>
      </c>
      <c r="P1676">
        <f>P1675</f>
        <v>17</v>
      </c>
      <c r="Q1676" s="31" t="s">
        <v>527</v>
      </c>
    </row>
    <row r="1677" spans="1:17" outlineLevel="1" x14ac:dyDescent="0.25">
      <c r="A1677" t="s">
        <v>284</v>
      </c>
      <c r="C1677">
        <v>0</v>
      </c>
      <c r="D1677" t="str">
        <f>_xlfn.CONCAT("% de livraisons déjà en horaire décalé (Catégorie " &amp; $P1677 &amp; ")")</f>
        <v>% de livraisons déjà en horaire décalé (Catégorie 17)</v>
      </c>
      <c r="F1677" t="str">
        <f>"LivrNuitInitDecal" &amp; $P1677</f>
        <v>LivrNuitInitDecal17</v>
      </c>
      <c r="G1677" t="s">
        <v>17</v>
      </c>
      <c r="H1677">
        <f>IF($I$733="Par catégorie de véhicule sélectionnée (meilleure précision)",1,0)*IF(ISNUMBER(SEARCH(C1677,$I$732)),1,0)</f>
        <v>0</v>
      </c>
      <c r="I1677" s="18"/>
      <c r="K1677" t="s">
        <v>70</v>
      </c>
      <c r="N1677" t="s">
        <v>288</v>
      </c>
      <c r="P1677">
        <f>P1676</f>
        <v>17</v>
      </c>
      <c r="Q1677" s="31" t="s">
        <v>527</v>
      </c>
    </row>
    <row r="1678" spans="1:17" outlineLevel="1" x14ac:dyDescent="0.25">
      <c r="A1678" t="s">
        <v>284</v>
      </c>
      <c r="C1678">
        <v>0</v>
      </c>
      <c r="D1678" t="str">
        <f t="shared" ref="D1678" si="1668">_xlfn.CONCAT("Distance moyenne d'une tournée (Catégorie " &amp; $P1678 &amp; ")")</f>
        <v>Distance moyenne d'une tournée (Catégorie 18)</v>
      </c>
      <c r="F1678" t="str">
        <f t="shared" ref="F1678" si="1669">"LivrNuitTourneeDist" &amp; $P1678</f>
        <v>LivrNuitTourneeDist18</v>
      </c>
      <c r="G1678" t="s">
        <v>17</v>
      </c>
      <c r="H1678">
        <f>IF($I$733="Par catégorie de véhicule sélectionnée (meilleure précision)",1,0)*IF(ISNUMBER(SEARCH(C1678,$I$732)),1,0)</f>
        <v>0</v>
      </c>
      <c r="K1678" t="s">
        <v>88</v>
      </c>
      <c r="N1678" t="s">
        <v>288</v>
      </c>
      <c r="P1678">
        <f t="shared" ref="P1678" si="1670">P1677+1</f>
        <v>18</v>
      </c>
      <c r="Q1678" s="31" t="s">
        <v>527</v>
      </c>
    </row>
    <row r="1679" spans="1:17" outlineLevel="1" x14ac:dyDescent="0.25">
      <c r="A1679" t="s">
        <v>284</v>
      </c>
      <c r="C1679">
        <v>0</v>
      </c>
      <c r="D1679" t="str">
        <f t="shared" ref="D1679" si="1671">_xlfn.CONCAT("Taux de chargement moyen pour une tournée (Catégorie " &amp; $P1679 &amp; ")")</f>
        <v>Taux de chargement moyen pour une tournée (Catégorie 18)</v>
      </c>
      <c r="F1679" t="str">
        <f t="shared" ref="F1679" si="1672">"LivrNuitTourneeTC" &amp; $P1679</f>
        <v>LivrNuitTourneeTC18</v>
      </c>
      <c r="G1679" t="s">
        <v>17</v>
      </c>
      <c r="H1679">
        <f>(IF($I$733="Par catégorie de véhicule sélectionnée (meilleure précision)",1,0)*IF(ISNUMBER(SEARCH(C1679,$I$732)),1,0))*(IF($I$734="Le taux de chargement moyen pour une tournée",1,0))</f>
        <v>0</v>
      </c>
      <c r="I1679" s="3"/>
      <c r="K1679" t="s">
        <v>70</v>
      </c>
      <c r="N1679" t="s">
        <v>288</v>
      </c>
      <c r="P1679">
        <f t="shared" ref="P1679:P1682" si="1673">P1678</f>
        <v>18</v>
      </c>
      <c r="Q1679" s="31" t="s">
        <v>527</v>
      </c>
    </row>
    <row r="1680" spans="1:17" outlineLevel="1" x14ac:dyDescent="0.25">
      <c r="A1680" t="s">
        <v>284</v>
      </c>
      <c r="C1680">
        <v>0</v>
      </c>
      <c r="D1680" t="str">
        <f t="shared" ref="D1680" si="1674">_xlfn.CONCAT("Masse moyenne transportée sur une tournée (Catégorie " &amp; $P1680 &amp; ")")</f>
        <v>Masse moyenne transportée sur une tournée (Catégorie 18)</v>
      </c>
      <c r="F1680" t="str">
        <f t="shared" ref="F1680" si="1675">"LivrNuitTourneeMasse" &amp; $P1680</f>
        <v>LivrNuitTourneeMasse18</v>
      </c>
      <c r="G1680" t="s">
        <v>17</v>
      </c>
      <c r="H1680">
        <f>(IF($I$733="Par catégorie de véhicule sélectionnée (meilleure précision)",1,0)*IF(ISNUMBER(SEARCH(C1680,$I$732)),1,0))*(IF($I$734="La masse moyenne transportée pour une tournée",1,0))</f>
        <v>0</v>
      </c>
      <c r="K1680" t="s">
        <v>148</v>
      </c>
      <c r="N1680" t="s">
        <v>288</v>
      </c>
      <c r="P1680">
        <f t="shared" si="1673"/>
        <v>18</v>
      </c>
      <c r="Q1680" s="31" t="s">
        <v>527</v>
      </c>
    </row>
    <row r="1681" spans="1:17" outlineLevel="1" x14ac:dyDescent="0.25">
      <c r="A1681" t="s">
        <v>284</v>
      </c>
      <c r="C1681">
        <v>0</v>
      </c>
      <c r="D1681" t="str">
        <f t="shared" ref="D1681" si="1676">_xlfn.CONCAT("Ordre de grandeur du nombre annuel de tournées (Catégorie " &amp; $P1681 &amp; ")")</f>
        <v>Ordre de grandeur du nombre annuel de tournées (Catégorie 18)</v>
      </c>
      <c r="F1681" t="str">
        <f t="shared" ref="F1681" si="1677">"LivrNuitTourneeNb" &amp; $P1681</f>
        <v>LivrNuitTourneeNb18</v>
      </c>
      <c r="G1681" t="s">
        <v>17</v>
      </c>
      <c r="H1681">
        <f>IF($I$733="Par catégorie de véhicule sélectionnée (meilleure précision)",1,0)*IF(ISNUMBER(SEARCH(C1681,$I$732)),1,0)</f>
        <v>0</v>
      </c>
      <c r="K1681" t="s">
        <v>283</v>
      </c>
      <c r="N1681" t="s">
        <v>288</v>
      </c>
      <c r="P1681">
        <f t="shared" si="1673"/>
        <v>18</v>
      </c>
      <c r="Q1681" s="31" t="s">
        <v>527</v>
      </c>
    </row>
    <row r="1682" spans="1:17" outlineLevel="1" x14ac:dyDescent="0.25">
      <c r="A1682" t="s">
        <v>284</v>
      </c>
      <c r="C1682">
        <v>0</v>
      </c>
      <c r="D1682" t="str">
        <f t="shared" ref="D1682" si="1678">_xlfn.CONCAT("% de livraisons déjà en horaire décalé (Catégorie " &amp; $P1682 &amp; ")")</f>
        <v>% de livraisons déjà en horaire décalé (Catégorie 18)</v>
      </c>
      <c r="F1682" t="str">
        <f t="shared" ref="F1682" si="1679">"LivrNuitInitDecal" &amp; $P1682</f>
        <v>LivrNuitInitDecal18</v>
      </c>
      <c r="G1682" t="s">
        <v>17</v>
      </c>
      <c r="H1682">
        <f>IF($I$733="Par catégorie de véhicule sélectionnée (meilleure précision)",1,0)*IF(ISNUMBER(SEARCH(C1682,$I$732)),1,0)</f>
        <v>0</v>
      </c>
      <c r="I1682" s="18"/>
      <c r="K1682" t="s">
        <v>70</v>
      </c>
      <c r="N1682" t="s">
        <v>288</v>
      </c>
      <c r="P1682">
        <f t="shared" si="1673"/>
        <v>18</v>
      </c>
      <c r="Q1682" s="31" t="s">
        <v>527</v>
      </c>
    </row>
    <row r="1683" spans="1:17" outlineLevel="1" x14ac:dyDescent="0.25">
      <c r="A1683" t="s">
        <v>284</v>
      </c>
      <c r="C1683">
        <v>0</v>
      </c>
      <c r="D1683" t="str">
        <f t="shared" ref="D1683" si="1680">_xlfn.CONCAT("Distance moyenne d'une tournée (Catégorie " &amp; $P1683 &amp; ")")</f>
        <v>Distance moyenne d'une tournée (Catégorie 19)</v>
      </c>
      <c r="F1683" t="str">
        <f t="shared" ref="F1683" si="1681">"LivrNuitTourneeDist" &amp; $P1683</f>
        <v>LivrNuitTourneeDist19</v>
      </c>
      <c r="G1683" t="s">
        <v>17</v>
      </c>
      <c r="H1683">
        <f>IF($I$733="Par catégorie de véhicule sélectionnée (meilleure précision)",1,0)*IF(ISNUMBER(SEARCH(C1683,$I$732)),1,0)</f>
        <v>0</v>
      </c>
      <c r="K1683" t="s">
        <v>88</v>
      </c>
      <c r="N1683" t="s">
        <v>288</v>
      </c>
      <c r="P1683">
        <f t="shared" ref="P1683" si="1682">P1682+1</f>
        <v>19</v>
      </c>
      <c r="Q1683" s="31" t="s">
        <v>527</v>
      </c>
    </row>
    <row r="1684" spans="1:17" outlineLevel="1" x14ac:dyDescent="0.25">
      <c r="A1684" t="s">
        <v>284</v>
      </c>
      <c r="C1684">
        <v>0</v>
      </c>
      <c r="D1684" t="str">
        <f t="shared" ref="D1684" si="1683">_xlfn.CONCAT("Taux de chargement moyen pour une tournée (Catégorie " &amp; $P1684 &amp; ")")</f>
        <v>Taux de chargement moyen pour une tournée (Catégorie 19)</v>
      </c>
      <c r="F1684" t="str">
        <f t="shared" ref="F1684" si="1684">"LivrNuitTourneeTC" &amp; $P1684</f>
        <v>LivrNuitTourneeTC19</v>
      </c>
      <c r="G1684" t="s">
        <v>17</v>
      </c>
      <c r="H1684">
        <f>(IF($I$733="Par catégorie de véhicule sélectionnée (meilleure précision)",1,0)*IF(ISNUMBER(SEARCH(C1684,$I$732)),1,0))*(IF($I$734="Le taux de chargement moyen pour une tournée",1,0))</f>
        <v>0</v>
      </c>
      <c r="I1684" s="3"/>
      <c r="K1684" t="s">
        <v>70</v>
      </c>
      <c r="N1684" t="s">
        <v>288</v>
      </c>
      <c r="P1684">
        <f t="shared" ref="P1684:P1687" si="1685">P1683</f>
        <v>19</v>
      </c>
      <c r="Q1684" s="31" t="s">
        <v>527</v>
      </c>
    </row>
    <row r="1685" spans="1:17" outlineLevel="1" x14ac:dyDescent="0.25">
      <c r="A1685" t="s">
        <v>284</v>
      </c>
      <c r="C1685">
        <v>0</v>
      </c>
      <c r="D1685" t="str">
        <f t="shared" ref="D1685" si="1686">_xlfn.CONCAT("Masse moyenne transportée sur une tournée (Catégorie " &amp; $P1685 &amp; ")")</f>
        <v>Masse moyenne transportée sur une tournée (Catégorie 19)</v>
      </c>
      <c r="F1685" t="str">
        <f t="shared" ref="F1685" si="1687">"LivrNuitTourneeMasse" &amp; $P1685</f>
        <v>LivrNuitTourneeMasse19</v>
      </c>
      <c r="G1685" t="s">
        <v>17</v>
      </c>
      <c r="H1685">
        <f>(IF($I$733="Par catégorie de véhicule sélectionnée (meilleure précision)",1,0)*IF(ISNUMBER(SEARCH(C1685,$I$732)),1,0))*(IF($I$734="La masse moyenne transportée pour une tournée",1,0))</f>
        <v>0</v>
      </c>
      <c r="K1685" t="s">
        <v>148</v>
      </c>
      <c r="N1685" t="s">
        <v>288</v>
      </c>
      <c r="P1685">
        <f t="shared" si="1685"/>
        <v>19</v>
      </c>
      <c r="Q1685" s="31" t="s">
        <v>527</v>
      </c>
    </row>
    <row r="1686" spans="1:17" outlineLevel="1" x14ac:dyDescent="0.25">
      <c r="A1686" t="s">
        <v>284</v>
      </c>
      <c r="C1686">
        <v>0</v>
      </c>
      <c r="D1686" t="str">
        <f t="shared" ref="D1686" si="1688">_xlfn.CONCAT("Ordre de grandeur du nombre annuel de tournées (Catégorie " &amp; $P1686 &amp; ")")</f>
        <v>Ordre de grandeur du nombre annuel de tournées (Catégorie 19)</v>
      </c>
      <c r="F1686" t="str">
        <f t="shared" ref="F1686" si="1689">"LivrNuitTourneeNb" &amp; $P1686</f>
        <v>LivrNuitTourneeNb19</v>
      </c>
      <c r="G1686" t="s">
        <v>17</v>
      </c>
      <c r="H1686">
        <f>IF($I$733="Par catégorie de véhicule sélectionnée (meilleure précision)",1,0)*IF(ISNUMBER(SEARCH(C1686,$I$732)),1,0)</f>
        <v>0</v>
      </c>
      <c r="K1686" t="s">
        <v>283</v>
      </c>
      <c r="N1686" t="s">
        <v>288</v>
      </c>
      <c r="P1686">
        <f t="shared" si="1685"/>
        <v>19</v>
      </c>
      <c r="Q1686" s="31" t="s">
        <v>527</v>
      </c>
    </row>
    <row r="1687" spans="1:17" outlineLevel="1" x14ac:dyDescent="0.25">
      <c r="A1687" t="s">
        <v>284</v>
      </c>
      <c r="C1687">
        <v>0</v>
      </c>
      <c r="D1687" t="str">
        <f t="shared" ref="D1687" si="1690">_xlfn.CONCAT("% de livraisons déjà en horaire décalé (Catégorie " &amp; $P1687 &amp; ")")</f>
        <v>% de livraisons déjà en horaire décalé (Catégorie 19)</v>
      </c>
      <c r="F1687" t="str">
        <f t="shared" ref="F1687" si="1691">"LivrNuitInitDecal" &amp; $P1687</f>
        <v>LivrNuitInitDecal19</v>
      </c>
      <c r="G1687" t="s">
        <v>17</v>
      </c>
      <c r="H1687">
        <f>IF($I$733="Par catégorie de véhicule sélectionnée (meilleure précision)",1,0)*IF(ISNUMBER(SEARCH(C1687,$I$732)),1,0)</f>
        <v>0</v>
      </c>
      <c r="I1687" s="18"/>
      <c r="K1687" t="s">
        <v>70</v>
      </c>
      <c r="N1687" t="s">
        <v>288</v>
      </c>
      <c r="P1687">
        <f t="shared" si="1685"/>
        <v>19</v>
      </c>
      <c r="Q1687" s="31" t="s">
        <v>527</v>
      </c>
    </row>
    <row r="1688" spans="1:17" outlineLevel="1" x14ac:dyDescent="0.25">
      <c r="A1688" t="s">
        <v>284</v>
      </c>
      <c r="C1688">
        <v>0</v>
      </c>
      <c r="D1688" t="str">
        <f t="shared" ref="D1688" si="1692">_xlfn.CONCAT("Distance moyenne d'une tournée (Catégorie " &amp; $P1688 &amp; ")")</f>
        <v>Distance moyenne d'une tournée (Catégorie 20)</v>
      </c>
      <c r="F1688" t="str">
        <f t="shared" ref="F1688" si="1693">"LivrNuitTourneeDist" &amp; $P1688</f>
        <v>LivrNuitTourneeDist20</v>
      </c>
      <c r="G1688" t="s">
        <v>17</v>
      </c>
      <c r="H1688">
        <f>IF($I$733="Par catégorie de véhicule sélectionnée (meilleure précision)",1,0)*IF(ISNUMBER(SEARCH(C1688,$I$732)),1,0)</f>
        <v>0</v>
      </c>
      <c r="K1688" t="s">
        <v>88</v>
      </c>
      <c r="N1688" t="s">
        <v>288</v>
      </c>
      <c r="P1688">
        <f t="shared" ref="P1688" si="1694">P1687+1</f>
        <v>20</v>
      </c>
      <c r="Q1688" s="31" t="s">
        <v>527</v>
      </c>
    </row>
    <row r="1689" spans="1:17" outlineLevel="1" x14ac:dyDescent="0.25">
      <c r="A1689" t="s">
        <v>284</v>
      </c>
      <c r="C1689">
        <v>0</v>
      </c>
      <c r="D1689" t="str">
        <f t="shared" ref="D1689" si="1695">_xlfn.CONCAT("Taux de chargement moyen pour une tournée (Catégorie " &amp; $P1689 &amp; ")")</f>
        <v>Taux de chargement moyen pour une tournée (Catégorie 20)</v>
      </c>
      <c r="F1689" t="str">
        <f t="shared" ref="F1689" si="1696">"LivrNuitTourneeTC" &amp; $P1689</f>
        <v>LivrNuitTourneeTC20</v>
      </c>
      <c r="G1689" t="s">
        <v>17</v>
      </c>
      <c r="H1689">
        <f>(IF($I$733="Par catégorie de véhicule sélectionnée (meilleure précision)",1,0)*IF(ISNUMBER(SEARCH(C1689,$I$732)),1,0))*(IF($I$734="Le taux de chargement moyen pour une tournée",1,0))</f>
        <v>0</v>
      </c>
      <c r="I1689" s="3"/>
      <c r="K1689" t="s">
        <v>70</v>
      </c>
      <c r="N1689" t="s">
        <v>288</v>
      </c>
      <c r="P1689">
        <f t="shared" ref="P1689:P1692" si="1697">P1688</f>
        <v>20</v>
      </c>
      <c r="Q1689" s="31" t="s">
        <v>527</v>
      </c>
    </row>
    <row r="1690" spans="1:17" outlineLevel="1" x14ac:dyDescent="0.25">
      <c r="A1690" t="s">
        <v>284</v>
      </c>
      <c r="C1690">
        <v>0</v>
      </c>
      <c r="D1690" t="str">
        <f t="shared" ref="D1690" si="1698">_xlfn.CONCAT("Masse moyenne transportée sur une tournée (Catégorie " &amp; $P1690 &amp; ")")</f>
        <v>Masse moyenne transportée sur une tournée (Catégorie 20)</v>
      </c>
      <c r="F1690" t="str">
        <f t="shared" ref="F1690" si="1699">"LivrNuitTourneeMasse" &amp; $P1690</f>
        <v>LivrNuitTourneeMasse20</v>
      </c>
      <c r="G1690" t="s">
        <v>17</v>
      </c>
      <c r="H1690">
        <f>(IF($I$733="Par catégorie de véhicule sélectionnée (meilleure précision)",1,0)*IF(ISNUMBER(SEARCH(C1690,$I$732)),1,0))*(IF($I$734="La masse moyenne transportée pour une tournée",1,0))</f>
        <v>0</v>
      </c>
      <c r="K1690" t="s">
        <v>148</v>
      </c>
      <c r="N1690" t="s">
        <v>288</v>
      </c>
      <c r="P1690">
        <f t="shared" si="1697"/>
        <v>20</v>
      </c>
      <c r="Q1690" s="31" t="s">
        <v>527</v>
      </c>
    </row>
    <row r="1691" spans="1:17" outlineLevel="1" x14ac:dyDescent="0.25">
      <c r="A1691" t="s">
        <v>284</v>
      </c>
      <c r="C1691">
        <v>0</v>
      </c>
      <c r="D1691" t="str">
        <f t="shared" ref="D1691" si="1700">_xlfn.CONCAT("Ordre de grandeur du nombre annuel de tournées (Catégorie " &amp; $P1691 &amp; ")")</f>
        <v>Ordre de grandeur du nombre annuel de tournées (Catégorie 20)</v>
      </c>
      <c r="F1691" t="str">
        <f t="shared" ref="F1691" si="1701">"LivrNuitTourneeNb" &amp; $P1691</f>
        <v>LivrNuitTourneeNb20</v>
      </c>
      <c r="G1691" t="s">
        <v>17</v>
      </c>
      <c r="H1691">
        <f>IF($I$733="Par catégorie de véhicule sélectionnée (meilleure précision)",1,0)*IF(ISNUMBER(SEARCH(C1691,$I$732)),1,0)</f>
        <v>0</v>
      </c>
      <c r="K1691" t="s">
        <v>283</v>
      </c>
      <c r="N1691" t="s">
        <v>288</v>
      </c>
      <c r="P1691">
        <f t="shared" si="1697"/>
        <v>20</v>
      </c>
      <c r="Q1691" s="31" t="s">
        <v>527</v>
      </c>
    </row>
    <row r="1692" spans="1:17" outlineLevel="1" x14ac:dyDescent="0.25">
      <c r="A1692" t="s">
        <v>284</v>
      </c>
      <c r="C1692">
        <v>0</v>
      </c>
      <c r="D1692" t="str">
        <f t="shared" ref="D1692" si="1702">_xlfn.CONCAT("% de livraisons déjà en horaire décalé (Catégorie " &amp; $P1692 &amp; ")")</f>
        <v>% de livraisons déjà en horaire décalé (Catégorie 20)</v>
      </c>
      <c r="F1692" t="str">
        <f t="shared" ref="F1692" si="1703">"LivrNuitInitDecal" &amp; $P1692</f>
        <v>LivrNuitInitDecal20</v>
      </c>
      <c r="G1692" t="s">
        <v>17</v>
      </c>
      <c r="H1692">
        <f>IF($I$733="Par catégorie de véhicule sélectionnée (meilleure précision)",1,0)*IF(ISNUMBER(SEARCH(C1692,$I$732)),1,0)</f>
        <v>0</v>
      </c>
      <c r="I1692" s="18"/>
      <c r="K1692" t="s">
        <v>70</v>
      </c>
      <c r="N1692" t="s">
        <v>288</v>
      </c>
      <c r="P1692">
        <f t="shared" si="1697"/>
        <v>20</v>
      </c>
      <c r="Q1692" s="31" t="s">
        <v>527</v>
      </c>
    </row>
    <row r="1693" spans="1:17" outlineLevel="1" x14ac:dyDescent="0.25">
      <c r="A1693" t="s">
        <v>284</v>
      </c>
      <c r="C1693">
        <v>0</v>
      </c>
      <c r="D1693" t="str">
        <f t="shared" ref="D1693:D1708" si="1704">_xlfn.CONCAT("Distance moyenne d'une tournée (Catégorie " &amp; $P1693 &amp; ")")</f>
        <v>Distance moyenne d'une tournée (Catégorie 21)</v>
      </c>
      <c r="F1693" t="str">
        <f t="shared" ref="F1693:F1708" si="1705">"LivrNuitTourneeDist" &amp; $P1693</f>
        <v>LivrNuitTourneeDist21</v>
      </c>
      <c r="G1693" t="s">
        <v>17</v>
      </c>
      <c r="H1693">
        <f>IF($I$733="Par catégorie de véhicule sélectionnée (meilleure précision)",1,0)*IF(ISNUMBER(SEARCH(C1693,$I$732)),1,0)</f>
        <v>0</v>
      </c>
      <c r="K1693" t="s">
        <v>88</v>
      </c>
      <c r="N1693" t="s">
        <v>288</v>
      </c>
      <c r="P1693">
        <f t="shared" ref="P1693" si="1706">P1692+1</f>
        <v>21</v>
      </c>
      <c r="Q1693" s="31" t="s">
        <v>527</v>
      </c>
    </row>
    <row r="1694" spans="1:17" outlineLevel="1" x14ac:dyDescent="0.25">
      <c r="A1694" t="s">
        <v>284</v>
      </c>
      <c r="C1694">
        <v>0</v>
      </c>
      <c r="D1694" t="str">
        <f t="shared" ref="D1694:D1709" si="1707">_xlfn.CONCAT("Taux de chargement moyen pour une tournée (Catégorie " &amp; $P1694 &amp; ")")</f>
        <v>Taux de chargement moyen pour une tournée (Catégorie 21)</v>
      </c>
      <c r="F1694" t="str">
        <f t="shared" ref="F1694:F1709" si="1708">"LivrNuitTourneeTC" &amp; $P1694</f>
        <v>LivrNuitTourneeTC21</v>
      </c>
      <c r="G1694" t="s">
        <v>17</v>
      </c>
      <c r="H1694">
        <f>(IF($I$733="Par catégorie de véhicule sélectionnée (meilleure précision)",1,0)*IF(ISNUMBER(SEARCH(C1694,$I$732)),1,0))*(IF($I$734="Le taux de chargement moyen pour une tournée",1,0))</f>
        <v>0</v>
      </c>
      <c r="I1694" s="3"/>
      <c r="K1694" t="s">
        <v>70</v>
      </c>
      <c r="N1694" t="s">
        <v>288</v>
      </c>
      <c r="P1694">
        <f t="shared" ref="P1694:P1697" si="1709">P1693</f>
        <v>21</v>
      </c>
      <c r="Q1694" s="31" t="s">
        <v>527</v>
      </c>
    </row>
    <row r="1695" spans="1:17" outlineLevel="1" x14ac:dyDescent="0.25">
      <c r="A1695" t="s">
        <v>284</v>
      </c>
      <c r="C1695">
        <v>0</v>
      </c>
      <c r="D1695" t="str">
        <f t="shared" ref="D1695:D1710" si="1710">_xlfn.CONCAT("Masse moyenne transportée sur une tournée (Catégorie " &amp; $P1695 &amp; ")")</f>
        <v>Masse moyenne transportée sur une tournée (Catégorie 21)</v>
      </c>
      <c r="F1695" t="str">
        <f t="shared" ref="F1695:F1710" si="1711">"LivrNuitTourneeMasse" &amp; $P1695</f>
        <v>LivrNuitTourneeMasse21</v>
      </c>
      <c r="G1695" t="s">
        <v>17</v>
      </c>
      <c r="H1695">
        <f>(IF($I$733="Par catégorie de véhicule sélectionnée (meilleure précision)",1,0)*IF(ISNUMBER(SEARCH(C1695,$I$732)),1,0))*(IF($I$734="La masse moyenne transportée pour une tournée",1,0))</f>
        <v>0</v>
      </c>
      <c r="K1695" t="s">
        <v>148</v>
      </c>
      <c r="N1695" t="s">
        <v>288</v>
      </c>
      <c r="P1695">
        <f t="shared" si="1709"/>
        <v>21</v>
      </c>
      <c r="Q1695" s="31" t="s">
        <v>527</v>
      </c>
    </row>
    <row r="1696" spans="1:17" outlineLevel="1" x14ac:dyDescent="0.25">
      <c r="A1696" t="s">
        <v>284</v>
      </c>
      <c r="C1696">
        <v>0</v>
      </c>
      <c r="D1696" t="str">
        <f t="shared" ref="D1696:D1711" si="1712">_xlfn.CONCAT("Ordre de grandeur du nombre annuel de tournées (Catégorie " &amp; $P1696 &amp; ")")</f>
        <v>Ordre de grandeur du nombre annuel de tournées (Catégorie 21)</v>
      </c>
      <c r="F1696" t="str">
        <f t="shared" ref="F1696:F1711" si="1713">"LivrNuitTourneeNb" &amp; $P1696</f>
        <v>LivrNuitTourneeNb21</v>
      </c>
      <c r="G1696" t="s">
        <v>17</v>
      </c>
      <c r="H1696">
        <f>IF($I$733="Par catégorie de véhicule sélectionnée (meilleure précision)",1,0)*IF(ISNUMBER(SEARCH(C1696,$I$732)),1,0)</f>
        <v>0</v>
      </c>
      <c r="K1696" t="s">
        <v>283</v>
      </c>
      <c r="N1696" t="s">
        <v>288</v>
      </c>
      <c r="P1696">
        <f t="shared" si="1709"/>
        <v>21</v>
      </c>
      <c r="Q1696" s="31" t="s">
        <v>527</v>
      </c>
    </row>
    <row r="1697" spans="1:17" outlineLevel="1" x14ac:dyDescent="0.25">
      <c r="A1697" t="s">
        <v>284</v>
      </c>
      <c r="C1697">
        <v>0</v>
      </c>
      <c r="D1697" t="str">
        <f t="shared" ref="D1697:D1712" si="1714">_xlfn.CONCAT("% de livraisons déjà en horaire décalé (Catégorie " &amp; $P1697 &amp; ")")</f>
        <v>% de livraisons déjà en horaire décalé (Catégorie 21)</v>
      </c>
      <c r="F1697" t="str">
        <f t="shared" ref="F1697:F1712" si="1715">"LivrNuitInitDecal" &amp; $P1697</f>
        <v>LivrNuitInitDecal21</v>
      </c>
      <c r="G1697" t="s">
        <v>17</v>
      </c>
      <c r="H1697">
        <f>IF($I$733="Par catégorie de véhicule sélectionnée (meilleure précision)",1,0)*IF(ISNUMBER(SEARCH(C1697,$I$732)),1,0)</f>
        <v>0</v>
      </c>
      <c r="I1697" s="18"/>
      <c r="K1697" t="s">
        <v>70</v>
      </c>
      <c r="N1697" t="s">
        <v>288</v>
      </c>
      <c r="P1697">
        <f t="shared" si="1709"/>
        <v>21</v>
      </c>
      <c r="Q1697" s="31" t="s">
        <v>527</v>
      </c>
    </row>
    <row r="1698" spans="1:17" outlineLevel="1" x14ac:dyDescent="0.25">
      <c r="A1698" t="s">
        <v>284</v>
      </c>
      <c r="C1698">
        <v>0</v>
      </c>
      <c r="D1698" t="str">
        <f t="shared" ref="D1698" si="1716">_xlfn.CONCAT("Distance moyenne d'une tournée (Catégorie " &amp; $P1698 &amp; ")")</f>
        <v>Distance moyenne d'une tournée (Catégorie 22)</v>
      </c>
      <c r="F1698" t="str">
        <f t="shared" ref="F1698" si="1717">"LivrNuitTourneeDist" &amp; $P1698</f>
        <v>LivrNuitTourneeDist22</v>
      </c>
      <c r="G1698" t="s">
        <v>17</v>
      </c>
      <c r="H1698">
        <f>IF($I$733="Par catégorie de véhicule sélectionnée (meilleure précision)",1,0)*IF(ISNUMBER(SEARCH(C1698,$I$732)),1,0)</f>
        <v>0</v>
      </c>
      <c r="K1698" t="s">
        <v>88</v>
      </c>
      <c r="N1698" t="s">
        <v>288</v>
      </c>
      <c r="P1698">
        <f t="shared" ref="P1698" si="1718">P1697+1</f>
        <v>22</v>
      </c>
      <c r="Q1698" s="31" t="s">
        <v>527</v>
      </c>
    </row>
    <row r="1699" spans="1:17" outlineLevel="1" x14ac:dyDescent="0.25">
      <c r="A1699" t="s">
        <v>284</v>
      </c>
      <c r="C1699">
        <v>0</v>
      </c>
      <c r="D1699" t="str">
        <f t="shared" ref="D1699" si="1719">_xlfn.CONCAT("Taux de chargement moyen pour une tournée (Catégorie " &amp; $P1699 &amp; ")")</f>
        <v>Taux de chargement moyen pour une tournée (Catégorie 22)</v>
      </c>
      <c r="F1699" t="str">
        <f t="shared" ref="F1699" si="1720">"LivrNuitTourneeTC" &amp; $P1699</f>
        <v>LivrNuitTourneeTC22</v>
      </c>
      <c r="G1699" t="s">
        <v>17</v>
      </c>
      <c r="H1699">
        <f>(IF($I$733="Par catégorie de véhicule sélectionnée (meilleure précision)",1,0)*IF(ISNUMBER(SEARCH(C1699,$I$732)),1,0))*(IF($I$734="Le taux de chargement moyen pour une tournée",1,0))</f>
        <v>0</v>
      </c>
      <c r="I1699" s="3"/>
      <c r="K1699" t="s">
        <v>70</v>
      </c>
      <c r="N1699" t="s">
        <v>288</v>
      </c>
      <c r="P1699">
        <f t="shared" ref="P1699:P1702" si="1721">P1698</f>
        <v>22</v>
      </c>
      <c r="Q1699" s="31" t="s">
        <v>527</v>
      </c>
    </row>
    <row r="1700" spans="1:17" outlineLevel="1" x14ac:dyDescent="0.25">
      <c r="A1700" t="s">
        <v>284</v>
      </c>
      <c r="C1700">
        <v>0</v>
      </c>
      <c r="D1700" t="str">
        <f t="shared" ref="D1700" si="1722">_xlfn.CONCAT("Masse moyenne transportée sur une tournée (Catégorie " &amp; $P1700 &amp; ")")</f>
        <v>Masse moyenne transportée sur une tournée (Catégorie 22)</v>
      </c>
      <c r="F1700" t="str">
        <f t="shared" ref="F1700" si="1723">"LivrNuitTourneeMasse" &amp; $P1700</f>
        <v>LivrNuitTourneeMasse22</v>
      </c>
      <c r="G1700" t="s">
        <v>17</v>
      </c>
      <c r="H1700">
        <f>(IF($I$733="Par catégorie de véhicule sélectionnée (meilleure précision)",1,0)*IF(ISNUMBER(SEARCH(C1700,$I$732)),1,0))*(IF($I$734="La masse moyenne transportée pour une tournée",1,0))</f>
        <v>0</v>
      </c>
      <c r="K1700" t="s">
        <v>148</v>
      </c>
      <c r="N1700" t="s">
        <v>288</v>
      </c>
      <c r="P1700">
        <f t="shared" si="1721"/>
        <v>22</v>
      </c>
      <c r="Q1700" s="31" t="s">
        <v>527</v>
      </c>
    </row>
    <row r="1701" spans="1:17" outlineLevel="1" x14ac:dyDescent="0.25">
      <c r="A1701" t="s">
        <v>284</v>
      </c>
      <c r="C1701">
        <v>0</v>
      </c>
      <c r="D1701" t="str">
        <f t="shared" ref="D1701" si="1724">_xlfn.CONCAT("Ordre de grandeur du nombre annuel de tournées (Catégorie " &amp; $P1701 &amp; ")")</f>
        <v>Ordre de grandeur du nombre annuel de tournées (Catégorie 22)</v>
      </c>
      <c r="F1701" t="str">
        <f t="shared" ref="F1701" si="1725">"LivrNuitTourneeNb" &amp; $P1701</f>
        <v>LivrNuitTourneeNb22</v>
      </c>
      <c r="G1701" t="s">
        <v>17</v>
      </c>
      <c r="H1701">
        <f>IF($I$733="Par catégorie de véhicule sélectionnée (meilleure précision)",1,0)*IF(ISNUMBER(SEARCH(C1701,$I$732)),1,0)</f>
        <v>0</v>
      </c>
      <c r="K1701" t="s">
        <v>283</v>
      </c>
      <c r="N1701" t="s">
        <v>288</v>
      </c>
      <c r="P1701">
        <f t="shared" si="1721"/>
        <v>22</v>
      </c>
      <c r="Q1701" s="31" t="s">
        <v>527</v>
      </c>
    </row>
    <row r="1702" spans="1:17" outlineLevel="1" x14ac:dyDescent="0.25">
      <c r="A1702" t="s">
        <v>284</v>
      </c>
      <c r="C1702">
        <v>0</v>
      </c>
      <c r="D1702" t="str">
        <f t="shared" ref="D1702" si="1726">_xlfn.CONCAT("% de livraisons déjà en horaire décalé (Catégorie " &amp; $P1702 &amp; ")")</f>
        <v>% de livraisons déjà en horaire décalé (Catégorie 22)</v>
      </c>
      <c r="F1702" t="str">
        <f t="shared" ref="F1702" si="1727">"LivrNuitInitDecal" &amp; $P1702</f>
        <v>LivrNuitInitDecal22</v>
      </c>
      <c r="G1702" t="s">
        <v>17</v>
      </c>
      <c r="H1702">
        <f>IF($I$733="Par catégorie de véhicule sélectionnée (meilleure précision)",1,0)*IF(ISNUMBER(SEARCH(C1702,$I$732)),1,0)</f>
        <v>0</v>
      </c>
      <c r="I1702" s="18"/>
      <c r="K1702" t="s">
        <v>70</v>
      </c>
      <c r="N1702" t="s">
        <v>288</v>
      </c>
      <c r="P1702">
        <f t="shared" si="1721"/>
        <v>22</v>
      </c>
      <c r="Q1702" s="31" t="s">
        <v>527</v>
      </c>
    </row>
    <row r="1703" spans="1:17" outlineLevel="1" x14ac:dyDescent="0.25">
      <c r="A1703" t="s">
        <v>284</v>
      </c>
      <c r="C1703">
        <v>0</v>
      </c>
      <c r="D1703" t="str">
        <f t="shared" ref="D1703" si="1728">_xlfn.CONCAT("Distance moyenne d'une tournée (Catégorie " &amp; $P1703 &amp; ")")</f>
        <v>Distance moyenne d'une tournée (Catégorie 23)</v>
      </c>
      <c r="F1703" t="str">
        <f t="shared" ref="F1703" si="1729">"LivrNuitTourneeDist" &amp; $P1703</f>
        <v>LivrNuitTourneeDist23</v>
      </c>
      <c r="G1703" t="s">
        <v>17</v>
      </c>
      <c r="H1703">
        <f>IF($I$733="Par catégorie de véhicule sélectionnée (meilleure précision)",1,0)*IF(ISNUMBER(SEARCH(C1703,$I$732)),1,0)</f>
        <v>0</v>
      </c>
      <c r="K1703" t="s">
        <v>88</v>
      </c>
      <c r="N1703" t="s">
        <v>288</v>
      </c>
      <c r="P1703">
        <f t="shared" ref="P1703" si="1730">P1702+1</f>
        <v>23</v>
      </c>
      <c r="Q1703" s="31" t="s">
        <v>527</v>
      </c>
    </row>
    <row r="1704" spans="1:17" outlineLevel="1" x14ac:dyDescent="0.25">
      <c r="A1704" t="s">
        <v>284</v>
      </c>
      <c r="C1704">
        <v>0</v>
      </c>
      <c r="D1704" t="str">
        <f t="shared" ref="D1704" si="1731">_xlfn.CONCAT("Taux de chargement moyen pour une tournée (Catégorie " &amp; $P1704 &amp; ")")</f>
        <v>Taux de chargement moyen pour une tournée (Catégorie 23)</v>
      </c>
      <c r="F1704" t="str">
        <f t="shared" ref="F1704" si="1732">"LivrNuitTourneeTC" &amp; $P1704</f>
        <v>LivrNuitTourneeTC23</v>
      </c>
      <c r="G1704" t="s">
        <v>17</v>
      </c>
      <c r="H1704">
        <f>(IF($I$733="Par catégorie de véhicule sélectionnée (meilleure précision)",1,0)*IF(ISNUMBER(SEARCH(C1704,$I$732)),1,0))*(IF($I$734="Le taux de chargement moyen pour une tournée",1,0))</f>
        <v>0</v>
      </c>
      <c r="I1704" s="3"/>
      <c r="K1704" t="s">
        <v>70</v>
      </c>
      <c r="N1704" t="s">
        <v>288</v>
      </c>
      <c r="P1704">
        <f t="shared" ref="P1704:P1707" si="1733">P1703</f>
        <v>23</v>
      </c>
      <c r="Q1704" s="31" t="s">
        <v>527</v>
      </c>
    </row>
    <row r="1705" spans="1:17" outlineLevel="1" x14ac:dyDescent="0.25">
      <c r="A1705" t="s">
        <v>284</v>
      </c>
      <c r="C1705">
        <v>0</v>
      </c>
      <c r="D1705" t="str">
        <f t="shared" ref="D1705" si="1734">_xlfn.CONCAT("Masse moyenne transportée sur une tournée (Catégorie " &amp; $P1705 &amp; ")")</f>
        <v>Masse moyenne transportée sur une tournée (Catégorie 23)</v>
      </c>
      <c r="F1705" t="str">
        <f t="shared" ref="F1705" si="1735">"LivrNuitTourneeMasse" &amp; $P1705</f>
        <v>LivrNuitTourneeMasse23</v>
      </c>
      <c r="G1705" t="s">
        <v>17</v>
      </c>
      <c r="H1705">
        <f>(IF($I$733="Par catégorie de véhicule sélectionnée (meilleure précision)",1,0)*IF(ISNUMBER(SEARCH(C1705,$I$732)),1,0))*(IF($I$734="La masse moyenne transportée pour une tournée",1,0))</f>
        <v>0</v>
      </c>
      <c r="K1705" t="s">
        <v>148</v>
      </c>
      <c r="N1705" t="s">
        <v>288</v>
      </c>
      <c r="P1705">
        <f t="shared" si="1733"/>
        <v>23</v>
      </c>
      <c r="Q1705" s="31" t="s">
        <v>527</v>
      </c>
    </row>
    <row r="1706" spans="1:17" outlineLevel="1" x14ac:dyDescent="0.25">
      <c r="A1706" t="s">
        <v>284</v>
      </c>
      <c r="C1706">
        <v>0</v>
      </c>
      <c r="D1706" t="str">
        <f t="shared" ref="D1706" si="1736">_xlfn.CONCAT("Ordre de grandeur du nombre annuel de tournées (Catégorie " &amp; $P1706 &amp; ")")</f>
        <v>Ordre de grandeur du nombre annuel de tournées (Catégorie 23)</v>
      </c>
      <c r="F1706" t="str">
        <f t="shared" ref="F1706" si="1737">"LivrNuitTourneeNb" &amp; $P1706</f>
        <v>LivrNuitTourneeNb23</v>
      </c>
      <c r="G1706" t="s">
        <v>17</v>
      </c>
      <c r="H1706">
        <f>IF($I$733="Par catégorie de véhicule sélectionnée (meilleure précision)",1,0)*IF(ISNUMBER(SEARCH(C1706,$I$732)),1,0)</f>
        <v>0</v>
      </c>
      <c r="K1706" t="s">
        <v>283</v>
      </c>
      <c r="N1706" t="s">
        <v>288</v>
      </c>
      <c r="P1706">
        <f t="shared" si="1733"/>
        <v>23</v>
      </c>
      <c r="Q1706" s="31" t="s">
        <v>527</v>
      </c>
    </row>
    <row r="1707" spans="1:17" outlineLevel="1" x14ac:dyDescent="0.25">
      <c r="A1707" t="s">
        <v>284</v>
      </c>
      <c r="C1707">
        <v>0</v>
      </c>
      <c r="D1707" t="str">
        <f t="shared" ref="D1707" si="1738">_xlfn.CONCAT("% de livraisons déjà en horaire décalé (Catégorie " &amp; $P1707 &amp; ")")</f>
        <v>% de livraisons déjà en horaire décalé (Catégorie 23)</v>
      </c>
      <c r="F1707" t="str">
        <f t="shared" ref="F1707" si="1739">"LivrNuitInitDecal" &amp; $P1707</f>
        <v>LivrNuitInitDecal23</v>
      </c>
      <c r="G1707" t="s">
        <v>17</v>
      </c>
      <c r="H1707">
        <f>IF($I$733="Par catégorie de véhicule sélectionnée (meilleure précision)",1,0)*IF(ISNUMBER(SEARCH(C1707,$I$732)),1,0)</f>
        <v>0</v>
      </c>
      <c r="I1707" s="18"/>
      <c r="K1707" t="s">
        <v>70</v>
      </c>
      <c r="N1707" t="s">
        <v>288</v>
      </c>
      <c r="P1707">
        <f t="shared" si="1733"/>
        <v>23</v>
      </c>
      <c r="Q1707" s="31" t="s">
        <v>527</v>
      </c>
    </row>
    <row r="1708" spans="1:17" outlineLevel="1" x14ac:dyDescent="0.25">
      <c r="A1708" t="s">
        <v>284</v>
      </c>
      <c r="C1708">
        <v>0</v>
      </c>
      <c r="D1708" t="str">
        <f t="shared" si="1704"/>
        <v>Distance moyenne d'une tournée (Catégorie 24)</v>
      </c>
      <c r="F1708" t="str">
        <f t="shared" si="1705"/>
        <v>LivrNuitTourneeDist24</v>
      </c>
      <c r="G1708" t="s">
        <v>17</v>
      </c>
      <c r="H1708">
        <f>IF($I$733="Par catégorie de véhicule sélectionnée (meilleure précision)",1,0)*IF(ISNUMBER(SEARCH(C1708,$I$732)),1,0)</f>
        <v>0</v>
      </c>
      <c r="K1708" t="s">
        <v>88</v>
      </c>
      <c r="N1708" t="s">
        <v>288</v>
      </c>
      <c r="P1708">
        <f t="shared" ref="P1708" si="1740">P1707+1</f>
        <v>24</v>
      </c>
      <c r="Q1708" s="31" t="s">
        <v>527</v>
      </c>
    </row>
    <row r="1709" spans="1:17" outlineLevel="1" x14ac:dyDescent="0.25">
      <c r="A1709" t="s">
        <v>284</v>
      </c>
      <c r="C1709">
        <v>0</v>
      </c>
      <c r="D1709" t="str">
        <f t="shared" si="1707"/>
        <v>Taux de chargement moyen pour une tournée (Catégorie 24)</v>
      </c>
      <c r="F1709" t="str">
        <f t="shared" si="1708"/>
        <v>LivrNuitTourneeTC24</v>
      </c>
      <c r="G1709" t="s">
        <v>17</v>
      </c>
      <c r="H1709">
        <f>(IF($I$733="Par catégorie de véhicule sélectionnée (meilleure précision)",1,0)*IF(ISNUMBER(SEARCH(C1709,$I$732)),1,0))*(IF($I$734="Le taux de chargement moyen pour une tournée",1,0))</f>
        <v>0</v>
      </c>
      <c r="I1709" s="3"/>
      <c r="K1709" t="s">
        <v>70</v>
      </c>
      <c r="N1709" t="s">
        <v>288</v>
      </c>
      <c r="P1709">
        <f t="shared" ref="P1709:P1712" si="1741">P1708</f>
        <v>24</v>
      </c>
      <c r="Q1709" s="31" t="s">
        <v>527</v>
      </c>
    </row>
    <row r="1710" spans="1:17" outlineLevel="1" x14ac:dyDescent="0.25">
      <c r="A1710" t="s">
        <v>284</v>
      </c>
      <c r="C1710">
        <v>0</v>
      </c>
      <c r="D1710" t="str">
        <f t="shared" si="1710"/>
        <v>Masse moyenne transportée sur une tournée (Catégorie 24)</v>
      </c>
      <c r="F1710" t="str">
        <f t="shared" si="1711"/>
        <v>LivrNuitTourneeMasse24</v>
      </c>
      <c r="G1710" t="s">
        <v>17</v>
      </c>
      <c r="H1710">
        <f>(IF($I$733="Par catégorie de véhicule sélectionnée (meilleure précision)",1,0)*IF(ISNUMBER(SEARCH(C1710,$I$732)),1,0))*(IF($I$734="La masse moyenne transportée pour une tournée",1,0))</f>
        <v>0</v>
      </c>
      <c r="K1710" t="s">
        <v>148</v>
      </c>
      <c r="N1710" t="s">
        <v>288</v>
      </c>
      <c r="P1710">
        <f t="shared" si="1741"/>
        <v>24</v>
      </c>
      <c r="Q1710" s="31" t="s">
        <v>527</v>
      </c>
    </row>
    <row r="1711" spans="1:17" outlineLevel="1" x14ac:dyDescent="0.25">
      <c r="A1711" t="s">
        <v>284</v>
      </c>
      <c r="C1711">
        <v>0</v>
      </c>
      <c r="D1711" t="str">
        <f t="shared" si="1712"/>
        <v>Ordre de grandeur du nombre annuel de tournées (Catégorie 24)</v>
      </c>
      <c r="F1711" t="str">
        <f t="shared" si="1713"/>
        <v>LivrNuitTourneeNb24</v>
      </c>
      <c r="G1711" t="s">
        <v>17</v>
      </c>
      <c r="H1711">
        <f>IF($I$733="Par catégorie de véhicule sélectionnée (meilleure précision)",1,0)*IF(ISNUMBER(SEARCH(C1711,$I$732)),1,0)</f>
        <v>0</v>
      </c>
      <c r="K1711" t="s">
        <v>283</v>
      </c>
      <c r="N1711" t="s">
        <v>288</v>
      </c>
      <c r="P1711">
        <f t="shared" si="1741"/>
        <v>24</v>
      </c>
      <c r="Q1711" s="31" t="s">
        <v>527</v>
      </c>
    </row>
    <row r="1712" spans="1:17" outlineLevel="1" x14ac:dyDescent="0.25">
      <c r="A1712" t="s">
        <v>284</v>
      </c>
      <c r="C1712">
        <v>0</v>
      </c>
      <c r="D1712" t="str">
        <f t="shared" si="1714"/>
        <v>% de livraisons déjà en horaire décalé (Catégorie 24)</v>
      </c>
      <c r="F1712" t="str">
        <f t="shared" si="1715"/>
        <v>LivrNuitInitDecal24</v>
      </c>
      <c r="G1712" t="s">
        <v>17</v>
      </c>
      <c r="H1712">
        <f>IF($I$733="Par catégorie de véhicule sélectionnée (meilleure précision)",1,0)*IF(ISNUMBER(SEARCH(C1712,$I$732)),1,0)</f>
        <v>0</v>
      </c>
      <c r="I1712" s="18"/>
      <c r="K1712" t="s">
        <v>70</v>
      </c>
      <c r="N1712" t="s">
        <v>288</v>
      </c>
      <c r="P1712">
        <f t="shared" si="1741"/>
        <v>24</v>
      </c>
      <c r="Q1712" s="31" t="s">
        <v>527</v>
      </c>
    </row>
    <row r="1713" spans="1:17" outlineLevel="1" x14ac:dyDescent="0.25">
      <c r="A1713" t="s">
        <v>284</v>
      </c>
      <c r="C1713">
        <v>0</v>
      </c>
      <c r="D1713" t="str">
        <f t="shared" ref="D1713:D1773" si="1742">_xlfn.CONCAT("Distance moyenne d'une tournée (Catégorie " &amp; $P1713 &amp; ")")</f>
        <v>Distance moyenne d'une tournée (Catégorie 25)</v>
      </c>
      <c r="F1713" t="str">
        <f t="shared" ref="F1713:F1773" si="1743">"LivrNuitTourneeDist" &amp; $P1713</f>
        <v>LivrNuitTourneeDist25</v>
      </c>
      <c r="G1713" t="s">
        <v>17</v>
      </c>
      <c r="H1713">
        <f>IF($I$733="Par catégorie de véhicule sélectionnée (meilleure précision)",1,0)*IF(ISNUMBER(SEARCH(C1713,$I$732)),1,0)</f>
        <v>0</v>
      </c>
      <c r="K1713" t="s">
        <v>88</v>
      </c>
      <c r="N1713" t="s">
        <v>288</v>
      </c>
      <c r="P1713">
        <f t="shared" ref="P1713" si="1744">P1712+1</f>
        <v>25</v>
      </c>
      <c r="Q1713" s="31" t="s">
        <v>527</v>
      </c>
    </row>
    <row r="1714" spans="1:17" outlineLevel="1" x14ac:dyDescent="0.25">
      <c r="A1714" t="s">
        <v>284</v>
      </c>
      <c r="C1714">
        <v>0</v>
      </c>
      <c r="D1714" t="str">
        <f t="shared" ref="D1714:D1774" si="1745">_xlfn.CONCAT("Taux de chargement moyen pour une tournée (Catégorie " &amp; $P1714 &amp; ")")</f>
        <v>Taux de chargement moyen pour une tournée (Catégorie 25)</v>
      </c>
      <c r="F1714" t="str">
        <f t="shared" ref="F1714:F1774" si="1746">"LivrNuitTourneeTC" &amp; $P1714</f>
        <v>LivrNuitTourneeTC25</v>
      </c>
      <c r="G1714" t="s">
        <v>17</v>
      </c>
      <c r="H1714">
        <f>(IF($I$733="Par catégorie de véhicule sélectionnée (meilleure précision)",1,0)*IF(ISNUMBER(SEARCH(C1714,$I$732)),1,0))*(IF($I$734="Le taux de chargement moyen pour une tournée",1,0))</f>
        <v>0</v>
      </c>
      <c r="I1714" s="3"/>
      <c r="K1714" t="s">
        <v>70</v>
      </c>
      <c r="N1714" t="s">
        <v>288</v>
      </c>
      <c r="P1714">
        <f t="shared" ref="P1714:P1717" si="1747">P1713</f>
        <v>25</v>
      </c>
      <c r="Q1714" s="31" t="s">
        <v>527</v>
      </c>
    </row>
    <row r="1715" spans="1:17" outlineLevel="1" x14ac:dyDescent="0.25">
      <c r="A1715" t="s">
        <v>284</v>
      </c>
      <c r="C1715">
        <v>0</v>
      </c>
      <c r="D1715" t="str">
        <f t="shared" ref="D1715:D1775" si="1748">_xlfn.CONCAT("Masse moyenne transportée sur une tournée (Catégorie " &amp; $P1715 &amp; ")")</f>
        <v>Masse moyenne transportée sur une tournée (Catégorie 25)</v>
      </c>
      <c r="F1715" t="str">
        <f t="shared" ref="F1715:F1775" si="1749">"LivrNuitTourneeMasse" &amp; $P1715</f>
        <v>LivrNuitTourneeMasse25</v>
      </c>
      <c r="G1715" t="s">
        <v>17</v>
      </c>
      <c r="H1715">
        <f>(IF($I$733="Par catégorie de véhicule sélectionnée (meilleure précision)",1,0)*IF(ISNUMBER(SEARCH(C1715,$I$732)),1,0))*(IF($I$734="La masse moyenne transportée pour une tournée",1,0))</f>
        <v>0</v>
      </c>
      <c r="K1715" t="s">
        <v>148</v>
      </c>
      <c r="N1715" t="s">
        <v>288</v>
      </c>
      <c r="P1715">
        <f t="shared" si="1747"/>
        <v>25</v>
      </c>
      <c r="Q1715" s="31" t="s">
        <v>527</v>
      </c>
    </row>
    <row r="1716" spans="1:17" outlineLevel="1" x14ac:dyDescent="0.25">
      <c r="A1716" t="s">
        <v>284</v>
      </c>
      <c r="C1716">
        <v>0</v>
      </c>
      <c r="D1716" t="str">
        <f t="shared" ref="D1716:D1776" si="1750">_xlfn.CONCAT("Ordre de grandeur du nombre annuel de tournées (Catégorie " &amp; $P1716 &amp; ")")</f>
        <v>Ordre de grandeur du nombre annuel de tournées (Catégorie 25)</v>
      </c>
      <c r="F1716" t="str">
        <f t="shared" ref="F1716:F1776" si="1751">"LivrNuitTourneeNb" &amp; $P1716</f>
        <v>LivrNuitTourneeNb25</v>
      </c>
      <c r="G1716" t="s">
        <v>17</v>
      </c>
      <c r="H1716">
        <f>IF($I$733="Par catégorie de véhicule sélectionnée (meilleure précision)",1,0)*IF(ISNUMBER(SEARCH(C1716,$I$732)),1,0)</f>
        <v>0</v>
      </c>
      <c r="K1716" t="s">
        <v>283</v>
      </c>
      <c r="N1716" t="s">
        <v>288</v>
      </c>
      <c r="P1716">
        <f t="shared" si="1747"/>
        <v>25</v>
      </c>
      <c r="Q1716" s="31" t="s">
        <v>527</v>
      </c>
    </row>
    <row r="1717" spans="1:17" outlineLevel="1" x14ac:dyDescent="0.25">
      <c r="A1717" t="s">
        <v>284</v>
      </c>
      <c r="C1717">
        <v>0</v>
      </c>
      <c r="D1717" t="str">
        <f t="shared" ref="D1717:D1777" si="1752">_xlfn.CONCAT("% de livraisons déjà en horaire décalé (Catégorie " &amp; $P1717 &amp; ")")</f>
        <v>% de livraisons déjà en horaire décalé (Catégorie 25)</v>
      </c>
      <c r="F1717" t="str">
        <f t="shared" ref="F1717:F1777" si="1753">"LivrNuitInitDecal" &amp; $P1717</f>
        <v>LivrNuitInitDecal25</v>
      </c>
      <c r="G1717" t="s">
        <v>17</v>
      </c>
      <c r="H1717">
        <f>IF($I$733="Par catégorie de véhicule sélectionnée (meilleure précision)",1,0)*IF(ISNUMBER(SEARCH(C1717,$I$732)),1,0)</f>
        <v>0</v>
      </c>
      <c r="I1717" s="18"/>
      <c r="K1717" t="s">
        <v>70</v>
      </c>
      <c r="N1717" t="s">
        <v>288</v>
      </c>
      <c r="P1717">
        <f t="shared" si="1747"/>
        <v>25</v>
      </c>
      <c r="Q1717" s="31" t="s">
        <v>527</v>
      </c>
    </row>
    <row r="1718" spans="1:17" outlineLevel="1" x14ac:dyDescent="0.25">
      <c r="A1718" t="s">
        <v>284</v>
      </c>
      <c r="C1718">
        <v>0</v>
      </c>
      <c r="D1718" t="str">
        <f t="shared" si="1742"/>
        <v>Distance moyenne d'une tournée (Catégorie 26)</v>
      </c>
      <c r="F1718" t="str">
        <f t="shared" si="1743"/>
        <v>LivrNuitTourneeDist26</v>
      </c>
      <c r="G1718" t="s">
        <v>17</v>
      </c>
      <c r="H1718">
        <f>IF($I$733="Par catégorie de véhicule sélectionnée (meilleure précision)",1,0)*IF(ISNUMBER(SEARCH(C1718,$I$732)),1,0)</f>
        <v>0</v>
      </c>
      <c r="K1718" t="s">
        <v>88</v>
      </c>
      <c r="N1718" t="s">
        <v>288</v>
      </c>
      <c r="P1718">
        <f t="shared" ref="P1718" si="1754">P1717+1</f>
        <v>26</v>
      </c>
      <c r="Q1718" s="31" t="s">
        <v>527</v>
      </c>
    </row>
    <row r="1719" spans="1:17" outlineLevel="1" x14ac:dyDescent="0.25">
      <c r="A1719" t="s">
        <v>284</v>
      </c>
      <c r="C1719">
        <v>0</v>
      </c>
      <c r="D1719" t="str">
        <f t="shared" si="1745"/>
        <v>Taux de chargement moyen pour une tournée (Catégorie 26)</v>
      </c>
      <c r="F1719" t="str">
        <f t="shared" si="1746"/>
        <v>LivrNuitTourneeTC26</v>
      </c>
      <c r="G1719" t="s">
        <v>17</v>
      </c>
      <c r="H1719">
        <f>(IF($I$733="Par catégorie de véhicule sélectionnée (meilleure précision)",1,0)*IF(ISNUMBER(SEARCH(C1719,$I$732)),1,0))*(IF($I$734="Le taux de chargement moyen pour une tournée",1,0))</f>
        <v>0</v>
      </c>
      <c r="I1719" s="3"/>
      <c r="K1719" t="s">
        <v>70</v>
      </c>
      <c r="N1719" t="s">
        <v>288</v>
      </c>
      <c r="P1719">
        <f t="shared" ref="P1719:P1722" si="1755">P1718</f>
        <v>26</v>
      </c>
      <c r="Q1719" s="31" t="s">
        <v>527</v>
      </c>
    </row>
    <row r="1720" spans="1:17" outlineLevel="1" x14ac:dyDescent="0.25">
      <c r="A1720" t="s">
        <v>284</v>
      </c>
      <c r="C1720">
        <v>0</v>
      </c>
      <c r="D1720" t="str">
        <f t="shared" si="1748"/>
        <v>Masse moyenne transportée sur une tournée (Catégorie 26)</v>
      </c>
      <c r="F1720" t="str">
        <f t="shared" si="1749"/>
        <v>LivrNuitTourneeMasse26</v>
      </c>
      <c r="G1720" t="s">
        <v>17</v>
      </c>
      <c r="H1720">
        <f>(IF($I$733="Par catégorie de véhicule sélectionnée (meilleure précision)",1,0)*IF(ISNUMBER(SEARCH(C1720,$I$732)),1,0))*(IF($I$734="La masse moyenne transportée pour une tournée",1,0))</f>
        <v>0</v>
      </c>
      <c r="K1720" t="s">
        <v>148</v>
      </c>
      <c r="N1720" t="s">
        <v>288</v>
      </c>
      <c r="P1720">
        <f t="shared" si="1755"/>
        <v>26</v>
      </c>
      <c r="Q1720" s="31" t="s">
        <v>527</v>
      </c>
    </row>
    <row r="1721" spans="1:17" outlineLevel="1" x14ac:dyDescent="0.25">
      <c r="A1721" t="s">
        <v>284</v>
      </c>
      <c r="C1721">
        <v>0</v>
      </c>
      <c r="D1721" t="str">
        <f t="shared" si="1750"/>
        <v>Ordre de grandeur du nombre annuel de tournées (Catégorie 26)</v>
      </c>
      <c r="F1721" t="str">
        <f t="shared" si="1751"/>
        <v>LivrNuitTourneeNb26</v>
      </c>
      <c r="G1721" t="s">
        <v>17</v>
      </c>
      <c r="H1721">
        <f>IF($I$733="Par catégorie de véhicule sélectionnée (meilleure précision)",1,0)*IF(ISNUMBER(SEARCH(C1721,$I$732)),1,0)</f>
        <v>0</v>
      </c>
      <c r="K1721" t="s">
        <v>283</v>
      </c>
      <c r="N1721" t="s">
        <v>288</v>
      </c>
      <c r="P1721">
        <f t="shared" si="1755"/>
        <v>26</v>
      </c>
      <c r="Q1721" s="31" t="s">
        <v>527</v>
      </c>
    </row>
    <row r="1722" spans="1:17" outlineLevel="1" x14ac:dyDescent="0.25">
      <c r="A1722" t="s">
        <v>284</v>
      </c>
      <c r="C1722">
        <v>0</v>
      </c>
      <c r="D1722" t="str">
        <f t="shared" si="1752"/>
        <v>% de livraisons déjà en horaire décalé (Catégorie 26)</v>
      </c>
      <c r="F1722" t="str">
        <f t="shared" si="1753"/>
        <v>LivrNuitInitDecal26</v>
      </c>
      <c r="G1722" t="s">
        <v>17</v>
      </c>
      <c r="H1722">
        <f>IF($I$733="Par catégorie de véhicule sélectionnée (meilleure précision)",1,0)*IF(ISNUMBER(SEARCH(C1722,$I$732)),1,0)</f>
        <v>0</v>
      </c>
      <c r="I1722" s="18"/>
      <c r="K1722" t="s">
        <v>70</v>
      </c>
      <c r="N1722" t="s">
        <v>288</v>
      </c>
      <c r="P1722">
        <f t="shared" si="1755"/>
        <v>26</v>
      </c>
      <c r="Q1722" s="31" t="s">
        <v>527</v>
      </c>
    </row>
    <row r="1723" spans="1:17" outlineLevel="1" x14ac:dyDescent="0.25">
      <c r="A1723" t="s">
        <v>284</v>
      </c>
      <c r="C1723">
        <v>0</v>
      </c>
      <c r="D1723" t="str">
        <f t="shared" si="1742"/>
        <v>Distance moyenne d'une tournée (Catégorie 27)</v>
      </c>
      <c r="F1723" t="str">
        <f t="shared" si="1743"/>
        <v>LivrNuitTourneeDist27</v>
      </c>
      <c r="G1723" t="s">
        <v>17</v>
      </c>
      <c r="H1723">
        <f>IF($I$733="Par catégorie de véhicule sélectionnée (meilleure précision)",1,0)*IF(ISNUMBER(SEARCH(C1723,$I$732)),1,0)</f>
        <v>0</v>
      </c>
      <c r="K1723" t="s">
        <v>88</v>
      </c>
      <c r="N1723" t="s">
        <v>288</v>
      </c>
      <c r="P1723">
        <f t="shared" ref="P1723" si="1756">P1722+1</f>
        <v>27</v>
      </c>
      <c r="Q1723" s="31" t="s">
        <v>527</v>
      </c>
    </row>
    <row r="1724" spans="1:17" outlineLevel="1" x14ac:dyDescent="0.25">
      <c r="A1724" t="s">
        <v>284</v>
      </c>
      <c r="C1724">
        <v>0</v>
      </c>
      <c r="D1724" t="str">
        <f t="shared" si="1745"/>
        <v>Taux de chargement moyen pour une tournée (Catégorie 27)</v>
      </c>
      <c r="F1724" t="str">
        <f t="shared" si="1746"/>
        <v>LivrNuitTourneeTC27</v>
      </c>
      <c r="G1724" t="s">
        <v>17</v>
      </c>
      <c r="H1724">
        <f>(IF($I$733="Par catégorie de véhicule sélectionnée (meilleure précision)",1,0)*IF(ISNUMBER(SEARCH(C1724,$I$732)),1,0))*(IF($I$734="Le taux de chargement moyen pour une tournée",1,0))</f>
        <v>0</v>
      </c>
      <c r="I1724" s="3"/>
      <c r="K1724" t="s">
        <v>70</v>
      </c>
      <c r="N1724" t="s">
        <v>288</v>
      </c>
      <c r="P1724">
        <f t="shared" ref="P1724:P1727" si="1757">P1723</f>
        <v>27</v>
      </c>
      <c r="Q1724" s="31" t="s">
        <v>527</v>
      </c>
    </row>
    <row r="1725" spans="1:17" outlineLevel="1" x14ac:dyDescent="0.25">
      <c r="A1725" t="s">
        <v>284</v>
      </c>
      <c r="C1725">
        <v>0</v>
      </c>
      <c r="D1725" t="str">
        <f t="shared" si="1748"/>
        <v>Masse moyenne transportée sur une tournée (Catégorie 27)</v>
      </c>
      <c r="F1725" t="str">
        <f t="shared" si="1749"/>
        <v>LivrNuitTourneeMasse27</v>
      </c>
      <c r="G1725" t="s">
        <v>17</v>
      </c>
      <c r="H1725">
        <f>(IF($I$733="Par catégorie de véhicule sélectionnée (meilleure précision)",1,0)*IF(ISNUMBER(SEARCH(C1725,$I$732)),1,0))*(IF($I$734="La masse moyenne transportée pour une tournée",1,0))</f>
        <v>0</v>
      </c>
      <c r="K1725" t="s">
        <v>148</v>
      </c>
      <c r="N1725" t="s">
        <v>288</v>
      </c>
      <c r="P1725">
        <f t="shared" si="1757"/>
        <v>27</v>
      </c>
      <c r="Q1725" s="31" t="s">
        <v>527</v>
      </c>
    </row>
    <row r="1726" spans="1:17" outlineLevel="1" x14ac:dyDescent="0.25">
      <c r="A1726" t="s">
        <v>284</v>
      </c>
      <c r="C1726">
        <v>0</v>
      </c>
      <c r="D1726" t="str">
        <f t="shared" si="1750"/>
        <v>Ordre de grandeur du nombre annuel de tournées (Catégorie 27)</v>
      </c>
      <c r="F1726" t="str">
        <f t="shared" si="1751"/>
        <v>LivrNuitTourneeNb27</v>
      </c>
      <c r="G1726" t="s">
        <v>17</v>
      </c>
      <c r="H1726">
        <f>IF($I$733="Par catégorie de véhicule sélectionnée (meilleure précision)",1,0)*IF(ISNUMBER(SEARCH(C1726,$I$732)),1,0)</f>
        <v>0</v>
      </c>
      <c r="K1726" t="s">
        <v>283</v>
      </c>
      <c r="N1726" t="s">
        <v>288</v>
      </c>
      <c r="P1726">
        <f t="shared" si="1757"/>
        <v>27</v>
      </c>
      <c r="Q1726" s="31" t="s">
        <v>527</v>
      </c>
    </row>
    <row r="1727" spans="1:17" outlineLevel="1" x14ac:dyDescent="0.25">
      <c r="A1727" t="s">
        <v>284</v>
      </c>
      <c r="C1727">
        <v>0</v>
      </c>
      <c r="D1727" t="str">
        <f t="shared" si="1752"/>
        <v>% de livraisons déjà en horaire décalé (Catégorie 27)</v>
      </c>
      <c r="F1727" t="str">
        <f t="shared" si="1753"/>
        <v>LivrNuitInitDecal27</v>
      </c>
      <c r="G1727" t="s">
        <v>17</v>
      </c>
      <c r="H1727">
        <f>IF($I$733="Par catégorie de véhicule sélectionnée (meilleure précision)",1,0)*IF(ISNUMBER(SEARCH(C1727,$I$732)),1,0)</f>
        <v>0</v>
      </c>
      <c r="I1727" s="18"/>
      <c r="K1727" t="s">
        <v>70</v>
      </c>
      <c r="N1727" t="s">
        <v>288</v>
      </c>
      <c r="P1727">
        <f t="shared" si="1757"/>
        <v>27</v>
      </c>
      <c r="Q1727" s="31" t="s">
        <v>527</v>
      </c>
    </row>
    <row r="1728" spans="1:17" outlineLevel="1" x14ac:dyDescent="0.25">
      <c r="A1728" t="s">
        <v>284</v>
      </c>
      <c r="C1728">
        <v>0</v>
      </c>
      <c r="D1728" t="str">
        <f t="shared" si="1742"/>
        <v>Distance moyenne d'une tournée (Catégorie 28)</v>
      </c>
      <c r="F1728" t="str">
        <f t="shared" si="1743"/>
        <v>LivrNuitTourneeDist28</v>
      </c>
      <c r="G1728" t="s">
        <v>17</v>
      </c>
      <c r="H1728">
        <f>IF($I$733="Par catégorie de véhicule sélectionnée (meilleure précision)",1,0)*IF(ISNUMBER(SEARCH(C1728,$I$732)),1,0)</f>
        <v>0</v>
      </c>
      <c r="K1728" t="s">
        <v>88</v>
      </c>
      <c r="N1728" t="s">
        <v>288</v>
      </c>
      <c r="P1728">
        <f t="shared" ref="P1728" si="1758">P1727+1</f>
        <v>28</v>
      </c>
      <c r="Q1728" s="31" t="s">
        <v>527</v>
      </c>
    </row>
    <row r="1729" spans="1:17" outlineLevel="1" x14ac:dyDescent="0.25">
      <c r="A1729" t="s">
        <v>284</v>
      </c>
      <c r="C1729">
        <v>0</v>
      </c>
      <c r="D1729" t="str">
        <f t="shared" si="1745"/>
        <v>Taux de chargement moyen pour une tournée (Catégorie 28)</v>
      </c>
      <c r="F1729" t="str">
        <f t="shared" si="1746"/>
        <v>LivrNuitTourneeTC28</v>
      </c>
      <c r="G1729" t="s">
        <v>17</v>
      </c>
      <c r="H1729">
        <f>(IF($I$733="Par catégorie de véhicule sélectionnée (meilleure précision)",1,0)*IF(ISNUMBER(SEARCH(C1729,$I$732)),1,0))*(IF($I$734="Le taux de chargement moyen pour une tournée",1,0))</f>
        <v>0</v>
      </c>
      <c r="I1729" s="3"/>
      <c r="K1729" t="s">
        <v>70</v>
      </c>
      <c r="N1729" t="s">
        <v>288</v>
      </c>
      <c r="P1729">
        <f t="shared" ref="P1729:P1732" si="1759">P1728</f>
        <v>28</v>
      </c>
      <c r="Q1729" s="31" t="s">
        <v>527</v>
      </c>
    </row>
    <row r="1730" spans="1:17" outlineLevel="1" x14ac:dyDescent="0.25">
      <c r="A1730" t="s">
        <v>284</v>
      </c>
      <c r="C1730">
        <v>0</v>
      </c>
      <c r="D1730" t="str">
        <f t="shared" si="1748"/>
        <v>Masse moyenne transportée sur une tournée (Catégorie 28)</v>
      </c>
      <c r="F1730" t="str">
        <f t="shared" si="1749"/>
        <v>LivrNuitTourneeMasse28</v>
      </c>
      <c r="G1730" t="s">
        <v>17</v>
      </c>
      <c r="H1730">
        <f>(IF($I$733="Par catégorie de véhicule sélectionnée (meilleure précision)",1,0)*IF(ISNUMBER(SEARCH(C1730,$I$732)),1,0))*(IF($I$734="La masse moyenne transportée pour une tournée",1,0))</f>
        <v>0</v>
      </c>
      <c r="K1730" t="s">
        <v>148</v>
      </c>
      <c r="N1730" t="s">
        <v>288</v>
      </c>
      <c r="P1730">
        <f t="shared" si="1759"/>
        <v>28</v>
      </c>
      <c r="Q1730" s="31" t="s">
        <v>527</v>
      </c>
    </row>
    <row r="1731" spans="1:17" outlineLevel="1" x14ac:dyDescent="0.25">
      <c r="A1731" t="s">
        <v>284</v>
      </c>
      <c r="C1731">
        <v>0</v>
      </c>
      <c r="D1731" t="str">
        <f t="shared" si="1750"/>
        <v>Ordre de grandeur du nombre annuel de tournées (Catégorie 28)</v>
      </c>
      <c r="F1731" t="str">
        <f t="shared" si="1751"/>
        <v>LivrNuitTourneeNb28</v>
      </c>
      <c r="G1731" t="s">
        <v>17</v>
      </c>
      <c r="H1731">
        <f>IF($I$733="Par catégorie de véhicule sélectionnée (meilleure précision)",1,0)*IF(ISNUMBER(SEARCH(C1731,$I$732)),1,0)</f>
        <v>0</v>
      </c>
      <c r="K1731" t="s">
        <v>283</v>
      </c>
      <c r="N1731" t="s">
        <v>288</v>
      </c>
      <c r="P1731">
        <f t="shared" si="1759"/>
        <v>28</v>
      </c>
      <c r="Q1731" s="31" t="s">
        <v>527</v>
      </c>
    </row>
    <row r="1732" spans="1:17" outlineLevel="1" x14ac:dyDescent="0.25">
      <c r="A1732" t="s">
        <v>284</v>
      </c>
      <c r="C1732">
        <v>0</v>
      </c>
      <c r="D1732" t="str">
        <f t="shared" si="1752"/>
        <v>% de livraisons déjà en horaire décalé (Catégorie 28)</v>
      </c>
      <c r="F1732" t="str">
        <f t="shared" si="1753"/>
        <v>LivrNuitInitDecal28</v>
      </c>
      <c r="G1732" t="s">
        <v>17</v>
      </c>
      <c r="H1732">
        <f>IF($I$733="Par catégorie de véhicule sélectionnée (meilleure précision)",1,0)*IF(ISNUMBER(SEARCH(C1732,$I$732)),1,0)</f>
        <v>0</v>
      </c>
      <c r="I1732" s="18"/>
      <c r="K1732" t="s">
        <v>70</v>
      </c>
      <c r="N1732" t="s">
        <v>288</v>
      </c>
      <c r="P1732">
        <f t="shared" si="1759"/>
        <v>28</v>
      </c>
      <c r="Q1732" s="31" t="s">
        <v>527</v>
      </c>
    </row>
    <row r="1733" spans="1:17" outlineLevel="1" x14ac:dyDescent="0.25">
      <c r="A1733" t="s">
        <v>284</v>
      </c>
      <c r="C1733">
        <v>0</v>
      </c>
      <c r="D1733" t="str">
        <f t="shared" si="1742"/>
        <v>Distance moyenne d'une tournée (Catégorie 29)</v>
      </c>
      <c r="F1733" t="str">
        <f t="shared" si="1743"/>
        <v>LivrNuitTourneeDist29</v>
      </c>
      <c r="G1733" t="s">
        <v>17</v>
      </c>
      <c r="H1733">
        <f>IF($I$733="Par catégorie de véhicule sélectionnée (meilleure précision)",1,0)*IF(ISNUMBER(SEARCH(C1733,$I$732)),1,0)</f>
        <v>0</v>
      </c>
      <c r="K1733" t="s">
        <v>88</v>
      </c>
      <c r="N1733" t="s">
        <v>288</v>
      </c>
      <c r="P1733">
        <f t="shared" ref="P1733" si="1760">P1732+1</f>
        <v>29</v>
      </c>
      <c r="Q1733" s="31" t="s">
        <v>527</v>
      </c>
    </row>
    <row r="1734" spans="1:17" outlineLevel="1" x14ac:dyDescent="0.25">
      <c r="A1734" t="s">
        <v>284</v>
      </c>
      <c r="C1734">
        <v>0</v>
      </c>
      <c r="D1734" t="str">
        <f t="shared" si="1745"/>
        <v>Taux de chargement moyen pour une tournée (Catégorie 29)</v>
      </c>
      <c r="F1734" t="str">
        <f t="shared" si="1746"/>
        <v>LivrNuitTourneeTC29</v>
      </c>
      <c r="G1734" t="s">
        <v>17</v>
      </c>
      <c r="H1734">
        <f>(IF($I$733="Par catégorie de véhicule sélectionnée (meilleure précision)",1,0)*IF(ISNUMBER(SEARCH(C1734,$I$732)),1,0))*(IF($I$734="Le taux de chargement moyen pour une tournée",1,0))</f>
        <v>0</v>
      </c>
      <c r="I1734" s="3"/>
      <c r="K1734" t="s">
        <v>70</v>
      </c>
      <c r="N1734" t="s">
        <v>288</v>
      </c>
      <c r="P1734">
        <f t="shared" ref="P1734:P1737" si="1761">P1733</f>
        <v>29</v>
      </c>
      <c r="Q1734" s="31" t="s">
        <v>527</v>
      </c>
    </row>
    <row r="1735" spans="1:17" outlineLevel="1" x14ac:dyDescent="0.25">
      <c r="A1735" t="s">
        <v>284</v>
      </c>
      <c r="C1735">
        <v>0</v>
      </c>
      <c r="D1735" t="str">
        <f t="shared" si="1748"/>
        <v>Masse moyenne transportée sur une tournée (Catégorie 29)</v>
      </c>
      <c r="F1735" t="str">
        <f t="shared" si="1749"/>
        <v>LivrNuitTourneeMasse29</v>
      </c>
      <c r="G1735" t="s">
        <v>17</v>
      </c>
      <c r="H1735">
        <f>(IF($I$733="Par catégorie de véhicule sélectionnée (meilleure précision)",1,0)*IF(ISNUMBER(SEARCH(C1735,$I$732)),1,0))*(IF($I$734="La masse moyenne transportée pour une tournée",1,0))</f>
        <v>0</v>
      </c>
      <c r="K1735" t="s">
        <v>148</v>
      </c>
      <c r="N1735" t="s">
        <v>288</v>
      </c>
      <c r="P1735">
        <f t="shared" si="1761"/>
        <v>29</v>
      </c>
      <c r="Q1735" s="31" t="s">
        <v>527</v>
      </c>
    </row>
    <row r="1736" spans="1:17" outlineLevel="1" x14ac:dyDescent="0.25">
      <c r="A1736" t="s">
        <v>284</v>
      </c>
      <c r="C1736">
        <v>0</v>
      </c>
      <c r="D1736" t="str">
        <f t="shared" si="1750"/>
        <v>Ordre de grandeur du nombre annuel de tournées (Catégorie 29)</v>
      </c>
      <c r="F1736" t="str">
        <f t="shared" si="1751"/>
        <v>LivrNuitTourneeNb29</v>
      </c>
      <c r="G1736" t="s">
        <v>17</v>
      </c>
      <c r="H1736">
        <f>IF($I$733="Par catégorie de véhicule sélectionnée (meilleure précision)",1,0)*IF(ISNUMBER(SEARCH(C1736,$I$732)),1,0)</f>
        <v>0</v>
      </c>
      <c r="K1736" t="s">
        <v>283</v>
      </c>
      <c r="N1736" t="s">
        <v>288</v>
      </c>
      <c r="P1736">
        <f t="shared" si="1761"/>
        <v>29</v>
      </c>
      <c r="Q1736" s="31" t="s">
        <v>527</v>
      </c>
    </row>
    <row r="1737" spans="1:17" outlineLevel="1" x14ac:dyDescent="0.25">
      <c r="A1737" t="s">
        <v>284</v>
      </c>
      <c r="C1737">
        <v>0</v>
      </c>
      <c r="D1737" t="str">
        <f t="shared" si="1752"/>
        <v>% de livraisons déjà en horaire décalé (Catégorie 29)</v>
      </c>
      <c r="F1737" t="str">
        <f t="shared" si="1753"/>
        <v>LivrNuitInitDecal29</v>
      </c>
      <c r="G1737" t="s">
        <v>17</v>
      </c>
      <c r="H1737">
        <f>IF($I$733="Par catégorie de véhicule sélectionnée (meilleure précision)",1,0)*IF(ISNUMBER(SEARCH(C1737,$I$732)),1,0)</f>
        <v>0</v>
      </c>
      <c r="I1737" s="18"/>
      <c r="K1737" t="s">
        <v>70</v>
      </c>
      <c r="N1737" t="s">
        <v>288</v>
      </c>
      <c r="P1737">
        <f t="shared" si="1761"/>
        <v>29</v>
      </c>
      <c r="Q1737" s="31" t="s">
        <v>527</v>
      </c>
    </row>
    <row r="1738" spans="1:17" outlineLevel="1" x14ac:dyDescent="0.25">
      <c r="A1738" t="s">
        <v>284</v>
      </c>
      <c r="C1738">
        <v>0</v>
      </c>
      <c r="D1738" t="str">
        <f t="shared" si="1742"/>
        <v>Distance moyenne d'une tournée (Catégorie 30)</v>
      </c>
      <c r="F1738" t="str">
        <f t="shared" si="1743"/>
        <v>LivrNuitTourneeDist30</v>
      </c>
      <c r="G1738" t="s">
        <v>17</v>
      </c>
      <c r="H1738">
        <f>IF($I$733="Par catégorie de véhicule sélectionnée (meilleure précision)",1,0)*IF(ISNUMBER(SEARCH(C1738,$I$732)),1,0)</f>
        <v>0</v>
      </c>
      <c r="K1738" t="s">
        <v>88</v>
      </c>
      <c r="N1738" t="s">
        <v>288</v>
      </c>
      <c r="P1738">
        <f t="shared" ref="P1738" si="1762">P1737+1</f>
        <v>30</v>
      </c>
      <c r="Q1738" s="31" t="s">
        <v>527</v>
      </c>
    </row>
    <row r="1739" spans="1:17" outlineLevel="1" x14ac:dyDescent="0.25">
      <c r="A1739" t="s">
        <v>284</v>
      </c>
      <c r="C1739">
        <v>0</v>
      </c>
      <c r="D1739" t="str">
        <f t="shared" si="1745"/>
        <v>Taux de chargement moyen pour une tournée (Catégorie 30)</v>
      </c>
      <c r="F1739" t="str">
        <f t="shared" si="1746"/>
        <v>LivrNuitTourneeTC30</v>
      </c>
      <c r="G1739" t="s">
        <v>17</v>
      </c>
      <c r="H1739">
        <f>(IF($I$733="Par catégorie de véhicule sélectionnée (meilleure précision)",1,0)*IF(ISNUMBER(SEARCH(C1739,$I$732)),1,0))*(IF($I$734="Le taux de chargement moyen pour une tournée",1,0))</f>
        <v>0</v>
      </c>
      <c r="I1739" s="3"/>
      <c r="K1739" t="s">
        <v>70</v>
      </c>
      <c r="N1739" t="s">
        <v>288</v>
      </c>
      <c r="P1739">
        <f t="shared" ref="P1739:P1742" si="1763">P1738</f>
        <v>30</v>
      </c>
      <c r="Q1739" s="31" t="s">
        <v>527</v>
      </c>
    </row>
    <row r="1740" spans="1:17" outlineLevel="1" x14ac:dyDescent="0.25">
      <c r="A1740" t="s">
        <v>284</v>
      </c>
      <c r="C1740">
        <v>0</v>
      </c>
      <c r="D1740" t="str">
        <f t="shared" si="1748"/>
        <v>Masse moyenne transportée sur une tournée (Catégorie 30)</v>
      </c>
      <c r="F1740" t="str">
        <f t="shared" si="1749"/>
        <v>LivrNuitTourneeMasse30</v>
      </c>
      <c r="G1740" t="s">
        <v>17</v>
      </c>
      <c r="H1740">
        <f>(IF($I$733="Par catégorie de véhicule sélectionnée (meilleure précision)",1,0)*IF(ISNUMBER(SEARCH(C1740,$I$732)),1,0))*(IF($I$734="La masse moyenne transportée pour une tournée",1,0))</f>
        <v>0</v>
      </c>
      <c r="K1740" t="s">
        <v>148</v>
      </c>
      <c r="N1740" t="s">
        <v>288</v>
      </c>
      <c r="P1740">
        <f t="shared" si="1763"/>
        <v>30</v>
      </c>
      <c r="Q1740" s="31" t="s">
        <v>527</v>
      </c>
    </row>
    <row r="1741" spans="1:17" outlineLevel="1" x14ac:dyDescent="0.25">
      <c r="A1741" t="s">
        <v>284</v>
      </c>
      <c r="C1741">
        <v>0</v>
      </c>
      <c r="D1741" t="str">
        <f t="shared" si="1750"/>
        <v>Ordre de grandeur du nombre annuel de tournées (Catégorie 30)</v>
      </c>
      <c r="F1741" t="str">
        <f t="shared" si="1751"/>
        <v>LivrNuitTourneeNb30</v>
      </c>
      <c r="G1741" t="s">
        <v>17</v>
      </c>
      <c r="H1741">
        <f>IF($I$733="Par catégorie de véhicule sélectionnée (meilleure précision)",1,0)*IF(ISNUMBER(SEARCH(C1741,$I$732)),1,0)</f>
        <v>0</v>
      </c>
      <c r="K1741" t="s">
        <v>283</v>
      </c>
      <c r="N1741" t="s">
        <v>288</v>
      </c>
      <c r="P1741">
        <f t="shared" si="1763"/>
        <v>30</v>
      </c>
      <c r="Q1741" s="31" t="s">
        <v>527</v>
      </c>
    </row>
    <row r="1742" spans="1:17" outlineLevel="1" x14ac:dyDescent="0.25">
      <c r="A1742" t="s">
        <v>284</v>
      </c>
      <c r="C1742">
        <v>0</v>
      </c>
      <c r="D1742" t="str">
        <f t="shared" si="1752"/>
        <v>% de livraisons déjà en horaire décalé (Catégorie 30)</v>
      </c>
      <c r="F1742" t="str">
        <f t="shared" si="1753"/>
        <v>LivrNuitInitDecal30</v>
      </c>
      <c r="G1742" t="s">
        <v>17</v>
      </c>
      <c r="H1742">
        <f>IF($I$733="Par catégorie de véhicule sélectionnée (meilleure précision)",1,0)*IF(ISNUMBER(SEARCH(C1742,$I$732)),1,0)</f>
        <v>0</v>
      </c>
      <c r="I1742" s="18"/>
      <c r="K1742" t="s">
        <v>70</v>
      </c>
      <c r="N1742" t="s">
        <v>288</v>
      </c>
      <c r="P1742">
        <f t="shared" si="1763"/>
        <v>30</v>
      </c>
      <c r="Q1742" s="31" t="s">
        <v>527</v>
      </c>
    </row>
    <row r="1743" spans="1:17" outlineLevel="1" x14ac:dyDescent="0.25">
      <c r="A1743" t="s">
        <v>284</v>
      </c>
      <c r="C1743">
        <v>0</v>
      </c>
      <c r="D1743" t="str">
        <f t="shared" si="1742"/>
        <v>Distance moyenne d'une tournée (Catégorie 31)</v>
      </c>
      <c r="F1743" t="str">
        <f t="shared" si="1743"/>
        <v>LivrNuitTourneeDist31</v>
      </c>
      <c r="G1743" t="s">
        <v>17</v>
      </c>
      <c r="H1743">
        <f>IF($I$733="Par catégorie de véhicule sélectionnée (meilleure précision)",1,0)*IF(ISNUMBER(SEARCH(C1743,$I$732)),1,0)</f>
        <v>0</v>
      </c>
      <c r="K1743" t="s">
        <v>88</v>
      </c>
      <c r="N1743" t="s">
        <v>288</v>
      </c>
      <c r="P1743">
        <f t="shared" ref="P1743" si="1764">P1742+1</f>
        <v>31</v>
      </c>
      <c r="Q1743" s="31" t="s">
        <v>527</v>
      </c>
    </row>
    <row r="1744" spans="1:17" outlineLevel="1" x14ac:dyDescent="0.25">
      <c r="A1744" t="s">
        <v>284</v>
      </c>
      <c r="C1744">
        <v>0</v>
      </c>
      <c r="D1744" t="str">
        <f t="shared" si="1745"/>
        <v>Taux de chargement moyen pour une tournée (Catégorie 31)</v>
      </c>
      <c r="F1744" t="str">
        <f t="shared" si="1746"/>
        <v>LivrNuitTourneeTC31</v>
      </c>
      <c r="G1744" t="s">
        <v>17</v>
      </c>
      <c r="H1744">
        <f>(IF($I$733="Par catégorie de véhicule sélectionnée (meilleure précision)",1,0)*IF(ISNUMBER(SEARCH(C1744,$I$732)),1,0))*(IF($I$734="Le taux de chargement moyen pour une tournée",1,0))</f>
        <v>0</v>
      </c>
      <c r="I1744" s="3"/>
      <c r="K1744" t="s">
        <v>70</v>
      </c>
      <c r="N1744" t="s">
        <v>288</v>
      </c>
      <c r="P1744">
        <f t="shared" ref="P1744:P1747" si="1765">P1743</f>
        <v>31</v>
      </c>
      <c r="Q1744" s="31" t="s">
        <v>527</v>
      </c>
    </row>
    <row r="1745" spans="1:17" outlineLevel="1" x14ac:dyDescent="0.25">
      <c r="A1745" t="s">
        <v>284</v>
      </c>
      <c r="C1745">
        <v>0</v>
      </c>
      <c r="D1745" t="str">
        <f t="shared" si="1748"/>
        <v>Masse moyenne transportée sur une tournée (Catégorie 31)</v>
      </c>
      <c r="F1745" t="str">
        <f t="shared" si="1749"/>
        <v>LivrNuitTourneeMasse31</v>
      </c>
      <c r="G1745" t="s">
        <v>17</v>
      </c>
      <c r="H1745">
        <f>(IF($I$733="Par catégorie de véhicule sélectionnée (meilleure précision)",1,0)*IF(ISNUMBER(SEARCH(C1745,$I$732)),1,0))*(IF($I$734="La masse moyenne transportée pour une tournée",1,0))</f>
        <v>0</v>
      </c>
      <c r="K1745" t="s">
        <v>148</v>
      </c>
      <c r="N1745" t="s">
        <v>288</v>
      </c>
      <c r="P1745">
        <f t="shared" si="1765"/>
        <v>31</v>
      </c>
      <c r="Q1745" s="31" t="s">
        <v>527</v>
      </c>
    </row>
    <row r="1746" spans="1:17" outlineLevel="1" x14ac:dyDescent="0.25">
      <c r="A1746" t="s">
        <v>284</v>
      </c>
      <c r="C1746">
        <v>0</v>
      </c>
      <c r="D1746" t="str">
        <f t="shared" si="1750"/>
        <v>Ordre de grandeur du nombre annuel de tournées (Catégorie 31)</v>
      </c>
      <c r="F1746" t="str">
        <f t="shared" si="1751"/>
        <v>LivrNuitTourneeNb31</v>
      </c>
      <c r="G1746" t="s">
        <v>17</v>
      </c>
      <c r="H1746">
        <f>IF($I$733="Par catégorie de véhicule sélectionnée (meilleure précision)",1,0)*IF(ISNUMBER(SEARCH(C1746,$I$732)),1,0)</f>
        <v>0</v>
      </c>
      <c r="K1746" t="s">
        <v>283</v>
      </c>
      <c r="N1746" t="s">
        <v>288</v>
      </c>
      <c r="P1746">
        <f t="shared" si="1765"/>
        <v>31</v>
      </c>
      <c r="Q1746" s="31" t="s">
        <v>527</v>
      </c>
    </row>
    <row r="1747" spans="1:17" outlineLevel="1" x14ac:dyDescent="0.25">
      <c r="A1747" t="s">
        <v>284</v>
      </c>
      <c r="C1747">
        <v>0</v>
      </c>
      <c r="D1747" t="str">
        <f t="shared" si="1752"/>
        <v>% de livraisons déjà en horaire décalé (Catégorie 31)</v>
      </c>
      <c r="F1747" t="str">
        <f t="shared" si="1753"/>
        <v>LivrNuitInitDecal31</v>
      </c>
      <c r="G1747" t="s">
        <v>17</v>
      </c>
      <c r="H1747">
        <f>IF($I$733="Par catégorie de véhicule sélectionnée (meilleure précision)",1,0)*IF(ISNUMBER(SEARCH(C1747,$I$732)),1,0)</f>
        <v>0</v>
      </c>
      <c r="I1747" s="18"/>
      <c r="K1747" t="s">
        <v>70</v>
      </c>
      <c r="N1747" t="s">
        <v>288</v>
      </c>
      <c r="P1747">
        <f t="shared" si="1765"/>
        <v>31</v>
      </c>
      <c r="Q1747" s="31" t="s">
        <v>527</v>
      </c>
    </row>
    <row r="1748" spans="1:17" outlineLevel="1" x14ac:dyDescent="0.25">
      <c r="A1748" t="s">
        <v>284</v>
      </c>
      <c r="C1748">
        <v>0</v>
      </c>
      <c r="D1748" t="str">
        <f t="shared" si="1742"/>
        <v>Distance moyenne d'une tournée (Catégorie 32)</v>
      </c>
      <c r="F1748" t="str">
        <f t="shared" si="1743"/>
        <v>LivrNuitTourneeDist32</v>
      </c>
      <c r="G1748" t="s">
        <v>17</v>
      </c>
      <c r="H1748">
        <f>IF($I$733="Par catégorie de véhicule sélectionnée (meilleure précision)",1,0)*IF(ISNUMBER(SEARCH(C1748,$I$732)),1,0)</f>
        <v>0</v>
      </c>
      <c r="K1748" t="s">
        <v>88</v>
      </c>
      <c r="N1748" t="s">
        <v>288</v>
      </c>
      <c r="P1748">
        <f t="shared" ref="P1748" si="1766">P1747+1</f>
        <v>32</v>
      </c>
      <c r="Q1748" s="31" t="s">
        <v>527</v>
      </c>
    </row>
    <row r="1749" spans="1:17" outlineLevel="1" x14ac:dyDescent="0.25">
      <c r="A1749" t="s">
        <v>284</v>
      </c>
      <c r="C1749">
        <v>0</v>
      </c>
      <c r="D1749" t="str">
        <f t="shared" si="1745"/>
        <v>Taux de chargement moyen pour une tournée (Catégorie 32)</v>
      </c>
      <c r="F1749" t="str">
        <f t="shared" si="1746"/>
        <v>LivrNuitTourneeTC32</v>
      </c>
      <c r="G1749" t="s">
        <v>17</v>
      </c>
      <c r="H1749">
        <f>(IF($I$733="Par catégorie de véhicule sélectionnée (meilleure précision)",1,0)*IF(ISNUMBER(SEARCH(C1749,$I$732)),1,0))*(IF($I$734="Le taux de chargement moyen pour une tournée",1,0))</f>
        <v>0</v>
      </c>
      <c r="I1749" s="3"/>
      <c r="K1749" t="s">
        <v>70</v>
      </c>
      <c r="N1749" t="s">
        <v>288</v>
      </c>
      <c r="P1749">
        <f t="shared" ref="P1749:P1752" si="1767">P1748</f>
        <v>32</v>
      </c>
      <c r="Q1749" s="31" t="s">
        <v>527</v>
      </c>
    </row>
    <row r="1750" spans="1:17" outlineLevel="1" x14ac:dyDescent="0.25">
      <c r="A1750" t="s">
        <v>284</v>
      </c>
      <c r="C1750">
        <v>0</v>
      </c>
      <c r="D1750" t="str">
        <f t="shared" si="1748"/>
        <v>Masse moyenne transportée sur une tournée (Catégorie 32)</v>
      </c>
      <c r="F1750" t="str">
        <f t="shared" si="1749"/>
        <v>LivrNuitTourneeMasse32</v>
      </c>
      <c r="G1750" t="s">
        <v>17</v>
      </c>
      <c r="H1750">
        <f>(IF($I$733="Par catégorie de véhicule sélectionnée (meilleure précision)",1,0)*IF(ISNUMBER(SEARCH(C1750,$I$732)),1,0))*(IF($I$734="La masse moyenne transportée pour une tournée",1,0))</f>
        <v>0</v>
      </c>
      <c r="K1750" t="s">
        <v>148</v>
      </c>
      <c r="N1750" t="s">
        <v>288</v>
      </c>
      <c r="P1750">
        <f t="shared" si="1767"/>
        <v>32</v>
      </c>
      <c r="Q1750" s="31" t="s">
        <v>527</v>
      </c>
    </row>
    <row r="1751" spans="1:17" outlineLevel="1" x14ac:dyDescent="0.25">
      <c r="A1751" t="s">
        <v>284</v>
      </c>
      <c r="C1751">
        <v>0</v>
      </c>
      <c r="D1751" t="str">
        <f t="shared" si="1750"/>
        <v>Ordre de grandeur du nombre annuel de tournées (Catégorie 32)</v>
      </c>
      <c r="F1751" t="str">
        <f t="shared" si="1751"/>
        <v>LivrNuitTourneeNb32</v>
      </c>
      <c r="G1751" t="s">
        <v>17</v>
      </c>
      <c r="H1751">
        <f>IF($I$733="Par catégorie de véhicule sélectionnée (meilleure précision)",1,0)*IF(ISNUMBER(SEARCH(C1751,$I$732)),1,0)</f>
        <v>0</v>
      </c>
      <c r="K1751" t="s">
        <v>283</v>
      </c>
      <c r="N1751" t="s">
        <v>288</v>
      </c>
      <c r="P1751">
        <f t="shared" si="1767"/>
        <v>32</v>
      </c>
      <c r="Q1751" s="31" t="s">
        <v>527</v>
      </c>
    </row>
    <row r="1752" spans="1:17" outlineLevel="1" x14ac:dyDescent="0.25">
      <c r="A1752" t="s">
        <v>284</v>
      </c>
      <c r="C1752">
        <v>0</v>
      </c>
      <c r="D1752" t="str">
        <f t="shared" si="1752"/>
        <v>% de livraisons déjà en horaire décalé (Catégorie 32)</v>
      </c>
      <c r="F1752" t="str">
        <f t="shared" si="1753"/>
        <v>LivrNuitInitDecal32</v>
      </c>
      <c r="G1752" t="s">
        <v>17</v>
      </c>
      <c r="H1752">
        <f>IF($I$733="Par catégorie de véhicule sélectionnée (meilleure précision)",1,0)*IF(ISNUMBER(SEARCH(C1752,$I$732)),1,0)</f>
        <v>0</v>
      </c>
      <c r="I1752" s="18"/>
      <c r="K1752" t="s">
        <v>70</v>
      </c>
      <c r="N1752" t="s">
        <v>288</v>
      </c>
      <c r="P1752">
        <f t="shared" si="1767"/>
        <v>32</v>
      </c>
      <c r="Q1752" s="31" t="s">
        <v>527</v>
      </c>
    </row>
    <row r="1753" spans="1:17" outlineLevel="1" x14ac:dyDescent="0.25">
      <c r="A1753" t="s">
        <v>284</v>
      </c>
      <c r="C1753">
        <v>0</v>
      </c>
      <c r="D1753" t="str">
        <f t="shared" si="1742"/>
        <v>Distance moyenne d'une tournée (Catégorie 33)</v>
      </c>
      <c r="F1753" t="str">
        <f t="shared" si="1743"/>
        <v>LivrNuitTourneeDist33</v>
      </c>
      <c r="G1753" t="s">
        <v>17</v>
      </c>
      <c r="H1753">
        <f>IF($I$733="Par catégorie de véhicule sélectionnée (meilleure précision)",1,0)*IF(ISNUMBER(SEARCH(C1753,$I$732)),1,0)</f>
        <v>0</v>
      </c>
      <c r="K1753" t="s">
        <v>88</v>
      </c>
      <c r="N1753" t="s">
        <v>288</v>
      </c>
      <c r="P1753">
        <f t="shared" ref="P1753" si="1768">P1752+1</f>
        <v>33</v>
      </c>
      <c r="Q1753" s="31" t="s">
        <v>527</v>
      </c>
    </row>
    <row r="1754" spans="1:17" outlineLevel="1" x14ac:dyDescent="0.25">
      <c r="A1754" t="s">
        <v>284</v>
      </c>
      <c r="C1754">
        <v>0</v>
      </c>
      <c r="D1754" t="str">
        <f t="shared" si="1745"/>
        <v>Taux de chargement moyen pour une tournée (Catégorie 33)</v>
      </c>
      <c r="F1754" t="str">
        <f t="shared" si="1746"/>
        <v>LivrNuitTourneeTC33</v>
      </c>
      <c r="G1754" t="s">
        <v>17</v>
      </c>
      <c r="H1754">
        <f>(IF($I$733="Par catégorie de véhicule sélectionnée (meilleure précision)",1,0)*IF(ISNUMBER(SEARCH(C1754,$I$732)),1,0))*(IF($I$734="Le taux de chargement moyen pour une tournée",1,0))</f>
        <v>0</v>
      </c>
      <c r="I1754" s="3"/>
      <c r="K1754" t="s">
        <v>70</v>
      </c>
      <c r="N1754" t="s">
        <v>288</v>
      </c>
      <c r="P1754">
        <f t="shared" ref="P1754:P1757" si="1769">P1753</f>
        <v>33</v>
      </c>
      <c r="Q1754" s="31" t="s">
        <v>527</v>
      </c>
    </row>
    <row r="1755" spans="1:17" outlineLevel="1" x14ac:dyDescent="0.25">
      <c r="A1755" t="s">
        <v>284</v>
      </c>
      <c r="C1755">
        <v>0</v>
      </c>
      <c r="D1755" t="str">
        <f t="shared" si="1748"/>
        <v>Masse moyenne transportée sur une tournée (Catégorie 33)</v>
      </c>
      <c r="F1755" t="str">
        <f t="shared" si="1749"/>
        <v>LivrNuitTourneeMasse33</v>
      </c>
      <c r="G1755" t="s">
        <v>17</v>
      </c>
      <c r="H1755">
        <f>(IF($I$733="Par catégorie de véhicule sélectionnée (meilleure précision)",1,0)*IF(ISNUMBER(SEARCH(C1755,$I$732)),1,0))*(IF($I$734="La masse moyenne transportée pour une tournée",1,0))</f>
        <v>0</v>
      </c>
      <c r="K1755" t="s">
        <v>148</v>
      </c>
      <c r="N1755" t="s">
        <v>288</v>
      </c>
      <c r="P1755">
        <f t="shared" si="1769"/>
        <v>33</v>
      </c>
      <c r="Q1755" s="31" t="s">
        <v>527</v>
      </c>
    </row>
    <row r="1756" spans="1:17" outlineLevel="1" x14ac:dyDescent="0.25">
      <c r="A1756" t="s">
        <v>284</v>
      </c>
      <c r="C1756">
        <v>0</v>
      </c>
      <c r="D1756" t="str">
        <f t="shared" si="1750"/>
        <v>Ordre de grandeur du nombre annuel de tournées (Catégorie 33)</v>
      </c>
      <c r="F1756" t="str">
        <f t="shared" si="1751"/>
        <v>LivrNuitTourneeNb33</v>
      </c>
      <c r="G1756" t="s">
        <v>17</v>
      </c>
      <c r="H1756">
        <f>IF($I$733="Par catégorie de véhicule sélectionnée (meilleure précision)",1,0)*IF(ISNUMBER(SEARCH(C1756,$I$732)),1,0)</f>
        <v>0</v>
      </c>
      <c r="K1756" t="s">
        <v>283</v>
      </c>
      <c r="N1756" t="s">
        <v>288</v>
      </c>
      <c r="P1756">
        <f t="shared" si="1769"/>
        <v>33</v>
      </c>
      <c r="Q1756" s="31" t="s">
        <v>527</v>
      </c>
    </row>
    <row r="1757" spans="1:17" outlineLevel="1" x14ac:dyDescent="0.25">
      <c r="A1757" t="s">
        <v>284</v>
      </c>
      <c r="C1757">
        <v>0</v>
      </c>
      <c r="D1757" t="str">
        <f t="shared" si="1752"/>
        <v>% de livraisons déjà en horaire décalé (Catégorie 33)</v>
      </c>
      <c r="F1757" t="str">
        <f t="shared" si="1753"/>
        <v>LivrNuitInitDecal33</v>
      </c>
      <c r="G1757" t="s">
        <v>17</v>
      </c>
      <c r="H1757">
        <f>IF($I$733="Par catégorie de véhicule sélectionnée (meilleure précision)",1,0)*IF(ISNUMBER(SEARCH(C1757,$I$732)),1,0)</f>
        <v>0</v>
      </c>
      <c r="I1757" s="18"/>
      <c r="K1757" t="s">
        <v>70</v>
      </c>
      <c r="N1757" t="s">
        <v>288</v>
      </c>
      <c r="P1757">
        <f t="shared" si="1769"/>
        <v>33</v>
      </c>
      <c r="Q1757" s="31" t="s">
        <v>527</v>
      </c>
    </row>
    <row r="1758" spans="1:17" outlineLevel="1" x14ac:dyDescent="0.25">
      <c r="A1758" t="s">
        <v>284</v>
      </c>
      <c r="C1758">
        <v>0</v>
      </c>
      <c r="D1758" t="str">
        <f t="shared" si="1742"/>
        <v>Distance moyenne d'une tournée (Catégorie 34)</v>
      </c>
      <c r="F1758" t="str">
        <f t="shared" si="1743"/>
        <v>LivrNuitTourneeDist34</v>
      </c>
      <c r="G1758" t="s">
        <v>17</v>
      </c>
      <c r="H1758">
        <f>IF($I$733="Par catégorie de véhicule sélectionnée (meilleure précision)",1,0)*IF(ISNUMBER(SEARCH(C1758,$I$732)),1,0)</f>
        <v>0</v>
      </c>
      <c r="K1758" t="s">
        <v>88</v>
      </c>
      <c r="N1758" t="s">
        <v>288</v>
      </c>
      <c r="P1758">
        <f t="shared" ref="P1758" si="1770">P1757+1</f>
        <v>34</v>
      </c>
      <c r="Q1758" s="31" t="s">
        <v>527</v>
      </c>
    </row>
    <row r="1759" spans="1:17" outlineLevel="1" x14ac:dyDescent="0.25">
      <c r="A1759" t="s">
        <v>284</v>
      </c>
      <c r="C1759">
        <v>0</v>
      </c>
      <c r="D1759" t="str">
        <f t="shared" si="1745"/>
        <v>Taux de chargement moyen pour une tournée (Catégorie 34)</v>
      </c>
      <c r="F1759" t="str">
        <f t="shared" si="1746"/>
        <v>LivrNuitTourneeTC34</v>
      </c>
      <c r="G1759" t="s">
        <v>17</v>
      </c>
      <c r="H1759">
        <f>(IF($I$733="Par catégorie de véhicule sélectionnée (meilleure précision)",1,0)*IF(ISNUMBER(SEARCH(C1759,$I$732)),1,0))*(IF($I$734="Le taux de chargement moyen pour une tournée",1,0))</f>
        <v>0</v>
      </c>
      <c r="I1759" s="3"/>
      <c r="K1759" t="s">
        <v>70</v>
      </c>
      <c r="N1759" t="s">
        <v>288</v>
      </c>
      <c r="P1759">
        <f t="shared" ref="P1759:P1762" si="1771">P1758</f>
        <v>34</v>
      </c>
      <c r="Q1759" s="31" t="s">
        <v>527</v>
      </c>
    </row>
    <row r="1760" spans="1:17" outlineLevel="1" x14ac:dyDescent="0.25">
      <c r="A1760" t="s">
        <v>284</v>
      </c>
      <c r="C1760">
        <v>0</v>
      </c>
      <c r="D1760" t="str">
        <f t="shared" si="1748"/>
        <v>Masse moyenne transportée sur une tournée (Catégorie 34)</v>
      </c>
      <c r="F1760" t="str">
        <f t="shared" si="1749"/>
        <v>LivrNuitTourneeMasse34</v>
      </c>
      <c r="G1760" t="s">
        <v>17</v>
      </c>
      <c r="H1760">
        <f>(IF($I$733="Par catégorie de véhicule sélectionnée (meilleure précision)",1,0)*IF(ISNUMBER(SEARCH(C1760,$I$732)),1,0))*(IF($I$734="La masse moyenne transportée pour une tournée",1,0))</f>
        <v>0</v>
      </c>
      <c r="K1760" t="s">
        <v>148</v>
      </c>
      <c r="N1760" t="s">
        <v>288</v>
      </c>
      <c r="P1760">
        <f t="shared" si="1771"/>
        <v>34</v>
      </c>
      <c r="Q1760" s="31" t="s">
        <v>527</v>
      </c>
    </row>
    <row r="1761" spans="1:17" outlineLevel="1" x14ac:dyDescent="0.25">
      <c r="A1761" t="s">
        <v>284</v>
      </c>
      <c r="C1761">
        <v>0</v>
      </c>
      <c r="D1761" t="str">
        <f t="shared" si="1750"/>
        <v>Ordre de grandeur du nombre annuel de tournées (Catégorie 34)</v>
      </c>
      <c r="F1761" t="str">
        <f t="shared" si="1751"/>
        <v>LivrNuitTourneeNb34</v>
      </c>
      <c r="G1761" t="s">
        <v>17</v>
      </c>
      <c r="H1761">
        <f>IF($I$733="Par catégorie de véhicule sélectionnée (meilleure précision)",1,0)*IF(ISNUMBER(SEARCH(C1761,$I$732)),1,0)</f>
        <v>0</v>
      </c>
      <c r="K1761" t="s">
        <v>283</v>
      </c>
      <c r="N1761" t="s">
        <v>288</v>
      </c>
      <c r="P1761">
        <f t="shared" si="1771"/>
        <v>34</v>
      </c>
      <c r="Q1761" s="31" t="s">
        <v>527</v>
      </c>
    </row>
    <row r="1762" spans="1:17" outlineLevel="1" x14ac:dyDescent="0.25">
      <c r="A1762" t="s">
        <v>284</v>
      </c>
      <c r="C1762">
        <v>0</v>
      </c>
      <c r="D1762" t="str">
        <f t="shared" si="1752"/>
        <v>% de livraisons déjà en horaire décalé (Catégorie 34)</v>
      </c>
      <c r="F1762" t="str">
        <f t="shared" si="1753"/>
        <v>LivrNuitInitDecal34</v>
      </c>
      <c r="G1762" t="s">
        <v>17</v>
      </c>
      <c r="H1762">
        <f>IF($I$733="Par catégorie de véhicule sélectionnée (meilleure précision)",1,0)*IF(ISNUMBER(SEARCH(C1762,$I$732)),1,0)</f>
        <v>0</v>
      </c>
      <c r="I1762" s="18"/>
      <c r="K1762" t="s">
        <v>70</v>
      </c>
      <c r="N1762" t="s">
        <v>288</v>
      </c>
      <c r="P1762">
        <f t="shared" si="1771"/>
        <v>34</v>
      </c>
      <c r="Q1762" s="31" t="s">
        <v>527</v>
      </c>
    </row>
    <row r="1763" spans="1:17" outlineLevel="1" x14ac:dyDescent="0.25">
      <c r="A1763" t="s">
        <v>284</v>
      </c>
      <c r="C1763">
        <v>0</v>
      </c>
      <c r="D1763" t="str">
        <f t="shared" si="1742"/>
        <v>Distance moyenne d'une tournée (Catégorie 35)</v>
      </c>
      <c r="F1763" t="str">
        <f t="shared" si="1743"/>
        <v>LivrNuitTourneeDist35</v>
      </c>
      <c r="G1763" t="s">
        <v>17</v>
      </c>
      <c r="H1763">
        <f>IF($I$733="Par catégorie de véhicule sélectionnée (meilleure précision)",1,0)*IF(ISNUMBER(SEARCH(C1763,$I$732)),1,0)</f>
        <v>0</v>
      </c>
      <c r="K1763" t="s">
        <v>88</v>
      </c>
      <c r="N1763" t="s">
        <v>288</v>
      </c>
      <c r="P1763">
        <f t="shared" ref="P1763" si="1772">P1762+1</f>
        <v>35</v>
      </c>
      <c r="Q1763" s="31" t="s">
        <v>527</v>
      </c>
    </row>
    <row r="1764" spans="1:17" outlineLevel="1" x14ac:dyDescent="0.25">
      <c r="A1764" t="s">
        <v>284</v>
      </c>
      <c r="C1764">
        <v>0</v>
      </c>
      <c r="D1764" t="str">
        <f t="shared" si="1745"/>
        <v>Taux de chargement moyen pour une tournée (Catégorie 35)</v>
      </c>
      <c r="F1764" t="str">
        <f t="shared" si="1746"/>
        <v>LivrNuitTourneeTC35</v>
      </c>
      <c r="G1764" t="s">
        <v>17</v>
      </c>
      <c r="H1764">
        <f>(IF($I$733="Par catégorie de véhicule sélectionnée (meilleure précision)",1,0)*IF(ISNUMBER(SEARCH(C1764,$I$732)),1,0))*(IF($I$734="Le taux de chargement moyen pour une tournée",1,0))</f>
        <v>0</v>
      </c>
      <c r="I1764" s="3"/>
      <c r="K1764" t="s">
        <v>70</v>
      </c>
      <c r="N1764" t="s">
        <v>288</v>
      </c>
      <c r="P1764">
        <f t="shared" ref="P1764:P1767" si="1773">P1763</f>
        <v>35</v>
      </c>
      <c r="Q1764" s="31" t="s">
        <v>527</v>
      </c>
    </row>
    <row r="1765" spans="1:17" outlineLevel="1" x14ac:dyDescent="0.25">
      <c r="A1765" t="s">
        <v>284</v>
      </c>
      <c r="C1765">
        <v>0</v>
      </c>
      <c r="D1765" t="str">
        <f t="shared" si="1748"/>
        <v>Masse moyenne transportée sur une tournée (Catégorie 35)</v>
      </c>
      <c r="F1765" t="str">
        <f t="shared" si="1749"/>
        <v>LivrNuitTourneeMasse35</v>
      </c>
      <c r="G1765" t="s">
        <v>17</v>
      </c>
      <c r="H1765">
        <f>(IF($I$733="Par catégorie de véhicule sélectionnée (meilleure précision)",1,0)*IF(ISNUMBER(SEARCH(C1765,$I$732)),1,0))*(IF($I$734="La masse moyenne transportée pour une tournée",1,0))</f>
        <v>0</v>
      </c>
      <c r="K1765" t="s">
        <v>148</v>
      </c>
      <c r="N1765" t="s">
        <v>288</v>
      </c>
      <c r="P1765">
        <f t="shared" si="1773"/>
        <v>35</v>
      </c>
      <c r="Q1765" s="31" t="s">
        <v>527</v>
      </c>
    </row>
    <row r="1766" spans="1:17" outlineLevel="1" x14ac:dyDescent="0.25">
      <c r="A1766" t="s">
        <v>284</v>
      </c>
      <c r="C1766">
        <v>0</v>
      </c>
      <c r="D1766" t="str">
        <f t="shared" si="1750"/>
        <v>Ordre de grandeur du nombre annuel de tournées (Catégorie 35)</v>
      </c>
      <c r="F1766" t="str">
        <f t="shared" si="1751"/>
        <v>LivrNuitTourneeNb35</v>
      </c>
      <c r="G1766" t="s">
        <v>17</v>
      </c>
      <c r="H1766">
        <f>IF($I$733="Par catégorie de véhicule sélectionnée (meilleure précision)",1,0)*IF(ISNUMBER(SEARCH(C1766,$I$732)),1,0)</f>
        <v>0</v>
      </c>
      <c r="K1766" t="s">
        <v>283</v>
      </c>
      <c r="N1766" t="s">
        <v>288</v>
      </c>
      <c r="P1766">
        <f t="shared" si="1773"/>
        <v>35</v>
      </c>
      <c r="Q1766" s="31" t="s">
        <v>527</v>
      </c>
    </row>
    <row r="1767" spans="1:17" outlineLevel="1" x14ac:dyDescent="0.25">
      <c r="A1767" t="s">
        <v>284</v>
      </c>
      <c r="C1767">
        <v>0</v>
      </c>
      <c r="D1767" t="str">
        <f t="shared" si="1752"/>
        <v>% de livraisons déjà en horaire décalé (Catégorie 35)</v>
      </c>
      <c r="F1767" t="str">
        <f t="shared" si="1753"/>
        <v>LivrNuitInitDecal35</v>
      </c>
      <c r="G1767" t="s">
        <v>17</v>
      </c>
      <c r="H1767">
        <f>IF($I$733="Par catégorie de véhicule sélectionnée (meilleure précision)",1,0)*IF(ISNUMBER(SEARCH(C1767,$I$732)),1,0)</f>
        <v>0</v>
      </c>
      <c r="I1767" s="18"/>
      <c r="K1767" t="s">
        <v>70</v>
      </c>
      <c r="N1767" t="s">
        <v>288</v>
      </c>
      <c r="P1767">
        <f t="shared" si="1773"/>
        <v>35</v>
      </c>
      <c r="Q1767" s="31" t="s">
        <v>527</v>
      </c>
    </row>
    <row r="1768" spans="1:17" outlineLevel="1" x14ac:dyDescent="0.25">
      <c r="A1768" t="s">
        <v>284</v>
      </c>
      <c r="C1768">
        <v>0</v>
      </c>
      <c r="D1768" t="str">
        <f t="shared" si="1742"/>
        <v>Distance moyenne d'une tournée (Catégorie 36)</v>
      </c>
      <c r="F1768" t="str">
        <f t="shared" si="1743"/>
        <v>LivrNuitTourneeDist36</v>
      </c>
      <c r="G1768" t="s">
        <v>17</v>
      </c>
      <c r="H1768">
        <f>IF($I$733="Par catégorie de véhicule sélectionnée (meilleure précision)",1,0)*IF(ISNUMBER(SEARCH(C1768,$I$732)),1,0)</f>
        <v>0</v>
      </c>
      <c r="K1768" t="s">
        <v>88</v>
      </c>
      <c r="N1768" t="s">
        <v>288</v>
      </c>
      <c r="P1768">
        <f t="shared" ref="P1768" si="1774">P1767+1</f>
        <v>36</v>
      </c>
      <c r="Q1768" s="31" t="s">
        <v>527</v>
      </c>
    </row>
    <row r="1769" spans="1:17" outlineLevel="1" x14ac:dyDescent="0.25">
      <c r="A1769" t="s">
        <v>284</v>
      </c>
      <c r="C1769">
        <v>0</v>
      </c>
      <c r="D1769" t="str">
        <f t="shared" si="1745"/>
        <v>Taux de chargement moyen pour une tournée (Catégorie 36)</v>
      </c>
      <c r="F1769" t="str">
        <f t="shared" si="1746"/>
        <v>LivrNuitTourneeTC36</v>
      </c>
      <c r="G1769" t="s">
        <v>17</v>
      </c>
      <c r="H1769">
        <f>(IF($I$733="Par catégorie de véhicule sélectionnée (meilleure précision)",1,0)*IF(ISNUMBER(SEARCH(C1769,$I$732)),1,0))*(IF($I$734="Le taux de chargement moyen pour une tournée",1,0))</f>
        <v>0</v>
      </c>
      <c r="I1769" s="3"/>
      <c r="K1769" t="s">
        <v>70</v>
      </c>
      <c r="N1769" t="s">
        <v>288</v>
      </c>
      <c r="P1769">
        <f t="shared" ref="P1769:P1772" si="1775">P1768</f>
        <v>36</v>
      </c>
      <c r="Q1769" s="31" t="s">
        <v>527</v>
      </c>
    </row>
    <row r="1770" spans="1:17" outlineLevel="1" x14ac:dyDescent="0.25">
      <c r="A1770" t="s">
        <v>284</v>
      </c>
      <c r="C1770">
        <v>0</v>
      </c>
      <c r="D1770" t="str">
        <f t="shared" si="1748"/>
        <v>Masse moyenne transportée sur une tournée (Catégorie 36)</v>
      </c>
      <c r="F1770" t="str">
        <f t="shared" si="1749"/>
        <v>LivrNuitTourneeMasse36</v>
      </c>
      <c r="G1770" t="s">
        <v>17</v>
      </c>
      <c r="H1770">
        <f>(IF($I$733="Par catégorie de véhicule sélectionnée (meilleure précision)",1,0)*IF(ISNUMBER(SEARCH(C1770,$I$732)),1,0))*(IF($I$734="La masse moyenne transportée pour une tournée",1,0))</f>
        <v>0</v>
      </c>
      <c r="K1770" t="s">
        <v>148</v>
      </c>
      <c r="N1770" t="s">
        <v>288</v>
      </c>
      <c r="P1770">
        <f t="shared" si="1775"/>
        <v>36</v>
      </c>
      <c r="Q1770" s="31" t="s">
        <v>527</v>
      </c>
    </row>
    <row r="1771" spans="1:17" outlineLevel="1" x14ac:dyDescent="0.25">
      <c r="A1771" t="s">
        <v>284</v>
      </c>
      <c r="C1771">
        <v>0</v>
      </c>
      <c r="D1771" t="str">
        <f t="shared" si="1750"/>
        <v>Ordre de grandeur du nombre annuel de tournées (Catégorie 36)</v>
      </c>
      <c r="F1771" t="str">
        <f t="shared" si="1751"/>
        <v>LivrNuitTourneeNb36</v>
      </c>
      <c r="G1771" t="s">
        <v>17</v>
      </c>
      <c r="H1771">
        <f>IF($I$733="Par catégorie de véhicule sélectionnée (meilleure précision)",1,0)*IF(ISNUMBER(SEARCH(C1771,$I$732)),1,0)</f>
        <v>0</v>
      </c>
      <c r="K1771" t="s">
        <v>283</v>
      </c>
      <c r="N1771" t="s">
        <v>288</v>
      </c>
      <c r="P1771">
        <f t="shared" si="1775"/>
        <v>36</v>
      </c>
      <c r="Q1771" s="31" t="s">
        <v>527</v>
      </c>
    </row>
    <row r="1772" spans="1:17" outlineLevel="1" x14ac:dyDescent="0.25">
      <c r="A1772" t="s">
        <v>284</v>
      </c>
      <c r="C1772">
        <v>0</v>
      </c>
      <c r="D1772" t="str">
        <f t="shared" si="1752"/>
        <v>% de livraisons déjà en horaire décalé (Catégorie 36)</v>
      </c>
      <c r="F1772" t="str">
        <f t="shared" si="1753"/>
        <v>LivrNuitInitDecal36</v>
      </c>
      <c r="G1772" t="s">
        <v>17</v>
      </c>
      <c r="H1772">
        <f>IF($I$733="Par catégorie de véhicule sélectionnée (meilleure précision)",1,0)*IF(ISNUMBER(SEARCH(C1772,$I$732)),1,0)</f>
        <v>0</v>
      </c>
      <c r="I1772" s="18"/>
      <c r="K1772" t="s">
        <v>70</v>
      </c>
      <c r="N1772" t="s">
        <v>288</v>
      </c>
      <c r="P1772">
        <f t="shared" si="1775"/>
        <v>36</v>
      </c>
      <c r="Q1772" s="31" t="s">
        <v>527</v>
      </c>
    </row>
    <row r="1773" spans="1:17" outlineLevel="1" x14ac:dyDescent="0.25">
      <c r="A1773" t="s">
        <v>284</v>
      </c>
      <c r="C1773">
        <v>0</v>
      </c>
      <c r="D1773" t="str">
        <f t="shared" si="1742"/>
        <v>Distance moyenne d'une tournée (Catégorie 37)</v>
      </c>
      <c r="F1773" t="str">
        <f t="shared" si="1743"/>
        <v>LivrNuitTourneeDist37</v>
      </c>
      <c r="G1773" t="s">
        <v>17</v>
      </c>
      <c r="H1773">
        <f>IF($I$733="Par catégorie de véhicule sélectionnée (meilleure précision)",1,0)*IF(ISNUMBER(SEARCH(C1773,$I$732)),1,0)</f>
        <v>0</v>
      </c>
      <c r="K1773" t="s">
        <v>88</v>
      </c>
      <c r="N1773" t="s">
        <v>288</v>
      </c>
      <c r="P1773">
        <f t="shared" ref="P1773" si="1776">P1772+1</f>
        <v>37</v>
      </c>
      <c r="Q1773" s="31" t="s">
        <v>527</v>
      </c>
    </row>
    <row r="1774" spans="1:17" outlineLevel="1" x14ac:dyDescent="0.25">
      <c r="A1774" t="s">
        <v>284</v>
      </c>
      <c r="C1774">
        <v>0</v>
      </c>
      <c r="D1774" t="str">
        <f t="shared" si="1745"/>
        <v>Taux de chargement moyen pour une tournée (Catégorie 37)</v>
      </c>
      <c r="F1774" t="str">
        <f t="shared" si="1746"/>
        <v>LivrNuitTourneeTC37</v>
      </c>
      <c r="G1774" t="s">
        <v>17</v>
      </c>
      <c r="H1774">
        <f>(IF($I$733="Par catégorie de véhicule sélectionnée (meilleure précision)",1,0)*IF(ISNUMBER(SEARCH(C1774,$I$732)),1,0))*(IF($I$734="Le taux de chargement moyen pour une tournée",1,0))</f>
        <v>0</v>
      </c>
      <c r="I1774" s="3"/>
      <c r="K1774" t="s">
        <v>70</v>
      </c>
      <c r="N1774" t="s">
        <v>288</v>
      </c>
      <c r="P1774">
        <f t="shared" ref="P1774:P1777" si="1777">P1773</f>
        <v>37</v>
      </c>
      <c r="Q1774" s="31" t="s">
        <v>527</v>
      </c>
    </row>
    <row r="1775" spans="1:17" outlineLevel="1" x14ac:dyDescent="0.25">
      <c r="A1775" t="s">
        <v>284</v>
      </c>
      <c r="C1775">
        <v>0</v>
      </c>
      <c r="D1775" t="str">
        <f t="shared" si="1748"/>
        <v>Masse moyenne transportée sur une tournée (Catégorie 37)</v>
      </c>
      <c r="F1775" t="str">
        <f t="shared" si="1749"/>
        <v>LivrNuitTourneeMasse37</v>
      </c>
      <c r="G1775" t="s">
        <v>17</v>
      </c>
      <c r="H1775">
        <f>(IF($I$733="Par catégorie de véhicule sélectionnée (meilleure précision)",1,0)*IF(ISNUMBER(SEARCH(C1775,$I$732)),1,0))*(IF($I$734="La masse moyenne transportée pour une tournée",1,0))</f>
        <v>0</v>
      </c>
      <c r="K1775" t="s">
        <v>148</v>
      </c>
      <c r="N1775" t="s">
        <v>288</v>
      </c>
      <c r="P1775">
        <f t="shared" si="1777"/>
        <v>37</v>
      </c>
      <c r="Q1775" s="31" t="s">
        <v>527</v>
      </c>
    </row>
    <row r="1776" spans="1:17" outlineLevel="1" x14ac:dyDescent="0.25">
      <c r="A1776" t="s">
        <v>284</v>
      </c>
      <c r="C1776">
        <v>0</v>
      </c>
      <c r="D1776" t="str">
        <f t="shared" si="1750"/>
        <v>Ordre de grandeur du nombre annuel de tournées (Catégorie 37)</v>
      </c>
      <c r="F1776" t="str">
        <f t="shared" si="1751"/>
        <v>LivrNuitTourneeNb37</v>
      </c>
      <c r="G1776" t="s">
        <v>17</v>
      </c>
      <c r="H1776">
        <f>IF($I$733="Par catégorie de véhicule sélectionnée (meilleure précision)",1,0)*IF(ISNUMBER(SEARCH(C1776,$I$732)),1,0)</f>
        <v>0</v>
      </c>
      <c r="K1776" t="s">
        <v>283</v>
      </c>
      <c r="N1776" t="s">
        <v>288</v>
      </c>
      <c r="P1776">
        <f t="shared" si="1777"/>
        <v>37</v>
      </c>
      <c r="Q1776" s="31" t="s">
        <v>527</v>
      </c>
    </row>
    <row r="1777" spans="1:17" outlineLevel="1" x14ac:dyDescent="0.25">
      <c r="A1777" t="s">
        <v>284</v>
      </c>
      <c r="C1777">
        <v>0</v>
      </c>
      <c r="D1777" t="str">
        <f t="shared" si="1752"/>
        <v>% de livraisons déjà en horaire décalé (Catégorie 37)</v>
      </c>
      <c r="F1777" t="str">
        <f t="shared" si="1753"/>
        <v>LivrNuitInitDecal37</v>
      </c>
      <c r="G1777" t="s">
        <v>17</v>
      </c>
      <c r="H1777">
        <f>IF($I$733="Par catégorie de véhicule sélectionnée (meilleure précision)",1,0)*IF(ISNUMBER(SEARCH(C1777,$I$732)),1,0)</f>
        <v>0</v>
      </c>
      <c r="I1777" s="18"/>
      <c r="K1777" t="s">
        <v>70</v>
      </c>
      <c r="N1777" t="s">
        <v>288</v>
      </c>
      <c r="P1777">
        <f t="shared" si="1777"/>
        <v>37</v>
      </c>
      <c r="Q1777" s="31" t="s">
        <v>527</v>
      </c>
    </row>
    <row r="1778" spans="1:17" outlineLevel="1" x14ac:dyDescent="0.25">
      <c r="A1778" t="s">
        <v>284</v>
      </c>
      <c r="C1778">
        <v>0</v>
      </c>
      <c r="D1778" t="str">
        <f t="shared" ref="D1778:D1813" si="1778">_xlfn.CONCAT("Distance moyenne d'une tournée (Catégorie " &amp; $P1778 &amp; ")")</f>
        <v>Distance moyenne d'une tournée (Catégorie 38)</v>
      </c>
      <c r="F1778" t="str">
        <f t="shared" ref="F1778:F1813" si="1779">"LivrNuitTourneeDist" &amp; $P1778</f>
        <v>LivrNuitTourneeDist38</v>
      </c>
      <c r="G1778" t="s">
        <v>17</v>
      </c>
      <c r="H1778">
        <f>IF($I$733="Par catégorie de véhicule sélectionnée (meilleure précision)",1,0)*IF(ISNUMBER(SEARCH(C1778,$I$732)),1,0)</f>
        <v>0</v>
      </c>
      <c r="K1778" t="s">
        <v>88</v>
      </c>
      <c r="N1778" t="s">
        <v>288</v>
      </c>
      <c r="P1778">
        <f t="shared" ref="P1778" si="1780">P1777+1</f>
        <v>38</v>
      </c>
      <c r="Q1778" s="31" t="s">
        <v>527</v>
      </c>
    </row>
    <row r="1779" spans="1:17" outlineLevel="1" x14ac:dyDescent="0.25">
      <c r="A1779" t="s">
        <v>284</v>
      </c>
      <c r="C1779">
        <v>0</v>
      </c>
      <c r="D1779" t="str">
        <f t="shared" ref="D1779:D1814" si="1781">_xlfn.CONCAT("Taux de chargement moyen pour une tournée (Catégorie " &amp; $P1779 &amp; ")")</f>
        <v>Taux de chargement moyen pour une tournée (Catégorie 38)</v>
      </c>
      <c r="F1779" t="str">
        <f t="shared" ref="F1779:F1814" si="1782">"LivrNuitTourneeTC" &amp; $P1779</f>
        <v>LivrNuitTourneeTC38</v>
      </c>
      <c r="G1779" t="s">
        <v>17</v>
      </c>
      <c r="H1779">
        <f>(IF($I$733="Par catégorie de véhicule sélectionnée (meilleure précision)",1,0)*IF(ISNUMBER(SEARCH(C1779,$I$732)),1,0))*(IF($I$734="Le taux de chargement moyen pour une tournée",1,0))</f>
        <v>0</v>
      </c>
      <c r="I1779" s="3"/>
      <c r="K1779" t="s">
        <v>70</v>
      </c>
      <c r="N1779" t="s">
        <v>288</v>
      </c>
      <c r="P1779">
        <f t="shared" ref="P1779:P1782" si="1783">P1778</f>
        <v>38</v>
      </c>
      <c r="Q1779" s="31" t="s">
        <v>527</v>
      </c>
    </row>
    <row r="1780" spans="1:17" outlineLevel="1" x14ac:dyDescent="0.25">
      <c r="A1780" t="s">
        <v>284</v>
      </c>
      <c r="C1780">
        <v>0</v>
      </c>
      <c r="D1780" t="str">
        <f t="shared" ref="D1780:D1815" si="1784">_xlfn.CONCAT("Masse moyenne transportée sur une tournée (Catégorie " &amp; $P1780 &amp; ")")</f>
        <v>Masse moyenne transportée sur une tournée (Catégorie 38)</v>
      </c>
      <c r="F1780" t="str">
        <f t="shared" ref="F1780:F1815" si="1785">"LivrNuitTourneeMasse" &amp; $P1780</f>
        <v>LivrNuitTourneeMasse38</v>
      </c>
      <c r="G1780" t="s">
        <v>17</v>
      </c>
      <c r="H1780">
        <f>(IF($I$733="Par catégorie de véhicule sélectionnée (meilleure précision)",1,0)*IF(ISNUMBER(SEARCH(C1780,$I$732)),1,0))*(IF($I$734="La masse moyenne transportée pour une tournée",1,0))</f>
        <v>0</v>
      </c>
      <c r="K1780" t="s">
        <v>148</v>
      </c>
      <c r="N1780" t="s">
        <v>288</v>
      </c>
      <c r="P1780">
        <f t="shared" si="1783"/>
        <v>38</v>
      </c>
      <c r="Q1780" s="31" t="s">
        <v>527</v>
      </c>
    </row>
    <row r="1781" spans="1:17" outlineLevel="1" x14ac:dyDescent="0.25">
      <c r="A1781" t="s">
        <v>284</v>
      </c>
      <c r="C1781">
        <v>0</v>
      </c>
      <c r="D1781" t="str">
        <f t="shared" ref="D1781:D1816" si="1786">_xlfn.CONCAT("Ordre de grandeur du nombre annuel de tournées (Catégorie " &amp; $P1781 &amp; ")")</f>
        <v>Ordre de grandeur du nombre annuel de tournées (Catégorie 38)</v>
      </c>
      <c r="F1781" t="str">
        <f t="shared" ref="F1781:F1816" si="1787">"LivrNuitTourneeNb" &amp; $P1781</f>
        <v>LivrNuitTourneeNb38</v>
      </c>
      <c r="G1781" t="s">
        <v>17</v>
      </c>
      <c r="H1781">
        <f>IF($I$733="Par catégorie de véhicule sélectionnée (meilleure précision)",1,0)*IF(ISNUMBER(SEARCH(C1781,$I$732)),1,0)</f>
        <v>0</v>
      </c>
      <c r="K1781" t="s">
        <v>283</v>
      </c>
      <c r="N1781" t="s">
        <v>288</v>
      </c>
      <c r="P1781">
        <f t="shared" si="1783"/>
        <v>38</v>
      </c>
      <c r="Q1781" s="31" t="s">
        <v>527</v>
      </c>
    </row>
    <row r="1782" spans="1:17" outlineLevel="1" x14ac:dyDescent="0.25">
      <c r="A1782" t="s">
        <v>284</v>
      </c>
      <c r="C1782">
        <v>0</v>
      </c>
      <c r="D1782" t="str">
        <f t="shared" ref="D1782:D1817" si="1788">_xlfn.CONCAT("% de livraisons déjà en horaire décalé (Catégorie " &amp; $P1782 &amp; ")")</f>
        <v>% de livraisons déjà en horaire décalé (Catégorie 38)</v>
      </c>
      <c r="F1782" t="str">
        <f t="shared" ref="F1782:F1817" si="1789">"LivrNuitInitDecal" &amp; $P1782</f>
        <v>LivrNuitInitDecal38</v>
      </c>
      <c r="G1782" t="s">
        <v>17</v>
      </c>
      <c r="H1782">
        <f>IF($I$733="Par catégorie de véhicule sélectionnée (meilleure précision)",1,0)*IF(ISNUMBER(SEARCH(C1782,$I$732)),1,0)</f>
        <v>0</v>
      </c>
      <c r="I1782" s="18"/>
      <c r="K1782" t="s">
        <v>70</v>
      </c>
      <c r="N1782" t="s">
        <v>288</v>
      </c>
      <c r="P1782">
        <f t="shared" si="1783"/>
        <v>38</v>
      </c>
      <c r="Q1782" s="31" t="s">
        <v>527</v>
      </c>
    </row>
    <row r="1783" spans="1:17" outlineLevel="1" x14ac:dyDescent="0.25">
      <c r="A1783" t="s">
        <v>284</v>
      </c>
      <c r="C1783">
        <v>0</v>
      </c>
      <c r="D1783" t="str">
        <f t="shared" si="1778"/>
        <v>Distance moyenne d'une tournée (Catégorie 39)</v>
      </c>
      <c r="F1783" t="str">
        <f t="shared" si="1779"/>
        <v>LivrNuitTourneeDist39</v>
      </c>
      <c r="G1783" t="s">
        <v>17</v>
      </c>
      <c r="H1783">
        <f>IF($I$733="Par catégorie de véhicule sélectionnée (meilleure précision)",1,0)*IF(ISNUMBER(SEARCH(C1783,$I$732)),1,0)</f>
        <v>0</v>
      </c>
      <c r="K1783" t="s">
        <v>88</v>
      </c>
      <c r="N1783" t="s">
        <v>288</v>
      </c>
      <c r="P1783">
        <f t="shared" ref="P1783" si="1790">P1782+1</f>
        <v>39</v>
      </c>
      <c r="Q1783" s="31" t="s">
        <v>527</v>
      </c>
    </row>
    <row r="1784" spans="1:17" outlineLevel="1" x14ac:dyDescent="0.25">
      <c r="A1784" t="s">
        <v>284</v>
      </c>
      <c r="C1784">
        <v>0</v>
      </c>
      <c r="D1784" t="str">
        <f t="shared" si="1781"/>
        <v>Taux de chargement moyen pour une tournée (Catégorie 39)</v>
      </c>
      <c r="F1784" t="str">
        <f t="shared" si="1782"/>
        <v>LivrNuitTourneeTC39</v>
      </c>
      <c r="G1784" t="s">
        <v>17</v>
      </c>
      <c r="H1784">
        <f>(IF($I$733="Par catégorie de véhicule sélectionnée (meilleure précision)",1,0)*IF(ISNUMBER(SEARCH(C1784,$I$732)),1,0))*(IF($I$734="Le taux de chargement moyen pour une tournée",1,0))</f>
        <v>0</v>
      </c>
      <c r="I1784" s="3"/>
      <c r="K1784" t="s">
        <v>70</v>
      </c>
      <c r="N1784" t="s">
        <v>288</v>
      </c>
      <c r="P1784">
        <f t="shared" ref="P1784:P1787" si="1791">P1783</f>
        <v>39</v>
      </c>
      <c r="Q1784" s="31" t="s">
        <v>527</v>
      </c>
    </row>
    <row r="1785" spans="1:17" outlineLevel="1" x14ac:dyDescent="0.25">
      <c r="A1785" t="s">
        <v>284</v>
      </c>
      <c r="C1785">
        <v>0</v>
      </c>
      <c r="D1785" t="str">
        <f t="shared" si="1784"/>
        <v>Masse moyenne transportée sur une tournée (Catégorie 39)</v>
      </c>
      <c r="F1785" t="str">
        <f t="shared" si="1785"/>
        <v>LivrNuitTourneeMasse39</v>
      </c>
      <c r="G1785" t="s">
        <v>17</v>
      </c>
      <c r="H1785">
        <f>(IF($I$733="Par catégorie de véhicule sélectionnée (meilleure précision)",1,0)*IF(ISNUMBER(SEARCH(C1785,$I$732)),1,0))*(IF($I$734="La masse moyenne transportée pour une tournée",1,0))</f>
        <v>0</v>
      </c>
      <c r="K1785" t="s">
        <v>148</v>
      </c>
      <c r="N1785" t="s">
        <v>288</v>
      </c>
      <c r="P1785">
        <f t="shared" si="1791"/>
        <v>39</v>
      </c>
      <c r="Q1785" s="31" t="s">
        <v>527</v>
      </c>
    </row>
    <row r="1786" spans="1:17" outlineLevel="1" x14ac:dyDescent="0.25">
      <c r="A1786" t="s">
        <v>284</v>
      </c>
      <c r="C1786">
        <v>0</v>
      </c>
      <c r="D1786" t="str">
        <f t="shared" si="1786"/>
        <v>Ordre de grandeur du nombre annuel de tournées (Catégorie 39)</v>
      </c>
      <c r="F1786" t="str">
        <f t="shared" si="1787"/>
        <v>LivrNuitTourneeNb39</v>
      </c>
      <c r="G1786" t="s">
        <v>17</v>
      </c>
      <c r="H1786">
        <f>IF($I$733="Par catégorie de véhicule sélectionnée (meilleure précision)",1,0)*IF(ISNUMBER(SEARCH(C1786,$I$732)),1,0)</f>
        <v>0</v>
      </c>
      <c r="K1786" t="s">
        <v>283</v>
      </c>
      <c r="N1786" t="s">
        <v>288</v>
      </c>
      <c r="P1786">
        <f t="shared" si="1791"/>
        <v>39</v>
      </c>
      <c r="Q1786" s="31" t="s">
        <v>527</v>
      </c>
    </row>
    <row r="1787" spans="1:17" outlineLevel="1" x14ac:dyDescent="0.25">
      <c r="A1787" t="s">
        <v>284</v>
      </c>
      <c r="C1787">
        <v>0</v>
      </c>
      <c r="D1787" t="str">
        <f t="shared" si="1788"/>
        <v>% de livraisons déjà en horaire décalé (Catégorie 39)</v>
      </c>
      <c r="F1787" t="str">
        <f t="shared" si="1789"/>
        <v>LivrNuitInitDecal39</v>
      </c>
      <c r="G1787" t="s">
        <v>17</v>
      </c>
      <c r="H1787">
        <f>IF($I$733="Par catégorie de véhicule sélectionnée (meilleure précision)",1,0)*IF(ISNUMBER(SEARCH(C1787,$I$732)),1,0)</f>
        <v>0</v>
      </c>
      <c r="I1787" s="18"/>
      <c r="K1787" t="s">
        <v>70</v>
      </c>
      <c r="N1787" t="s">
        <v>288</v>
      </c>
      <c r="P1787">
        <f t="shared" si="1791"/>
        <v>39</v>
      </c>
      <c r="Q1787" s="31" t="s">
        <v>527</v>
      </c>
    </row>
    <row r="1788" spans="1:17" outlineLevel="1" x14ac:dyDescent="0.25">
      <c r="A1788" t="s">
        <v>284</v>
      </c>
      <c r="C1788">
        <v>0</v>
      </c>
      <c r="D1788" t="str">
        <f t="shared" si="1778"/>
        <v>Distance moyenne d'une tournée (Catégorie 40)</v>
      </c>
      <c r="F1788" t="str">
        <f t="shared" si="1779"/>
        <v>LivrNuitTourneeDist40</v>
      </c>
      <c r="G1788" t="s">
        <v>17</v>
      </c>
      <c r="H1788">
        <f>IF($I$733="Par catégorie de véhicule sélectionnée (meilleure précision)",1,0)*IF(ISNUMBER(SEARCH(C1788,$I$732)),1,0)</f>
        <v>0</v>
      </c>
      <c r="K1788" t="s">
        <v>88</v>
      </c>
      <c r="N1788" t="s">
        <v>288</v>
      </c>
      <c r="P1788">
        <f t="shared" ref="P1788" si="1792">P1787+1</f>
        <v>40</v>
      </c>
      <c r="Q1788" s="31" t="s">
        <v>527</v>
      </c>
    </row>
    <row r="1789" spans="1:17" outlineLevel="1" x14ac:dyDescent="0.25">
      <c r="A1789" t="s">
        <v>284</v>
      </c>
      <c r="C1789">
        <v>0</v>
      </c>
      <c r="D1789" t="str">
        <f t="shared" si="1781"/>
        <v>Taux de chargement moyen pour une tournée (Catégorie 40)</v>
      </c>
      <c r="F1789" t="str">
        <f t="shared" si="1782"/>
        <v>LivrNuitTourneeTC40</v>
      </c>
      <c r="G1789" t="s">
        <v>17</v>
      </c>
      <c r="H1789">
        <f>(IF($I$733="Par catégorie de véhicule sélectionnée (meilleure précision)",1,0)*IF(ISNUMBER(SEARCH(C1789,$I$732)),1,0))*(IF($I$734="Le taux de chargement moyen pour une tournée",1,0))</f>
        <v>0</v>
      </c>
      <c r="I1789" s="3"/>
      <c r="K1789" t="s">
        <v>70</v>
      </c>
      <c r="N1789" t="s">
        <v>288</v>
      </c>
      <c r="P1789">
        <f t="shared" ref="P1789:P1792" si="1793">P1788</f>
        <v>40</v>
      </c>
      <c r="Q1789" s="31" t="s">
        <v>527</v>
      </c>
    </row>
    <row r="1790" spans="1:17" outlineLevel="1" x14ac:dyDescent="0.25">
      <c r="A1790" t="s">
        <v>284</v>
      </c>
      <c r="C1790">
        <v>0</v>
      </c>
      <c r="D1790" t="str">
        <f t="shared" si="1784"/>
        <v>Masse moyenne transportée sur une tournée (Catégorie 40)</v>
      </c>
      <c r="F1790" t="str">
        <f t="shared" si="1785"/>
        <v>LivrNuitTourneeMasse40</v>
      </c>
      <c r="G1790" t="s">
        <v>17</v>
      </c>
      <c r="H1790">
        <f>(IF($I$733="Par catégorie de véhicule sélectionnée (meilleure précision)",1,0)*IF(ISNUMBER(SEARCH(C1790,$I$732)),1,0))*(IF($I$734="La masse moyenne transportée pour une tournée",1,0))</f>
        <v>0</v>
      </c>
      <c r="K1790" t="s">
        <v>148</v>
      </c>
      <c r="N1790" t="s">
        <v>288</v>
      </c>
      <c r="P1790">
        <f t="shared" si="1793"/>
        <v>40</v>
      </c>
      <c r="Q1790" s="31" t="s">
        <v>527</v>
      </c>
    </row>
    <row r="1791" spans="1:17" outlineLevel="1" x14ac:dyDescent="0.25">
      <c r="A1791" t="s">
        <v>284</v>
      </c>
      <c r="C1791">
        <v>0</v>
      </c>
      <c r="D1791" t="str">
        <f t="shared" si="1786"/>
        <v>Ordre de grandeur du nombre annuel de tournées (Catégorie 40)</v>
      </c>
      <c r="F1791" t="str">
        <f t="shared" si="1787"/>
        <v>LivrNuitTourneeNb40</v>
      </c>
      <c r="G1791" t="s">
        <v>17</v>
      </c>
      <c r="H1791">
        <f>IF($I$733="Par catégorie de véhicule sélectionnée (meilleure précision)",1,0)*IF(ISNUMBER(SEARCH(C1791,$I$732)),1,0)</f>
        <v>0</v>
      </c>
      <c r="K1791" t="s">
        <v>283</v>
      </c>
      <c r="N1791" t="s">
        <v>288</v>
      </c>
      <c r="P1791">
        <f t="shared" si="1793"/>
        <v>40</v>
      </c>
      <c r="Q1791" s="31" t="s">
        <v>527</v>
      </c>
    </row>
    <row r="1792" spans="1:17" outlineLevel="1" x14ac:dyDescent="0.25">
      <c r="A1792" t="s">
        <v>284</v>
      </c>
      <c r="C1792">
        <v>0</v>
      </c>
      <c r="D1792" t="str">
        <f t="shared" si="1788"/>
        <v>% de livraisons déjà en horaire décalé (Catégorie 40)</v>
      </c>
      <c r="F1792" t="str">
        <f t="shared" si="1789"/>
        <v>LivrNuitInitDecal40</v>
      </c>
      <c r="G1792" t="s">
        <v>17</v>
      </c>
      <c r="H1792">
        <f>IF($I$733="Par catégorie de véhicule sélectionnée (meilleure précision)",1,0)*IF(ISNUMBER(SEARCH(C1792,$I$732)),1,0)</f>
        <v>0</v>
      </c>
      <c r="I1792" s="18"/>
      <c r="K1792" t="s">
        <v>70</v>
      </c>
      <c r="N1792" t="s">
        <v>288</v>
      </c>
      <c r="P1792">
        <f t="shared" si="1793"/>
        <v>40</v>
      </c>
      <c r="Q1792" s="31" t="s">
        <v>527</v>
      </c>
    </row>
    <row r="1793" spans="1:17" outlineLevel="1" x14ac:dyDescent="0.25">
      <c r="A1793" t="s">
        <v>284</v>
      </c>
      <c r="C1793">
        <v>0</v>
      </c>
      <c r="D1793" t="str">
        <f t="shared" si="1778"/>
        <v>Distance moyenne d'une tournée (Catégorie 41)</v>
      </c>
      <c r="F1793" t="str">
        <f t="shared" si="1779"/>
        <v>LivrNuitTourneeDist41</v>
      </c>
      <c r="G1793" t="s">
        <v>17</v>
      </c>
      <c r="H1793">
        <f>IF($I$733="Par catégorie de véhicule sélectionnée (meilleure précision)",1,0)*IF(ISNUMBER(SEARCH(C1793,$I$732)),1,0)</f>
        <v>0</v>
      </c>
      <c r="K1793" t="s">
        <v>88</v>
      </c>
      <c r="N1793" t="s">
        <v>288</v>
      </c>
      <c r="P1793">
        <f t="shared" ref="P1793" si="1794">P1792+1</f>
        <v>41</v>
      </c>
      <c r="Q1793" s="31" t="s">
        <v>527</v>
      </c>
    </row>
    <row r="1794" spans="1:17" outlineLevel="1" x14ac:dyDescent="0.25">
      <c r="A1794" t="s">
        <v>284</v>
      </c>
      <c r="C1794">
        <v>0</v>
      </c>
      <c r="D1794" t="str">
        <f t="shared" si="1781"/>
        <v>Taux de chargement moyen pour une tournée (Catégorie 41)</v>
      </c>
      <c r="F1794" t="str">
        <f t="shared" si="1782"/>
        <v>LivrNuitTourneeTC41</v>
      </c>
      <c r="G1794" t="s">
        <v>17</v>
      </c>
      <c r="H1794">
        <f>(IF($I$733="Par catégorie de véhicule sélectionnée (meilleure précision)",1,0)*IF(ISNUMBER(SEARCH(C1794,$I$732)),1,0))*(IF($I$734="Le taux de chargement moyen pour une tournée",1,0))</f>
        <v>0</v>
      </c>
      <c r="I1794" s="3"/>
      <c r="K1794" t="s">
        <v>70</v>
      </c>
      <c r="N1794" t="s">
        <v>288</v>
      </c>
      <c r="P1794">
        <f t="shared" ref="P1794:P1797" si="1795">P1793</f>
        <v>41</v>
      </c>
      <c r="Q1794" s="31" t="s">
        <v>527</v>
      </c>
    </row>
    <row r="1795" spans="1:17" outlineLevel="1" x14ac:dyDescent="0.25">
      <c r="A1795" t="s">
        <v>284</v>
      </c>
      <c r="C1795">
        <v>0</v>
      </c>
      <c r="D1795" t="str">
        <f t="shared" si="1784"/>
        <v>Masse moyenne transportée sur une tournée (Catégorie 41)</v>
      </c>
      <c r="F1795" t="str">
        <f t="shared" si="1785"/>
        <v>LivrNuitTourneeMasse41</v>
      </c>
      <c r="G1795" t="s">
        <v>17</v>
      </c>
      <c r="H1795">
        <f>(IF($I$733="Par catégorie de véhicule sélectionnée (meilleure précision)",1,0)*IF(ISNUMBER(SEARCH(C1795,$I$732)),1,0))*(IF($I$734="La masse moyenne transportée pour une tournée",1,0))</f>
        <v>0</v>
      </c>
      <c r="K1795" t="s">
        <v>148</v>
      </c>
      <c r="N1795" t="s">
        <v>288</v>
      </c>
      <c r="P1795">
        <f t="shared" si="1795"/>
        <v>41</v>
      </c>
      <c r="Q1795" s="31" t="s">
        <v>527</v>
      </c>
    </row>
    <row r="1796" spans="1:17" outlineLevel="1" x14ac:dyDescent="0.25">
      <c r="A1796" t="s">
        <v>284</v>
      </c>
      <c r="C1796">
        <v>0</v>
      </c>
      <c r="D1796" t="str">
        <f t="shared" si="1786"/>
        <v>Ordre de grandeur du nombre annuel de tournées (Catégorie 41)</v>
      </c>
      <c r="F1796" t="str">
        <f t="shared" si="1787"/>
        <v>LivrNuitTourneeNb41</v>
      </c>
      <c r="G1796" t="s">
        <v>17</v>
      </c>
      <c r="H1796">
        <f>IF($I$733="Par catégorie de véhicule sélectionnée (meilleure précision)",1,0)*IF(ISNUMBER(SEARCH(C1796,$I$732)),1,0)</f>
        <v>0</v>
      </c>
      <c r="K1796" t="s">
        <v>283</v>
      </c>
      <c r="N1796" t="s">
        <v>288</v>
      </c>
      <c r="P1796">
        <f t="shared" si="1795"/>
        <v>41</v>
      </c>
      <c r="Q1796" s="31" t="s">
        <v>527</v>
      </c>
    </row>
    <row r="1797" spans="1:17" outlineLevel="1" x14ac:dyDescent="0.25">
      <c r="A1797" t="s">
        <v>284</v>
      </c>
      <c r="C1797">
        <v>0</v>
      </c>
      <c r="D1797" t="str">
        <f t="shared" si="1788"/>
        <v>% de livraisons déjà en horaire décalé (Catégorie 41)</v>
      </c>
      <c r="F1797" t="str">
        <f t="shared" si="1789"/>
        <v>LivrNuitInitDecal41</v>
      </c>
      <c r="G1797" t="s">
        <v>17</v>
      </c>
      <c r="H1797">
        <f>IF($I$733="Par catégorie de véhicule sélectionnée (meilleure précision)",1,0)*IF(ISNUMBER(SEARCH(C1797,$I$732)),1,0)</f>
        <v>0</v>
      </c>
      <c r="I1797" s="18"/>
      <c r="K1797" t="s">
        <v>70</v>
      </c>
      <c r="N1797" t="s">
        <v>288</v>
      </c>
      <c r="P1797">
        <f t="shared" si="1795"/>
        <v>41</v>
      </c>
      <c r="Q1797" s="31" t="s">
        <v>527</v>
      </c>
    </row>
    <row r="1798" spans="1:17" outlineLevel="1" x14ac:dyDescent="0.25">
      <c r="A1798" t="s">
        <v>284</v>
      </c>
      <c r="C1798">
        <v>0</v>
      </c>
      <c r="D1798" t="str">
        <f t="shared" si="1778"/>
        <v>Distance moyenne d'une tournée (Catégorie 42)</v>
      </c>
      <c r="F1798" t="str">
        <f t="shared" si="1779"/>
        <v>LivrNuitTourneeDist42</v>
      </c>
      <c r="G1798" t="s">
        <v>17</v>
      </c>
      <c r="H1798">
        <f>IF($I$733="Par catégorie de véhicule sélectionnée (meilleure précision)",1,0)*IF(ISNUMBER(SEARCH(C1798,$I$732)),1,0)</f>
        <v>0</v>
      </c>
      <c r="K1798" t="s">
        <v>88</v>
      </c>
      <c r="N1798" t="s">
        <v>288</v>
      </c>
      <c r="P1798">
        <f t="shared" ref="P1798" si="1796">P1797+1</f>
        <v>42</v>
      </c>
      <c r="Q1798" s="31" t="s">
        <v>527</v>
      </c>
    </row>
    <row r="1799" spans="1:17" outlineLevel="1" x14ac:dyDescent="0.25">
      <c r="A1799" t="s">
        <v>284</v>
      </c>
      <c r="C1799">
        <v>0</v>
      </c>
      <c r="D1799" t="str">
        <f t="shared" si="1781"/>
        <v>Taux de chargement moyen pour une tournée (Catégorie 42)</v>
      </c>
      <c r="F1799" t="str">
        <f t="shared" si="1782"/>
        <v>LivrNuitTourneeTC42</v>
      </c>
      <c r="G1799" t="s">
        <v>17</v>
      </c>
      <c r="H1799">
        <f>(IF($I$733="Par catégorie de véhicule sélectionnée (meilleure précision)",1,0)*IF(ISNUMBER(SEARCH(C1799,$I$732)),1,0))*(IF($I$734="Le taux de chargement moyen pour une tournée",1,0))</f>
        <v>0</v>
      </c>
      <c r="I1799" s="3"/>
      <c r="K1799" t="s">
        <v>70</v>
      </c>
      <c r="N1799" t="s">
        <v>288</v>
      </c>
      <c r="P1799">
        <f t="shared" ref="P1799:P1802" si="1797">P1798</f>
        <v>42</v>
      </c>
      <c r="Q1799" s="31" t="s">
        <v>527</v>
      </c>
    </row>
    <row r="1800" spans="1:17" outlineLevel="1" x14ac:dyDescent="0.25">
      <c r="A1800" t="s">
        <v>284</v>
      </c>
      <c r="C1800">
        <v>0</v>
      </c>
      <c r="D1800" t="str">
        <f t="shared" si="1784"/>
        <v>Masse moyenne transportée sur une tournée (Catégorie 42)</v>
      </c>
      <c r="F1800" t="str">
        <f t="shared" si="1785"/>
        <v>LivrNuitTourneeMasse42</v>
      </c>
      <c r="G1800" t="s">
        <v>17</v>
      </c>
      <c r="H1800">
        <f>(IF($I$733="Par catégorie de véhicule sélectionnée (meilleure précision)",1,0)*IF(ISNUMBER(SEARCH(C1800,$I$732)),1,0))*(IF($I$734="La masse moyenne transportée pour une tournée",1,0))</f>
        <v>0</v>
      </c>
      <c r="K1800" t="s">
        <v>148</v>
      </c>
      <c r="N1800" t="s">
        <v>288</v>
      </c>
      <c r="P1800">
        <f t="shared" si="1797"/>
        <v>42</v>
      </c>
      <c r="Q1800" s="31" t="s">
        <v>527</v>
      </c>
    </row>
    <row r="1801" spans="1:17" outlineLevel="1" x14ac:dyDescent="0.25">
      <c r="A1801" t="s">
        <v>284</v>
      </c>
      <c r="C1801">
        <v>0</v>
      </c>
      <c r="D1801" t="str">
        <f t="shared" si="1786"/>
        <v>Ordre de grandeur du nombre annuel de tournées (Catégorie 42)</v>
      </c>
      <c r="F1801" t="str">
        <f t="shared" si="1787"/>
        <v>LivrNuitTourneeNb42</v>
      </c>
      <c r="G1801" t="s">
        <v>17</v>
      </c>
      <c r="H1801">
        <f>IF($I$733="Par catégorie de véhicule sélectionnée (meilleure précision)",1,0)*IF(ISNUMBER(SEARCH(C1801,$I$732)),1,0)</f>
        <v>0</v>
      </c>
      <c r="K1801" t="s">
        <v>283</v>
      </c>
      <c r="N1801" t="s">
        <v>288</v>
      </c>
      <c r="P1801">
        <f t="shared" si="1797"/>
        <v>42</v>
      </c>
      <c r="Q1801" s="31" t="s">
        <v>527</v>
      </c>
    </row>
    <row r="1802" spans="1:17" outlineLevel="1" x14ac:dyDescent="0.25">
      <c r="A1802" t="s">
        <v>284</v>
      </c>
      <c r="C1802">
        <v>0</v>
      </c>
      <c r="D1802" t="str">
        <f t="shared" si="1788"/>
        <v>% de livraisons déjà en horaire décalé (Catégorie 42)</v>
      </c>
      <c r="F1802" t="str">
        <f t="shared" si="1789"/>
        <v>LivrNuitInitDecal42</v>
      </c>
      <c r="G1802" t="s">
        <v>17</v>
      </c>
      <c r="H1802">
        <f>IF($I$733="Par catégorie de véhicule sélectionnée (meilleure précision)",1,0)*IF(ISNUMBER(SEARCH(C1802,$I$732)),1,0)</f>
        <v>0</v>
      </c>
      <c r="I1802" s="18"/>
      <c r="K1802" t="s">
        <v>70</v>
      </c>
      <c r="N1802" t="s">
        <v>288</v>
      </c>
      <c r="P1802">
        <f t="shared" si="1797"/>
        <v>42</v>
      </c>
      <c r="Q1802" s="31" t="s">
        <v>527</v>
      </c>
    </row>
    <row r="1803" spans="1:17" outlineLevel="1" x14ac:dyDescent="0.25">
      <c r="A1803" t="s">
        <v>284</v>
      </c>
      <c r="C1803">
        <v>0</v>
      </c>
      <c r="D1803" t="str">
        <f t="shared" si="1778"/>
        <v>Distance moyenne d'une tournée (Catégorie 43)</v>
      </c>
      <c r="F1803" t="str">
        <f t="shared" si="1779"/>
        <v>LivrNuitTourneeDist43</v>
      </c>
      <c r="G1803" t="s">
        <v>17</v>
      </c>
      <c r="H1803">
        <f>IF($I$733="Par catégorie de véhicule sélectionnée (meilleure précision)",1,0)*IF(ISNUMBER(SEARCH(C1803,$I$732)),1,0)</f>
        <v>0</v>
      </c>
      <c r="K1803" t="s">
        <v>88</v>
      </c>
      <c r="N1803" t="s">
        <v>288</v>
      </c>
      <c r="P1803">
        <f t="shared" ref="P1803" si="1798">P1802+1</f>
        <v>43</v>
      </c>
      <c r="Q1803" s="31" t="s">
        <v>527</v>
      </c>
    </row>
    <row r="1804" spans="1:17" outlineLevel="1" x14ac:dyDescent="0.25">
      <c r="A1804" t="s">
        <v>284</v>
      </c>
      <c r="C1804">
        <v>0</v>
      </c>
      <c r="D1804" t="str">
        <f t="shared" si="1781"/>
        <v>Taux de chargement moyen pour une tournée (Catégorie 43)</v>
      </c>
      <c r="F1804" t="str">
        <f t="shared" si="1782"/>
        <v>LivrNuitTourneeTC43</v>
      </c>
      <c r="G1804" t="s">
        <v>17</v>
      </c>
      <c r="H1804">
        <f>(IF($I$733="Par catégorie de véhicule sélectionnée (meilleure précision)",1,0)*IF(ISNUMBER(SEARCH(C1804,$I$732)),1,0))*(IF($I$734="Le taux de chargement moyen pour une tournée",1,0))</f>
        <v>0</v>
      </c>
      <c r="I1804" s="3"/>
      <c r="K1804" t="s">
        <v>70</v>
      </c>
      <c r="N1804" t="s">
        <v>288</v>
      </c>
      <c r="P1804">
        <f t="shared" ref="P1804:P1807" si="1799">P1803</f>
        <v>43</v>
      </c>
      <c r="Q1804" s="31" t="s">
        <v>527</v>
      </c>
    </row>
    <row r="1805" spans="1:17" outlineLevel="1" x14ac:dyDescent="0.25">
      <c r="A1805" t="s">
        <v>284</v>
      </c>
      <c r="C1805">
        <v>0</v>
      </c>
      <c r="D1805" t="str">
        <f t="shared" si="1784"/>
        <v>Masse moyenne transportée sur une tournée (Catégorie 43)</v>
      </c>
      <c r="F1805" t="str">
        <f t="shared" si="1785"/>
        <v>LivrNuitTourneeMasse43</v>
      </c>
      <c r="G1805" t="s">
        <v>17</v>
      </c>
      <c r="H1805">
        <f>(IF($I$733="Par catégorie de véhicule sélectionnée (meilleure précision)",1,0)*IF(ISNUMBER(SEARCH(C1805,$I$732)),1,0))*(IF($I$734="La masse moyenne transportée pour une tournée",1,0))</f>
        <v>0</v>
      </c>
      <c r="K1805" t="s">
        <v>148</v>
      </c>
      <c r="N1805" t="s">
        <v>288</v>
      </c>
      <c r="P1805">
        <f t="shared" si="1799"/>
        <v>43</v>
      </c>
      <c r="Q1805" s="31" t="s">
        <v>527</v>
      </c>
    </row>
    <row r="1806" spans="1:17" outlineLevel="1" x14ac:dyDescent="0.25">
      <c r="A1806" t="s">
        <v>284</v>
      </c>
      <c r="C1806">
        <v>0</v>
      </c>
      <c r="D1806" t="str">
        <f t="shared" si="1786"/>
        <v>Ordre de grandeur du nombre annuel de tournées (Catégorie 43)</v>
      </c>
      <c r="F1806" t="str">
        <f t="shared" si="1787"/>
        <v>LivrNuitTourneeNb43</v>
      </c>
      <c r="G1806" t="s">
        <v>17</v>
      </c>
      <c r="H1806">
        <f>IF($I$733="Par catégorie de véhicule sélectionnée (meilleure précision)",1,0)*IF(ISNUMBER(SEARCH(C1806,$I$732)),1,0)</f>
        <v>0</v>
      </c>
      <c r="K1806" t="s">
        <v>283</v>
      </c>
      <c r="N1806" t="s">
        <v>288</v>
      </c>
      <c r="P1806">
        <f t="shared" si="1799"/>
        <v>43</v>
      </c>
      <c r="Q1806" s="31" t="s">
        <v>527</v>
      </c>
    </row>
    <row r="1807" spans="1:17" outlineLevel="1" x14ac:dyDescent="0.25">
      <c r="A1807" t="s">
        <v>284</v>
      </c>
      <c r="C1807">
        <v>0</v>
      </c>
      <c r="D1807" t="str">
        <f t="shared" si="1788"/>
        <v>% de livraisons déjà en horaire décalé (Catégorie 43)</v>
      </c>
      <c r="F1807" t="str">
        <f t="shared" si="1789"/>
        <v>LivrNuitInitDecal43</v>
      </c>
      <c r="G1807" t="s">
        <v>17</v>
      </c>
      <c r="H1807">
        <f>IF($I$733="Par catégorie de véhicule sélectionnée (meilleure précision)",1,0)*IF(ISNUMBER(SEARCH(C1807,$I$732)),1,0)</f>
        <v>0</v>
      </c>
      <c r="I1807" s="18"/>
      <c r="K1807" t="s">
        <v>70</v>
      </c>
      <c r="N1807" t="s">
        <v>288</v>
      </c>
      <c r="P1807">
        <f t="shared" si="1799"/>
        <v>43</v>
      </c>
      <c r="Q1807" s="31" t="s">
        <v>527</v>
      </c>
    </row>
    <row r="1808" spans="1:17" outlineLevel="1" x14ac:dyDescent="0.25">
      <c r="A1808" t="s">
        <v>284</v>
      </c>
      <c r="C1808">
        <v>0</v>
      </c>
      <c r="D1808" t="str">
        <f t="shared" si="1778"/>
        <v>Distance moyenne d'une tournée (Catégorie 44)</v>
      </c>
      <c r="F1808" t="str">
        <f t="shared" si="1779"/>
        <v>LivrNuitTourneeDist44</v>
      </c>
      <c r="G1808" t="s">
        <v>17</v>
      </c>
      <c r="H1808">
        <f>IF($I$733="Par catégorie de véhicule sélectionnée (meilleure précision)",1,0)*IF(ISNUMBER(SEARCH(C1808,$I$732)),1,0)</f>
        <v>0</v>
      </c>
      <c r="K1808" t="s">
        <v>88</v>
      </c>
      <c r="N1808" t="s">
        <v>288</v>
      </c>
      <c r="P1808">
        <f t="shared" ref="P1808" si="1800">P1807+1</f>
        <v>44</v>
      </c>
      <c r="Q1808" s="31" t="s">
        <v>527</v>
      </c>
    </row>
    <row r="1809" spans="1:17" outlineLevel="1" x14ac:dyDescent="0.25">
      <c r="A1809" t="s">
        <v>284</v>
      </c>
      <c r="C1809">
        <v>0</v>
      </c>
      <c r="D1809" t="str">
        <f t="shared" si="1781"/>
        <v>Taux de chargement moyen pour une tournée (Catégorie 44)</v>
      </c>
      <c r="F1809" t="str">
        <f t="shared" si="1782"/>
        <v>LivrNuitTourneeTC44</v>
      </c>
      <c r="G1809" t="s">
        <v>17</v>
      </c>
      <c r="H1809">
        <f>(IF($I$733="Par catégorie de véhicule sélectionnée (meilleure précision)",1,0)*IF(ISNUMBER(SEARCH(C1809,$I$732)),1,0))*(IF($I$734="Le taux de chargement moyen pour une tournée",1,0))</f>
        <v>0</v>
      </c>
      <c r="I1809" s="3"/>
      <c r="K1809" t="s">
        <v>70</v>
      </c>
      <c r="N1809" t="s">
        <v>288</v>
      </c>
      <c r="P1809">
        <f t="shared" ref="P1809:P1812" si="1801">P1808</f>
        <v>44</v>
      </c>
      <c r="Q1809" s="31" t="s">
        <v>527</v>
      </c>
    </row>
    <row r="1810" spans="1:17" outlineLevel="1" x14ac:dyDescent="0.25">
      <c r="A1810" t="s">
        <v>284</v>
      </c>
      <c r="C1810">
        <v>0</v>
      </c>
      <c r="D1810" t="str">
        <f t="shared" si="1784"/>
        <v>Masse moyenne transportée sur une tournée (Catégorie 44)</v>
      </c>
      <c r="F1810" t="str">
        <f t="shared" si="1785"/>
        <v>LivrNuitTourneeMasse44</v>
      </c>
      <c r="G1810" t="s">
        <v>17</v>
      </c>
      <c r="H1810">
        <f>(IF($I$733="Par catégorie de véhicule sélectionnée (meilleure précision)",1,0)*IF(ISNUMBER(SEARCH(C1810,$I$732)),1,0))*(IF($I$734="La masse moyenne transportée pour une tournée",1,0))</f>
        <v>0</v>
      </c>
      <c r="K1810" t="s">
        <v>148</v>
      </c>
      <c r="N1810" t="s">
        <v>288</v>
      </c>
      <c r="P1810">
        <f t="shared" si="1801"/>
        <v>44</v>
      </c>
      <c r="Q1810" s="31" t="s">
        <v>527</v>
      </c>
    </row>
    <row r="1811" spans="1:17" outlineLevel="1" x14ac:dyDescent="0.25">
      <c r="A1811" t="s">
        <v>284</v>
      </c>
      <c r="C1811">
        <v>0</v>
      </c>
      <c r="D1811" t="str">
        <f t="shared" si="1786"/>
        <v>Ordre de grandeur du nombre annuel de tournées (Catégorie 44)</v>
      </c>
      <c r="F1811" t="str">
        <f t="shared" si="1787"/>
        <v>LivrNuitTourneeNb44</v>
      </c>
      <c r="G1811" t="s">
        <v>17</v>
      </c>
      <c r="H1811">
        <f>IF($I$733="Par catégorie de véhicule sélectionnée (meilleure précision)",1,0)*IF(ISNUMBER(SEARCH(C1811,$I$732)),1,0)</f>
        <v>0</v>
      </c>
      <c r="K1811" t="s">
        <v>283</v>
      </c>
      <c r="N1811" t="s">
        <v>288</v>
      </c>
      <c r="P1811">
        <f t="shared" si="1801"/>
        <v>44</v>
      </c>
      <c r="Q1811" s="31" t="s">
        <v>527</v>
      </c>
    </row>
    <row r="1812" spans="1:17" outlineLevel="1" x14ac:dyDescent="0.25">
      <c r="A1812" t="s">
        <v>284</v>
      </c>
      <c r="C1812">
        <v>0</v>
      </c>
      <c r="D1812" t="str">
        <f t="shared" si="1788"/>
        <v>% de livraisons déjà en horaire décalé (Catégorie 44)</v>
      </c>
      <c r="F1812" t="str">
        <f t="shared" si="1789"/>
        <v>LivrNuitInitDecal44</v>
      </c>
      <c r="G1812" t="s">
        <v>17</v>
      </c>
      <c r="H1812">
        <f>IF($I$733="Par catégorie de véhicule sélectionnée (meilleure précision)",1,0)*IF(ISNUMBER(SEARCH(C1812,$I$732)),1,0)</f>
        <v>0</v>
      </c>
      <c r="I1812" s="18"/>
      <c r="K1812" t="s">
        <v>70</v>
      </c>
      <c r="N1812" t="s">
        <v>288</v>
      </c>
      <c r="P1812">
        <f t="shared" si="1801"/>
        <v>44</v>
      </c>
      <c r="Q1812" s="31" t="s">
        <v>527</v>
      </c>
    </row>
    <row r="1813" spans="1:17" outlineLevel="1" x14ac:dyDescent="0.25">
      <c r="A1813" t="s">
        <v>284</v>
      </c>
      <c r="C1813">
        <v>0</v>
      </c>
      <c r="D1813" t="str">
        <f t="shared" si="1778"/>
        <v>Distance moyenne d'une tournée (Catégorie 45)</v>
      </c>
      <c r="F1813" t="str">
        <f t="shared" si="1779"/>
        <v>LivrNuitTourneeDist45</v>
      </c>
      <c r="G1813" t="s">
        <v>17</v>
      </c>
      <c r="H1813">
        <f>IF($I$733="Par catégorie de véhicule sélectionnée (meilleure précision)",1,0)*IF(ISNUMBER(SEARCH(C1813,$I$732)),1,0)</f>
        <v>0</v>
      </c>
      <c r="K1813" t="s">
        <v>88</v>
      </c>
      <c r="N1813" t="s">
        <v>288</v>
      </c>
      <c r="P1813">
        <f t="shared" ref="P1813" si="1802">P1812+1</f>
        <v>45</v>
      </c>
      <c r="Q1813" s="31" t="s">
        <v>527</v>
      </c>
    </row>
    <row r="1814" spans="1:17" outlineLevel="1" x14ac:dyDescent="0.25">
      <c r="A1814" t="s">
        <v>284</v>
      </c>
      <c r="C1814">
        <v>0</v>
      </c>
      <c r="D1814" t="str">
        <f t="shared" si="1781"/>
        <v>Taux de chargement moyen pour une tournée (Catégorie 45)</v>
      </c>
      <c r="F1814" t="str">
        <f t="shared" si="1782"/>
        <v>LivrNuitTourneeTC45</v>
      </c>
      <c r="G1814" t="s">
        <v>17</v>
      </c>
      <c r="H1814">
        <f>(IF($I$733="Par catégorie de véhicule sélectionnée (meilleure précision)",1,0)*IF(ISNUMBER(SEARCH(C1814,$I$732)),1,0))*(IF($I$734="Le taux de chargement moyen pour une tournée",1,0))</f>
        <v>0</v>
      </c>
      <c r="I1814" s="3"/>
      <c r="K1814" t="s">
        <v>70</v>
      </c>
      <c r="N1814" t="s">
        <v>288</v>
      </c>
      <c r="P1814">
        <f t="shared" ref="P1814:P1817" si="1803">P1813</f>
        <v>45</v>
      </c>
      <c r="Q1814" s="31" t="s">
        <v>527</v>
      </c>
    </row>
    <row r="1815" spans="1:17" outlineLevel="1" x14ac:dyDescent="0.25">
      <c r="A1815" t="s">
        <v>284</v>
      </c>
      <c r="C1815">
        <v>0</v>
      </c>
      <c r="D1815" t="str">
        <f t="shared" si="1784"/>
        <v>Masse moyenne transportée sur une tournée (Catégorie 45)</v>
      </c>
      <c r="F1815" t="str">
        <f t="shared" si="1785"/>
        <v>LivrNuitTourneeMasse45</v>
      </c>
      <c r="G1815" t="s">
        <v>17</v>
      </c>
      <c r="H1815">
        <f>(IF($I$733="Par catégorie de véhicule sélectionnée (meilleure précision)",1,0)*IF(ISNUMBER(SEARCH(C1815,$I$732)),1,0))*(IF($I$734="La masse moyenne transportée pour une tournée",1,0))</f>
        <v>0</v>
      </c>
      <c r="K1815" t="s">
        <v>148</v>
      </c>
      <c r="N1815" t="s">
        <v>288</v>
      </c>
      <c r="P1815">
        <f t="shared" si="1803"/>
        <v>45</v>
      </c>
      <c r="Q1815" s="31" t="s">
        <v>527</v>
      </c>
    </row>
    <row r="1816" spans="1:17" outlineLevel="1" x14ac:dyDescent="0.25">
      <c r="A1816" t="s">
        <v>284</v>
      </c>
      <c r="C1816">
        <v>0</v>
      </c>
      <c r="D1816" t="str">
        <f t="shared" si="1786"/>
        <v>Ordre de grandeur du nombre annuel de tournées (Catégorie 45)</v>
      </c>
      <c r="F1816" t="str">
        <f t="shared" si="1787"/>
        <v>LivrNuitTourneeNb45</v>
      </c>
      <c r="G1816" t="s">
        <v>17</v>
      </c>
      <c r="H1816">
        <f>IF($I$733="Par catégorie de véhicule sélectionnée (meilleure précision)",1,0)*IF(ISNUMBER(SEARCH(C1816,$I$732)),1,0)</f>
        <v>0</v>
      </c>
      <c r="K1816" t="s">
        <v>283</v>
      </c>
      <c r="N1816" t="s">
        <v>288</v>
      </c>
      <c r="P1816">
        <f t="shared" si="1803"/>
        <v>45</v>
      </c>
      <c r="Q1816" s="31" t="s">
        <v>527</v>
      </c>
    </row>
    <row r="1817" spans="1:17" outlineLevel="1" x14ac:dyDescent="0.25">
      <c r="A1817" t="s">
        <v>284</v>
      </c>
      <c r="C1817">
        <v>0</v>
      </c>
      <c r="D1817" t="str">
        <f t="shared" si="1788"/>
        <v>% de livraisons déjà en horaire décalé (Catégorie 45)</v>
      </c>
      <c r="F1817" t="str">
        <f t="shared" si="1789"/>
        <v>LivrNuitInitDecal45</v>
      </c>
      <c r="G1817" t="s">
        <v>17</v>
      </c>
      <c r="H1817">
        <f>IF($I$733="Par catégorie de véhicule sélectionnée (meilleure précision)",1,0)*IF(ISNUMBER(SEARCH(C1817,$I$732)),1,0)</f>
        <v>0</v>
      </c>
      <c r="I1817" s="18"/>
      <c r="K1817" t="s">
        <v>70</v>
      </c>
      <c r="N1817" t="s">
        <v>288</v>
      </c>
      <c r="P1817">
        <f t="shared" si="1803"/>
        <v>45</v>
      </c>
      <c r="Q1817" s="31" t="s">
        <v>527</v>
      </c>
    </row>
    <row r="1818" spans="1:17" s="17" customFormat="1" x14ac:dyDescent="0.25">
      <c r="A1818" t="s">
        <v>300</v>
      </c>
      <c r="B1818"/>
      <c r="C1818"/>
      <c r="D1818" t="s">
        <v>301</v>
      </c>
      <c r="E1818"/>
      <c r="F1818" t="s">
        <v>302</v>
      </c>
      <c r="G1818" t="s">
        <v>17</v>
      </c>
      <c r="H1818">
        <f t="shared" ref="H1818:H1823" si="1804">IF(OR(ISNUMBER(SEARCH("C7",$I$18)),ISNUMBER(SEARCH("C7",$I$17))),1,0)</f>
        <v>1</v>
      </c>
      <c r="I1818">
        <v>10000</v>
      </c>
      <c r="J1818"/>
      <c r="K1818" t="s">
        <v>226</v>
      </c>
      <c r="L1818" s="17">
        <v>10000</v>
      </c>
      <c r="N1818" s="17" t="s">
        <v>303</v>
      </c>
    </row>
    <row r="1819" spans="1:17" s="19" customFormat="1" x14ac:dyDescent="0.25">
      <c r="A1819" t="s">
        <v>300</v>
      </c>
      <c r="B1819"/>
      <c r="C1819"/>
      <c r="D1819" t="s">
        <v>304</v>
      </c>
      <c r="E1819"/>
      <c r="F1819" t="s">
        <v>305</v>
      </c>
      <c r="G1819" t="s">
        <v>17</v>
      </c>
      <c r="H1819">
        <f t="shared" si="1804"/>
        <v>1</v>
      </c>
      <c r="I1819">
        <v>2</v>
      </c>
      <c r="J1819"/>
      <c r="K1819" t="s">
        <v>306</v>
      </c>
      <c r="L1819" s="19">
        <v>2</v>
      </c>
      <c r="N1819" s="19" t="s">
        <v>303</v>
      </c>
    </row>
    <row r="1820" spans="1:17" s="19" customFormat="1" x14ac:dyDescent="0.25">
      <c r="A1820" t="s">
        <v>300</v>
      </c>
      <c r="B1820"/>
      <c r="C1820"/>
      <c r="D1820" t="s">
        <v>307</v>
      </c>
      <c r="E1820"/>
      <c r="F1820" t="s">
        <v>308</v>
      </c>
      <c r="G1820" t="s">
        <v>17</v>
      </c>
      <c r="H1820">
        <f t="shared" si="1804"/>
        <v>1</v>
      </c>
      <c r="I1820">
        <v>12</v>
      </c>
      <c r="J1820"/>
      <c r="K1820" t="s">
        <v>309</v>
      </c>
      <c r="L1820" s="19">
        <v>12</v>
      </c>
      <c r="N1820" s="19" t="s">
        <v>303</v>
      </c>
    </row>
    <row r="1821" spans="1:17" s="17" customFormat="1" x14ac:dyDescent="0.25">
      <c r="A1821" t="s">
        <v>300</v>
      </c>
      <c r="B1821"/>
      <c r="C1821"/>
      <c r="D1821" t="s">
        <v>310</v>
      </c>
      <c r="E1821"/>
      <c r="F1821" t="s">
        <v>311</v>
      </c>
      <c r="G1821" t="s">
        <v>17</v>
      </c>
      <c r="H1821">
        <f t="shared" si="1804"/>
        <v>1</v>
      </c>
      <c r="I1821">
        <v>70</v>
      </c>
      <c r="J1821"/>
      <c r="K1821" t="s">
        <v>226</v>
      </c>
      <c r="L1821" s="17">
        <v>70</v>
      </c>
      <c r="N1821" s="17" t="s">
        <v>303</v>
      </c>
    </row>
    <row r="1822" spans="1:17" s="17" customFormat="1" x14ac:dyDescent="0.25">
      <c r="A1822" t="s">
        <v>300</v>
      </c>
      <c r="B1822"/>
      <c r="C1822"/>
      <c r="D1822" t="s">
        <v>312</v>
      </c>
      <c r="E1822"/>
      <c r="F1822" t="s">
        <v>313</v>
      </c>
      <c r="G1822" t="s">
        <v>17</v>
      </c>
      <c r="H1822">
        <f t="shared" si="1804"/>
        <v>1</v>
      </c>
      <c r="I1822">
        <v>2</v>
      </c>
      <c r="J1822"/>
      <c r="K1822" t="s">
        <v>309</v>
      </c>
      <c r="L1822" s="17">
        <v>24</v>
      </c>
      <c r="N1822" s="17" t="s">
        <v>303</v>
      </c>
    </row>
    <row r="1823" spans="1:17" x14ac:dyDescent="0.25">
      <c r="A1823" t="s">
        <v>300</v>
      </c>
      <c r="D1823" t="s">
        <v>240</v>
      </c>
      <c r="F1823" t="s">
        <v>314</v>
      </c>
      <c r="G1823" t="s">
        <v>36</v>
      </c>
      <c r="H1823">
        <f t="shared" si="1804"/>
        <v>1</v>
      </c>
      <c r="I1823" t="s">
        <v>315</v>
      </c>
      <c r="J1823" s="2" t="s">
        <v>316</v>
      </c>
      <c r="L1823" s="13" t="s">
        <v>187</v>
      </c>
      <c r="N1823" t="s">
        <v>303</v>
      </c>
    </row>
    <row r="1824" spans="1:17" x14ac:dyDescent="0.25">
      <c r="A1824" t="s">
        <v>300</v>
      </c>
      <c r="D1824" t="s">
        <v>317</v>
      </c>
      <c r="F1824" t="s">
        <v>318</v>
      </c>
      <c r="G1824" t="s">
        <v>17</v>
      </c>
      <c r="H1824">
        <f t="shared" ref="H1824:H1832" si="1805">IF(ISNUMBER(SEARCH("Les consommations d'énergie des véhicules entrants et sortants du site",$I$1823)),1,0)</f>
        <v>0</v>
      </c>
      <c r="I1824">
        <v>500</v>
      </c>
      <c r="K1824" t="s">
        <v>319</v>
      </c>
      <c r="L1824">
        <v>500</v>
      </c>
      <c r="N1824" t="s">
        <v>303</v>
      </c>
    </row>
    <row r="1825" spans="1:14" x14ac:dyDescent="0.25">
      <c r="A1825" t="s">
        <v>300</v>
      </c>
      <c r="D1825" t="s">
        <v>320</v>
      </c>
      <c r="F1825" t="s">
        <v>321</v>
      </c>
      <c r="G1825" t="s">
        <v>17</v>
      </c>
      <c r="H1825">
        <f t="shared" si="1805"/>
        <v>0</v>
      </c>
      <c r="K1825" t="s">
        <v>319</v>
      </c>
      <c r="L1825">
        <v>500</v>
      </c>
      <c r="N1825" t="s">
        <v>303</v>
      </c>
    </row>
    <row r="1826" spans="1:14" x14ac:dyDescent="0.25">
      <c r="A1826" t="s">
        <v>300</v>
      </c>
      <c r="D1826" t="s">
        <v>322</v>
      </c>
      <c r="F1826" t="s">
        <v>323</v>
      </c>
      <c r="G1826" t="s">
        <v>17</v>
      </c>
      <c r="H1826">
        <f t="shared" si="1805"/>
        <v>0</v>
      </c>
      <c r="K1826" t="s">
        <v>319</v>
      </c>
      <c r="L1826">
        <v>500</v>
      </c>
      <c r="N1826" t="s">
        <v>303</v>
      </c>
    </row>
    <row r="1827" spans="1:14" x14ac:dyDescent="0.25">
      <c r="A1827" t="s">
        <v>300</v>
      </c>
      <c r="D1827" t="s">
        <v>324</v>
      </c>
      <c r="F1827" t="s">
        <v>325</v>
      </c>
      <c r="G1827" t="s">
        <v>17</v>
      </c>
      <c r="H1827">
        <f t="shared" si="1805"/>
        <v>0</v>
      </c>
      <c r="I1827">
        <v>100</v>
      </c>
      <c r="K1827" t="s">
        <v>319</v>
      </c>
      <c r="L1827">
        <v>500</v>
      </c>
      <c r="N1827" t="s">
        <v>303</v>
      </c>
    </row>
    <row r="1828" spans="1:14" x14ac:dyDescent="0.25">
      <c r="A1828" t="s">
        <v>300</v>
      </c>
      <c r="D1828" t="s">
        <v>326</v>
      </c>
      <c r="F1828" t="s">
        <v>327</v>
      </c>
      <c r="G1828" t="s">
        <v>17</v>
      </c>
      <c r="H1828">
        <f t="shared" si="1805"/>
        <v>0</v>
      </c>
      <c r="K1828" t="s">
        <v>319</v>
      </c>
      <c r="L1828">
        <v>500</v>
      </c>
      <c r="N1828" t="s">
        <v>303</v>
      </c>
    </row>
    <row r="1829" spans="1:14" x14ac:dyDescent="0.25">
      <c r="A1829" t="s">
        <v>300</v>
      </c>
      <c r="D1829" t="s">
        <v>328</v>
      </c>
      <c r="F1829" t="s">
        <v>329</v>
      </c>
      <c r="G1829" t="s">
        <v>17</v>
      </c>
      <c r="H1829">
        <f t="shared" si="1805"/>
        <v>0</v>
      </c>
      <c r="K1829" t="s">
        <v>330</v>
      </c>
      <c r="L1829">
        <v>5000</v>
      </c>
      <c r="N1829" t="s">
        <v>303</v>
      </c>
    </row>
    <row r="1830" spans="1:14" x14ac:dyDescent="0.25">
      <c r="A1830" t="s">
        <v>300</v>
      </c>
      <c r="D1830" t="s">
        <v>331</v>
      </c>
      <c r="F1830" t="s">
        <v>332</v>
      </c>
      <c r="G1830" t="s">
        <v>17</v>
      </c>
      <c r="H1830">
        <f t="shared" si="1805"/>
        <v>0</v>
      </c>
      <c r="K1830" t="s">
        <v>319</v>
      </c>
      <c r="L1830">
        <v>500</v>
      </c>
      <c r="N1830" t="s">
        <v>303</v>
      </c>
    </row>
    <row r="1831" spans="1:14" x14ac:dyDescent="0.25">
      <c r="A1831" t="s">
        <v>300</v>
      </c>
      <c r="D1831" t="s">
        <v>333</v>
      </c>
      <c r="F1831" t="s">
        <v>334</v>
      </c>
      <c r="G1831" t="s">
        <v>17</v>
      </c>
      <c r="H1831">
        <f t="shared" si="1805"/>
        <v>0</v>
      </c>
      <c r="I1831">
        <v>300</v>
      </c>
      <c r="K1831" t="s">
        <v>330</v>
      </c>
      <c r="L1831">
        <v>5000</v>
      </c>
      <c r="N1831" t="s">
        <v>303</v>
      </c>
    </row>
    <row r="1832" spans="1:14" x14ac:dyDescent="0.25">
      <c r="A1832" t="s">
        <v>300</v>
      </c>
      <c r="D1832" t="s">
        <v>335</v>
      </c>
      <c r="F1832" t="s">
        <v>336</v>
      </c>
      <c r="G1832" t="s">
        <v>17</v>
      </c>
      <c r="H1832">
        <f t="shared" si="1805"/>
        <v>0</v>
      </c>
      <c r="K1832" t="s">
        <v>330</v>
      </c>
      <c r="L1832">
        <v>5000</v>
      </c>
      <c r="N1832" t="s">
        <v>303</v>
      </c>
    </row>
    <row r="1833" spans="1:14" x14ac:dyDescent="0.25">
      <c r="A1833" t="s">
        <v>300</v>
      </c>
      <c r="C1833" t="s">
        <v>337</v>
      </c>
      <c r="D1833" t="s">
        <v>338</v>
      </c>
      <c r="F1833" t="s">
        <v>339</v>
      </c>
      <c r="G1833" t="s">
        <v>20</v>
      </c>
      <c r="H1833">
        <f>IF(OR(ISNUMBER(SEARCH("C7",$I$18)),ISNUMBER(SEARCH("C7",$I$17))),1,0)</f>
        <v>1</v>
      </c>
      <c r="I1833" t="s">
        <v>199</v>
      </c>
      <c r="K1833" t="s">
        <v>55</v>
      </c>
      <c r="L1833" t="s">
        <v>199</v>
      </c>
      <c r="N1833" t="s">
        <v>303</v>
      </c>
    </row>
    <row r="1834" spans="1:14" x14ac:dyDescent="0.25">
      <c r="A1834" t="s">
        <v>300</v>
      </c>
      <c r="C1834" t="s">
        <v>337</v>
      </c>
      <c r="D1834" t="s">
        <v>289</v>
      </c>
      <c r="F1834" t="s">
        <v>340</v>
      </c>
      <c r="G1834" t="s">
        <v>36</v>
      </c>
      <c r="H1834">
        <f>((IF(ISNUMBER(SEARCH("C4",$I$18)),1,0))*(IF($I$1823="Les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f>
        <v>0</v>
      </c>
      <c r="I1834" t="s">
        <v>242</v>
      </c>
      <c r="J1834" t="s">
        <v>243</v>
      </c>
      <c r="N1834" t="s">
        <v>303</v>
      </c>
    </row>
    <row r="1835" spans="1:14" x14ac:dyDescent="0.25">
      <c r="A1835" t="s">
        <v>300</v>
      </c>
      <c r="C1835" t="s">
        <v>341</v>
      </c>
      <c r="D1835" t="s">
        <v>342</v>
      </c>
      <c r="F1835" t="s">
        <v>343</v>
      </c>
      <c r="G1835" t="s">
        <v>20</v>
      </c>
      <c r="H1835">
        <f>((IF(ISBLANK($I$1833),0,1))*(IF($I$1823="Les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f>
        <v>0</v>
      </c>
      <c r="I1835" t="s">
        <v>382</v>
      </c>
      <c r="J1835" t="s">
        <v>239</v>
      </c>
      <c r="N1835" t="s">
        <v>303</v>
      </c>
    </row>
    <row r="1836" spans="1:14" x14ac:dyDescent="0.25">
      <c r="A1836" t="s">
        <v>300</v>
      </c>
      <c r="C1836" t="s">
        <v>341</v>
      </c>
      <c r="D1836" t="s">
        <v>344</v>
      </c>
      <c r="F1836" t="s">
        <v>345</v>
      </c>
      <c r="G1836" t="s">
        <v>17</v>
      </c>
      <c r="H1836">
        <f>((IF(ISBLANK($I$1833),0,1))*(IF($I$1823="Les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f>
        <v>0</v>
      </c>
      <c r="K1836" t="s">
        <v>88</v>
      </c>
      <c r="L1836">
        <v>30</v>
      </c>
      <c r="N1836" t="s">
        <v>303</v>
      </c>
    </row>
    <row r="1837" spans="1:14" x14ac:dyDescent="0.25">
      <c r="A1837" t="s">
        <v>300</v>
      </c>
      <c r="C1837" t="s">
        <v>341</v>
      </c>
      <c r="D1837" t="s">
        <v>346</v>
      </c>
      <c r="F1837" t="s">
        <v>347</v>
      </c>
      <c r="G1837" t="s">
        <v>17</v>
      </c>
      <c r="H1837">
        <f>(((IF(ISBLANK($I$1833),0,1))*(IF($I$1823="Les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moyen/etc.)",1,0)))*(IF($I$1834="Proposer un ordre de grandeur commun à toutes les catégories de véhicules",1,0))</f>
        <v>0</v>
      </c>
      <c r="I1837" s="3"/>
      <c r="K1837" t="s">
        <v>70</v>
      </c>
      <c r="L1837" s="7">
        <v>0.33</v>
      </c>
      <c r="N1837" t="s">
        <v>303</v>
      </c>
    </row>
    <row r="1838" spans="1:14" x14ac:dyDescent="0.25">
      <c r="A1838" t="s">
        <v>300</v>
      </c>
      <c r="C1838" t="s">
        <v>341</v>
      </c>
      <c r="D1838" t="s">
        <v>348</v>
      </c>
      <c r="F1838" t="s">
        <v>349</v>
      </c>
      <c r="G1838" t="s">
        <v>17</v>
      </c>
      <c r="H1838">
        <f>(((IF(ISBLANK($I$1833),0,1)*IF(ISNUMBER(SEARCH("La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moyen/etc.)",1,0)))*(IF($I$1834="Proposer un ordre de grandeur commun à toutes les catégories de véhicules",1,0))</f>
        <v>0</v>
      </c>
      <c r="K1838" t="s">
        <v>88</v>
      </c>
      <c r="L1838">
        <v>30</v>
      </c>
      <c r="N1838" t="s">
        <v>303</v>
      </c>
    </row>
    <row r="1839" spans="1:14" x14ac:dyDescent="0.25">
      <c r="A1839" t="s">
        <v>300</v>
      </c>
      <c r="C1839" t="s">
        <v>341</v>
      </c>
      <c r="D1839" t="s">
        <v>248</v>
      </c>
      <c r="F1839" t="s">
        <v>350</v>
      </c>
      <c r="G1839" t="s">
        <v>17</v>
      </c>
      <c r="H1839">
        <f>(((IF(ISBLANK($I$1833),0,1)*IF(ISNUMBER(SEARCH("La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moyen/etc.)",1,0)))*(IF($I$1834="Proposer un ordre de grandeur commun à toutes les catégories de véhicules",1,0))</f>
        <v>0</v>
      </c>
      <c r="K1839" t="s">
        <v>145</v>
      </c>
      <c r="L1839">
        <v>15</v>
      </c>
      <c r="N1839" t="s">
        <v>303</v>
      </c>
    </row>
    <row r="1840" spans="1:14" outlineLevel="1" x14ac:dyDescent="0.25">
      <c r="A1840" t="s">
        <v>300</v>
      </c>
      <c r="C1840" t="s">
        <v>341</v>
      </c>
      <c r="D1840" t="str">
        <f>_xlfn.CONCAT("Taux de chargement moyen des véhicules pour l'accès direct au(x) projet(s)"," (",'Remplissage - Sit. Init.'!$C$23,")")</f>
        <v>Taux de chargement moyen des véhicules pour l'accès direct au(x) projet(s) (Catégorie 1)</v>
      </c>
      <c r="F1840" t="str">
        <f>_xlfn.CONCAT("ProjImmoAccDirTC",RIGHT(LEFT(D1840,LEN(D1840)-1),1))</f>
        <v>ProjImmoAccDirTC1</v>
      </c>
      <c r="G1840" t="s">
        <v>17</v>
      </c>
      <c r="H1840">
        <f>(((IF(ISNUMBER(SEARCH('Remplissage - Sit. Init.'!$I$23,$I$1835)),1,0))*(IF($I$1823="Les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40" s="3"/>
      <c r="K1840" t="s">
        <v>70</v>
      </c>
      <c r="L1840" s="7">
        <v>0.33</v>
      </c>
      <c r="N1840" t="s">
        <v>303</v>
      </c>
    </row>
    <row r="1841" spans="1:14" outlineLevel="1" x14ac:dyDescent="0.25">
      <c r="A1841" t="s">
        <v>300</v>
      </c>
      <c r="C1841" t="s">
        <v>341</v>
      </c>
      <c r="D1841" t="str">
        <f>_xlfn.CONCAT("Distance parcourue associée"," (",'Remplissage - Sit. Init.'!$C$23,")")</f>
        <v>Distance parcourue associée (Catégorie 1)</v>
      </c>
      <c r="F1841" t="str">
        <f>_xlfn.CONCAT("ProjImmoAccDirDist",RIGHT(LEFT(D1841,LEN(D1841)-1),1))</f>
        <v>ProjImmoAccDirDist1</v>
      </c>
      <c r="G1841" t="s">
        <v>17</v>
      </c>
      <c r="H1841">
        <f>((((IF(ISNUMBER(SEARCH('Remplissage - Sit. Init.'!$I$23,$I$1835)),1,0))*(IF(ISNUMBER(SEARCH("La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41" t="s">
        <v>88</v>
      </c>
      <c r="L1841">
        <v>30</v>
      </c>
      <c r="N1841" t="s">
        <v>303</v>
      </c>
    </row>
    <row r="1842" spans="1:14" outlineLevel="1" x14ac:dyDescent="0.25">
      <c r="A1842" t="s">
        <v>300</v>
      </c>
      <c r="C1842" t="s">
        <v>341</v>
      </c>
      <c r="D1842" t="str">
        <f>_xlfn.CONCAT("Nombre de trajets associés"," (",'Remplissage - Sit. Init.'!$C$23,")")</f>
        <v>Nombre de trajets associés (Catégorie 1)</v>
      </c>
      <c r="F1842" t="str">
        <f>_xlfn.CONCAT("ProjImmoAccDirNbTraj",RIGHT(LEFT(D1842,LEN(D1842)-1),1))</f>
        <v>ProjImmoAccDirNbTraj1</v>
      </c>
      <c r="G1842" t="s">
        <v>17</v>
      </c>
      <c r="H1842">
        <f>((((IF(ISNUMBER(SEARCH('Remplissage - Sit. Init.'!$I$23,$I$1835)),1,0))*(IF(ISNUMBER(SEARCH("La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42" t="s">
        <v>145</v>
      </c>
      <c r="L1842">
        <v>15</v>
      </c>
      <c r="N1842" t="s">
        <v>303</v>
      </c>
    </row>
    <row r="1843" spans="1:14" outlineLevel="1" x14ac:dyDescent="0.25">
      <c r="A1843" t="s">
        <v>300</v>
      </c>
      <c r="C1843" t="s">
        <v>341</v>
      </c>
      <c r="D1843" t="str">
        <f>_xlfn.CONCAT("Taux de chargement moyen des véhicules pour l'accès direct au(x) projet(s)"," (",'Remplissage - Sit. Init.'!$C$33,")")</f>
        <v>Taux de chargement moyen des véhicules pour l'accès direct au(x) projet(s) (Catégorie 2)</v>
      </c>
      <c r="F1843" t="str">
        <f>_xlfn.CONCAT("ProjImmoAccDirTC",RIGHT(LEFT(D1843,LEN(D1843)-1),1))</f>
        <v>ProjImmoAccDirTC2</v>
      </c>
      <c r="G1843" t="s">
        <v>17</v>
      </c>
      <c r="H1843">
        <f>(((IF(ISNUMBER(SEARCH('Remplissage - Sit. Init.'!$I$33,$I$1835)),1,0))*(IF($I$1823="Les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43" s="3"/>
      <c r="K1843" t="s">
        <v>70</v>
      </c>
      <c r="L1843" s="7">
        <v>0.33</v>
      </c>
      <c r="N1843" t="s">
        <v>303</v>
      </c>
    </row>
    <row r="1844" spans="1:14" outlineLevel="1" x14ac:dyDescent="0.25">
      <c r="A1844" t="s">
        <v>300</v>
      </c>
      <c r="C1844" t="s">
        <v>341</v>
      </c>
      <c r="D1844" t="str">
        <f>_xlfn.CONCAT("Distance parcourue associée"," (",'Remplissage - Sit. Init.'!$C$33,")")</f>
        <v>Distance parcourue associée (Catégorie 2)</v>
      </c>
      <c r="F1844" t="str">
        <f>_xlfn.CONCAT("ProjImmoAccDirDist",RIGHT(LEFT(D1844,LEN(D1844)-1),1))</f>
        <v>ProjImmoAccDirDist2</v>
      </c>
      <c r="G1844" t="s">
        <v>17</v>
      </c>
      <c r="H1844">
        <f>((((IF(ISNUMBER(SEARCH('Remplissage - Sit. Init.'!$I$33,$I$1835)),1,0))*(IF(ISNUMBER(SEARCH("La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44" t="s">
        <v>88</v>
      </c>
      <c r="L1844">
        <v>30</v>
      </c>
      <c r="N1844" t="s">
        <v>303</v>
      </c>
    </row>
    <row r="1845" spans="1:14" outlineLevel="1" x14ac:dyDescent="0.25">
      <c r="A1845" t="s">
        <v>300</v>
      </c>
      <c r="C1845" t="s">
        <v>341</v>
      </c>
      <c r="D1845" t="str">
        <f>_xlfn.CONCAT("Nombre de trajets associés"," (",'Remplissage - Sit. Init.'!$C$33,")")</f>
        <v>Nombre de trajets associés (Catégorie 2)</v>
      </c>
      <c r="F1845" t="str">
        <f>_xlfn.CONCAT("ProjImmoAccDirNbTraj",RIGHT(LEFT(D1845,LEN(D1845)-1),1))</f>
        <v>ProjImmoAccDirNbTraj2</v>
      </c>
      <c r="G1845" t="s">
        <v>17</v>
      </c>
      <c r="H1845">
        <f>((((IF(ISNUMBER(SEARCH('Remplissage - Sit. Init.'!$I$33,$I$1835)),1,0))*(IF(ISNUMBER(SEARCH("La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45" t="s">
        <v>145</v>
      </c>
      <c r="L1845">
        <v>15</v>
      </c>
      <c r="N1845" t="s">
        <v>303</v>
      </c>
    </row>
    <row r="1846" spans="1:14" outlineLevel="1" x14ac:dyDescent="0.25">
      <c r="A1846" t="s">
        <v>300</v>
      </c>
      <c r="C1846" t="s">
        <v>341</v>
      </c>
      <c r="D1846" t="str">
        <f>_xlfn.CONCAT("Taux de chargement moyen des véhicules pour l'accès direct au(x) projet(s)"," (",'Remplissage - Sit. Init.'!$C$43,")")</f>
        <v>Taux de chargement moyen des véhicules pour l'accès direct au(x) projet(s) (Catégorie 3)</v>
      </c>
      <c r="F1846" t="str">
        <f>_xlfn.CONCAT("ProjImmoAccDirTC",RIGHT(LEFT(D1846,LEN(D1846)-1),1))</f>
        <v>ProjImmoAccDirTC3</v>
      </c>
      <c r="G1846" t="s">
        <v>17</v>
      </c>
      <c r="H1846">
        <f>(((IF(ISNUMBER(SEARCH('Remplissage - Sit. Init.'!$I$43,$I$1835)),1,0))*(IF($I$1823="Les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46" s="3"/>
      <c r="K1846" t="s">
        <v>70</v>
      </c>
      <c r="L1846" s="7">
        <v>0.33</v>
      </c>
      <c r="N1846" t="s">
        <v>303</v>
      </c>
    </row>
    <row r="1847" spans="1:14" outlineLevel="1" x14ac:dyDescent="0.25">
      <c r="A1847" t="s">
        <v>300</v>
      </c>
      <c r="C1847" t="s">
        <v>341</v>
      </c>
      <c r="D1847" t="str">
        <f>_xlfn.CONCAT("Distance parcourue associée"," (",'Remplissage - Sit. Init.'!$C$43,")")</f>
        <v>Distance parcourue associée (Catégorie 3)</v>
      </c>
      <c r="F1847" t="str">
        <f>_xlfn.CONCAT("ProjImmoAccDirDist",RIGHT(LEFT(D1847,LEN(D1847)-1),1))</f>
        <v>ProjImmoAccDirDist3</v>
      </c>
      <c r="G1847" t="s">
        <v>17</v>
      </c>
      <c r="H1847">
        <f>((((IF(ISNUMBER(SEARCH('Remplissage - Sit. Init.'!$I$43,$I$1835)),1,0))*(IF(ISNUMBER(SEARCH("La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47" t="s">
        <v>88</v>
      </c>
      <c r="L1847">
        <v>30</v>
      </c>
      <c r="N1847" t="s">
        <v>303</v>
      </c>
    </row>
    <row r="1848" spans="1:14" outlineLevel="1" x14ac:dyDescent="0.25">
      <c r="A1848" t="s">
        <v>300</v>
      </c>
      <c r="C1848" t="s">
        <v>341</v>
      </c>
      <c r="D1848" t="str">
        <f>_xlfn.CONCAT("Nombre de trajets associés"," (",'Remplissage - Sit. Init.'!$C$43,")")</f>
        <v>Nombre de trajets associés (Catégorie 3)</v>
      </c>
      <c r="F1848" t="str">
        <f>_xlfn.CONCAT("ProjImmoAccDirNbTraj",RIGHT(LEFT(D1848,LEN(D1848)-1),1))</f>
        <v>ProjImmoAccDirNbTraj3</v>
      </c>
      <c r="G1848" t="s">
        <v>17</v>
      </c>
      <c r="H1848">
        <f>((((IF(ISNUMBER(SEARCH('Remplissage - Sit. Init.'!$I$43,$I$1835)),1,0))*(IF(ISNUMBER(SEARCH("La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48" t="s">
        <v>145</v>
      </c>
      <c r="L1848">
        <v>15</v>
      </c>
      <c r="N1848" t="s">
        <v>303</v>
      </c>
    </row>
    <row r="1849" spans="1:14" outlineLevel="1" x14ac:dyDescent="0.25">
      <c r="A1849" t="s">
        <v>300</v>
      </c>
      <c r="C1849" t="s">
        <v>341</v>
      </c>
      <c r="D1849" t="str">
        <f>_xlfn.CONCAT("Taux de chargement moyen des véhicules pour l'accès direct au(x) projet(s)"," (",'Remplissage - Sit. Init.'!$C$53,")")</f>
        <v>Taux de chargement moyen des véhicules pour l'accès direct au(x) projet(s) (Catégorie 4)</v>
      </c>
      <c r="F1849" t="str">
        <f>_xlfn.CONCAT("ProjImmoAccDirTC",RIGHT(LEFT(D1849,LEN(D1849)-1),1))</f>
        <v>ProjImmoAccDirTC4</v>
      </c>
      <c r="G1849" t="s">
        <v>17</v>
      </c>
      <c r="H1849">
        <f>(((IF(ISNUMBER(SEARCH('Remplissage - Sit. Init.'!$I$53,$I$1835)),1,0))*(IF($I$1823="Les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49" s="3"/>
      <c r="K1849" t="s">
        <v>70</v>
      </c>
      <c r="L1849" s="7">
        <v>0.33</v>
      </c>
      <c r="N1849" t="s">
        <v>303</v>
      </c>
    </row>
    <row r="1850" spans="1:14" outlineLevel="1" x14ac:dyDescent="0.25">
      <c r="A1850" t="s">
        <v>300</v>
      </c>
      <c r="C1850" t="s">
        <v>341</v>
      </c>
      <c r="D1850" t="str">
        <f>_xlfn.CONCAT("Distance parcourue associée"," (",'Remplissage - Sit. Init.'!$C$53,")")</f>
        <v>Distance parcourue associée (Catégorie 4)</v>
      </c>
      <c r="F1850" t="str">
        <f>_xlfn.CONCAT("ProjImmoAccDirDist",RIGHT(LEFT(D1850,LEN(D1850)-1),1))</f>
        <v>ProjImmoAccDirDist4</v>
      </c>
      <c r="G1850" t="s">
        <v>17</v>
      </c>
      <c r="H1850">
        <f>((((IF(ISNUMBER(SEARCH('Remplissage - Sit. Init.'!$I$53,$I$1835)),1,0))*(IF(ISNUMBER(SEARCH("La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50" t="s">
        <v>88</v>
      </c>
      <c r="L1850">
        <v>30</v>
      </c>
      <c r="N1850" t="s">
        <v>303</v>
      </c>
    </row>
    <row r="1851" spans="1:14" outlineLevel="1" x14ac:dyDescent="0.25">
      <c r="A1851" t="s">
        <v>300</v>
      </c>
      <c r="C1851" t="s">
        <v>341</v>
      </c>
      <c r="D1851" t="str">
        <f>_xlfn.CONCAT("Nombre de trajets associés"," (",'Remplissage - Sit. Init.'!$C$53,")")</f>
        <v>Nombre de trajets associés (Catégorie 4)</v>
      </c>
      <c r="F1851" t="str">
        <f>_xlfn.CONCAT("ProjImmoAccDirNbTraj",RIGHT(LEFT(D1851,LEN(D1851)-1),1))</f>
        <v>ProjImmoAccDirNbTraj4</v>
      </c>
      <c r="G1851" t="s">
        <v>17</v>
      </c>
      <c r="H1851">
        <f>((((IF(ISNUMBER(SEARCH('Remplissage - Sit. Init.'!$I$53,$I$1835)),1,0))*(IF(ISNUMBER(SEARCH("La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51" t="s">
        <v>145</v>
      </c>
      <c r="L1851">
        <v>15</v>
      </c>
      <c r="N1851" t="s">
        <v>303</v>
      </c>
    </row>
    <row r="1852" spans="1:14" outlineLevel="1" x14ac:dyDescent="0.25">
      <c r="A1852" t="s">
        <v>300</v>
      </c>
      <c r="C1852" t="s">
        <v>341</v>
      </c>
      <c r="D1852" t="str">
        <f>_xlfn.CONCAT("Taux de chargement moyen des véhicules pour l'accès direct au(x) projet(s)"," (",'Remplissage - Sit. Init.'!$C$63,")")</f>
        <v>Taux de chargement moyen des véhicules pour l'accès direct au(x) projet(s) (Catégorie 5)</v>
      </c>
      <c r="F1852" t="str">
        <f>_xlfn.CONCAT("ProjImmoAccDirTC",RIGHT(LEFT(D1852,LEN(D1852)-1),1))</f>
        <v>ProjImmoAccDirTC5</v>
      </c>
      <c r="G1852" t="s">
        <v>17</v>
      </c>
      <c r="H1852">
        <f>(((IF(ISNUMBER(SEARCH('Remplissage - Sit. Init.'!$I$63,$I$1835)),1,0))*(IF($I$1823="Les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52" s="3"/>
      <c r="K1852" t="s">
        <v>70</v>
      </c>
      <c r="L1852" s="7">
        <v>0.33</v>
      </c>
      <c r="N1852" t="s">
        <v>303</v>
      </c>
    </row>
    <row r="1853" spans="1:14" outlineLevel="1" x14ac:dyDescent="0.25">
      <c r="A1853" t="s">
        <v>300</v>
      </c>
      <c r="C1853" t="s">
        <v>341</v>
      </c>
      <c r="D1853" t="str">
        <f>_xlfn.CONCAT("Distance parcourue associée"," (",'Remplissage - Sit. Init.'!$C$63,")")</f>
        <v>Distance parcourue associée (Catégorie 5)</v>
      </c>
      <c r="F1853" t="str">
        <f>_xlfn.CONCAT("ProjImmoAccDirDist",RIGHT(LEFT(D1853,LEN(D1853)-1),1))</f>
        <v>ProjImmoAccDirDist5</v>
      </c>
      <c r="G1853" t="s">
        <v>17</v>
      </c>
      <c r="H1853">
        <f>((((IF(ISNUMBER(SEARCH('Remplissage - Sit. Init.'!$I$63,$I$1835)),1,0))*(IF(ISNUMBER(SEARCH("La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53" t="s">
        <v>88</v>
      </c>
      <c r="L1853">
        <v>30</v>
      </c>
      <c r="N1853" t="s">
        <v>303</v>
      </c>
    </row>
    <row r="1854" spans="1:14" outlineLevel="1" x14ac:dyDescent="0.25">
      <c r="A1854" t="s">
        <v>300</v>
      </c>
      <c r="C1854" t="s">
        <v>341</v>
      </c>
      <c r="D1854" t="str">
        <f>_xlfn.CONCAT("Nombre de trajets associés"," (",'Remplissage - Sit. Init.'!$C$63,")")</f>
        <v>Nombre de trajets associés (Catégorie 5)</v>
      </c>
      <c r="F1854" t="str">
        <f>_xlfn.CONCAT("ProjImmoAccDirNbTraj",RIGHT(LEFT(D1854,LEN(D1854)-1),1))</f>
        <v>ProjImmoAccDirNbTraj5</v>
      </c>
      <c r="G1854" t="s">
        <v>17</v>
      </c>
      <c r="H1854">
        <f>((((IF(ISNUMBER(SEARCH('Remplissage - Sit. Init.'!$I$63,$I$1835)),1,0))*(IF(ISNUMBER(SEARCH("La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54" t="s">
        <v>145</v>
      </c>
      <c r="L1854">
        <v>15</v>
      </c>
      <c r="N1854" t="s">
        <v>303</v>
      </c>
    </row>
    <row r="1855" spans="1:14" outlineLevel="1" x14ac:dyDescent="0.25">
      <c r="A1855" t="s">
        <v>300</v>
      </c>
      <c r="C1855" t="s">
        <v>341</v>
      </c>
      <c r="D1855" t="str">
        <f>_xlfn.CONCAT("Taux de chargement moyen des véhicules pour l'accès direct au(x) projet(s)"," (",'Remplissage - Sit. Init.'!$C$73,")")</f>
        <v>Taux de chargement moyen des véhicules pour l'accès direct au(x) projet(s) (Catégorie 6)</v>
      </c>
      <c r="F1855" t="str">
        <f>_xlfn.CONCAT("ProjImmoAccDirTC",RIGHT(LEFT(D1855,LEN(D1855)-1),1))</f>
        <v>ProjImmoAccDirTC6</v>
      </c>
      <c r="G1855" t="s">
        <v>17</v>
      </c>
      <c r="H1855">
        <f>(((IF(ISNUMBER(SEARCH('Remplissage - Sit. Init.'!$I$73,$I$1835)),1,0))*(IF($I$1823="Les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55" s="3"/>
      <c r="K1855" t="s">
        <v>70</v>
      </c>
      <c r="L1855" s="7">
        <v>0.33</v>
      </c>
      <c r="N1855" t="s">
        <v>303</v>
      </c>
    </row>
    <row r="1856" spans="1:14" outlineLevel="1" x14ac:dyDescent="0.25">
      <c r="A1856" t="s">
        <v>300</v>
      </c>
      <c r="C1856" t="s">
        <v>341</v>
      </c>
      <c r="D1856" t="str">
        <f>_xlfn.CONCAT("Distance parcourue associée"," (",'Remplissage - Sit. Init.'!$C$73,")")</f>
        <v>Distance parcourue associée (Catégorie 6)</v>
      </c>
      <c r="F1856" t="str">
        <f>_xlfn.CONCAT("ProjImmoAccDirDist",RIGHT(LEFT(D1856,LEN(D1856)-1),1))</f>
        <v>ProjImmoAccDirDist6</v>
      </c>
      <c r="G1856" t="s">
        <v>17</v>
      </c>
      <c r="H1856">
        <f>((((IF(ISNUMBER(SEARCH('Remplissage - Sit. Init.'!$I$73,$I$1835)),1,0))*(IF(ISNUMBER(SEARCH("La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56" t="s">
        <v>88</v>
      </c>
      <c r="L1856">
        <v>30</v>
      </c>
      <c r="N1856" t="s">
        <v>303</v>
      </c>
    </row>
    <row r="1857" spans="1:14" outlineLevel="1" x14ac:dyDescent="0.25">
      <c r="A1857" t="s">
        <v>300</v>
      </c>
      <c r="C1857" t="s">
        <v>341</v>
      </c>
      <c r="D1857" t="str">
        <f>_xlfn.CONCAT("Nombre de trajets associés"," (",'Remplissage - Sit. Init.'!$C$73,")")</f>
        <v>Nombre de trajets associés (Catégorie 6)</v>
      </c>
      <c r="F1857" t="str">
        <f>_xlfn.CONCAT("ProjImmoAccDirNbTraj",RIGHT(LEFT(D1857,LEN(D1857)-1),1))</f>
        <v>ProjImmoAccDirNbTraj6</v>
      </c>
      <c r="G1857" t="s">
        <v>17</v>
      </c>
      <c r="H1857">
        <f>((((IF(ISNUMBER(SEARCH('Remplissage - Sit. Init.'!$I$73,$I$1835)),1,0))*(IF(ISNUMBER(SEARCH("La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57" t="s">
        <v>145</v>
      </c>
      <c r="L1857">
        <v>15</v>
      </c>
      <c r="N1857" t="s">
        <v>303</v>
      </c>
    </row>
    <row r="1858" spans="1:14" outlineLevel="1" x14ac:dyDescent="0.25">
      <c r="A1858" t="s">
        <v>300</v>
      </c>
      <c r="C1858" t="s">
        <v>341</v>
      </c>
      <c r="D1858" t="str">
        <f>_xlfn.CONCAT("Taux de chargement moyen des véhicules pour l'accès direct au(x) projet(s)"," (",'Remplissage - Sit. Init.'!$C$83,")")</f>
        <v>Taux de chargement moyen des véhicules pour l'accès direct au(x) projet(s) (Catégorie 7)</v>
      </c>
      <c r="F1858" t="str">
        <f>_xlfn.CONCAT("ProjImmoAccDirTC",RIGHT(LEFT(D1858,LEN(D1858)-1),1))</f>
        <v>ProjImmoAccDirTC7</v>
      </c>
      <c r="G1858" t="s">
        <v>17</v>
      </c>
      <c r="H1858">
        <f>(((IF(ISNUMBER(SEARCH('Remplissage - Sit. Init.'!$I$83,$I$1835)),1,0))*(IF($I$1823="Les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58" s="3"/>
      <c r="K1858" t="s">
        <v>70</v>
      </c>
      <c r="L1858" s="7">
        <v>0.33</v>
      </c>
      <c r="N1858" t="s">
        <v>303</v>
      </c>
    </row>
    <row r="1859" spans="1:14" outlineLevel="1" x14ac:dyDescent="0.25">
      <c r="A1859" t="s">
        <v>300</v>
      </c>
      <c r="C1859" t="s">
        <v>341</v>
      </c>
      <c r="D1859" t="str">
        <f>_xlfn.CONCAT("Distance parcourue associée"," (",'Remplissage - Sit. Init.'!$C$83,")")</f>
        <v>Distance parcourue associée (Catégorie 7)</v>
      </c>
      <c r="F1859" t="str">
        <f>_xlfn.CONCAT("ProjImmoAccDirDist",RIGHT(LEFT(D1859,LEN(D1859)-1),1))</f>
        <v>ProjImmoAccDirDist7</v>
      </c>
      <c r="G1859" t="s">
        <v>17</v>
      </c>
      <c r="H1859">
        <f>((((IF(ISNUMBER(SEARCH('Remplissage - Sit. Init.'!$I$83,$I$1835)),1,0))*(IF(ISNUMBER(SEARCH("La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59" t="s">
        <v>88</v>
      </c>
      <c r="L1859">
        <v>30</v>
      </c>
      <c r="N1859" t="s">
        <v>303</v>
      </c>
    </row>
    <row r="1860" spans="1:14" outlineLevel="1" x14ac:dyDescent="0.25">
      <c r="A1860" t="s">
        <v>300</v>
      </c>
      <c r="C1860" t="s">
        <v>341</v>
      </c>
      <c r="D1860" t="str">
        <f>_xlfn.CONCAT("Nombre de trajets associés"," (",'Remplissage - Sit. Init.'!$C$83,")")</f>
        <v>Nombre de trajets associés (Catégorie 7)</v>
      </c>
      <c r="F1860" t="str">
        <f>_xlfn.CONCAT("ProjImmoAccDirNbTraj",RIGHT(LEFT(D1860,LEN(D1860)-1),1))</f>
        <v>ProjImmoAccDirNbTraj7</v>
      </c>
      <c r="G1860" t="s">
        <v>17</v>
      </c>
      <c r="H1860">
        <f>((((IF(ISNUMBER(SEARCH('Remplissage - Sit. Init.'!$I$83,$I$1835)),1,0))*(IF(ISNUMBER(SEARCH("La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60" t="s">
        <v>145</v>
      </c>
      <c r="L1860">
        <v>15</v>
      </c>
      <c r="N1860" t="s">
        <v>303</v>
      </c>
    </row>
    <row r="1861" spans="1:14" outlineLevel="1" x14ac:dyDescent="0.25">
      <c r="A1861" t="s">
        <v>300</v>
      </c>
      <c r="C1861" t="s">
        <v>341</v>
      </c>
      <c r="D1861" t="str">
        <f>_xlfn.CONCAT("Taux de chargement moyen des véhicules pour l'accès direct au(x) projet(s)"," (",'Remplissage - Sit. Init.'!$C$93,")")</f>
        <v>Taux de chargement moyen des véhicules pour l'accès direct au(x) projet(s) (Catégorie 8)</v>
      </c>
      <c r="F1861" t="str">
        <f>_xlfn.CONCAT("ProjImmoAccDirTC",RIGHT(LEFT(D1861,LEN(D1861)-1),1))</f>
        <v>ProjImmoAccDirTC8</v>
      </c>
      <c r="G1861" t="s">
        <v>17</v>
      </c>
      <c r="H1861">
        <f>(((IF(ISNUMBER(SEARCH('Remplissage - Sit. Init.'!$I$93,$I$1835)),1,0))*(IF($I$1823="Les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61" s="3"/>
      <c r="K1861" t="s">
        <v>70</v>
      </c>
      <c r="L1861" s="7">
        <v>0.33</v>
      </c>
      <c r="N1861" t="s">
        <v>303</v>
      </c>
    </row>
    <row r="1862" spans="1:14" outlineLevel="1" x14ac:dyDescent="0.25">
      <c r="A1862" t="s">
        <v>300</v>
      </c>
      <c r="C1862" t="s">
        <v>341</v>
      </c>
      <c r="D1862" t="str">
        <f>_xlfn.CONCAT("Distance parcourue associée"," (",'Remplissage - Sit. Init.'!$C$93,")")</f>
        <v>Distance parcourue associée (Catégorie 8)</v>
      </c>
      <c r="F1862" t="str">
        <f>_xlfn.CONCAT("ProjImmoAccDirDist",RIGHT(LEFT(D1862,LEN(D1862)-1),1))</f>
        <v>ProjImmoAccDirDist8</v>
      </c>
      <c r="G1862" t="s">
        <v>17</v>
      </c>
      <c r="H1862">
        <f>((((IF(ISNUMBER(SEARCH('Remplissage - Sit. Init.'!$I$93,$I$1835)),1,0))*(IF(ISNUMBER(SEARCH("La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62" t="s">
        <v>88</v>
      </c>
      <c r="L1862">
        <v>30</v>
      </c>
      <c r="N1862" t="s">
        <v>303</v>
      </c>
    </row>
    <row r="1863" spans="1:14" outlineLevel="1" x14ac:dyDescent="0.25">
      <c r="A1863" t="s">
        <v>300</v>
      </c>
      <c r="C1863" t="s">
        <v>341</v>
      </c>
      <c r="D1863" t="str">
        <f>_xlfn.CONCAT("Nombre de trajets associés"," (",'Remplissage - Sit. Init.'!$C$93,")")</f>
        <v>Nombre de trajets associés (Catégorie 8)</v>
      </c>
      <c r="F1863" t="str">
        <f>_xlfn.CONCAT("ProjImmoAccDirNbTraj",RIGHT(LEFT(D1863,LEN(D1863)-1),1))</f>
        <v>ProjImmoAccDirNbTraj8</v>
      </c>
      <c r="G1863" t="s">
        <v>17</v>
      </c>
      <c r="H1863">
        <f>((((IF(ISNUMBER(SEARCH('Remplissage - Sit. Init.'!$I$93,$I$1835)),1,0))*(IF(ISNUMBER(SEARCH("La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63" t="s">
        <v>145</v>
      </c>
      <c r="L1863">
        <v>15</v>
      </c>
      <c r="N1863" t="s">
        <v>303</v>
      </c>
    </row>
    <row r="1864" spans="1:14" outlineLevel="1" x14ac:dyDescent="0.25">
      <c r="A1864" t="s">
        <v>300</v>
      </c>
      <c r="C1864" t="s">
        <v>341</v>
      </c>
      <c r="D1864" t="str">
        <f>_xlfn.CONCAT("Taux de chargement moyen des véhicules pour l'accès direct au(x) projet(s)"," (",'Remplissage - Sit. Init.'!$C$103,")")</f>
        <v>Taux de chargement moyen des véhicules pour l'accès direct au(x) projet(s) (Catégorie 9)</v>
      </c>
      <c r="F1864" t="str">
        <f>_xlfn.CONCAT("ProjImmoAccDirTC",RIGHT(LEFT(D1864,LEN(D1864)-1),1))</f>
        <v>ProjImmoAccDirTC9</v>
      </c>
      <c r="G1864" t="s">
        <v>17</v>
      </c>
      <c r="H1864">
        <f>(((IF(ISNUMBER(SEARCH('Remplissage - Sit. Init.'!$I$103,$I$1835)),1,0))*(IF($I$1823="Les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64" s="3"/>
      <c r="K1864" t="s">
        <v>70</v>
      </c>
      <c r="L1864" s="7">
        <v>0.33</v>
      </c>
      <c r="N1864" t="s">
        <v>303</v>
      </c>
    </row>
    <row r="1865" spans="1:14" outlineLevel="1" x14ac:dyDescent="0.25">
      <c r="A1865" t="s">
        <v>300</v>
      </c>
      <c r="C1865" t="s">
        <v>341</v>
      </c>
      <c r="D1865" t="str">
        <f>_xlfn.CONCAT("Distance parcourue associée"," (",'Remplissage - Sit. Init.'!$C$103,")")</f>
        <v>Distance parcourue associée (Catégorie 9)</v>
      </c>
      <c r="F1865" t="str">
        <f>_xlfn.CONCAT("ProjImmoAccDirDist",RIGHT(LEFT(D1865,LEN(D1865)-1),1))</f>
        <v>ProjImmoAccDirDist9</v>
      </c>
      <c r="G1865" t="s">
        <v>17</v>
      </c>
      <c r="H1865">
        <f>((((IF(ISNUMBER(SEARCH('Remplissage - Sit. Init.'!$I$103,$I$1835)),1,0))*(IF(ISNUMBER(SEARCH("La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65" t="s">
        <v>88</v>
      </c>
      <c r="L1865">
        <v>30</v>
      </c>
      <c r="N1865" t="s">
        <v>303</v>
      </c>
    </row>
    <row r="1866" spans="1:14" outlineLevel="1" x14ac:dyDescent="0.25">
      <c r="A1866" t="s">
        <v>300</v>
      </c>
      <c r="C1866" t="s">
        <v>341</v>
      </c>
      <c r="D1866" t="str">
        <f>_xlfn.CONCAT("Nombre de trajets associés"," (",'Remplissage - Sit. Init.'!$C$103,")")</f>
        <v>Nombre de trajets associés (Catégorie 9)</v>
      </c>
      <c r="F1866" t="str">
        <f>_xlfn.CONCAT("ProjImmoAccDirNbTraj",RIGHT(LEFT(D1866,LEN(D1866)-1),1))</f>
        <v>ProjImmoAccDirNbTraj9</v>
      </c>
      <c r="G1866" t="s">
        <v>17</v>
      </c>
      <c r="H1866">
        <f>((((IF(ISNUMBER(SEARCH('Remplissage - Sit. Init.'!$I$103,$I$1835)),1,0))*(IF(ISNUMBER(SEARCH("La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66" t="s">
        <v>145</v>
      </c>
      <c r="L1866">
        <v>15</v>
      </c>
      <c r="N1866" t="s">
        <v>303</v>
      </c>
    </row>
    <row r="1867" spans="1:14" outlineLevel="1" x14ac:dyDescent="0.25">
      <c r="A1867" t="s">
        <v>300</v>
      </c>
      <c r="C1867" t="s">
        <v>341</v>
      </c>
      <c r="D1867" t="str">
        <f>_xlfn.CONCAT("Taux de chargement moyen des véhicules pour l'accès direct au(x) projet(s)"," (",'Remplissage - Sit. Init.'!$C$113,")")</f>
        <v>Taux de chargement moyen des véhicules pour l'accès direct au(x) projet(s) (Catégorie 10)</v>
      </c>
      <c r="F1867" t="str">
        <f>_xlfn.CONCAT("ProjImmoAccDirTC",RIGHT(LEFT(D1867,LEN(D1867)-1),2))</f>
        <v>ProjImmoAccDirTC10</v>
      </c>
      <c r="G1867" t="s">
        <v>17</v>
      </c>
      <c r="H1867">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67" s="3"/>
      <c r="K1867" t="s">
        <v>70</v>
      </c>
      <c r="L1867" s="7">
        <v>0.33</v>
      </c>
      <c r="N1867" t="s">
        <v>303</v>
      </c>
    </row>
    <row r="1868" spans="1:14" outlineLevel="1" x14ac:dyDescent="0.25">
      <c r="A1868" t="s">
        <v>300</v>
      </c>
      <c r="C1868" t="s">
        <v>341</v>
      </c>
      <c r="D1868" t="str">
        <f>_xlfn.CONCAT("Distance parcourue associée"," (",'Remplissage - Sit. Init.'!$C$113,")")</f>
        <v>Distance parcourue associée (Catégorie 10)</v>
      </c>
      <c r="F1868" t="str">
        <f>_xlfn.CONCAT("ProjImmoAccDirDist",RIGHT(LEFT(D1868,LEN(D1868)-1),2))</f>
        <v>ProjImmoAccDirDist10</v>
      </c>
      <c r="G1868" t="s">
        <v>17</v>
      </c>
      <c r="H1868">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68" t="s">
        <v>88</v>
      </c>
      <c r="L1868">
        <v>30</v>
      </c>
      <c r="N1868" t="s">
        <v>303</v>
      </c>
    </row>
    <row r="1869" spans="1:14" outlineLevel="1" x14ac:dyDescent="0.25">
      <c r="A1869" t="s">
        <v>300</v>
      </c>
      <c r="C1869" t="s">
        <v>341</v>
      </c>
      <c r="D1869" t="str">
        <f>_xlfn.CONCAT("Nombre de trajets associés"," (",'Remplissage - Sit. Init.'!$C$113,")")</f>
        <v>Nombre de trajets associés (Catégorie 10)</v>
      </c>
      <c r="F1869" t="str">
        <f>_xlfn.CONCAT("ProjImmoAccDirNbTraj",RIGHT(LEFT(D1869,LEN(D1869)-1),2))</f>
        <v>ProjImmoAccDirNbTraj10</v>
      </c>
      <c r="G1869" t="s">
        <v>17</v>
      </c>
      <c r="H1869">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69" t="s">
        <v>145</v>
      </c>
      <c r="L1869">
        <v>15</v>
      </c>
      <c r="N1869" t="s">
        <v>303</v>
      </c>
    </row>
    <row r="1870" spans="1:14" outlineLevel="1" x14ac:dyDescent="0.25">
      <c r="A1870" t="s">
        <v>300</v>
      </c>
      <c r="C1870" t="s">
        <v>341</v>
      </c>
      <c r="D1870" t="str">
        <f>_xlfn.CONCAT("Taux de chargement moyen des véhicules pour l'accès direct au(x) projet(s)"," (",'Remplissage - Sit. Init.'!$C$123,")")</f>
        <v>Taux de chargement moyen des véhicules pour l'accès direct au(x) projet(s) (Catégorie 11)</v>
      </c>
      <c r="F1870" t="str">
        <f>_xlfn.CONCAT("ProjImmoAccDirTC",RIGHT(LEFT(D1870,LEN(D1870)-1),2))</f>
        <v>ProjImmoAccDirTC11</v>
      </c>
      <c r="G1870" t="s">
        <v>17</v>
      </c>
      <c r="H187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70" s="3"/>
      <c r="K1870" t="s">
        <v>70</v>
      </c>
      <c r="L1870" s="7">
        <v>0.33</v>
      </c>
      <c r="N1870" t="s">
        <v>303</v>
      </c>
    </row>
    <row r="1871" spans="1:14" outlineLevel="1" x14ac:dyDescent="0.25">
      <c r="A1871" t="s">
        <v>300</v>
      </c>
      <c r="C1871" t="s">
        <v>341</v>
      </c>
      <c r="D1871" t="str">
        <f>_xlfn.CONCAT("Distance parcourue associée"," (",'Remplissage - Sit. Init.'!$C$123,")")</f>
        <v>Distance parcourue associée (Catégorie 11)</v>
      </c>
      <c r="F1871" t="str">
        <f>_xlfn.CONCAT("ProjImmoAccDirDist",RIGHT(LEFT(D1871,LEN(D1871)-1),2))</f>
        <v>ProjImmoAccDirDist11</v>
      </c>
      <c r="G1871" t="s">
        <v>17</v>
      </c>
      <c r="H187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71" t="s">
        <v>88</v>
      </c>
      <c r="L1871">
        <v>30</v>
      </c>
      <c r="N1871" t="s">
        <v>303</v>
      </c>
    </row>
    <row r="1872" spans="1:14" outlineLevel="1" x14ac:dyDescent="0.25">
      <c r="A1872" t="s">
        <v>300</v>
      </c>
      <c r="C1872" t="s">
        <v>341</v>
      </c>
      <c r="D1872" t="str">
        <f>_xlfn.CONCAT("Nombre de trajets associés"," (",'Remplissage - Sit. Init.'!$C$123,")")</f>
        <v>Nombre de trajets associés (Catégorie 11)</v>
      </c>
      <c r="F1872" t="str">
        <f>_xlfn.CONCAT("ProjImmoAccDirNbTraj",RIGHT(LEFT(D1872,LEN(D1872)-1),2))</f>
        <v>ProjImmoAccDirNbTraj11</v>
      </c>
      <c r="G1872" t="s">
        <v>17</v>
      </c>
      <c r="H187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72" t="s">
        <v>145</v>
      </c>
      <c r="L1872">
        <v>15</v>
      </c>
      <c r="N1872" t="s">
        <v>303</v>
      </c>
    </row>
    <row r="1873" spans="1:14" outlineLevel="1" x14ac:dyDescent="0.25">
      <c r="A1873" t="s">
        <v>300</v>
      </c>
      <c r="C1873" t="s">
        <v>341</v>
      </c>
      <c r="D1873" t="str">
        <f>_xlfn.CONCAT("Taux de chargement moyen des véhicules pour l'accès direct au(x) projet(s)"," (",'Remplissage - Sit. Init.'!$C$133,")")</f>
        <v>Taux de chargement moyen des véhicules pour l'accès direct au(x) projet(s) (Catégorie 12)</v>
      </c>
      <c r="F1873" t="str">
        <f>_xlfn.CONCAT("ProjImmoAccDirTC",RIGHT(LEFT(D1873,LEN(D1873)-1),2))</f>
        <v>ProjImmoAccDirTC12</v>
      </c>
      <c r="G1873" t="s">
        <v>17</v>
      </c>
      <c r="H187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73" s="3"/>
      <c r="K1873" t="s">
        <v>70</v>
      </c>
      <c r="L1873" s="7">
        <v>0.33</v>
      </c>
      <c r="N1873" t="s">
        <v>303</v>
      </c>
    </row>
    <row r="1874" spans="1:14" outlineLevel="1" x14ac:dyDescent="0.25">
      <c r="A1874" t="s">
        <v>300</v>
      </c>
      <c r="C1874" t="s">
        <v>341</v>
      </c>
      <c r="D1874" t="str">
        <f>_xlfn.CONCAT("Distance parcourue associée"," (",'Remplissage - Sit. Init.'!$C$133,")")</f>
        <v>Distance parcourue associée (Catégorie 12)</v>
      </c>
      <c r="F1874" t="str">
        <f>_xlfn.CONCAT("ProjImmoAccDirDist",RIGHT(LEFT(D1874,LEN(D1874)-1),2))</f>
        <v>ProjImmoAccDirDist12</v>
      </c>
      <c r="G1874" t="s">
        <v>17</v>
      </c>
      <c r="H187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74" t="s">
        <v>88</v>
      </c>
      <c r="L1874">
        <v>30</v>
      </c>
      <c r="N1874" t="s">
        <v>303</v>
      </c>
    </row>
    <row r="1875" spans="1:14" outlineLevel="1" x14ac:dyDescent="0.25">
      <c r="A1875" t="s">
        <v>300</v>
      </c>
      <c r="C1875" t="s">
        <v>341</v>
      </c>
      <c r="D1875" t="str">
        <f>_xlfn.CONCAT("Nombre de trajets associés"," (",'Remplissage - Sit. Init.'!$C$133,")")</f>
        <v>Nombre de trajets associés (Catégorie 12)</v>
      </c>
      <c r="F1875" t="str">
        <f>_xlfn.CONCAT("ProjImmoAccDirNbTraj",RIGHT(LEFT(D1875,LEN(D1875)-1),2))</f>
        <v>ProjImmoAccDirNbTraj12</v>
      </c>
      <c r="G1875" t="s">
        <v>17</v>
      </c>
      <c r="H187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75" t="s">
        <v>145</v>
      </c>
      <c r="L1875">
        <v>15</v>
      </c>
      <c r="N1875" t="s">
        <v>303</v>
      </c>
    </row>
    <row r="1876" spans="1:14" outlineLevel="1" x14ac:dyDescent="0.25">
      <c r="A1876" t="s">
        <v>300</v>
      </c>
      <c r="C1876" t="s">
        <v>341</v>
      </c>
      <c r="D1876" t="str">
        <f>_xlfn.CONCAT("Taux de chargement moyen des véhicules pour l'accès direct au(x) projet(s)"," (",'Remplissage - Sit. Init.'!$C$143,")")</f>
        <v>Taux de chargement moyen des véhicules pour l'accès direct au(x) projet(s) (Catégorie 13)</v>
      </c>
      <c r="F1876" t="str">
        <f t="shared" ref="F1876" si="1806">_xlfn.CONCAT("ProjImmoAccDirTC",RIGHT(LEFT(D1876,LEN(D1876)-1),2))</f>
        <v>ProjImmoAccDirTC13</v>
      </c>
      <c r="G1876" t="s">
        <v>17</v>
      </c>
      <c r="H187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76" s="3"/>
      <c r="K1876" t="s">
        <v>70</v>
      </c>
      <c r="L1876" s="7">
        <v>0.33</v>
      </c>
      <c r="N1876" t="s">
        <v>303</v>
      </c>
    </row>
    <row r="1877" spans="1:14" outlineLevel="1" x14ac:dyDescent="0.25">
      <c r="A1877" t="s">
        <v>300</v>
      </c>
      <c r="C1877" t="s">
        <v>341</v>
      </c>
      <c r="D1877" t="str">
        <f>_xlfn.CONCAT("Distance parcourue associée"," (",'Remplissage - Sit. Init.'!$C$143,")")</f>
        <v>Distance parcourue associée (Catégorie 13)</v>
      </c>
      <c r="F1877" t="str">
        <f t="shared" ref="F1877" si="1807">_xlfn.CONCAT("ProjImmoAccDirDist",RIGHT(LEFT(D1877,LEN(D1877)-1),2))</f>
        <v>ProjImmoAccDirDist13</v>
      </c>
      <c r="G1877" t="s">
        <v>17</v>
      </c>
      <c r="H187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77" t="s">
        <v>88</v>
      </c>
      <c r="L1877">
        <v>30</v>
      </c>
      <c r="N1877" t="s">
        <v>303</v>
      </c>
    </row>
    <row r="1878" spans="1:14" outlineLevel="1" x14ac:dyDescent="0.25">
      <c r="A1878" t="s">
        <v>300</v>
      </c>
      <c r="C1878" t="s">
        <v>341</v>
      </c>
      <c r="D1878" t="str">
        <f>_xlfn.CONCAT("Nombre de trajets associés"," (",'Remplissage - Sit. Init.'!$C$143,")")</f>
        <v>Nombre de trajets associés (Catégorie 13)</v>
      </c>
      <c r="F1878" t="str">
        <f t="shared" ref="F1878" si="1808">_xlfn.CONCAT("ProjImmoAccDirNbTraj",RIGHT(LEFT(D1878,LEN(D1878)-1),2))</f>
        <v>ProjImmoAccDirNbTraj13</v>
      </c>
      <c r="G1878" t="s">
        <v>17</v>
      </c>
      <c r="H187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78" t="s">
        <v>145</v>
      </c>
      <c r="L1878">
        <v>15</v>
      </c>
      <c r="N1878" t="s">
        <v>303</v>
      </c>
    </row>
    <row r="1879" spans="1:14" outlineLevel="1" x14ac:dyDescent="0.25">
      <c r="A1879" t="s">
        <v>300</v>
      </c>
      <c r="C1879" t="s">
        <v>341</v>
      </c>
      <c r="D1879" t="str">
        <f>_xlfn.CONCAT("Taux de chargement moyen des véhicules pour l'accès direct au(x) projet(s)"," (",'Remplissage - Sit. Init.'!$C$153,")")</f>
        <v>Taux de chargement moyen des véhicules pour l'accès direct au(x) projet(s) (Catégorie 14)</v>
      </c>
      <c r="F1879" t="str">
        <f t="shared" ref="F1879" si="1809">_xlfn.CONCAT("ProjImmoAccDirTC",RIGHT(LEFT(D1879,LEN(D1879)-1),2))</f>
        <v>ProjImmoAccDirTC14</v>
      </c>
      <c r="G1879" t="s">
        <v>17</v>
      </c>
      <c r="H187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79" s="3"/>
      <c r="K1879" t="s">
        <v>70</v>
      </c>
      <c r="L1879" s="7">
        <v>0.33</v>
      </c>
      <c r="N1879" t="s">
        <v>303</v>
      </c>
    </row>
    <row r="1880" spans="1:14" outlineLevel="1" x14ac:dyDescent="0.25">
      <c r="A1880" t="s">
        <v>300</v>
      </c>
      <c r="C1880" t="s">
        <v>341</v>
      </c>
      <c r="D1880" t="str">
        <f>_xlfn.CONCAT("Distance parcourue associée"," (",'Remplissage - Sit. Init.'!$C$153,")")</f>
        <v>Distance parcourue associée (Catégorie 14)</v>
      </c>
      <c r="F1880" t="str">
        <f t="shared" ref="F1880" si="1810">_xlfn.CONCAT("ProjImmoAccDirDist",RIGHT(LEFT(D1880,LEN(D1880)-1),2))</f>
        <v>ProjImmoAccDirDist14</v>
      </c>
      <c r="G1880" t="s">
        <v>17</v>
      </c>
      <c r="H188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80" t="s">
        <v>88</v>
      </c>
      <c r="L1880">
        <v>30</v>
      </c>
      <c r="N1880" t="s">
        <v>303</v>
      </c>
    </row>
    <row r="1881" spans="1:14" outlineLevel="1" x14ac:dyDescent="0.25">
      <c r="A1881" t="s">
        <v>300</v>
      </c>
      <c r="C1881" t="s">
        <v>341</v>
      </c>
      <c r="D1881" t="str">
        <f>_xlfn.CONCAT("Nombre de trajets associés"," (",'Remplissage - Sit. Init.'!$C$153,")")</f>
        <v>Nombre de trajets associés (Catégorie 14)</v>
      </c>
      <c r="F1881" t="str">
        <f t="shared" ref="F1881" si="1811">_xlfn.CONCAT("ProjImmoAccDirNbTraj",RIGHT(LEFT(D1881,LEN(D1881)-1),2))</f>
        <v>ProjImmoAccDirNbTraj14</v>
      </c>
      <c r="G1881" t="s">
        <v>17</v>
      </c>
      <c r="H188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81" t="s">
        <v>145</v>
      </c>
      <c r="L1881">
        <v>15</v>
      </c>
      <c r="N1881" t="s">
        <v>303</v>
      </c>
    </row>
    <row r="1882" spans="1:14" outlineLevel="1" x14ac:dyDescent="0.25">
      <c r="A1882" t="s">
        <v>300</v>
      </c>
      <c r="C1882" t="s">
        <v>341</v>
      </c>
      <c r="D1882" t="str">
        <f>_xlfn.CONCAT("Taux de chargement moyen des véhicules pour l'accès direct au(x) projet(s)"," (",'Remplissage - Sit. Init.'!$C$163,")")</f>
        <v>Taux de chargement moyen des véhicules pour l'accès direct au(x) projet(s) (Catégorie 15)</v>
      </c>
      <c r="F1882" t="str">
        <f t="shared" ref="F1882" si="1812">_xlfn.CONCAT("ProjImmoAccDirTC",RIGHT(LEFT(D1882,LEN(D1882)-1),2))</f>
        <v>ProjImmoAccDirTC15</v>
      </c>
      <c r="G1882" t="s">
        <v>17</v>
      </c>
      <c r="H188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82" s="3"/>
      <c r="K1882" t="s">
        <v>70</v>
      </c>
      <c r="L1882" s="7">
        <v>0.33</v>
      </c>
      <c r="N1882" t="s">
        <v>303</v>
      </c>
    </row>
    <row r="1883" spans="1:14" outlineLevel="1" x14ac:dyDescent="0.25">
      <c r="A1883" t="s">
        <v>300</v>
      </c>
      <c r="C1883" t="s">
        <v>341</v>
      </c>
      <c r="D1883" t="str">
        <f>_xlfn.CONCAT("Distance parcourue associée"," (",'Remplissage - Sit. Init.'!$C$163,")")</f>
        <v>Distance parcourue associée (Catégorie 15)</v>
      </c>
      <c r="F1883" t="str">
        <f t="shared" ref="F1883" si="1813">_xlfn.CONCAT("ProjImmoAccDirDist",RIGHT(LEFT(D1883,LEN(D1883)-1),2))</f>
        <v>ProjImmoAccDirDist15</v>
      </c>
      <c r="G1883" t="s">
        <v>17</v>
      </c>
      <c r="H188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83" t="s">
        <v>88</v>
      </c>
      <c r="L1883">
        <v>30</v>
      </c>
      <c r="N1883" t="s">
        <v>303</v>
      </c>
    </row>
    <row r="1884" spans="1:14" outlineLevel="1" x14ac:dyDescent="0.25">
      <c r="A1884" t="s">
        <v>300</v>
      </c>
      <c r="C1884" t="s">
        <v>341</v>
      </c>
      <c r="D1884" t="str">
        <f>_xlfn.CONCAT("Nombre de trajets associés"," (",'Remplissage - Sit. Init.'!$C$163,")")</f>
        <v>Nombre de trajets associés (Catégorie 15)</v>
      </c>
      <c r="F1884" t="str">
        <f t="shared" ref="F1884" si="1814">_xlfn.CONCAT("ProjImmoAccDirNbTraj",RIGHT(LEFT(D1884,LEN(D1884)-1),2))</f>
        <v>ProjImmoAccDirNbTraj15</v>
      </c>
      <c r="G1884" t="s">
        <v>17</v>
      </c>
      <c r="H188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84" t="s">
        <v>145</v>
      </c>
      <c r="L1884">
        <v>15</v>
      </c>
      <c r="N1884" t="s">
        <v>303</v>
      </c>
    </row>
    <row r="1885" spans="1:14" outlineLevel="1" x14ac:dyDescent="0.25">
      <c r="A1885" t="s">
        <v>300</v>
      </c>
      <c r="C1885" t="s">
        <v>341</v>
      </c>
      <c r="D1885" t="str">
        <f>_xlfn.CONCAT("Taux de chargement moyen des véhicules pour l'accès direct au(x) projet(s)"," (",'Remplissage - Sit. Init.'!$C$173,")")</f>
        <v>Taux de chargement moyen des véhicules pour l'accès direct au(x) projet(s) (Catégorie 16)</v>
      </c>
      <c r="F1885" t="str">
        <f t="shared" ref="F1885" si="1815">_xlfn.CONCAT("ProjImmoAccDirTC",RIGHT(LEFT(D1885,LEN(D1885)-1),2))</f>
        <v>ProjImmoAccDirTC16</v>
      </c>
      <c r="G1885" t="s">
        <v>17</v>
      </c>
      <c r="H1885">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85" s="3"/>
      <c r="K1885" t="s">
        <v>70</v>
      </c>
      <c r="L1885" s="7">
        <v>0.33</v>
      </c>
      <c r="N1885" t="s">
        <v>303</v>
      </c>
    </row>
    <row r="1886" spans="1:14" outlineLevel="1" x14ac:dyDescent="0.25">
      <c r="A1886" t="s">
        <v>300</v>
      </c>
      <c r="C1886" t="s">
        <v>341</v>
      </c>
      <c r="D1886" t="str">
        <f>_xlfn.CONCAT("Distance parcourue associée"," (",'Remplissage - Sit. Init.'!$C$173,")")</f>
        <v>Distance parcourue associée (Catégorie 16)</v>
      </c>
      <c r="F1886" t="str">
        <f t="shared" ref="F1886" si="1816">_xlfn.CONCAT("ProjImmoAccDirDist",RIGHT(LEFT(D1886,LEN(D1886)-1),2))</f>
        <v>ProjImmoAccDirDist16</v>
      </c>
      <c r="G1886" t="s">
        <v>17</v>
      </c>
      <c r="H1886">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86" t="s">
        <v>88</v>
      </c>
      <c r="L1886">
        <v>30</v>
      </c>
      <c r="N1886" t="s">
        <v>303</v>
      </c>
    </row>
    <row r="1887" spans="1:14" outlineLevel="1" x14ac:dyDescent="0.25">
      <c r="A1887" t="s">
        <v>300</v>
      </c>
      <c r="C1887" t="s">
        <v>341</v>
      </c>
      <c r="D1887" t="str">
        <f>_xlfn.CONCAT("Nombre de trajets associés"," (",'Remplissage - Sit. Init.'!$C$173,")")</f>
        <v>Nombre de trajets associés (Catégorie 16)</v>
      </c>
      <c r="F1887" t="str">
        <f t="shared" ref="F1887" si="1817">_xlfn.CONCAT("ProjImmoAccDirNbTraj",RIGHT(LEFT(D1887,LEN(D1887)-1),2))</f>
        <v>ProjImmoAccDirNbTraj16</v>
      </c>
      <c r="G1887" t="s">
        <v>17</v>
      </c>
      <c r="H1887">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87" t="s">
        <v>145</v>
      </c>
      <c r="L1887">
        <v>15</v>
      </c>
      <c r="N1887" t="s">
        <v>303</v>
      </c>
    </row>
    <row r="1888" spans="1:14" outlineLevel="1" x14ac:dyDescent="0.25">
      <c r="A1888" t="s">
        <v>300</v>
      </c>
      <c r="C1888" t="s">
        <v>341</v>
      </c>
      <c r="D1888" t="str">
        <f>_xlfn.CONCAT("Taux de chargement moyen des véhicules pour l'accès direct au(x) projet(s)"," (",'Remplissage - Sit. Init.'!$C$183,")")</f>
        <v>Taux de chargement moyen des véhicules pour l'accès direct au(x) projet(s) (Catégorie 17)</v>
      </c>
      <c r="F1888" t="str">
        <f t="shared" ref="F1888" si="1818">_xlfn.CONCAT("ProjImmoAccDirTC",RIGHT(LEFT(D1888,LEN(D1888)-1),2))</f>
        <v>ProjImmoAccDirTC17</v>
      </c>
      <c r="G1888" t="s">
        <v>17</v>
      </c>
      <c r="H1888">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88" s="3"/>
      <c r="K1888" t="s">
        <v>70</v>
      </c>
      <c r="L1888" s="7">
        <v>0.33</v>
      </c>
      <c r="N1888" t="s">
        <v>303</v>
      </c>
    </row>
    <row r="1889" spans="1:14" outlineLevel="1" x14ac:dyDescent="0.25">
      <c r="A1889" t="s">
        <v>300</v>
      </c>
      <c r="C1889" t="s">
        <v>341</v>
      </c>
      <c r="D1889" t="str">
        <f>_xlfn.CONCAT("Distance parcourue associée"," (",'Remplissage - Sit. Init.'!$C$183,")")</f>
        <v>Distance parcourue associée (Catégorie 17)</v>
      </c>
      <c r="F1889" t="str">
        <f t="shared" ref="F1889" si="1819">_xlfn.CONCAT("ProjImmoAccDirDist",RIGHT(LEFT(D1889,LEN(D1889)-1),2))</f>
        <v>ProjImmoAccDirDist17</v>
      </c>
      <c r="G1889" t="s">
        <v>17</v>
      </c>
      <c r="H1889">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89" t="s">
        <v>88</v>
      </c>
      <c r="L1889">
        <v>30</v>
      </c>
      <c r="N1889" t="s">
        <v>303</v>
      </c>
    </row>
    <row r="1890" spans="1:14" outlineLevel="1" x14ac:dyDescent="0.25">
      <c r="A1890" t="s">
        <v>300</v>
      </c>
      <c r="C1890" t="s">
        <v>341</v>
      </c>
      <c r="D1890" t="str">
        <f>_xlfn.CONCAT("Nombre de trajets associés"," (",'Remplissage - Sit. Init.'!$C$183,")")</f>
        <v>Nombre de trajets associés (Catégorie 17)</v>
      </c>
      <c r="F1890" t="str">
        <f t="shared" ref="F1890" si="1820">_xlfn.CONCAT("ProjImmoAccDirNbTraj",RIGHT(LEFT(D1890,LEN(D1890)-1),2))</f>
        <v>ProjImmoAccDirNbTraj17</v>
      </c>
      <c r="G1890" t="s">
        <v>17</v>
      </c>
      <c r="H1890">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90" t="s">
        <v>145</v>
      </c>
      <c r="L1890">
        <v>15</v>
      </c>
      <c r="N1890" t="s">
        <v>303</v>
      </c>
    </row>
    <row r="1891" spans="1:14" outlineLevel="1" x14ac:dyDescent="0.25">
      <c r="A1891" t="s">
        <v>300</v>
      </c>
      <c r="C1891" t="s">
        <v>341</v>
      </c>
      <c r="D1891" t="str">
        <f>_xlfn.CONCAT("Taux de chargement moyen des véhicules pour l'accès direct au(x) projet(s)"," (",'Remplissage - Sit. Init.'!$C$193,")")</f>
        <v>Taux de chargement moyen des véhicules pour l'accès direct au(x) projet(s) (Catégorie 18)</v>
      </c>
      <c r="F1891" t="str">
        <f t="shared" ref="F1891" si="1821">_xlfn.CONCAT("ProjImmoAccDirTC",RIGHT(LEFT(D1891,LEN(D1891)-1),2))</f>
        <v>ProjImmoAccDirTC18</v>
      </c>
      <c r="G1891" t="s">
        <v>17</v>
      </c>
      <c r="H1891">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91" s="3"/>
      <c r="K1891" t="s">
        <v>70</v>
      </c>
      <c r="L1891" s="7">
        <v>0.33</v>
      </c>
      <c r="N1891" t="s">
        <v>303</v>
      </c>
    </row>
    <row r="1892" spans="1:14" outlineLevel="1" x14ac:dyDescent="0.25">
      <c r="A1892" t="s">
        <v>300</v>
      </c>
      <c r="C1892" t="s">
        <v>341</v>
      </c>
      <c r="D1892" t="str">
        <f>_xlfn.CONCAT("Distance parcourue associée"," (",'Remplissage - Sit. Init.'!$C$193,")")</f>
        <v>Distance parcourue associée (Catégorie 18)</v>
      </c>
      <c r="F1892" t="str">
        <f t="shared" ref="F1892" si="1822">_xlfn.CONCAT("ProjImmoAccDirDist",RIGHT(LEFT(D1892,LEN(D1892)-1),2))</f>
        <v>ProjImmoAccDirDist18</v>
      </c>
      <c r="G1892" t="s">
        <v>17</v>
      </c>
      <c r="H1892">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92" t="s">
        <v>88</v>
      </c>
      <c r="L1892">
        <v>30</v>
      </c>
      <c r="N1892" t="s">
        <v>303</v>
      </c>
    </row>
    <row r="1893" spans="1:14" outlineLevel="1" x14ac:dyDescent="0.25">
      <c r="A1893" t="s">
        <v>300</v>
      </c>
      <c r="C1893" t="s">
        <v>341</v>
      </c>
      <c r="D1893" t="str">
        <f>_xlfn.CONCAT("Nombre de trajets associés"," (",'Remplissage - Sit. Init.'!$C$193,")")</f>
        <v>Nombre de trajets associés (Catégorie 18)</v>
      </c>
      <c r="F1893" t="str">
        <f t="shared" ref="F1893" si="1823">_xlfn.CONCAT("ProjImmoAccDirNbTraj",RIGHT(LEFT(D1893,LEN(D1893)-1),2))</f>
        <v>ProjImmoAccDirNbTraj18</v>
      </c>
      <c r="G1893" t="s">
        <v>17</v>
      </c>
      <c r="H1893">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93" t="s">
        <v>145</v>
      </c>
      <c r="L1893">
        <v>15</v>
      </c>
      <c r="N1893" t="s">
        <v>303</v>
      </c>
    </row>
    <row r="1894" spans="1:14" outlineLevel="1" x14ac:dyDescent="0.25">
      <c r="A1894" t="s">
        <v>300</v>
      </c>
      <c r="C1894" t="s">
        <v>341</v>
      </c>
      <c r="D1894" t="str">
        <f>_xlfn.CONCAT("Taux de chargement moyen des véhicules pour l'accès direct au(x) projet(s)"," (",'Remplissage - Sit. Init.'!$C$203,")")</f>
        <v>Taux de chargement moyen des véhicules pour l'accès direct au(x) projet(s) (Catégorie 19)</v>
      </c>
      <c r="F1894" t="str">
        <f t="shared" ref="F1894" si="1824">_xlfn.CONCAT("ProjImmoAccDirTC",RIGHT(LEFT(D1894,LEN(D1894)-1),2))</f>
        <v>ProjImmoAccDirTC19</v>
      </c>
      <c r="G1894" t="s">
        <v>17</v>
      </c>
      <c r="H1894">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94" s="3"/>
      <c r="K1894" t="s">
        <v>70</v>
      </c>
      <c r="L1894" s="7">
        <v>0.33</v>
      </c>
      <c r="N1894" t="s">
        <v>303</v>
      </c>
    </row>
    <row r="1895" spans="1:14" outlineLevel="1" x14ac:dyDescent="0.25">
      <c r="A1895" t="s">
        <v>300</v>
      </c>
      <c r="C1895" t="s">
        <v>341</v>
      </c>
      <c r="D1895" t="str">
        <f>_xlfn.CONCAT("Distance parcourue associée"," (",'Remplissage - Sit. Init.'!$C$203,")")</f>
        <v>Distance parcourue associée (Catégorie 19)</v>
      </c>
      <c r="F1895" t="str">
        <f t="shared" ref="F1895" si="1825">_xlfn.CONCAT("ProjImmoAccDirDist",RIGHT(LEFT(D1895,LEN(D1895)-1),2))</f>
        <v>ProjImmoAccDirDist19</v>
      </c>
      <c r="G1895" t="s">
        <v>17</v>
      </c>
      <c r="H1895">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95" t="s">
        <v>88</v>
      </c>
      <c r="L1895">
        <v>30</v>
      </c>
      <c r="N1895" t="s">
        <v>303</v>
      </c>
    </row>
    <row r="1896" spans="1:14" outlineLevel="1" x14ac:dyDescent="0.25">
      <c r="A1896" t="s">
        <v>300</v>
      </c>
      <c r="C1896" t="s">
        <v>341</v>
      </c>
      <c r="D1896" t="str">
        <f>_xlfn.CONCAT("Nombre de trajets associés"," (",'Remplissage - Sit. Init.'!$C$203,")")</f>
        <v>Nombre de trajets associés (Catégorie 19)</v>
      </c>
      <c r="F1896" t="str">
        <f t="shared" ref="F1896" si="1826">_xlfn.CONCAT("ProjImmoAccDirNbTraj",RIGHT(LEFT(D1896,LEN(D1896)-1),2))</f>
        <v>ProjImmoAccDirNbTraj19</v>
      </c>
      <c r="G1896" t="s">
        <v>17</v>
      </c>
      <c r="H1896">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96" t="s">
        <v>145</v>
      </c>
      <c r="L1896">
        <v>15</v>
      </c>
      <c r="N1896" t="s">
        <v>303</v>
      </c>
    </row>
    <row r="1897" spans="1:14" outlineLevel="1" x14ac:dyDescent="0.25">
      <c r="A1897" t="s">
        <v>300</v>
      </c>
      <c r="C1897" t="s">
        <v>341</v>
      </c>
      <c r="D1897" t="str">
        <f>_xlfn.CONCAT("Taux de chargement moyen des véhicules pour l'accès direct au(x) projet(s)"," (",'Remplissage - Sit. Init.'!$C$213,")")</f>
        <v>Taux de chargement moyen des véhicules pour l'accès direct au(x) projet(s) (Catégorie 20)</v>
      </c>
      <c r="F1897" t="str">
        <f t="shared" ref="F1897" si="1827">_xlfn.CONCAT("ProjImmoAccDirTC",RIGHT(LEFT(D1897,LEN(D1897)-1),2))</f>
        <v>ProjImmoAccDirTC20</v>
      </c>
      <c r="G1897" t="s">
        <v>17</v>
      </c>
      <c r="H1897">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897" s="3"/>
      <c r="K1897" t="s">
        <v>70</v>
      </c>
      <c r="L1897" s="7">
        <v>0.33</v>
      </c>
      <c r="N1897" t="s">
        <v>303</v>
      </c>
    </row>
    <row r="1898" spans="1:14" outlineLevel="1" x14ac:dyDescent="0.25">
      <c r="A1898" t="s">
        <v>300</v>
      </c>
      <c r="C1898" t="s">
        <v>341</v>
      </c>
      <c r="D1898" t="str">
        <f>_xlfn.CONCAT("Distance parcourue associée"," (",'Remplissage - Sit. Init.'!$C$213,")")</f>
        <v>Distance parcourue associée (Catégorie 20)</v>
      </c>
      <c r="F1898" t="str">
        <f t="shared" ref="F1898" si="1828">_xlfn.CONCAT("ProjImmoAccDirDist",RIGHT(LEFT(D1898,LEN(D1898)-1),2))</f>
        <v>ProjImmoAccDirDist20</v>
      </c>
      <c r="G1898" t="s">
        <v>17</v>
      </c>
      <c r="H1898">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98" t="s">
        <v>88</v>
      </c>
      <c r="L1898">
        <v>30</v>
      </c>
      <c r="N1898" t="s">
        <v>303</v>
      </c>
    </row>
    <row r="1899" spans="1:14" outlineLevel="1" x14ac:dyDescent="0.25">
      <c r="A1899" t="s">
        <v>300</v>
      </c>
      <c r="C1899" t="s">
        <v>341</v>
      </c>
      <c r="D1899" t="str">
        <f>_xlfn.CONCAT("Nombre de trajets associés"," (",'Remplissage - Sit. Init.'!$C$213,")")</f>
        <v>Nombre de trajets associés (Catégorie 20)</v>
      </c>
      <c r="F1899" t="str">
        <f t="shared" ref="F1899" si="1829">_xlfn.CONCAT("ProjImmoAccDirNbTraj",RIGHT(LEFT(D1899,LEN(D1899)-1),2))</f>
        <v>ProjImmoAccDirNbTraj20</v>
      </c>
      <c r="G1899" t="s">
        <v>17</v>
      </c>
      <c r="H1899">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899" t="s">
        <v>145</v>
      </c>
      <c r="L1899">
        <v>15</v>
      </c>
      <c r="N1899" t="s">
        <v>303</v>
      </c>
    </row>
    <row r="1900" spans="1:14" outlineLevel="1" x14ac:dyDescent="0.25">
      <c r="A1900" t="s">
        <v>300</v>
      </c>
      <c r="C1900" t="s">
        <v>341</v>
      </c>
      <c r="D1900" t="str">
        <f>_xlfn.CONCAT("Taux de chargement moyen des véhicules pour l'accès direct au(x) projet(s)"," (",'Remplissage - Sit. Init.'!$C$223,")")</f>
        <v>Taux de chargement moyen des véhicules pour l'accès direct au(x) projet(s) (Catégorie 21)</v>
      </c>
      <c r="F1900" t="str">
        <f t="shared" ref="F1900" si="1830">_xlfn.CONCAT("ProjImmoAccDirTC",RIGHT(LEFT(D1900,LEN(D1900)-1),2))</f>
        <v>ProjImmoAccDirTC21</v>
      </c>
      <c r="G1900" t="s">
        <v>17</v>
      </c>
      <c r="H190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00" s="3"/>
      <c r="K1900" t="s">
        <v>70</v>
      </c>
      <c r="L1900" s="7">
        <v>0.33</v>
      </c>
      <c r="N1900" t="s">
        <v>303</v>
      </c>
    </row>
    <row r="1901" spans="1:14" outlineLevel="1" x14ac:dyDescent="0.25">
      <c r="A1901" t="s">
        <v>300</v>
      </c>
      <c r="C1901" t="s">
        <v>341</v>
      </c>
      <c r="D1901" t="str">
        <f>_xlfn.CONCAT("Distance parcourue associée"," (",'Remplissage - Sit. Init.'!$C$223,")")</f>
        <v>Distance parcourue associée (Catégorie 21)</v>
      </c>
      <c r="F1901" t="str">
        <f t="shared" ref="F1901" si="1831">_xlfn.CONCAT("ProjImmoAccDirDist",RIGHT(LEFT(D1901,LEN(D1901)-1),2))</f>
        <v>ProjImmoAccDirDist21</v>
      </c>
      <c r="G1901" t="s">
        <v>17</v>
      </c>
      <c r="H190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01" t="s">
        <v>88</v>
      </c>
      <c r="L1901">
        <v>30</v>
      </c>
      <c r="N1901" t="s">
        <v>303</v>
      </c>
    </row>
    <row r="1902" spans="1:14" outlineLevel="1" x14ac:dyDescent="0.25">
      <c r="A1902" t="s">
        <v>300</v>
      </c>
      <c r="C1902" t="s">
        <v>341</v>
      </c>
      <c r="D1902" t="str">
        <f>_xlfn.CONCAT("Nombre de trajets associés"," (",'Remplissage - Sit. Init.'!$C$223,")")</f>
        <v>Nombre de trajets associés (Catégorie 21)</v>
      </c>
      <c r="F1902" t="str">
        <f t="shared" ref="F1902" si="1832">_xlfn.CONCAT("ProjImmoAccDirNbTraj",RIGHT(LEFT(D1902,LEN(D1902)-1),2))</f>
        <v>ProjImmoAccDirNbTraj21</v>
      </c>
      <c r="G1902" t="s">
        <v>17</v>
      </c>
      <c r="H190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02" t="s">
        <v>145</v>
      </c>
      <c r="L1902">
        <v>15</v>
      </c>
      <c r="N1902" t="s">
        <v>303</v>
      </c>
    </row>
    <row r="1903" spans="1:14" outlineLevel="1" x14ac:dyDescent="0.25">
      <c r="A1903" t="s">
        <v>300</v>
      </c>
      <c r="C1903" t="s">
        <v>341</v>
      </c>
      <c r="D1903" t="str">
        <f>_xlfn.CONCAT("Taux de chargement moyen des véhicules pour l'accès direct au(x) projet(s)"," (",'Remplissage - Sit. Init.'!$C$233,")")</f>
        <v>Taux de chargement moyen des véhicules pour l'accès direct au(x) projet(s) (Catégorie 22)</v>
      </c>
      <c r="F1903" t="str">
        <f t="shared" ref="F1903" si="1833">_xlfn.CONCAT("ProjImmoAccDirTC",RIGHT(LEFT(D1903,LEN(D1903)-1),2))</f>
        <v>ProjImmoAccDirTC22</v>
      </c>
      <c r="G1903" t="s">
        <v>17</v>
      </c>
      <c r="H190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03" s="3"/>
      <c r="K1903" t="s">
        <v>70</v>
      </c>
      <c r="L1903" s="7">
        <v>0.33</v>
      </c>
      <c r="N1903" t="s">
        <v>303</v>
      </c>
    </row>
    <row r="1904" spans="1:14" outlineLevel="1" x14ac:dyDescent="0.25">
      <c r="A1904" t="s">
        <v>300</v>
      </c>
      <c r="C1904" t="s">
        <v>341</v>
      </c>
      <c r="D1904" t="str">
        <f>_xlfn.CONCAT("Distance parcourue associée"," (",'Remplissage - Sit. Init.'!$C$233,")")</f>
        <v>Distance parcourue associée (Catégorie 22)</v>
      </c>
      <c r="F1904" t="str">
        <f t="shared" ref="F1904" si="1834">_xlfn.CONCAT("ProjImmoAccDirDist",RIGHT(LEFT(D1904,LEN(D1904)-1),2))</f>
        <v>ProjImmoAccDirDist22</v>
      </c>
      <c r="G1904" t="s">
        <v>17</v>
      </c>
      <c r="H190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04" t="s">
        <v>88</v>
      </c>
      <c r="L1904">
        <v>30</v>
      </c>
      <c r="N1904" t="s">
        <v>303</v>
      </c>
    </row>
    <row r="1905" spans="1:14" outlineLevel="1" x14ac:dyDescent="0.25">
      <c r="A1905" t="s">
        <v>300</v>
      </c>
      <c r="C1905" t="s">
        <v>341</v>
      </c>
      <c r="D1905" t="str">
        <f>_xlfn.CONCAT("Nombre de trajets associés"," (",'Remplissage - Sit. Init.'!$C$233,")")</f>
        <v>Nombre de trajets associés (Catégorie 22)</v>
      </c>
      <c r="F1905" t="str">
        <f t="shared" ref="F1905" si="1835">_xlfn.CONCAT("ProjImmoAccDirNbTraj",RIGHT(LEFT(D1905,LEN(D1905)-1),2))</f>
        <v>ProjImmoAccDirNbTraj22</v>
      </c>
      <c r="G1905" t="s">
        <v>17</v>
      </c>
      <c r="H190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05" t="s">
        <v>145</v>
      </c>
      <c r="L1905">
        <v>15</v>
      </c>
      <c r="N1905" t="s">
        <v>303</v>
      </c>
    </row>
    <row r="1906" spans="1:14" outlineLevel="1" x14ac:dyDescent="0.25">
      <c r="A1906" t="s">
        <v>300</v>
      </c>
      <c r="C1906" t="s">
        <v>341</v>
      </c>
      <c r="D1906" t="str">
        <f>_xlfn.CONCAT("Taux de chargement moyen des véhicules pour l'accès direct au(x) projet(s)"," (",'Remplissage - Sit. Init.'!$C$243,")")</f>
        <v>Taux de chargement moyen des véhicules pour l'accès direct au(x) projet(s) (Catégorie 23)</v>
      </c>
      <c r="F1906" t="str">
        <f t="shared" ref="F1906" si="1836">_xlfn.CONCAT("ProjImmoAccDirTC",RIGHT(LEFT(D1906,LEN(D1906)-1),2))</f>
        <v>ProjImmoAccDirTC23</v>
      </c>
      <c r="G1906" t="s">
        <v>17</v>
      </c>
      <c r="H190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06" s="3"/>
      <c r="K1906" t="s">
        <v>70</v>
      </c>
      <c r="L1906" s="7">
        <v>0.33</v>
      </c>
      <c r="N1906" t="s">
        <v>303</v>
      </c>
    </row>
    <row r="1907" spans="1:14" outlineLevel="1" x14ac:dyDescent="0.25">
      <c r="A1907" t="s">
        <v>300</v>
      </c>
      <c r="C1907" t="s">
        <v>341</v>
      </c>
      <c r="D1907" t="str">
        <f>_xlfn.CONCAT("Distance parcourue associée"," (",'Remplissage - Sit. Init.'!$C$243,")")</f>
        <v>Distance parcourue associée (Catégorie 23)</v>
      </c>
      <c r="F1907" t="str">
        <f t="shared" ref="F1907" si="1837">_xlfn.CONCAT("ProjImmoAccDirDist",RIGHT(LEFT(D1907,LEN(D1907)-1),2))</f>
        <v>ProjImmoAccDirDist23</v>
      </c>
      <c r="G1907" t="s">
        <v>17</v>
      </c>
      <c r="H190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07" t="s">
        <v>88</v>
      </c>
      <c r="L1907">
        <v>30</v>
      </c>
      <c r="N1907" t="s">
        <v>303</v>
      </c>
    </row>
    <row r="1908" spans="1:14" outlineLevel="1" x14ac:dyDescent="0.25">
      <c r="A1908" t="s">
        <v>300</v>
      </c>
      <c r="C1908" t="s">
        <v>341</v>
      </c>
      <c r="D1908" t="str">
        <f>_xlfn.CONCAT("Nombre de trajets associés"," (",'Remplissage - Sit. Init.'!$C$243,")")</f>
        <v>Nombre de trajets associés (Catégorie 23)</v>
      </c>
      <c r="F1908" t="str">
        <f t="shared" ref="F1908" si="1838">_xlfn.CONCAT("ProjImmoAccDirNbTraj",RIGHT(LEFT(D1908,LEN(D1908)-1),2))</f>
        <v>ProjImmoAccDirNbTraj23</v>
      </c>
      <c r="G1908" t="s">
        <v>17</v>
      </c>
      <c r="H190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08" t="s">
        <v>145</v>
      </c>
      <c r="L1908">
        <v>15</v>
      </c>
      <c r="N1908" t="s">
        <v>303</v>
      </c>
    </row>
    <row r="1909" spans="1:14" outlineLevel="1" x14ac:dyDescent="0.25">
      <c r="A1909" t="s">
        <v>300</v>
      </c>
      <c r="C1909" t="s">
        <v>341</v>
      </c>
      <c r="D1909" t="str">
        <f>_xlfn.CONCAT("Taux de chargement moyen des véhicules pour l'accès direct au(x) projet(s)"," (",'Remplissage - Sit. Init.'!$C$253,")")</f>
        <v>Taux de chargement moyen des véhicules pour l'accès direct au(x) projet(s) (Catégorie 24)</v>
      </c>
      <c r="F1909" t="str">
        <f t="shared" ref="F1909" si="1839">_xlfn.CONCAT("ProjImmoAccDirTC",RIGHT(LEFT(D1909,LEN(D1909)-1),2))</f>
        <v>ProjImmoAccDirTC24</v>
      </c>
      <c r="G1909" t="s">
        <v>17</v>
      </c>
      <c r="H190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09" s="3"/>
      <c r="K1909" t="s">
        <v>70</v>
      </c>
      <c r="L1909" s="7">
        <v>0.33</v>
      </c>
      <c r="N1909" t="s">
        <v>303</v>
      </c>
    </row>
    <row r="1910" spans="1:14" outlineLevel="1" x14ac:dyDescent="0.25">
      <c r="A1910" t="s">
        <v>300</v>
      </c>
      <c r="C1910" t="s">
        <v>341</v>
      </c>
      <c r="D1910" t="str">
        <f>_xlfn.CONCAT("Distance parcourue associée"," (",'Remplissage - Sit. Init.'!$C$253,")")</f>
        <v>Distance parcourue associée (Catégorie 24)</v>
      </c>
      <c r="F1910" t="str">
        <f t="shared" ref="F1910" si="1840">_xlfn.CONCAT("ProjImmoAccDirDist",RIGHT(LEFT(D1910,LEN(D1910)-1),2))</f>
        <v>ProjImmoAccDirDist24</v>
      </c>
      <c r="G1910" t="s">
        <v>17</v>
      </c>
      <c r="H191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10" t="s">
        <v>88</v>
      </c>
      <c r="L1910">
        <v>30</v>
      </c>
      <c r="N1910" t="s">
        <v>303</v>
      </c>
    </row>
    <row r="1911" spans="1:14" outlineLevel="1" x14ac:dyDescent="0.25">
      <c r="A1911" t="s">
        <v>300</v>
      </c>
      <c r="C1911" t="s">
        <v>341</v>
      </c>
      <c r="D1911" t="str">
        <f>_xlfn.CONCAT("Nombre de trajets associés"," (",'Remplissage - Sit. Init.'!$C$253,")")</f>
        <v>Nombre de trajets associés (Catégorie 24)</v>
      </c>
      <c r="F1911" t="str">
        <f t="shared" ref="F1911" si="1841">_xlfn.CONCAT("ProjImmoAccDirNbTraj",RIGHT(LEFT(D1911,LEN(D1911)-1),2))</f>
        <v>ProjImmoAccDirNbTraj24</v>
      </c>
      <c r="G1911" t="s">
        <v>17</v>
      </c>
      <c r="H191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11" t="s">
        <v>145</v>
      </c>
      <c r="L1911">
        <v>15</v>
      </c>
      <c r="N1911" t="s">
        <v>303</v>
      </c>
    </row>
    <row r="1912" spans="1:14" outlineLevel="1" x14ac:dyDescent="0.25">
      <c r="A1912" t="s">
        <v>300</v>
      </c>
      <c r="C1912" t="s">
        <v>341</v>
      </c>
      <c r="D1912" t="str">
        <f>_xlfn.CONCAT("Taux de chargement moyen des véhicules pour l'accès direct au(x) projet(s)"," (",'Remplissage - Sit. Init.'!$C$263,")")</f>
        <v>Taux de chargement moyen des véhicules pour l'accès direct au(x) projet(s) (Catégorie 25)</v>
      </c>
      <c r="F1912" t="str">
        <f t="shared" ref="F1912" si="1842">_xlfn.CONCAT("ProjImmoAccDirTC",RIGHT(LEFT(D1912,LEN(D1912)-1),2))</f>
        <v>ProjImmoAccDirTC25</v>
      </c>
      <c r="G1912" t="s">
        <v>17</v>
      </c>
      <c r="H191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12" s="3"/>
      <c r="K1912" t="s">
        <v>70</v>
      </c>
      <c r="L1912" s="7">
        <v>0.33</v>
      </c>
      <c r="N1912" t="s">
        <v>303</v>
      </c>
    </row>
    <row r="1913" spans="1:14" outlineLevel="1" x14ac:dyDescent="0.25">
      <c r="A1913" t="s">
        <v>300</v>
      </c>
      <c r="C1913" t="s">
        <v>341</v>
      </c>
      <c r="D1913" t="str">
        <f>_xlfn.CONCAT("Distance parcourue associée"," (",'Remplissage - Sit. Init.'!$C$263,")")</f>
        <v>Distance parcourue associée (Catégorie 25)</v>
      </c>
      <c r="F1913" t="str">
        <f t="shared" ref="F1913" si="1843">_xlfn.CONCAT("ProjImmoAccDirDist",RIGHT(LEFT(D1913,LEN(D1913)-1),2))</f>
        <v>ProjImmoAccDirDist25</v>
      </c>
      <c r="G1913" t="s">
        <v>17</v>
      </c>
      <c r="H191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13" t="s">
        <v>88</v>
      </c>
      <c r="L1913">
        <v>30</v>
      </c>
      <c r="N1913" t="s">
        <v>303</v>
      </c>
    </row>
    <row r="1914" spans="1:14" outlineLevel="1" x14ac:dyDescent="0.25">
      <c r="A1914" t="s">
        <v>300</v>
      </c>
      <c r="C1914" t="s">
        <v>341</v>
      </c>
      <c r="D1914" t="str">
        <f>_xlfn.CONCAT("Nombre de trajets associés"," (",'Remplissage - Sit. Init.'!$C$263,")")</f>
        <v>Nombre de trajets associés (Catégorie 25)</v>
      </c>
      <c r="F1914" t="str">
        <f t="shared" ref="F1914" si="1844">_xlfn.CONCAT("ProjImmoAccDirNbTraj",RIGHT(LEFT(D1914,LEN(D1914)-1),2))</f>
        <v>ProjImmoAccDirNbTraj25</v>
      </c>
      <c r="G1914" t="s">
        <v>17</v>
      </c>
      <c r="H191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14" t="s">
        <v>145</v>
      </c>
      <c r="L1914">
        <v>15</v>
      </c>
      <c r="N1914" t="s">
        <v>303</v>
      </c>
    </row>
    <row r="1915" spans="1:14" outlineLevel="1" x14ac:dyDescent="0.25">
      <c r="A1915" t="s">
        <v>300</v>
      </c>
      <c r="C1915" t="s">
        <v>341</v>
      </c>
      <c r="D1915" t="str">
        <f>_xlfn.CONCAT("Taux de chargement moyen des véhicules pour l'accès direct au(x) projet(s)"," (",'Remplissage - Sit. Init.'!$C$273,")")</f>
        <v>Taux de chargement moyen des véhicules pour l'accès direct au(x) projet(s) (Catégorie 26)</v>
      </c>
      <c r="F1915" t="str">
        <f t="shared" ref="F1915" si="1845">_xlfn.CONCAT("ProjImmoAccDirTC",RIGHT(LEFT(D1915,LEN(D1915)-1),2))</f>
        <v>ProjImmoAccDirTC26</v>
      </c>
      <c r="G1915" t="s">
        <v>17</v>
      </c>
      <c r="H1915">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15" s="3"/>
      <c r="K1915" t="s">
        <v>70</v>
      </c>
      <c r="L1915" s="7">
        <v>0.33</v>
      </c>
      <c r="N1915" t="s">
        <v>303</v>
      </c>
    </row>
    <row r="1916" spans="1:14" outlineLevel="1" x14ac:dyDescent="0.25">
      <c r="A1916" t="s">
        <v>300</v>
      </c>
      <c r="C1916" t="s">
        <v>341</v>
      </c>
      <c r="D1916" t="str">
        <f>_xlfn.CONCAT("Distance parcourue associée"," (",'Remplissage - Sit. Init.'!$C$273,")")</f>
        <v>Distance parcourue associée (Catégorie 26)</v>
      </c>
      <c r="F1916" t="str">
        <f t="shared" ref="F1916" si="1846">_xlfn.CONCAT("ProjImmoAccDirDist",RIGHT(LEFT(D1916,LEN(D1916)-1),2))</f>
        <v>ProjImmoAccDirDist26</v>
      </c>
      <c r="G1916" t="s">
        <v>17</v>
      </c>
      <c r="H1916">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16" t="s">
        <v>88</v>
      </c>
      <c r="L1916">
        <v>30</v>
      </c>
      <c r="N1916" t="s">
        <v>303</v>
      </c>
    </row>
    <row r="1917" spans="1:14" outlineLevel="1" x14ac:dyDescent="0.25">
      <c r="A1917" t="s">
        <v>300</v>
      </c>
      <c r="C1917" t="s">
        <v>341</v>
      </c>
      <c r="D1917" t="str">
        <f>_xlfn.CONCAT("Nombre de trajets associés"," (",'Remplissage - Sit. Init.'!$C$273,")")</f>
        <v>Nombre de trajets associés (Catégorie 26)</v>
      </c>
      <c r="F1917" t="str">
        <f t="shared" ref="F1917" si="1847">_xlfn.CONCAT("ProjImmoAccDirNbTraj",RIGHT(LEFT(D1917,LEN(D1917)-1),2))</f>
        <v>ProjImmoAccDirNbTraj26</v>
      </c>
      <c r="G1917" t="s">
        <v>17</v>
      </c>
      <c r="H1917">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17" t="s">
        <v>145</v>
      </c>
      <c r="L1917">
        <v>15</v>
      </c>
      <c r="N1917" t="s">
        <v>303</v>
      </c>
    </row>
    <row r="1918" spans="1:14" outlineLevel="1" x14ac:dyDescent="0.25">
      <c r="A1918" t="s">
        <v>300</v>
      </c>
      <c r="C1918" t="s">
        <v>341</v>
      </c>
      <c r="D1918" t="str">
        <f>_xlfn.CONCAT("Taux de chargement moyen des véhicules pour l'accès direct au(x) projet(s)"," (",'Remplissage - Sit. Init.'!$C$283,")")</f>
        <v>Taux de chargement moyen des véhicules pour l'accès direct au(x) projet(s) (Catégorie 27)</v>
      </c>
      <c r="F1918" t="str">
        <f t="shared" ref="F1918" si="1848">_xlfn.CONCAT("ProjImmoAccDirTC",RIGHT(LEFT(D1918,LEN(D1918)-1),2))</f>
        <v>ProjImmoAccDirTC27</v>
      </c>
      <c r="G1918" t="s">
        <v>17</v>
      </c>
      <c r="H1918">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18" s="3"/>
      <c r="K1918" t="s">
        <v>70</v>
      </c>
      <c r="L1918" s="7">
        <v>0.33</v>
      </c>
      <c r="N1918" t="s">
        <v>303</v>
      </c>
    </row>
    <row r="1919" spans="1:14" outlineLevel="1" x14ac:dyDescent="0.25">
      <c r="A1919" t="s">
        <v>300</v>
      </c>
      <c r="C1919" t="s">
        <v>341</v>
      </c>
      <c r="D1919" t="str">
        <f>_xlfn.CONCAT("Distance parcourue associée"," (",'Remplissage - Sit. Init.'!$C$283,")")</f>
        <v>Distance parcourue associée (Catégorie 27)</v>
      </c>
      <c r="F1919" t="str">
        <f t="shared" ref="F1919" si="1849">_xlfn.CONCAT("ProjImmoAccDirDist",RIGHT(LEFT(D1919,LEN(D1919)-1),2))</f>
        <v>ProjImmoAccDirDist27</v>
      </c>
      <c r="G1919" t="s">
        <v>17</v>
      </c>
      <c r="H1919">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19" t="s">
        <v>88</v>
      </c>
      <c r="L1919">
        <v>30</v>
      </c>
      <c r="N1919" t="s">
        <v>303</v>
      </c>
    </row>
    <row r="1920" spans="1:14" outlineLevel="1" x14ac:dyDescent="0.25">
      <c r="A1920" t="s">
        <v>300</v>
      </c>
      <c r="C1920" t="s">
        <v>341</v>
      </c>
      <c r="D1920" t="str">
        <f>_xlfn.CONCAT("Nombre de trajets associés"," (",'Remplissage - Sit. Init.'!$C$283,")")</f>
        <v>Nombre de trajets associés (Catégorie 27)</v>
      </c>
      <c r="F1920" t="str">
        <f t="shared" ref="F1920" si="1850">_xlfn.CONCAT("ProjImmoAccDirNbTraj",RIGHT(LEFT(D1920,LEN(D1920)-1),2))</f>
        <v>ProjImmoAccDirNbTraj27</v>
      </c>
      <c r="G1920" t="s">
        <v>17</v>
      </c>
      <c r="H1920">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20" t="s">
        <v>145</v>
      </c>
      <c r="L1920">
        <v>15</v>
      </c>
      <c r="N1920" t="s">
        <v>303</v>
      </c>
    </row>
    <row r="1921" spans="1:14" outlineLevel="1" x14ac:dyDescent="0.25">
      <c r="A1921" t="s">
        <v>300</v>
      </c>
      <c r="C1921" t="s">
        <v>341</v>
      </c>
      <c r="D1921" t="str">
        <f>_xlfn.CONCAT("Taux de chargement moyen des véhicules pour l'accès direct au(x) projet(s)"," (",'Remplissage - Sit. Init.'!$C$293,")")</f>
        <v>Taux de chargement moyen des véhicules pour l'accès direct au(x) projet(s) (Catégorie 28)</v>
      </c>
      <c r="F1921" t="str">
        <f t="shared" ref="F1921" si="1851">_xlfn.CONCAT("ProjImmoAccDirTC",RIGHT(LEFT(D1921,LEN(D1921)-1),2))</f>
        <v>ProjImmoAccDirTC28</v>
      </c>
      <c r="G1921" t="s">
        <v>17</v>
      </c>
      <c r="H1921">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21" s="3"/>
      <c r="K1921" t="s">
        <v>70</v>
      </c>
      <c r="L1921" s="7">
        <v>0.33</v>
      </c>
      <c r="N1921" t="s">
        <v>303</v>
      </c>
    </row>
    <row r="1922" spans="1:14" outlineLevel="1" x14ac:dyDescent="0.25">
      <c r="A1922" t="s">
        <v>300</v>
      </c>
      <c r="C1922" t="s">
        <v>341</v>
      </c>
      <c r="D1922" t="str">
        <f>_xlfn.CONCAT("Distance parcourue associée"," (",'Remplissage - Sit. Init.'!$C$293,")")</f>
        <v>Distance parcourue associée (Catégorie 28)</v>
      </c>
      <c r="F1922" t="str">
        <f t="shared" ref="F1922" si="1852">_xlfn.CONCAT("ProjImmoAccDirDist",RIGHT(LEFT(D1922,LEN(D1922)-1),2))</f>
        <v>ProjImmoAccDirDist28</v>
      </c>
      <c r="G1922" t="s">
        <v>17</v>
      </c>
      <c r="H1922">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22" t="s">
        <v>88</v>
      </c>
      <c r="L1922">
        <v>30</v>
      </c>
      <c r="N1922" t="s">
        <v>303</v>
      </c>
    </row>
    <row r="1923" spans="1:14" outlineLevel="1" x14ac:dyDescent="0.25">
      <c r="A1923" t="s">
        <v>300</v>
      </c>
      <c r="C1923" t="s">
        <v>341</v>
      </c>
      <c r="D1923" t="str">
        <f>_xlfn.CONCAT("Nombre de trajets associés"," (",'Remplissage - Sit. Init.'!$C$293,")")</f>
        <v>Nombre de trajets associés (Catégorie 28)</v>
      </c>
      <c r="F1923" t="str">
        <f t="shared" ref="F1923" si="1853">_xlfn.CONCAT("ProjImmoAccDirNbTraj",RIGHT(LEFT(D1923,LEN(D1923)-1),2))</f>
        <v>ProjImmoAccDirNbTraj28</v>
      </c>
      <c r="G1923" t="s">
        <v>17</v>
      </c>
      <c r="H1923">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23" t="s">
        <v>145</v>
      </c>
      <c r="L1923">
        <v>15</v>
      </c>
      <c r="N1923" t="s">
        <v>303</v>
      </c>
    </row>
    <row r="1924" spans="1:14" outlineLevel="1" x14ac:dyDescent="0.25">
      <c r="A1924" t="s">
        <v>300</v>
      </c>
      <c r="C1924" t="s">
        <v>341</v>
      </c>
      <c r="D1924" t="str">
        <f>_xlfn.CONCAT("Taux de chargement moyen des véhicules pour l'accès direct au(x) projet(s)"," (",'Remplissage - Sit. Init.'!$C$303,")")</f>
        <v>Taux de chargement moyen des véhicules pour l'accès direct au(x) projet(s) (Catégorie 29)</v>
      </c>
      <c r="F1924" t="str">
        <f t="shared" ref="F1924" si="1854">_xlfn.CONCAT("ProjImmoAccDirTC",RIGHT(LEFT(D1924,LEN(D1924)-1),2))</f>
        <v>ProjImmoAccDirTC29</v>
      </c>
      <c r="G1924" t="s">
        <v>17</v>
      </c>
      <c r="H1924">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24" s="3"/>
      <c r="K1924" t="s">
        <v>70</v>
      </c>
      <c r="L1924" s="7">
        <v>0.33</v>
      </c>
      <c r="N1924" t="s">
        <v>303</v>
      </c>
    </row>
    <row r="1925" spans="1:14" outlineLevel="1" x14ac:dyDescent="0.25">
      <c r="A1925" t="s">
        <v>300</v>
      </c>
      <c r="C1925" t="s">
        <v>341</v>
      </c>
      <c r="D1925" t="str">
        <f>_xlfn.CONCAT("Distance parcourue associée"," (",'Remplissage - Sit. Init.'!$C$303,")")</f>
        <v>Distance parcourue associée (Catégorie 29)</v>
      </c>
      <c r="F1925" t="str">
        <f t="shared" ref="F1925" si="1855">_xlfn.CONCAT("ProjImmoAccDirDist",RIGHT(LEFT(D1925,LEN(D1925)-1),2))</f>
        <v>ProjImmoAccDirDist29</v>
      </c>
      <c r="G1925" t="s">
        <v>17</v>
      </c>
      <c r="H1925">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25" t="s">
        <v>88</v>
      </c>
      <c r="L1925">
        <v>30</v>
      </c>
      <c r="N1925" t="s">
        <v>303</v>
      </c>
    </row>
    <row r="1926" spans="1:14" outlineLevel="1" x14ac:dyDescent="0.25">
      <c r="A1926" t="s">
        <v>300</v>
      </c>
      <c r="C1926" t="s">
        <v>341</v>
      </c>
      <c r="D1926" t="str">
        <f>_xlfn.CONCAT("Nombre de trajets associés"," (",'Remplissage - Sit. Init.'!$C$303,")")</f>
        <v>Nombre de trajets associés (Catégorie 29)</v>
      </c>
      <c r="F1926" t="str">
        <f t="shared" ref="F1926" si="1856">_xlfn.CONCAT("ProjImmoAccDirNbTraj",RIGHT(LEFT(D1926,LEN(D1926)-1),2))</f>
        <v>ProjImmoAccDirNbTraj29</v>
      </c>
      <c r="G1926" t="s">
        <v>17</v>
      </c>
      <c r="H1926">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26" t="s">
        <v>145</v>
      </c>
      <c r="L1926">
        <v>15</v>
      </c>
      <c r="N1926" t="s">
        <v>303</v>
      </c>
    </row>
    <row r="1927" spans="1:14" outlineLevel="1" x14ac:dyDescent="0.25">
      <c r="A1927" t="s">
        <v>300</v>
      </c>
      <c r="C1927" t="s">
        <v>341</v>
      </c>
      <c r="D1927" t="str">
        <f>_xlfn.CONCAT("Taux de chargement moyen des véhicules pour l'accès direct au(x) projet(s)"," (",'Remplissage - Sit. Init.'!$C$313,")")</f>
        <v>Taux de chargement moyen des véhicules pour l'accès direct au(x) projet(s) (Catégorie 30)</v>
      </c>
      <c r="F1927" t="str">
        <f t="shared" ref="F1927" si="1857">_xlfn.CONCAT("ProjImmoAccDirTC",RIGHT(LEFT(D1927,LEN(D1927)-1),2))</f>
        <v>ProjImmoAccDirTC30</v>
      </c>
      <c r="G1927" t="s">
        <v>17</v>
      </c>
      <c r="H1927">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27" s="3"/>
      <c r="K1927" t="s">
        <v>70</v>
      </c>
      <c r="L1927" s="7">
        <v>0.33</v>
      </c>
      <c r="N1927" t="s">
        <v>303</v>
      </c>
    </row>
    <row r="1928" spans="1:14" outlineLevel="1" x14ac:dyDescent="0.25">
      <c r="A1928" t="s">
        <v>300</v>
      </c>
      <c r="C1928" t="s">
        <v>341</v>
      </c>
      <c r="D1928" t="str">
        <f>_xlfn.CONCAT("Distance parcourue associée"," (",'Remplissage - Sit. Init.'!$C$313,")")</f>
        <v>Distance parcourue associée (Catégorie 30)</v>
      </c>
      <c r="F1928" t="str">
        <f t="shared" ref="F1928" si="1858">_xlfn.CONCAT("ProjImmoAccDirDist",RIGHT(LEFT(D1928,LEN(D1928)-1),2))</f>
        <v>ProjImmoAccDirDist30</v>
      </c>
      <c r="G1928" t="s">
        <v>17</v>
      </c>
      <c r="H1928">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28" t="s">
        <v>88</v>
      </c>
      <c r="L1928">
        <v>30</v>
      </c>
      <c r="N1928" t="s">
        <v>303</v>
      </c>
    </row>
    <row r="1929" spans="1:14" outlineLevel="1" x14ac:dyDescent="0.25">
      <c r="A1929" t="s">
        <v>300</v>
      </c>
      <c r="C1929" t="s">
        <v>341</v>
      </c>
      <c r="D1929" t="str">
        <f>_xlfn.CONCAT("Nombre de trajets associés"," (",'Remplissage - Sit. Init.'!$C$313,")")</f>
        <v>Nombre de trajets associés (Catégorie 30)</v>
      </c>
      <c r="F1929" t="str">
        <f t="shared" ref="F1929" si="1859">_xlfn.CONCAT("ProjImmoAccDirNbTraj",RIGHT(LEFT(D1929,LEN(D1929)-1),2))</f>
        <v>ProjImmoAccDirNbTraj30</v>
      </c>
      <c r="G1929" t="s">
        <v>17</v>
      </c>
      <c r="H1929">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29" t="s">
        <v>145</v>
      </c>
      <c r="L1929">
        <v>15</v>
      </c>
      <c r="N1929" t="s">
        <v>303</v>
      </c>
    </row>
    <row r="1930" spans="1:14" outlineLevel="1" x14ac:dyDescent="0.25">
      <c r="A1930" t="s">
        <v>300</v>
      </c>
      <c r="C1930" t="s">
        <v>341</v>
      </c>
      <c r="D1930" t="str">
        <f>_xlfn.CONCAT("Taux de chargement moyen des véhicules pour l'accès direct au(x) projet(s)"," (",'Remplissage - Sit. Init.'!$C$323,")")</f>
        <v>Taux de chargement moyen des véhicules pour l'accès direct au(x) projet(s) (Catégorie 31)</v>
      </c>
      <c r="F1930" t="str">
        <f t="shared" ref="F1930" si="1860">_xlfn.CONCAT("ProjImmoAccDirTC",RIGHT(LEFT(D1930,LEN(D1930)-1),2))</f>
        <v>ProjImmoAccDirTC31</v>
      </c>
      <c r="G1930" t="s">
        <v>17</v>
      </c>
      <c r="H193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30" s="3"/>
      <c r="K1930" t="s">
        <v>70</v>
      </c>
      <c r="L1930" s="7">
        <v>0.33</v>
      </c>
      <c r="N1930" t="s">
        <v>303</v>
      </c>
    </row>
    <row r="1931" spans="1:14" outlineLevel="1" x14ac:dyDescent="0.25">
      <c r="A1931" t="s">
        <v>300</v>
      </c>
      <c r="C1931" t="s">
        <v>341</v>
      </c>
      <c r="D1931" t="str">
        <f>_xlfn.CONCAT("Distance parcourue associée"," (",'Remplissage - Sit. Init.'!$C$323,")")</f>
        <v>Distance parcourue associée (Catégorie 31)</v>
      </c>
      <c r="F1931" t="str">
        <f t="shared" ref="F1931" si="1861">_xlfn.CONCAT("ProjImmoAccDirDist",RIGHT(LEFT(D1931,LEN(D1931)-1),2))</f>
        <v>ProjImmoAccDirDist31</v>
      </c>
      <c r="G1931" t="s">
        <v>17</v>
      </c>
      <c r="H193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31" t="s">
        <v>88</v>
      </c>
      <c r="L1931">
        <v>30</v>
      </c>
      <c r="N1931" t="s">
        <v>303</v>
      </c>
    </row>
    <row r="1932" spans="1:14" outlineLevel="1" x14ac:dyDescent="0.25">
      <c r="A1932" t="s">
        <v>300</v>
      </c>
      <c r="C1932" t="s">
        <v>341</v>
      </c>
      <c r="D1932" t="str">
        <f>_xlfn.CONCAT("Nombre de trajets associés"," (",'Remplissage - Sit. Init.'!$C$323,")")</f>
        <v>Nombre de trajets associés (Catégorie 31)</v>
      </c>
      <c r="F1932" t="str">
        <f t="shared" ref="F1932" si="1862">_xlfn.CONCAT("ProjImmoAccDirNbTraj",RIGHT(LEFT(D1932,LEN(D1932)-1),2))</f>
        <v>ProjImmoAccDirNbTraj31</v>
      </c>
      <c r="G1932" t="s">
        <v>17</v>
      </c>
      <c r="H193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32" t="s">
        <v>145</v>
      </c>
      <c r="L1932">
        <v>15</v>
      </c>
      <c r="N1932" t="s">
        <v>303</v>
      </c>
    </row>
    <row r="1933" spans="1:14" outlineLevel="1" x14ac:dyDescent="0.25">
      <c r="A1933" t="s">
        <v>300</v>
      </c>
      <c r="C1933" t="s">
        <v>341</v>
      </c>
      <c r="D1933" t="str">
        <f>_xlfn.CONCAT("Taux de chargement moyen des véhicules pour l'accès direct au(x) projet(s)"," (",'Remplissage - Sit. Init.'!$C$333,")")</f>
        <v>Taux de chargement moyen des véhicules pour l'accès direct au(x) projet(s) (Catégorie 32)</v>
      </c>
      <c r="F1933" t="str">
        <f t="shared" ref="F1933" si="1863">_xlfn.CONCAT("ProjImmoAccDirTC",RIGHT(LEFT(D1933,LEN(D1933)-1),2))</f>
        <v>ProjImmoAccDirTC32</v>
      </c>
      <c r="G1933" t="s">
        <v>17</v>
      </c>
      <c r="H193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33" s="3"/>
      <c r="K1933" t="s">
        <v>70</v>
      </c>
      <c r="L1933" s="7">
        <v>0.33</v>
      </c>
      <c r="N1933" t="s">
        <v>303</v>
      </c>
    </row>
    <row r="1934" spans="1:14" outlineLevel="1" x14ac:dyDescent="0.25">
      <c r="A1934" t="s">
        <v>300</v>
      </c>
      <c r="C1934" t="s">
        <v>341</v>
      </c>
      <c r="D1934" t="str">
        <f>_xlfn.CONCAT("Distance parcourue associée"," (",'Remplissage - Sit. Init.'!$C$333,")")</f>
        <v>Distance parcourue associée (Catégorie 32)</v>
      </c>
      <c r="F1934" t="str">
        <f t="shared" ref="F1934" si="1864">_xlfn.CONCAT("ProjImmoAccDirDist",RIGHT(LEFT(D1934,LEN(D1934)-1),2))</f>
        <v>ProjImmoAccDirDist32</v>
      </c>
      <c r="G1934" t="s">
        <v>17</v>
      </c>
      <c r="H193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34" t="s">
        <v>88</v>
      </c>
      <c r="L1934">
        <v>30</v>
      </c>
      <c r="N1934" t="s">
        <v>303</v>
      </c>
    </row>
    <row r="1935" spans="1:14" outlineLevel="1" x14ac:dyDescent="0.25">
      <c r="A1935" t="s">
        <v>300</v>
      </c>
      <c r="C1935" t="s">
        <v>341</v>
      </c>
      <c r="D1935" t="str">
        <f>_xlfn.CONCAT("Nombre de trajets associés"," (",'Remplissage - Sit. Init.'!$C$333,")")</f>
        <v>Nombre de trajets associés (Catégorie 32)</v>
      </c>
      <c r="F1935" t="str">
        <f t="shared" ref="F1935" si="1865">_xlfn.CONCAT("ProjImmoAccDirNbTraj",RIGHT(LEFT(D1935,LEN(D1935)-1),2))</f>
        <v>ProjImmoAccDirNbTraj32</v>
      </c>
      <c r="G1935" t="s">
        <v>17</v>
      </c>
      <c r="H193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35" t="s">
        <v>145</v>
      </c>
      <c r="L1935">
        <v>15</v>
      </c>
      <c r="N1935" t="s">
        <v>303</v>
      </c>
    </row>
    <row r="1936" spans="1:14" outlineLevel="1" x14ac:dyDescent="0.25">
      <c r="A1936" t="s">
        <v>300</v>
      </c>
      <c r="C1936" t="s">
        <v>341</v>
      </c>
      <c r="D1936" t="str">
        <f>_xlfn.CONCAT("Taux de chargement moyen des véhicules pour l'accès direct au(x) projet(s)"," (",'Remplissage - Sit. Init.'!$C$343,")")</f>
        <v>Taux de chargement moyen des véhicules pour l'accès direct au(x) projet(s) (Catégorie 33)</v>
      </c>
      <c r="F1936" t="str">
        <f t="shared" ref="F1936" si="1866">_xlfn.CONCAT("ProjImmoAccDirTC",RIGHT(LEFT(D1936,LEN(D1936)-1),2))</f>
        <v>ProjImmoAccDirTC33</v>
      </c>
      <c r="G1936" t="s">
        <v>17</v>
      </c>
      <c r="H193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36" s="3"/>
      <c r="K1936" t="s">
        <v>70</v>
      </c>
      <c r="L1936" s="7">
        <v>0.33</v>
      </c>
      <c r="N1936" t="s">
        <v>303</v>
      </c>
    </row>
    <row r="1937" spans="1:14" outlineLevel="1" x14ac:dyDescent="0.25">
      <c r="A1937" t="s">
        <v>300</v>
      </c>
      <c r="C1937" t="s">
        <v>341</v>
      </c>
      <c r="D1937" t="str">
        <f>_xlfn.CONCAT("Distance parcourue associée"," (",'Remplissage - Sit. Init.'!$C$343,")")</f>
        <v>Distance parcourue associée (Catégorie 33)</v>
      </c>
      <c r="F1937" t="str">
        <f t="shared" ref="F1937" si="1867">_xlfn.CONCAT("ProjImmoAccDirDist",RIGHT(LEFT(D1937,LEN(D1937)-1),2))</f>
        <v>ProjImmoAccDirDist33</v>
      </c>
      <c r="G1937" t="s">
        <v>17</v>
      </c>
      <c r="H193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37" t="s">
        <v>88</v>
      </c>
      <c r="L1937">
        <v>30</v>
      </c>
      <c r="N1937" t="s">
        <v>303</v>
      </c>
    </row>
    <row r="1938" spans="1:14" outlineLevel="1" x14ac:dyDescent="0.25">
      <c r="A1938" t="s">
        <v>300</v>
      </c>
      <c r="C1938" t="s">
        <v>341</v>
      </c>
      <c r="D1938" t="str">
        <f>_xlfn.CONCAT("Nombre de trajets associés"," (",'Remplissage - Sit. Init.'!$C$343,")")</f>
        <v>Nombre de trajets associés (Catégorie 33)</v>
      </c>
      <c r="F1938" t="str">
        <f t="shared" ref="F1938" si="1868">_xlfn.CONCAT("ProjImmoAccDirNbTraj",RIGHT(LEFT(D1938,LEN(D1938)-1),2))</f>
        <v>ProjImmoAccDirNbTraj33</v>
      </c>
      <c r="G1938" t="s">
        <v>17</v>
      </c>
      <c r="H193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38" t="s">
        <v>145</v>
      </c>
      <c r="L1938">
        <v>15</v>
      </c>
      <c r="N1938" t="s">
        <v>303</v>
      </c>
    </row>
    <row r="1939" spans="1:14" outlineLevel="1" x14ac:dyDescent="0.25">
      <c r="A1939" t="s">
        <v>300</v>
      </c>
      <c r="C1939" t="s">
        <v>341</v>
      </c>
      <c r="D1939" t="str">
        <f>_xlfn.CONCAT("Taux de chargement moyen des véhicules pour l'accès direct au(x) projet(s)"," (",'Remplissage - Sit. Init.'!$C$353,")")</f>
        <v>Taux de chargement moyen des véhicules pour l'accès direct au(x) projet(s) (Catégorie 34)</v>
      </c>
      <c r="F1939" t="str">
        <f t="shared" ref="F1939" si="1869">_xlfn.CONCAT("ProjImmoAccDirTC",RIGHT(LEFT(D1939,LEN(D1939)-1),2))</f>
        <v>ProjImmoAccDirTC34</v>
      </c>
      <c r="G1939" t="s">
        <v>17</v>
      </c>
      <c r="H193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39" s="3"/>
      <c r="K1939" t="s">
        <v>70</v>
      </c>
      <c r="L1939" s="7">
        <v>0.33</v>
      </c>
      <c r="N1939" t="s">
        <v>303</v>
      </c>
    </row>
    <row r="1940" spans="1:14" outlineLevel="1" x14ac:dyDescent="0.25">
      <c r="A1940" t="s">
        <v>300</v>
      </c>
      <c r="C1940" t="s">
        <v>341</v>
      </c>
      <c r="D1940" t="str">
        <f>_xlfn.CONCAT("Distance parcourue associée"," (",'Remplissage - Sit. Init.'!$C$353,")")</f>
        <v>Distance parcourue associée (Catégorie 34)</v>
      </c>
      <c r="F1940" t="str">
        <f t="shared" ref="F1940" si="1870">_xlfn.CONCAT("ProjImmoAccDirDist",RIGHT(LEFT(D1940,LEN(D1940)-1),2))</f>
        <v>ProjImmoAccDirDist34</v>
      </c>
      <c r="G1940" t="s">
        <v>17</v>
      </c>
      <c r="H194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40" t="s">
        <v>88</v>
      </c>
      <c r="L1940">
        <v>30</v>
      </c>
      <c r="N1940" t="s">
        <v>303</v>
      </c>
    </row>
    <row r="1941" spans="1:14" outlineLevel="1" x14ac:dyDescent="0.25">
      <c r="A1941" t="s">
        <v>300</v>
      </c>
      <c r="C1941" t="s">
        <v>341</v>
      </c>
      <c r="D1941" t="str">
        <f>_xlfn.CONCAT("Nombre de trajets associés"," (",'Remplissage - Sit. Init.'!$C$353,")")</f>
        <v>Nombre de trajets associés (Catégorie 34)</v>
      </c>
      <c r="F1941" t="str">
        <f t="shared" ref="F1941" si="1871">_xlfn.CONCAT("ProjImmoAccDirNbTraj",RIGHT(LEFT(D1941,LEN(D1941)-1),2))</f>
        <v>ProjImmoAccDirNbTraj34</v>
      </c>
      <c r="G1941" t="s">
        <v>17</v>
      </c>
      <c r="H194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41" t="s">
        <v>145</v>
      </c>
      <c r="L1941">
        <v>15</v>
      </c>
      <c r="N1941" t="s">
        <v>303</v>
      </c>
    </row>
    <row r="1942" spans="1:14" outlineLevel="1" x14ac:dyDescent="0.25">
      <c r="A1942" t="s">
        <v>300</v>
      </c>
      <c r="C1942" t="s">
        <v>341</v>
      </c>
      <c r="D1942" t="str">
        <f>_xlfn.CONCAT("Taux de chargement moyen des véhicules pour l'accès direct au(x) projet(s)"," (",'Remplissage - Sit. Init.'!$C$363,")")</f>
        <v>Taux de chargement moyen des véhicules pour l'accès direct au(x) projet(s) (Catégorie 35)</v>
      </c>
      <c r="F1942" t="str">
        <f t="shared" ref="F1942" si="1872">_xlfn.CONCAT("ProjImmoAccDirTC",RIGHT(LEFT(D1942,LEN(D1942)-1),2))</f>
        <v>ProjImmoAccDirTC35</v>
      </c>
      <c r="G1942" t="s">
        <v>17</v>
      </c>
      <c r="H194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42" s="3"/>
      <c r="K1942" t="s">
        <v>70</v>
      </c>
      <c r="L1942" s="7">
        <v>0.33</v>
      </c>
      <c r="N1942" t="s">
        <v>303</v>
      </c>
    </row>
    <row r="1943" spans="1:14" outlineLevel="1" x14ac:dyDescent="0.25">
      <c r="A1943" t="s">
        <v>300</v>
      </c>
      <c r="C1943" t="s">
        <v>341</v>
      </c>
      <c r="D1943" t="str">
        <f>_xlfn.CONCAT("Distance parcourue associée"," (",'Remplissage - Sit. Init.'!$C$363,")")</f>
        <v>Distance parcourue associée (Catégorie 35)</v>
      </c>
      <c r="F1943" t="str">
        <f t="shared" ref="F1943" si="1873">_xlfn.CONCAT("ProjImmoAccDirDist",RIGHT(LEFT(D1943,LEN(D1943)-1),2))</f>
        <v>ProjImmoAccDirDist35</v>
      </c>
      <c r="G1943" t="s">
        <v>17</v>
      </c>
      <c r="H194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43" t="s">
        <v>88</v>
      </c>
      <c r="L1943">
        <v>30</v>
      </c>
      <c r="N1943" t="s">
        <v>303</v>
      </c>
    </row>
    <row r="1944" spans="1:14" outlineLevel="1" x14ac:dyDescent="0.25">
      <c r="A1944" t="s">
        <v>300</v>
      </c>
      <c r="C1944" t="s">
        <v>341</v>
      </c>
      <c r="D1944" t="str">
        <f>_xlfn.CONCAT("Nombre de trajets associés"," (",'Remplissage - Sit. Init.'!$C$363,")")</f>
        <v>Nombre de trajets associés (Catégorie 35)</v>
      </c>
      <c r="F1944" t="str">
        <f t="shared" ref="F1944" si="1874">_xlfn.CONCAT("ProjImmoAccDirNbTraj",RIGHT(LEFT(D1944,LEN(D1944)-1),2))</f>
        <v>ProjImmoAccDirNbTraj35</v>
      </c>
      <c r="G1944" t="s">
        <v>17</v>
      </c>
      <c r="H194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44" t="s">
        <v>145</v>
      </c>
      <c r="L1944">
        <v>15</v>
      </c>
      <c r="N1944" t="s">
        <v>303</v>
      </c>
    </row>
    <row r="1945" spans="1:14" outlineLevel="1" x14ac:dyDescent="0.25">
      <c r="A1945" t="s">
        <v>300</v>
      </c>
      <c r="C1945" t="s">
        <v>341</v>
      </c>
      <c r="D1945" t="str">
        <f>_xlfn.CONCAT("Taux de chargement moyen des véhicules pour l'accès direct au(x) projet(s)"," (",'Remplissage - Sit. Init.'!$C$373,")")</f>
        <v>Taux de chargement moyen des véhicules pour l'accès direct au(x) projet(s) (Catégorie 36)</v>
      </c>
      <c r="F1945" t="str">
        <f t="shared" ref="F1945" si="1875">_xlfn.CONCAT("ProjImmoAccDirTC",RIGHT(LEFT(D1945,LEN(D1945)-1),2))</f>
        <v>ProjImmoAccDirTC36</v>
      </c>
      <c r="G1945" t="s">
        <v>17</v>
      </c>
      <c r="H1945">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45" s="3"/>
      <c r="K1945" t="s">
        <v>70</v>
      </c>
      <c r="L1945" s="7">
        <v>0.33</v>
      </c>
      <c r="N1945" t="s">
        <v>303</v>
      </c>
    </row>
    <row r="1946" spans="1:14" outlineLevel="1" x14ac:dyDescent="0.25">
      <c r="A1946" t="s">
        <v>300</v>
      </c>
      <c r="C1946" t="s">
        <v>341</v>
      </c>
      <c r="D1946" t="str">
        <f>_xlfn.CONCAT("Distance parcourue associée"," (",'Remplissage - Sit. Init.'!$C$373,")")</f>
        <v>Distance parcourue associée (Catégorie 36)</v>
      </c>
      <c r="F1946" t="str">
        <f t="shared" ref="F1946" si="1876">_xlfn.CONCAT("ProjImmoAccDirDist",RIGHT(LEFT(D1946,LEN(D1946)-1),2))</f>
        <v>ProjImmoAccDirDist36</v>
      </c>
      <c r="G1946" t="s">
        <v>17</v>
      </c>
      <c r="H1946">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46" t="s">
        <v>88</v>
      </c>
      <c r="L1946">
        <v>30</v>
      </c>
      <c r="N1946" t="s">
        <v>303</v>
      </c>
    </row>
    <row r="1947" spans="1:14" outlineLevel="1" x14ac:dyDescent="0.25">
      <c r="A1947" t="s">
        <v>300</v>
      </c>
      <c r="C1947" t="s">
        <v>341</v>
      </c>
      <c r="D1947" t="str">
        <f>_xlfn.CONCAT("Nombre de trajets associés"," (",'Remplissage - Sit. Init.'!$C$373,")")</f>
        <v>Nombre de trajets associés (Catégorie 36)</v>
      </c>
      <c r="F1947" t="str">
        <f t="shared" ref="F1947" si="1877">_xlfn.CONCAT("ProjImmoAccDirNbTraj",RIGHT(LEFT(D1947,LEN(D1947)-1),2))</f>
        <v>ProjImmoAccDirNbTraj36</v>
      </c>
      <c r="G1947" t="s">
        <v>17</v>
      </c>
      <c r="H1947">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47" t="s">
        <v>145</v>
      </c>
      <c r="L1947">
        <v>15</v>
      </c>
      <c r="N1947" t="s">
        <v>303</v>
      </c>
    </row>
    <row r="1948" spans="1:14" outlineLevel="1" x14ac:dyDescent="0.25">
      <c r="A1948" t="s">
        <v>300</v>
      </c>
      <c r="C1948" t="s">
        <v>341</v>
      </c>
      <c r="D1948" t="str">
        <f>_xlfn.CONCAT("Taux de chargement moyen des véhicules pour l'accès direct au(x) projet(s)"," (",'Remplissage - Sit. Init.'!$C$383,")")</f>
        <v>Taux de chargement moyen des véhicules pour l'accès direct au(x) projet(s) (Catégorie 37)</v>
      </c>
      <c r="F1948" t="str">
        <f t="shared" ref="F1948" si="1878">_xlfn.CONCAT("ProjImmoAccDirTC",RIGHT(LEFT(D1948,LEN(D1948)-1),2))</f>
        <v>ProjImmoAccDirTC37</v>
      </c>
      <c r="G1948" t="s">
        <v>17</v>
      </c>
      <c r="H1948">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48" s="3"/>
      <c r="K1948" t="s">
        <v>70</v>
      </c>
      <c r="L1948" s="7">
        <v>0.33</v>
      </c>
      <c r="N1948" t="s">
        <v>303</v>
      </c>
    </row>
    <row r="1949" spans="1:14" outlineLevel="1" x14ac:dyDescent="0.25">
      <c r="A1949" t="s">
        <v>300</v>
      </c>
      <c r="C1949" t="s">
        <v>341</v>
      </c>
      <c r="D1949" t="str">
        <f>_xlfn.CONCAT("Distance parcourue associée"," (",'Remplissage - Sit. Init.'!$C$383,")")</f>
        <v>Distance parcourue associée (Catégorie 37)</v>
      </c>
      <c r="F1949" t="str">
        <f t="shared" ref="F1949" si="1879">_xlfn.CONCAT("ProjImmoAccDirDist",RIGHT(LEFT(D1949,LEN(D1949)-1),2))</f>
        <v>ProjImmoAccDirDist37</v>
      </c>
      <c r="G1949" t="s">
        <v>17</v>
      </c>
      <c r="H1949">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49" t="s">
        <v>88</v>
      </c>
      <c r="L1949">
        <v>30</v>
      </c>
      <c r="N1949" t="s">
        <v>303</v>
      </c>
    </row>
    <row r="1950" spans="1:14" outlineLevel="1" x14ac:dyDescent="0.25">
      <c r="A1950" t="s">
        <v>300</v>
      </c>
      <c r="C1950" t="s">
        <v>341</v>
      </c>
      <c r="D1950" t="str">
        <f>_xlfn.CONCAT("Nombre de trajets associés"," (",'Remplissage - Sit. Init.'!$C$383,")")</f>
        <v>Nombre de trajets associés (Catégorie 37)</v>
      </c>
      <c r="F1950" t="str">
        <f t="shared" ref="F1950" si="1880">_xlfn.CONCAT("ProjImmoAccDirNbTraj",RIGHT(LEFT(D1950,LEN(D1950)-1),2))</f>
        <v>ProjImmoAccDirNbTraj37</v>
      </c>
      <c r="G1950" t="s">
        <v>17</v>
      </c>
      <c r="H1950">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50" t="s">
        <v>145</v>
      </c>
      <c r="L1950">
        <v>15</v>
      </c>
      <c r="N1950" t="s">
        <v>303</v>
      </c>
    </row>
    <row r="1951" spans="1:14" outlineLevel="1" x14ac:dyDescent="0.25">
      <c r="A1951" t="s">
        <v>300</v>
      </c>
      <c r="C1951" t="s">
        <v>341</v>
      </c>
      <c r="D1951" t="str">
        <f>_xlfn.CONCAT("Taux de chargement moyen des véhicules pour l'accès direct au(x) projet(s)"," (",'Remplissage - Sit. Init.'!$C$393,")")</f>
        <v>Taux de chargement moyen des véhicules pour l'accès direct au(x) projet(s) (Catégorie 38)</v>
      </c>
      <c r="F1951" t="str">
        <f t="shared" ref="F1951" si="1881">_xlfn.CONCAT("ProjImmoAccDirTC",RIGHT(LEFT(D1951,LEN(D1951)-1),2))</f>
        <v>ProjImmoAccDirTC38</v>
      </c>
      <c r="G1951" t="s">
        <v>17</v>
      </c>
      <c r="H1951">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51" s="3"/>
      <c r="K1951" t="s">
        <v>70</v>
      </c>
      <c r="L1951" s="7">
        <v>0.33</v>
      </c>
      <c r="N1951" t="s">
        <v>303</v>
      </c>
    </row>
    <row r="1952" spans="1:14" outlineLevel="1" x14ac:dyDescent="0.25">
      <c r="A1952" t="s">
        <v>300</v>
      </c>
      <c r="C1952" t="s">
        <v>341</v>
      </c>
      <c r="D1952" t="str">
        <f>_xlfn.CONCAT("Distance parcourue associée"," (",'Remplissage - Sit. Init.'!$C$393,")")</f>
        <v>Distance parcourue associée (Catégorie 38)</v>
      </c>
      <c r="F1952" t="str">
        <f t="shared" ref="F1952" si="1882">_xlfn.CONCAT("ProjImmoAccDirDist",RIGHT(LEFT(D1952,LEN(D1952)-1),2))</f>
        <v>ProjImmoAccDirDist38</v>
      </c>
      <c r="G1952" t="s">
        <v>17</v>
      </c>
      <c r="H1952">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52" t="s">
        <v>88</v>
      </c>
      <c r="L1952">
        <v>30</v>
      </c>
      <c r="N1952" t="s">
        <v>303</v>
      </c>
    </row>
    <row r="1953" spans="1:14" outlineLevel="1" x14ac:dyDescent="0.25">
      <c r="A1953" t="s">
        <v>300</v>
      </c>
      <c r="C1953" t="s">
        <v>341</v>
      </c>
      <c r="D1953" t="str">
        <f>_xlfn.CONCAT("Nombre de trajets associés"," (",'Remplissage - Sit. Init.'!$C$393,")")</f>
        <v>Nombre de trajets associés (Catégorie 38)</v>
      </c>
      <c r="F1953" t="str">
        <f t="shared" ref="F1953" si="1883">_xlfn.CONCAT("ProjImmoAccDirNbTraj",RIGHT(LEFT(D1953,LEN(D1953)-1),2))</f>
        <v>ProjImmoAccDirNbTraj38</v>
      </c>
      <c r="G1953" t="s">
        <v>17</v>
      </c>
      <c r="H1953">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53" t="s">
        <v>145</v>
      </c>
      <c r="L1953">
        <v>15</v>
      </c>
      <c r="N1953" t="s">
        <v>303</v>
      </c>
    </row>
    <row r="1954" spans="1:14" outlineLevel="1" x14ac:dyDescent="0.25">
      <c r="A1954" t="s">
        <v>300</v>
      </c>
      <c r="C1954" t="s">
        <v>341</v>
      </c>
      <c r="D1954" t="str">
        <f>_xlfn.CONCAT("Taux de chargement moyen des véhicules pour l'accès direct au(x) projet(s)"," (",'Remplissage - Sit. Init.'!$C$403,")")</f>
        <v>Taux de chargement moyen des véhicules pour l'accès direct au(x) projet(s) (Catégorie 39)</v>
      </c>
      <c r="F1954" t="str">
        <f t="shared" ref="F1954" si="1884">_xlfn.CONCAT("ProjImmoAccDirTC",RIGHT(LEFT(D1954,LEN(D1954)-1),2))</f>
        <v>ProjImmoAccDirTC39</v>
      </c>
      <c r="G1954" t="s">
        <v>17</v>
      </c>
      <c r="H1954">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54" s="3"/>
      <c r="K1954" t="s">
        <v>70</v>
      </c>
      <c r="L1954" s="7">
        <v>0.33</v>
      </c>
      <c r="N1954" t="s">
        <v>303</v>
      </c>
    </row>
    <row r="1955" spans="1:14" outlineLevel="1" x14ac:dyDescent="0.25">
      <c r="A1955" t="s">
        <v>300</v>
      </c>
      <c r="C1955" t="s">
        <v>341</v>
      </c>
      <c r="D1955" t="str">
        <f>_xlfn.CONCAT("Distance parcourue associée"," (",'Remplissage - Sit. Init.'!$C$403,")")</f>
        <v>Distance parcourue associée (Catégorie 39)</v>
      </c>
      <c r="F1955" t="str">
        <f t="shared" ref="F1955" si="1885">_xlfn.CONCAT("ProjImmoAccDirDist",RIGHT(LEFT(D1955,LEN(D1955)-1),2))</f>
        <v>ProjImmoAccDirDist39</v>
      </c>
      <c r="G1955" t="s">
        <v>17</v>
      </c>
      <c r="H1955">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55" t="s">
        <v>88</v>
      </c>
      <c r="L1955">
        <v>30</v>
      </c>
      <c r="N1955" t="s">
        <v>303</v>
      </c>
    </row>
    <row r="1956" spans="1:14" outlineLevel="1" x14ac:dyDescent="0.25">
      <c r="A1956" t="s">
        <v>300</v>
      </c>
      <c r="C1956" t="s">
        <v>341</v>
      </c>
      <c r="D1956" t="str">
        <f>_xlfn.CONCAT("Nombre de trajets associés"," (",'Remplissage - Sit. Init.'!$C$403,")")</f>
        <v>Nombre de trajets associés (Catégorie 39)</v>
      </c>
      <c r="F1956" t="str">
        <f t="shared" ref="F1956" si="1886">_xlfn.CONCAT("ProjImmoAccDirNbTraj",RIGHT(LEFT(D1956,LEN(D1956)-1),2))</f>
        <v>ProjImmoAccDirNbTraj39</v>
      </c>
      <c r="G1956" t="s">
        <v>17</v>
      </c>
      <c r="H1956">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56" t="s">
        <v>145</v>
      </c>
      <c r="L1956">
        <v>15</v>
      </c>
      <c r="N1956" t="s">
        <v>303</v>
      </c>
    </row>
    <row r="1957" spans="1:14" outlineLevel="1" x14ac:dyDescent="0.25">
      <c r="A1957" t="s">
        <v>300</v>
      </c>
      <c r="C1957" t="s">
        <v>341</v>
      </c>
      <c r="D1957" t="str">
        <f>_xlfn.CONCAT("Taux de chargement moyen des véhicules pour l'accès direct au(x) projet(s)"," (",'Remplissage - Sit. Init.'!$C$413,")")</f>
        <v>Taux de chargement moyen des véhicules pour l'accès direct au(x) projet(s) (Catégorie 40)</v>
      </c>
      <c r="F1957" t="str">
        <f t="shared" ref="F1957" si="1887">_xlfn.CONCAT("ProjImmoAccDirTC",RIGHT(LEFT(D1957,LEN(D1957)-1),2))</f>
        <v>ProjImmoAccDirTC40</v>
      </c>
      <c r="G1957" t="s">
        <v>17</v>
      </c>
      <c r="H1957">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57" s="3"/>
      <c r="K1957" t="s">
        <v>70</v>
      </c>
      <c r="L1957" s="7">
        <v>0.33</v>
      </c>
      <c r="N1957" t="s">
        <v>303</v>
      </c>
    </row>
    <row r="1958" spans="1:14" outlineLevel="1" x14ac:dyDescent="0.25">
      <c r="A1958" t="s">
        <v>300</v>
      </c>
      <c r="C1958" t="s">
        <v>341</v>
      </c>
      <c r="D1958" t="str">
        <f>_xlfn.CONCAT("Distance parcourue associée"," (",'Remplissage - Sit. Init.'!$C$413,")")</f>
        <v>Distance parcourue associée (Catégorie 40)</v>
      </c>
      <c r="F1958" t="str">
        <f t="shared" ref="F1958" si="1888">_xlfn.CONCAT("ProjImmoAccDirDist",RIGHT(LEFT(D1958,LEN(D1958)-1),2))</f>
        <v>ProjImmoAccDirDist40</v>
      </c>
      <c r="G1958" t="s">
        <v>17</v>
      </c>
      <c r="H1958">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58" t="s">
        <v>88</v>
      </c>
      <c r="L1958">
        <v>30</v>
      </c>
      <c r="N1958" t="s">
        <v>303</v>
      </c>
    </row>
    <row r="1959" spans="1:14" outlineLevel="1" x14ac:dyDescent="0.25">
      <c r="A1959" t="s">
        <v>300</v>
      </c>
      <c r="C1959" t="s">
        <v>341</v>
      </c>
      <c r="D1959" t="str">
        <f>_xlfn.CONCAT("Nombre de trajets associés"," (",'Remplissage - Sit. Init.'!$C$413,")")</f>
        <v>Nombre de trajets associés (Catégorie 40)</v>
      </c>
      <c r="F1959" t="str">
        <f t="shared" ref="F1959" si="1889">_xlfn.CONCAT("ProjImmoAccDirNbTraj",RIGHT(LEFT(D1959,LEN(D1959)-1),2))</f>
        <v>ProjImmoAccDirNbTraj40</v>
      </c>
      <c r="G1959" t="s">
        <v>17</v>
      </c>
      <c r="H1959">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59" t="s">
        <v>145</v>
      </c>
      <c r="L1959">
        <v>15</v>
      </c>
      <c r="N1959" t="s">
        <v>303</v>
      </c>
    </row>
    <row r="1960" spans="1:14" outlineLevel="1" x14ac:dyDescent="0.25">
      <c r="A1960" t="s">
        <v>300</v>
      </c>
      <c r="C1960" t="s">
        <v>341</v>
      </c>
      <c r="D1960" t="str">
        <f>_xlfn.CONCAT("Taux de chargement moyen des véhicules pour l'accès direct au(x) projet(s)"," (",'Remplissage - Sit. Init.'!$C$423,")")</f>
        <v>Taux de chargement moyen des véhicules pour l'accès direct au(x) projet(s) (Catégorie 41)</v>
      </c>
      <c r="F1960" t="str">
        <f t="shared" ref="F1960" si="1890">_xlfn.CONCAT("ProjImmoAccDirTC",RIGHT(LEFT(D1960,LEN(D1960)-1),2))</f>
        <v>ProjImmoAccDirTC41</v>
      </c>
      <c r="G1960" t="s">
        <v>17</v>
      </c>
      <c r="H196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60" s="3"/>
      <c r="K1960" t="s">
        <v>70</v>
      </c>
      <c r="L1960" s="7">
        <v>0.33</v>
      </c>
      <c r="N1960" t="s">
        <v>303</v>
      </c>
    </row>
    <row r="1961" spans="1:14" outlineLevel="1" x14ac:dyDescent="0.25">
      <c r="A1961" t="s">
        <v>300</v>
      </c>
      <c r="C1961" t="s">
        <v>341</v>
      </c>
      <c r="D1961" t="str">
        <f>_xlfn.CONCAT("Distance parcourue associée"," (",'Remplissage - Sit. Init.'!$C$423,")")</f>
        <v>Distance parcourue associée (Catégorie 41)</v>
      </c>
      <c r="F1961" t="str">
        <f t="shared" ref="F1961" si="1891">_xlfn.CONCAT("ProjImmoAccDirDist",RIGHT(LEFT(D1961,LEN(D1961)-1),2))</f>
        <v>ProjImmoAccDirDist41</v>
      </c>
      <c r="G1961" t="s">
        <v>17</v>
      </c>
      <c r="H196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61" t="s">
        <v>88</v>
      </c>
      <c r="L1961">
        <v>30</v>
      </c>
      <c r="N1961" t="s">
        <v>303</v>
      </c>
    </row>
    <row r="1962" spans="1:14" outlineLevel="1" x14ac:dyDescent="0.25">
      <c r="A1962" t="s">
        <v>300</v>
      </c>
      <c r="C1962" t="s">
        <v>341</v>
      </c>
      <c r="D1962" t="str">
        <f>_xlfn.CONCAT("Nombre de trajets associés"," (",'Remplissage - Sit. Init.'!$C$423,")")</f>
        <v>Nombre de trajets associés (Catégorie 41)</v>
      </c>
      <c r="F1962" t="str">
        <f t="shared" ref="F1962" si="1892">_xlfn.CONCAT("ProjImmoAccDirNbTraj",RIGHT(LEFT(D1962,LEN(D1962)-1),2))</f>
        <v>ProjImmoAccDirNbTraj41</v>
      </c>
      <c r="G1962" t="s">
        <v>17</v>
      </c>
      <c r="H196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62" t="s">
        <v>145</v>
      </c>
      <c r="L1962">
        <v>15</v>
      </c>
      <c r="N1962" t="s">
        <v>303</v>
      </c>
    </row>
    <row r="1963" spans="1:14" outlineLevel="1" x14ac:dyDescent="0.25">
      <c r="A1963" t="s">
        <v>300</v>
      </c>
      <c r="C1963" t="s">
        <v>341</v>
      </c>
      <c r="D1963" t="str">
        <f>_xlfn.CONCAT("Taux de chargement moyen des véhicules pour l'accès direct au(x) projet(s)"," (",'Remplissage - Sit. Init.'!$C$433,")")</f>
        <v>Taux de chargement moyen des véhicules pour l'accès direct au(x) projet(s) (Catégorie 42)</v>
      </c>
      <c r="F1963" t="str">
        <f t="shared" ref="F1963" si="1893">_xlfn.CONCAT("ProjImmoAccDirTC",RIGHT(LEFT(D1963,LEN(D1963)-1),2))</f>
        <v>ProjImmoAccDirTC42</v>
      </c>
      <c r="G1963" t="s">
        <v>17</v>
      </c>
      <c r="H196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63" s="3"/>
      <c r="K1963" t="s">
        <v>70</v>
      </c>
      <c r="L1963" s="7">
        <v>0.33</v>
      </c>
      <c r="N1963" t="s">
        <v>303</v>
      </c>
    </row>
    <row r="1964" spans="1:14" outlineLevel="1" x14ac:dyDescent="0.25">
      <c r="A1964" t="s">
        <v>300</v>
      </c>
      <c r="C1964" t="s">
        <v>341</v>
      </c>
      <c r="D1964" t="str">
        <f>_xlfn.CONCAT("Distance parcourue associée"," (",'Remplissage - Sit. Init.'!$C$433,")")</f>
        <v>Distance parcourue associée (Catégorie 42)</v>
      </c>
      <c r="F1964" t="str">
        <f t="shared" ref="F1964" si="1894">_xlfn.CONCAT("ProjImmoAccDirDist",RIGHT(LEFT(D1964,LEN(D1964)-1),2))</f>
        <v>ProjImmoAccDirDist42</v>
      </c>
      <c r="G1964" t="s">
        <v>17</v>
      </c>
      <c r="H196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64" t="s">
        <v>88</v>
      </c>
      <c r="L1964">
        <v>30</v>
      </c>
      <c r="N1964" t="s">
        <v>303</v>
      </c>
    </row>
    <row r="1965" spans="1:14" outlineLevel="1" x14ac:dyDescent="0.25">
      <c r="A1965" t="s">
        <v>300</v>
      </c>
      <c r="C1965" t="s">
        <v>341</v>
      </c>
      <c r="D1965" t="str">
        <f>_xlfn.CONCAT("Nombre de trajets associés"," (",'Remplissage - Sit. Init.'!$C$433,")")</f>
        <v>Nombre de trajets associés (Catégorie 42)</v>
      </c>
      <c r="F1965" t="str">
        <f t="shared" ref="F1965" si="1895">_xlfn.CONCAT("ProjImmoAccDirNbTraj",RIGHT(LEFT(D1965,LEN(D1965)-1),2))</f>
        <v>ProjImmoAccDirNbTraj42</v>
      </c>
      <c r="G1965" t="s">
        <v>17</v>
      </c>
      <c r="H196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65" t="s">
        <v>145</v>
      </c>
      <c r="L1965">
        <v>15</v>
      </c>
      <c r="N1965" t="s">
        <v>303</v>
      </c>
    </row>
    <row r="1966" spans="1:14" outlineLevel="1" x14ac:dyDescent="0.25">
      <c r="A1966" t="s">
        <v>300</v>
      </c>
      <c r="C1966" t="s">
        <v>341</v>
      </c>
      <c r="D1966" t="str">
        <f>_xlfn.CONCAT("Taux de chargement moyen des véhicules pour l'accès direct au(x) projet(s)"," (",'Remplissage - Sit. Init.'!$C$443,")")</f>
        <v>Taux de chargement moyen des véhicules pour l'accès direct au(x) projet(s) (Catégorie 43)</v>
      </c>
      <c r="F1966" t="str">
        <f t="shared" ref="F1966" si="1896">_xlfn.CONCAT("ProjImmoAccDirTC",RIGHT(LEFT(D1966,LEN(D1966)-1),2))</f>
        <v>ProjImmoAccDirTC43</v>
      </c>
      <c r="G1966" t="s">
        <v>17</v>
      </c>
      <c r="H196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66" s="3"/>
      <c r="K1966" t="s">
        <v>70</v>
      </c>
      <c r="L1966" s="7">
        <v>0.33</v>
      </c>
      <c r="N1966" t="s">
        <v>303</v>
      </c>
    </row>
    <row r="1967" spans="1:14" outlineLevel="1" x14ac:dyDescent="0.25">
      <c r="A1967" t="s">
        <v>300</v>
      </c>
      <c r="C1967" t="s">
        <v>341</v>
      </c>
      <c r="D1967" t="str">
        <f>_xlfn.CONCAT("Distance parcourue associée"," (",'Remplissage - Sit. Init.'!$C$443,")")</f>
        <v>Distance parcourue associée (Catégorie 43)</v>
      </c>
      <c r="F1967" t="str">
        <f t="shared" ref="F1967" si="1897">_xlfn.CONCAT("ProjImmoAccDirDist",RIGHT(LEFT(D1967,LEN(D1967)-1),2))</f>
        <v>ProjImmoAccDirDist43</v>
      </c>
      <c r="G1967" t="s">
        <v>17</v>
      </c>
      <c r="H196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67" t="s">
        <v>88</v>
      </c>
      <c r="L1967">
        <v>30</v>
      </c>
      <c r="N1967" t="s">
        <v>303</v>
      </c>
    </row>
    <row r="1968" spans="1:14" outlineLevel="1" x14ac:dyDescent="0.25">
      <c r="A1968" t="s">
        <v>300</v>
      </c>
      <c r="C1968" t="s">
        <v>341</v>
      </c>
      <c r="D1968" t="str">
        <f>_xlfn.CONCAT("Nombre de trajets associés"," (",'Remplissage - Sit. Init.'!$C$443,")")</f>
        <v>Nombre de trajets associés (Catégorie 43)</v>
      </c>
      <c r="F1968" t="str">
        <f t="shared" ref="F1968" si="1898">_xlfn.CONCAT("ProjImmoAccDirNbTraj",RIGHT(LEFT(D1968,LEN(D1968)-1),2))</f>
        <v>ProjImmoAccDirNbTraj43</v>
      </c>
      <c r="G1968" t="s">
        <v>17</v>
      </c>
      <c r="H196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68" t="s">
        <v>145</v>
      </c>
      <c r="L1968">
        <v>15</v>
      </c>
      <c r="N1968" t="s">
        <v>303</v>
      </c>
    </row>
    <row r="1969" spans="1:14" outlineLevel="1" x14ac:dyDescent="0.25">
      <c r="A1969" t="s">
        <v>300</v>
      </c>
      <c r="C1969" t="s">
        <v>341</v>
      </c>
      <c r="D1969" t="str">
        <f>_xlfn.CONCAT("Taux de chargement moyen des véhicules pour l'accès direct au(x) projet(s)"," (",'Remplissage - Sit. Init.'!$C$453,")")</f>
        <v>Taux de chargement moyen des véhicules pour l'accès direct au(x) projet(s) (Catégorie 44)</v>
      </c>
      <c r="F1969" t="str">
        <f t="shared" ref="F1969" si="1899">_xlfn.CONCAT("ProjImmoAccDirTC",RIGHT(LEFT(D1969,LEN(D1969)-1),2))</f>
        <v>ProjImmoAccDirTC44</v>
      </c>
      <c r="G1969" t="s">
        <v>17</v>
      </c>
      <c r="H196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69" s="3"/>
      <c r="K1969" t="s">
        <v>70</v>
      </c>
      <c r="L1969" s="7">
        <v>0.33</v>
      </c>
      <c r="N1969" t="s">
        <v>303</v>
      </c>
    </row>
    <row r="1970" spans="1:14" outlineLevel="1" x14ac:dyDescent="0.25">
      <c r="A1970" t="s">
        <v>300</v>
      </c>
      <c r="C1970" t="s">
        <v>341</v>
      </c>
      <c r="D1970" t="str">
        <f>_xlfn.CONCAT("Distance parcourue associée"," (",'Remplissage - Sit. Init.'!$C$453,")")</f>
        <v>Distance parcourue associée (Catégorie 44)</v>
      </c>
      <c r="F1970" t="str">
        <f t="shared" ref="F1970" si="1900">_xlfn.CONCAT("ProjImmoAccDirDist",RIGHT(LEFT(D1970,LEN(D1970)-1),2))</f>
        <v>ProjImmoAccDirDist44</v>
      </c>
      <c r="G1970" t="s">
        <v>17</v>
      </c>
      <c r="H197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70" t="s">
        <v>88</v>
      </c>
      <c r="L1970">
        <v>30</v>
      </c>
      <c r="N1970" t="s">
        <v>303</v>
      </c>
    </row>
    <row r="1971" spans="1:14" outlineLevel="1" x14ac:dyDescent="0.25">
      <c r="A1971" t="s">
        <v>300</v>
      </c>
      <c r="C1971" t="s">
        <v>341</v>
      </c>
      <c r="D1971" t="str">
        <f>_xlfn.CONCAT("Nombre de trajets associés"," (",'Remplissage - Sit. Init.'!$C$453,")")</f>
        <v>Nombre de trajets associés (Catégorie 44)</v>
      </c>
      <c r="F1971" t="str">
        <f t="shared" ref="F1971" si="1901">_xlfn.CONCAT("ProjImmoAccDirNbTraj",RIGHT(LEFT(D1971,LEN(D1971)-1),2))</f>
        <v>ProjImmoAccDirNbTraj44</v>
      </c>
      <c r="G1971" t="s">
        <v>17</v>
      </c>
      <c r="H197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71" t="s">
        <v>145</v>
      </c>
      <c r="L1971">
        <v>15</v>
      </c>
      <c r="N1971" t="s">
        <v>303</v>
      </c>
    </row>
    <row r="1972" spans="1:14" outlineLevel="1" x14ac:dyDescent="0.25">
      <c r="A1972" t="s">
        <v>300</v>
      </c>
      <c r="C1972" t="s">
        <v>341</v>
      </c>
      <c r="D1972" t="str">
        <f>_xlfn.CONCAT("Taux de chargement moyen des véhicules pour l'accès direct au(x) projet(s)"," (",'Remplissage - Sit. Init.'!$C$463,")")</f>
        <v>Taux de chargement moyen des véhicules pour l'accès direct au(x) projet(s) (Catégorie 45)</v>
      </c>
      <c r="F1972" t="str">
        <f t="shared" ref="F1972" si="1902">_xlfn.CONCAT("ProjImmoAccDirTC",RIGHT(LEFT(D1972,LEN(D1972)-1),2))</f>
        <v>ProjImmoAccDirTC45</v>
      </c>
      <c r="G1972" t="s">
        <v>17</v>
      </c>
      <c r="H197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72" s="3"/>
      <c r="K1972" t="s">
        <v>70</v>
      </c>
      <c r="L1972" s="7">
        <v>0.33</v>
      </c>
      <c r="N1972" t="s">
        <v>303</v>
      </c>
    </row>
    <row r="1973" spans="1:14" outlineLevel="1" x14ac:dyDescent="0.25">
      <c r="A1973" t="s">
        <v>300</v>
      </c>
      <c r="C1973" t="s">
        <v>341</v>
      </c>
      <c r="D1973" t="str">
        <f>_xlfn.CONCAT("Distance parcourue associée"," (",'Remplissage - Sit. Init.'!$C$463,")")</f>
        <v>Distance parcourue associée (Catégorie 45)</v>
      </c>
      <c r="F1973" t="str">
        <f t="shared" ref="F1973" si="1903">_xlfn.CONCAT("ProjImmoAccDirDist",RIGHT(LEFT(D1973,LEN(D1973)-1),2))</f>
        <v>ProjImmoAccDirDist45</v>
      </c>
      <c r="G1973" t="s">
        <v>17</v>
      </c>
      <c r="H197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73" t="s">
        <v>88</v>
      </c>
      <c r="L1973">
        <v>30</v>
      </c>
      <c r="N1973" t="s">
        <v>303</v>
      </c>
    </row>
    <row r="1974" spans="1:14" outlineLevel="1" x14ac:dyDescent="0.25">
      <c r="A1974" t="s">
        <v>300</v>
      </c>
      <c r="C1974" t="s">
        <v>341</v>
      </c>
      <c r="D1974" t="str">
        <f>_xlfn.CONCAT("Nombre de trajets associés"," (",'Remplissage - Sit. Init.'!$C$463,")")</f>
        <v>Nombre de trajets associés (Catégorie 45)</v>
      </c>
      <c r="F1974" t="str">
        <f t="shared" ref="F1974" si="1904">_xlfn.CONCAT("ProjImmoAccDirNbTraj",RIGHT(LEFT(D1974,LEN(D1974)-1),2))</f>
        <v>ProjImmoAccDirNbTraj45</v>
      </c>
      <c r="G1974" t="s">
        <v>17</v>
      </c>
      <c r="H197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74" t="s">
        <v>145</v>
      </c>
      <c r="L1974">
        <v>15</v>
      </c>
      <c r="N1974" t="s">
        <v>303</v>
      </c>
    </row>
    <row r="1975" spans="1:14" x14ac:dyDescent="0.25">
      <c r="A1975" t="s">
        <v>300</v>
      </c>
      <c r="C1975" t="s">
        <v>250</v>
      </c>
      <c r="D1975" t="s">
        <v>351</v>
      </c>
      <c r="F1975" t="s">
        <v>352</v>
      </c>
      <c r="G1975" t="s">
        <v>20</v>
      </c>
      <c r="H1975">
        <f>(((IF(ISNUMBER(SEARCH("Oui",$I$1833)),1,0))*(IF($I$1823="Les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75" t="s">
        <v>382</v>
      </c>
      <c r="J1975" t="s">
        <v>239</v>
      </c>
      <c r="N1975" t="s">
        <v>303</v>
      </c>
    </row>
    <row r="1976" spans="1:14" x14ac:dyDescent="0.25">
      <c r="A1976" t="s">
        <v>300</v>
      </c>
      <c r="C1976" t="s">
        <v>250</v>
      </c>
      <c r="D1976" t="s">
        <v>353</v>
      </c>
      <c r="F1976" t="s">
        <v>354</v>
      </c>
      <c r="G1976" t="s">
        <v>17</v>
      </c>
      <c r="H1976">
        <f>(((IF(ISNUMBER(SEARCH("Oui",$I$1833)),1,0))*(IF($I$1823="Les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76" t="s">
        <v>88</v>
      </c>
      <c r="L1976">
        <v>15</v>
      </c>
      <c r="N1976" t="s">
        <v>303</v>
      </c>
    </row>
    <row r="1977" spans="1:14" x14ac:dyDescent="0.25">
      <c r="A1977" t="s">
        <v>300</v>
      </c>
      <c r="C1977" t="s">
        <v>250</v>
      </c>
      <c r="D1977" t="s">
        <v>255</v>
      </c>
      <c r="F1977" t="s">
        <v>355</v>
      </c>
      <c r="G1977" t="s">
        <v>17</v>
      </c>
      <c r="H1977">
        <f>(((IF(ISNUMBER(SEARCH("Oui",$I$1833)),1,0))*(IF($I$1823="Les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77" s="3"/>
      <c r="K1977" t="s">
        <v>70</v>
      </c>
      <c r="L1977" s="7">
        <v>0.8</v>
      </c>
      <c r="N1977" t="s">
        <v>303</v>
      </c>
    </row>
    <row r="1978" spans="1:14" x14ac:dyDescent="0.25">
      <c r="A1978" t="s">
        <v>300</v>
      </c>
      <c r="C1978" t="s">
        <v>250</v>
      </c>
      <c r="D1978" t="s">
        <v>348</v>
      </c>
      <c r="F1978" t="s">
        <v>356</v>
      </c>
      <c r="G1978" t="s">
        <v>17</v>
      </c>
      <c r="H1978">
        <f>(((IF(ISNUMBER(SEARCH("Oui",$I$1833)),1,0)*IF(ISNUMBER(SEARCH("La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78" t="s">
        <v>88</v>
      </c>
      <c r="L1978">
        <v>15</v>
      </c>
      <c r="N1978" t="s">
        <v>303</v>
      </c>
    </row>
    <row r="1979" spans="1:14" x14ac:dyDescent="0.25">
      <c r="A1979" t="s">
        <v>300</v>
      </c>
      <c r="C1979" t="s">
        <v>250</v>
      </c>
      <c r="D1979" t="s">
        <v>248</v>
      </c>
      <c r="F1979" t="s">
        <v>357</v>
      </c>
      <c r="G1979" t="s">
        <v>17</v>
      </c>
      <c r="H1979">
        <f>(((IF(ISNUMBER(SEARCH("Oui",$I$1833)),1,0)*IF(ISNUMBER(SEARCH("La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79" t="s">
        <v>145</v>
      </c>
      <c r="L1979">
        <v>5</v>
      </c>
      <c r="N1979" t="s">
        <v>303</v>
      </c>
    </row>
    <row r="1980" spans="1:14" outlineLevel="1" x14ac:dyDescent="0.25">
      <c r="A1980" t="s">
        <v>300</v>
      </c>
      <c r="C1980" t="s">
        <v>250</v>
      </c>
      <c r="D1980" t="str">
        <f>_xlfn.CONCAT("Taux de chargement moyen des véhicules pour l'accès à la plateforme logistique"," (",'Remplissage - Sit. Init.'!$C$23,")")</f>
        <v>Taux de chargement moyen des véhicules pour l'accès à la plateforme logistique (Catégorie 1)</v>
      </c>
      <c r="F1980" t="str">
        <f>_xlfn.CONCAT("ProjImmoPlatLogTC",RIGHT(LEFT(D1980,LEN(D1980)-1),1))</f>
        <v>ProjImmoPlatLogTC1</v>
      </c>
      <c r="G1980" t="s">
        <v>17</v>
      </c>
      <c r="H1980">
        <f>(((IF(ISNUMBER(SEARCH('Remplissage - Sit. Init.'!$I$23,$I$1975)),1,0))*(IF($I$1823="Les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80" s="3"/>
      <c r="K1980" t="s">
        <v>70</v>
      </c>
      <c r="L1980" s="7">
        <v>0.8</v>
      </c>
      <c r="N1980" t="s">
        <v>303</v>
      </c>
    </row>
    <row r="1981" spans="1:14" outlineLevel="1" x14ac:dyDescent="0.25">
      <c r="A1981" t="s">
        <v>300</v>
      </c>
      <c r="C1981" t="s">
        <v>250</v>
      </c>
      <c r="D1981" t="str">
        <f>_xlfn.CONCAT("Distance parcourue associée"," (",'Remplissage - Sit. Init.'!$C$23,")")</f>
        <v>Distance parcourue associée (Catégorie 1)</v>
      </c>
      <c r="F1981" t="str">
        <f>_xlfn.CONCAT("ProjImmoPlatLogDist",RIGHT(LEFT(D1981,LEN(D1981)-1),1))</f>
        <v>ProjImmoPlatLogDist1</v>
      </c>
      <c r="G1981" t="s">
        <v>17</v>
      </c>
      <c r="H1981">
        <f>((((IF(ISNUMBER(SEARCH('Remplissage - Sit. Init.'!$I$23,$I$1975)),1,0))*(IF(ISNUMBER(SEARCH("La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81" t="s">
        <v>88</v>
      </c>
      <c r="L1981">
        <v>15</v>
      </c>
      <c r="N1981" t="s">
        <v>303</v>
      </c>
    </row>
    <row r="1982" spans="1:14" outlineLevel="1" x14ac:dyDescent="0.25">
      <c r="A1982" t="s">
        <v>300</v>
      </c>
      <c r="C1982" t="s">
        <v>250</v>
      </c>
      <c r="D1982" t="str">
        <f>_xlfn.CONCAT("Nombre de trajets associés"," (",'Remplissage - Sit. Init.'!$C$23,")")</f>
        <v>Nombre de trajets associés (Catégorie 1)</v>
      </c>
      <c r="F1982" t="str">
        <f>_xlfn.CONCAT("ProjImmoPlatLogNbTraj",RIGHT(LEFT(D1982,LEN(D1982)-1),1))</f>
        <v>ProjImmoPlatLogNbTraj1</v>
      </c>
      <c r="G1982" t="s">
        <v>17</v>
      </c>
      <c r="H1982">
        <f>((((IF(ISNUMBER(SEARCH('Remplissage - Sit. Init.'!$I$23,$I$1975)),1,0))*(IF(ISNUMBER(SEARCH("La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82" t="s">
        <v>145</v>
      </c>
      <c r="L1982">
        <v>5</v>
      </c>
      <c r="N1982" t="s">
        <v>303</v>
      </c>
    </row>
    <row r="1983" spans="1:14" outlineLevel="1" x14ac:dyDescent="0.25">
      <c r="A1983" t="s">
        <v>300</v>
      </c>
      <c r="C1983" t="s">
        <v>250</v>
      </c>
      <c r="D1983" t="str">
        <f>_xlfn.CONCAT("Taux de chargement moyen des véhicules pour l'accès à la plateforme logistique"," (",'Remplissage - Sit. Init.'!$C$33,")")</f>
        <v>Taux de chargement moyen des véhicules pour l'accès à la plateforme logistique (Catégorie 2)</v>
      </c>
      <c r="F1983" t="str">
        <f>_xlfn.CONCAT("ProjImmoPlatLogTC",RIGHT(LEFT(D1983,LEN(D1983)-1),1))</f>
        <v>ProjImmoPlatLogTC2</v>
      </c>
      <c r="G1983" t="s">
        <v>17</v>
      </c>
      <c r="H1983">
        <f>(((IF(ISNUMBER(SEARCH('Remplissage - Sit. Init.'!$I$33,$I$1975)),1,0))*(IF($I$1823="Les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83" s="3"/>
      <c r="K1983" t="s">
        <v>70</v>
      </c>
      <c r="L1983" s="7">
        <v>0.8</v>
      </c>
      <c r="N1983" t="s">
        <v>303</v>
      </c>
    </row>
    <row r="1984" spans="1:14" outlineLevel="1" x14ac:dyDescent="0.25">
      <c r="A1984" t="s">
        <v>300</v>
      </c>
      <c r="C1984" t="s">
        <v>250</v>
      </c>
      <c r="D1984" t="str">
        <f>_xlfn.CONCAT("Distance parcourue associée"," (",'Remplissage - Sit. Init.'!$C$33,")")</f>
        <v>Distance parcourue associée (Catégorie 2)</v>
      </c>
      <c r="F1984" t="str">
        <f>_xlfn.CONCAT("ProjImmoPlatLogDist",RIGHT(LEFT(D1984,LEN(D1984)-1),1))</f>
        <v>ProjImmoPlatLogDist2</v>
      </c>
      <c r="G1984" t="s">
        <v>17</v>
      </c>
      <c r="H1984">
        <f>((((IF(ISNUMBER(SEARCH('Remplissage - Sit. Init.'!$I$33,$I$1975)),1,0))*(IF(ISNUMBER(SEARCH("La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84" t="s">
        <v>88</v>
      </c>
      <c r="L1984">
        <v>15</v>
      </c>
      <c r="N1984" t="s">
        <v>303</v>
      </c>
    </row>
    <row r="1985" spans="1:14" outlineLevel="1" x14ac:dyDescent="0.25">
      <c r="A1985" t="s">
        <v>300</v>
      </c>
      <c r="C1985" t="s">
        <v>250</v>
      </c>
      <c r="D1985" t="str">
        <f>_xlfn.CONCAT("Nombre de trajets associés"," (",'Remplissage - Sit. Init.'!$C$33,")")</f>
        <v>Nombre de trajets associés (Catégorie 2)</v>
      </c>
      <c r="F1985" t="str">
        <f>_xlfn.CONCAT("ProjImmoPlatLogNbTraj",RIGHT(LEFT(D1985,LEN(D1985)-1),1))</f>
        <v>ProjImmoPlatLogNbTraj2</v>
      </c>
      <c r="G1985" t="s">
        <v>17</v>
      </c>
      <c r="H1985">
        <f>((((IF(ISNUMBER(SEARCH('Remplissage - Sit. Init.'!$I$33,$I$1975)),1,0))*(IF(ISNUMBER(SEARCH("La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85" t="s">
        <v>145</v>
      </c>
      <c r="L1985">
        <v>5</v>
      </c>
      <c r="N1985" t="s">
        <v>303</v>
      </c>
    </row>
    <row r="1986" spans="1:14" outlineLevel="1" x14ac:dyDescent="0.25">
      <c r="A1986" t="s">
        <v>300</v>
      </c>
      <c r="C1986" t="s">
        <v>250</v>
      </c>
      <c r="D1986" t="str">
        <f>_xlfn.CONCAT("Taux de chargement moyen des véhicules pour l'accès à la plateforme logistique"," (",'Remplissage - Sit. Init.'!$C$43,")")</f>
        <v>Taux de chargement moyen des véhicules pour l'accès à la plateforme logistique (Catégorie 3)</v>
      </c>
      <c r="F1986" t="str">
        <f>_xlfn.CONCAT("ProjImmoPlatLogTC",RIGHT(LEFT(D1986,LEN(D1986)-1),1))</f>
        <v>ProjImmoPlatLogTC3</v>
      </c>
      <c r="G1986" t="s">
        <v>17</v>
      </c>
      <c r="H1986">
        <f>(((IF(ISNUMBER(SEARCH('Remplissage - Sit. Init.'!$I$43,$I$1975)),1,0))*(IF($I$1823="Les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86" s="3"/>
      <c r="K1986" t="s">
        <v>70</v>
      </c>
      <c r="L1986" s="7">
        <v>0.8</v>
      </c>
      <c r="N1986" t="s">
        <v>303</v>
      </c>
    </row>
    <row r="1987" spans="1:14" outlineLevel="1" x14ac:dyDescent="0.25">
      <c r="A1987" t="s">
        <v>300</v>
      </c>
      <c r="C1987" t="s">
        <v>250</v>
      </c>
      <c r="D1987" t="str">
        <f>_xlfn.CONCAT("Distance parcourue associée"," (",'Remplissage - Sit. Init.'!$C$43,")")</f>
        <v>Distance parcourue associée (Catégorie 3)</v>
      </c>
      <c r="F1987" t="str">
        <f>_xlfn.CONCAT("ProjImmoPlatLogDist",RIGHT(LEFT(D1987,LEN(D1987)-1),1))</f>
        <v>ProjImmoPlatLogDist3</v>
      </c>
      <c r="G1987" t="s">
        <v>17</v>
      </c>
      <c r="H1987">
        <f>((((IF(ISNUMBER(SEARCH('Remplissage - Sit. Init.'!$I$43,$I$1975)),1,0))*(IF(ISNUMBER(SEARCH("La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87" t="s">
        <v>88</v>
      </c>
      <c r="L1987">
        <v>15</v>
      </c>
      <c r="N1987" t="s">
        <v>303</v>
      </c>
    </row>
    <row r="1988" spans="1:14" outlineLevel="1" x14ac:dyDescent="0.25">
      <c r="A1988" t="s">
        <v>300</v>
      </c>
      <c r="C1988" t="s">
        <v>250</v>
      </c>
      <c r="D1988" t="str">
        <f>_xlfn.CONCAT("Nombre de trajets associés"," (",'Remplissage - Sit. Init.'!$C$43,")")</f>
        <v>Nombre de trajets associés (Catégorie 3)</v>
      </c>
      <c r="F1988" t="str">
        <f>_xlfn.CONCAT("ProjImmoPlatLogNbTraj",RIGHT(LEFT(D1988,LEN(D1988)-1),1))</f>
        <v>ProjImmoPlatLogNbTraj3</v>
      </c>
      <c r="G1988" t="s">
        <v>17</v>
      </c>
      <c r="H1988">
        <f>((((IF(ISNUMBER(SEARCH('Remplissage - Sit. Init.'!$I$43,$I$1975)),1,0))*(IF(ISNUMBER(SEARCH("La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88" t="s">
        <v>145</v>
      </c>
      <c r="L1988">
        <v>5</v>
      </c>
      <c r="N1988" t="s">
        <v>303</v>
      </c>
    </row>
    <row r="1989" spans="1:14" outlineLevel="1" x14ac:dyDescent="0.25">
      <c r="A1989" t="s">
        <v>300</v>
      </c>
      <c r="C1989" t="s">
        <v>250</v>
      </c>
      <c r="D1989" t="str">
        <f>_xlfn.CONCAT("Taux de chargement moyen des véhicules pour l'accès à la plateforme logistique"," (",'Remplissage - Sit. Init.'!$C$53,")")</f>
        <v>Taux de chargement moyen des véhicules pour l'accès à la plateforme logistique (Catégorie 4)</v>
      </c>
      <c r="F1989" t="str">
        <f>_xlfn.CONCAT("ProjImmoPlatLogTC",RIGHT(LEFT(D1989,LEN(D1989)-1),1))</f>
        <v>ProjImmoPlatLogTC4</v>
      </c>
      <c r="G1989" t="s">
        <v>17</v>
      </c>
      <c r="H1989">
        <f>(((IF(ISNUMBER(SEARCH('Remplissage - Sit. Init.'!$I$53,$I$1975)),1,0))*(IF($I$1823="Les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89" s="3"/>
      <c r="K1989" t="s">
        <v>70</v>
      </c>
      <c r="L1989" s="7">
        <v>0.8</v>
      </c>
      <c r="N1989" t="s">
        <v>303</v>
      </c>
    </row>
    <row r="1990" spans="1:14" outlineLevel="1" x14ac:dyDescent="0.25">
      <c r="A1990" t="s">
        <v>300</v>
      </c>
      <c r="C1990" t="s">
        <v>250</v>
      </c>
      <c r="D1990" t="str">
        <f>_xlfn.CONCAT("Distance parcourue associée"," (",'Remplissage - Sit. Init.'!$C$53,")")</f>
        <v>Distance parcourue associée (Catégorie 4)</v>
      </c>
      <c r="F1990" t="str">
        <f>_xlfn.CONCAT("ProjImmoPlatLogDist",RIGHT(LEFT(D1990,LEN(D1990)-1),1))</f>
        <v>ProjImmoPlatLogDist4</v>
      </c>
      <c r="G1990" t="s">
        <v>17</v>
      </c>
      <c r="H1990">
        <f>((((IF(ISNUMBER(SEARCH('Remplissage - Sit. Init.'!$I$53,$I$1975)),1,0))*(IF(ISNUMBER(SEARCH("La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90" t="s">
        <v>88</v>
      </c>
      <c r="L1990">
        <v>15</v>
      </c>
      <c r="N1990" t="s">
        <v>303</v>
      </c>
    </row>
    <row r="1991" spans="1:14" outlineLevel="1" x14ac:dyDescent="0.25">
      <c r="A1991" t="s">
        <v>300</v>
      </c>
      <c r="C1991" t="s">
        <v>250</v>
      </c>
      <c r="D1991" t="str">
        <f>_xlfn.CONCAT("Nombre de trajets associés"," (",'Remplissage - Sit. Init.'!$C$53,")")</f>
        <v>Nombre de trajets associés (Catégorie 4)</v>
      </c>
      <c r="F1991" t="str">
        <f>_xlfn.CONCAT("ProjImmoPlatLogNbTraj",RIGHT(LEFT(D1991,LEN(D1991)-1),1))</f>
        <v>ProjImmoPlatLogNbTraj4</v>
      </c>
      <c r="G1991" t="s">
        <v>17</v>
      </c>
      <c r="H1991">
        <f>((((IF(ISNUMBER(SEARCH('Remplissage - Sit. Init.'!$I$53,$I$1975)),1,0))*(IF(ISNUMBER(SEARCH("La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91" t="s">
        <v>145</v>
      </c>
      <c r="L1991">
        <v>5</v>
      </c>
      <c r="N1991" t="s">
        <v>303</v>
      </c>
    </row>
    <row r="1992" spans="1:14" outlineLevel="1" x14ac:dyDescent="0.25">
      <c r="A1992" t="s">
        <v>300</v>
      </c>
      <c r="C1992" t="s">
        <v>250</v>
      </c>
      <c r="D1992" t="str">
        <f>_xlfn.CONCAT("Taux de chargement moyen des véhicules pour l'accès à la plateforme logistique"," (",'Remplissage - Sit. Init.'!$C$63,")")</f>
        <v>Taux de chargement moyen des véhicules pour l'accès à la plateforme logistique (Catégorie 5)</v>
      </c>
      <c r="F1992" t="str">
        <f>_xlfn.CONCAT("ProjImmoPlatLogTC",RIGHT(LEFT(D1992,LEN(D1992)-1),1))</f>
        <v>ProjImmoPlatLogTC5</v>
      </c>
      <c r="G1992" t="s">
        <v>17</v>
      </c>
      <c r="H1992">
        <f>(((IF(ISNUMBER(SEARCH('Remplissage - Sit. Init.'!$I$63,$I$1975)),1,0))*(IF($I$1823="Les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92" s="3"/>
      <c r="K1992" t="s">
        <v>70</v>
      </c>
      <c r="L1992" s="7">
        <v>0.8</v>
      </c>
      <c r="N1992" t="s">
        <v>303</v>
      </c>
    </row>
    <row r="1993" spans="1:14" outlineLevel="1" x14ac:dyDescent="0.25">
      <c r="A1993" t="s">
        <v>300</v>
      </c>
      <c r="C1993" t="s">
        <v>250</v>
      </c>
      <c r="D1993" t="str">
        <f>_xlfn.CONCAT("Distance parcourue associée"," (",'Remplissage - Sit. Init.'!$C$63,")")</f>
        <v>Distance parcourue associée (Catégorie 5)</v>
      </c>
      <c r="F1993" t="str">
        <f>_xlfn.CONCAT("ProjImmoPlatLogDist",RIGHT(LEFT(D1993,LEN(D1993)-1),1))</f>
        <v>ProjImmoPlatLogDist5</v>
      </c>
      <c r="G1993" t="s">
        <v>17</v>
      </c>
      <c r="H1993">
        <f>((((IF(ISNUMBER(SEARCH('Remplissage - Sit. Init.'!$I$63,$I$1975)),1,0))*(IF(ISNUMBER(SEARCH("La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93" t="s">
        <v>88</v>
      </c>
      <c r="L1993">
        <v>15</v>
      </c>
      <c r="N1993" t="s">
        <v>303</v>
      </c>
    </row>
    <row r="1994" spans="1:14" outlineLevel="1" x14ac:dyDescent="0.25">
      <c r="A1994" t="s">
        <v>300</v>
      </c>
      <c r="C1994" t="s">
        <v>250</v>
      </c>
      <c r="D1994" t="str">
        <f>_xlfn.CONCAT("Nombre de trajets associés"," (",'Remplissage - Sit. Init.'!$C$63,")")</f>
        <v>Nombre de trajets associés (Catégorie 5)</v>
      </c>
      <c r="F1994" t="str">
        <f>_xlfn.CONCAT("ProjImmoPlatLogNbTraj",RIGHT(LEFT(D1994,LEN(D1994)-1),1))</f>
        <v>ProjImmoPlatLogNbTraj5</v>
      </c>
      <c r="G1994" t="s">
        <v>17</v>
      </c>
      <c r="H1994">
        <f>((((IF(ISNUMBER(SEARCH('Remplissage - Sit. Init.'!$I$63,$I$1975)),1,0))*(IF(ISNUMBER(SEARCH("La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94" t="s">
        <v>145</v>
      </c>
      <c r="L1994">
        <v>5</v>
      </c>
      <c r="N1994" t="s">
        <v>303</v>
      </c>
    </row>
    <row r="1995" spans="1:14" outlineLevel="1" x14ac:dyDescent="0.25">
      <c r="A1995" t="s">
        <v>300</v>
      </c>
      <c r="C1995" t="s">
        <v>250</v>
      </c>
      <c r="D1995" t="str">
        <f>_xlfn.CONCAT("Taux de chargement moyen des véhicules pour l'accès à la plateforme logistique"," (",'Remplissage - Sit. Init.'!$C$73,")")</f>
        <v>Taux de chargement moyen des véhicules pour l'accès à la plateforme logistique (Catégorie 6)</v>
      </c>
      <c r="F1995" t="str">
        <f>_xlfn.CONCAT("ProjImmoPlatLogTC",RIGHT(LEFT(D1995,LEN(D1995)-1),1))</f>
        <v>ProjImmoPlatLogTC6</v>
      </c>
      <c r="G1995" t="s">
        <v>17</v>
      </c>
      <c r="H1995">
        <f>(((IF(ISNUMBER(SEARCH('Remplissage - Sit. Init.'!$I$73,$I$1975)),1,0))*(IF($I$1823="Les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95" s="3"/>
      <c r="K1995" t="s">
        <v>70</v>
      </c>
      <c r="L1995" s="7">
        <v>0.8</v>
      </c>
      <c r="N1995" t="s">
        <v>303</v>
      </c>
    </row>
    <row r="1996" spans="1:14" outlineLevel="1" x14ac:dyDescent="0.25">
      <c r="A1996" t="s">
        <v>300</v>
      </c>
      <c r="C1996" t="s">
        <v>250</v>
      </c>
      <c r="D1996" t="str">
        <f>_xlfn.CONCAT("Distance parcourue associée"," (",'Remplissage - Sit. Init.'!$C$73,")")</f>
        <v>Distance parcourue associée (Catégorie 6)</v>
      </c>
      <c r="F1996" t="str">
        <f>_xlfn.CONCAT("ProjImmoPlatLogDist",RIGHT(LEFT(D1996,LEN(D1996)-1),1))</f>
        <v>ProjImmoPlatLogDist6</v>
      </c>
      <c r="G1996" t="s">
        <v>17</v>
      </c>
      <c r="H1996">
        <f>((((IF(ISNUMBER(SEARCH('Remplissage - Sit. Init.'!$I$73,$I$1975)),1,0))*(IF(ISNUMBER(SEARCH("La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96" t="s">
        <v>88</v>
      </c>
      <c r="L1996">
        <v>15</v>
      </c>
      <c r="N1996" t="s">
        <v>303</v>
      </c>
    </row>
    <row r="1997" spans="1:14" outlineLevel="1" x14ac:dyDescent="0.25">
      <c r="A1997" t="s">
        <v>300</v>
      </c>
      <c r="C1997" t="s">
        <v>250</v>
      </c>
      <c r="D1997" t="str">
        <f>_xlfn.CONCAT("Nombre de trajets associés"," (",'Remplissage - Sit. Init.'!$C$73,")")</f>
        <v>Nombre de trajets associés (Catégorie 6)</v>
      </c>
      <c r="F1997" t="str">
        <f>_xlfn.CONCAT("ProjImmoPlatLogNbTraj",RIGHT(LEFT(D1997,LEN(D1997)-1),1))</f>
        <v>ProjImmoPlatLogNbTraj6</v>
      </c>
      <c r="G1997" t="s">
        <v>17</v>
      </c>
      <c r="H1997">
        <f>((((IF(ISNUMBER(SEARCH('Remplissage - Sit. Init.'!$I$73,$I$1975)),1,0))*(IF(ISNUMBER(SEARCH("La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97" t="s">
        <v>145</v>
      </c>
      <c r="L1997">
        <v>5</v>
      </c>
      <c r="N1997" t="s">
        <v>303</v>
      </c>
    </row>
    <row r="1998" spans="1:14" outlineLevel="1" x14ac:dyDescent="0.25">
      <c r="A1998" t="s">
        <v>300</v>
      </c>
      <c r="C1998" t="s">
        <v>250</v>
      </c>
      <c r="D1998" t="str">
        <f>_xlfn.CONCAT("Taux de chargement moyen des véhicules pour l'accès à la plateforme logistique"," (",'Remplissage - Sit. Init.'!$C$83,")")</f>
        <v>Taux de chargement moyen des véhicules pour l'accès à la plateforme logistique (Catégorie 7)</v>
      </c>
      <c r="F1998" t="str">
        <f>_xlfn.CONCAT("ProjImmoPlatLogTC",RIGHT(LEFT(D1998,LEN(D1998)-1),1))</f>
        <v>ProjImmoPlatLogTC7</v>
      </c>
      <c r="G1998" t="s">
        <v>17</v>
      </c>
      <c r="H1998">
        <f>(((IF(ISNUMBER(SEARCH('Remplissage - Sit. Init.'!$I$83,$I$1975)),1,0))*(IF($I$1823="Les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1998" s="3"/>
      <c r="K1998" t="s">
        <v>70</v>
      </c>
      <c r="L1998" s="7">
        <v>0.8</v>
      </c>
      <c r="N1998" t="s">
        <v>303</v>
      </c>
    </row>
    <row r="1999" spans="1:14" outlineLevel="1" x14ac:dyDescent="0.25">
      <c r="A1999" t="s">
        <v>300</v>
      </c>
      <c r="C1999" t="s">
        <v>250</v>
      </c>
      <c r="D1999" t="str">
        <f>_xlfn.CONCAT("Distance parcourue associée"," (",'Remplissage - Sit. Init.'!$C$83,")")</f>
        <v>Distance parcourue associée (Catégorie 7)</v>
      </c>
      <c r="F1999" t="str">
        <f>_xlfn.CONCAT("ProjImmoPlatLogDist",RIGHT(LEFT(D1999,LEN(D1999)-1),1))</f>
        <v>ProjImmoPlatLogDist7</v>
      </c>
      <c r="G1999" t="s">
        <v>17</v>
      </c>
      <c r="H1999">
        <f>((((IF(ISNUMBER(SEARCH('Remplissage - Sit. Init.'!$I$83,$I$1975)),1,0))*(IF(ISNUMBER(SEARCH("La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1999" t="s">
        <v>88</v>
      </c>
      <c r="L1999">
        <v>15</v>
      </c>
      <c r="N1999" t="s">
        <v>303</v>
      </c>
    </row>
    <row r="2000" spans="1:14" outlineLevel="1" x14ac:dyDescent="0.25">
      <c r="A2000" t="s">
        <v>300</v>
      </c>
      <c r="C2000" t="s">
        <v>250</v>
      </c>
      <c r="D2000" t="str">
        <f>_xlfn.CONCAT("Nombre de trajets associés"," (",'Remplissage - Sit. Init.'!$C$83,")")</f>
        <v>Nombre de trajets associés (Catégorie 7)</v>
      </c>
      <c r="F2000" t="str">
        <f>_xlfn.CONCAT("ProjImmoPlatLogNbTraj",RIGHT(LEFT(D2000,LEN(D2000)-1),1))</f>
        <v>ProjImmoPlatLogNbTraj7</v>
      </c>
      <c r="G2000" t="s">
        <v>17</v>
      </c>
      <c r="H2000">
        <f>((((IF(ISNUMBER(SEARCH('Remplissage - Sit. Init.'!$I$83,$I$1975)),1,0))*(IF(ISNUMBER(SEARCH("La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00" t="s">
        <v>145</v>
      </c>
      <c r="L2000">
        <v>5</v>
      </c>
      <c r="N2000" t="s">
        <v>303</v>
      </c>
    </row>
    <row r="2001" spans="1:14" outlineLevel="1" x14ac:dyDescent="0.25">
      <c r="A2001" t="s">
        <v>300</v>
      </c>
      <c r="C2001" t="s">
        <v>250</v>
      </c>
      <c r="D2001" t="str">
        <f>_xlfn.CONCAT("Taux de chargement moyen des véhicules pour l'accès à la plateforme logistique"," (",'Remplissage - Sit. Init.'!$C$93,")")</f>
        <v>Taux de chargement moyen des véhicules pour l'accès à la plateforme logistique (Catégorie 8)</v>
      </c>
      <c r="F2001" t="str">
        <f>_xlfn.CONCAT("ProjImmoPlatLogTC",RIGHT(LEFT(D2001,LEN(D2001)-1),1))</f>
        <v>ProjImmoPlatLogTC8</v>
      </c>
      <c r="G2001" t="s">
        <v>17</v>
      </c>
      <c r="H2001">
        <f>(((IF(ISNUMBER(SEARCH('Remplissage - Sit. Init.'!$I$93,$I$1975)),1,0))*(IF($I$1823="Les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01" s="3"/>
      <c r="K2001" t="s">
        <v>70</v>
      </c>
      <c r="L2001" s="7">
        <v>0.8</v>
      </c>
      <c r="N2001" t="s">
        <v>303</v>
      </c>
    </row>
    <row r="2002" spans="1:14" outlineLevel="1" x14ac:dyDescent="0.25">
      <c r="A2002" t="s">
        <v>300</v>
      </c>
      <c r="C2002" t="s">
        <v>250</v>
      </c>
      <c r="D2002" t="str">
        <f>_xlfn.CONCAT("Distance parcourue associée"," (",'Remplissage - Sit. Init.'!$C$93,")")</f>
        <v>Distance parcourue associée (Catégorie 8)</v>
      </c>
      <c r="F2002" t="str">
        <f>_xlfn.CONCAT("ProjImmoPlatLogDist",RIGHT(LEFT(D2002,LEN(D2002)-1),1))</f>
        <v>ProjImmoPlatLogDist8</v>
      </c>
      <c r="G2002" t="s">
        <v>17</v>
      </c>
      <c r="H2002">
        <f>((((IF(ISNUMBER(SEARCH('Remplissage - Sit. Init.'!$I$93,$I$1975)),1,0))*(IF(ISNUMBER(SEARCH("La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02" t="s">
        <v>88</v>
      </c>
      <c r="L2002">
        <v>15</v>
      </c>
      <c r="N2002" t="s">
        <v>303</v>
      </c>
    </row>
    <row r="2003" spans="1:14" outlineLevel="1" x14ac:dyDescent="0.25">
      <c r="A2003" t="s">
        <v>300</v>
      </c>
      <c r="C2003" t="s">
        <v>250</v>
      </c>
      <c r="D2003" t="str">
        <f>_xlfn.CONCAT("Nombre de trajets associés"," (",'Remplissage - Sit. Init.'!$C$93,")")</f>
        <v>Nombre de trajets associés (Catégorie 8)</v>
      </c>
      <c r="F2003" t="str">
        <f>_xlfn.CONCAT("ProjImmoPlatLogNbTraj",RIGHT(LEFT(D2003,LEN(D2003)-1),1))</f>
        <v>ProjImmoPlatLogNbTraj8</v>
      </c>
      <c r="G2003" t="s">
        <v>17</v>
      </c>
      <c r="H2003">
        <f>((((IF(ISNUMBER(SEARCH('Remplissage - Sit. Init.'!$I$93,$I$1975)),1,0))*(IF(ISNUMBER(SEARCH("La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03" t="s">
        <v>145</v>
      </c>
      <c r="L2003">
        <v>5</v>
      </c>
      <c r="N2003" t="s">
        <v>303</v>
      </c>
    </row>
    <row r="2004" spans="1:14" outlineLevel="1" x14ac:dyDescent="0.25">
      <c r="A2004" t="s">
        <v>300</v>
      </c>
      <c r="C2004" t="s">
        <v>250</v>
      </c>
      <c r="D2004" t="str">
        <f>_xlfn.CONCAT("Taux de chargement moyen des véhicules pour l'accès à la plateforme logistique"," (",'Remplissage - Sit. Init.'!$C$103,")")</f>
        <v>Taux de chargement moyen des véhicules pour l'accès à la plateforme logistique (Catégorie 9)</v>
      </c>
      <c r="F2004" t="str">
        <f>_xlfn.CONCAT("ProjImmoPlatLogTC",RIGHT(LEFT(D2004,LEN(D2004)-1),1))</f>
        <v>ProjImmoPlatLogTC9</v>
      </c>
      <c r="G2004" t="s">
        <v>17</v>
      </c>
      <c r="H2004">
        <f>(((IF(ISNUMBER(SEARCH('Remplissage - Sit. Init.'!$I$103,$I$1975)),1,0))*(IF($I$1823="Les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04" s="3"/>
      <c r="K2004" t="s">
        <v>70</v>
      </c>
      <c r="L2004" s="7">
        <v>0.8</v>
      </c>
      <c r="N2004" t="s">
        <v>303</v>
      </c>
    </row>
    <row r="2005" spans="1:14" outlineLevel="1" x14ac:dyDescent="0.25">
      <c r="A2005" t="s">
        <v>300</v>
      </c>
      <c r="C2005" t="s">
        <v>250</v>
      </c>
      <c r="D2005" t="str">
        <f>_xlfn.CONCAT("Distance parcourue associée"," (",'Remplissage - Sit. Init.'!$C$103,")")</f>
        <v>Distance parcourue associée (Catégorie 9)</v>
      </c>
      <c r="F2005" t="str">
        <f>_xlfn.CONCAT("ProjImmoPlatLogDist",RIGHT(LEFT(D2005,LEN(D2005)-1),1))</f>
        <v>ProjImmoPlatLogDist9</v>
      </c>
      <c r="G2005" t="s">
        <v>17</v>
      </c>
      <c r="H2005">
        <f>((((IF(ISNUMBER(SEARCH('Remplissage - Sit. Init.'!$I$103,$I$1975)),1,0))*(IF(ISNUMBER(SEARCH("La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05" t="s">
        <v>88</v>
      </c>
      <c r="L2005">
        <v>15</v>
      </c>
      <c r="N2005" t="s">
        <v>303</v>
      </c>
    </row>
    <row r="2006" spans="1:14" outlineLevel="1" x14ac:dyDescent="0.25">
      <c r="A2006" t="s">
        <v>300</v>
      </c>
      <c r="C2006" t="s">
        <v>250</v>
      </c>
      <c r="D2006" t="str">
        <f>_xlfn.CONCAT("Nombre de trajets associés"," (",'Remplissage - Sit. Init.'!$C$103,")")</f>
        <v>Nombre de trajets associés (Catégorie 9)</v>
      </c>
      <c r="F2006" t="str">
        <f>_xlfn.CONCAT("ProjImmoPlatLogNbTraj",RIGHT(LEFT(D2006,LEN(D2006)-1),1))</f>
        <v>ProjImmoPlatLogNbTraj9</v>
      </c>
      <c r="G2006" t="s">
        <v>17</v>
      </c>
      <c r="H2006">
        <f>((((IF(ISNUMBER(SEARCH('Remplissage - Sit. Init.'!$I$103,$I$1975)),1,0))*(IF(ISNUMBER(SEARCH("La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06" t="s">
        <v>145</v>
      </c>
      <c r="L2006">
        <v>5</v>
      </c>
      <c r="N2006" t="s">
        <v>303</v>
      </c>
    </row>
    <row r="2007" spans="1:14" outlineLevel="1" x14ac:dyDescent="0.25">
      <c r="A2007" t="s">
        <v>300</v>
      </c>
      <c r="C2007" t="s">
        <v>250</v>
      </c>
      <c r="D2007" t="str">
        <f>_xlfn.CONCAT("Taux de chargement moyen des véhicules pour l'accès à la plateforme logistique"," (",'Remplissage - Sit. Init.'!$C$113,")")</f>
        <v>Taux de chargement moyen des véhicules pour l'accès à la plateforme logistique (Catégorie 10)</v>
      </c>
      <c r="F2007" t="str">
        <f>_xlfn.CONCAT("ProjImmoPlatLogTC",RIGHT(LEFT(D2007,LEN(D2007)-1),2))</f>
        <v>ProjImmoPlatLogTC10</v>
      </c>
      <c r="G2007" t="s">
        <v>17</v>
      </c>
      <c r="H2007">
        <f>(((IF(ISNUMBER(SEARCH('Remplissage - Sit. Init.'!$I$113,$I$1975)),1,0))*(IF($I$1823="Les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07" s="3"/>
      <c r="K2007" t="s">
        <v>70</v>
      </c>
      <c r="L2007" s="7">
        <v>0.8</v>
      </c>
      <c r="N2007" t="s">
        <v>303</v>
      </c>
    </row>
    <row r="2008" spans="1:14" outlineLevel="1" x14ac:dyDescent="0.25">
      <c r="A2008" t="s">
        <v>300</v>
      </c>
      <c r="C2008" t="s">
        <v>250</v>
      </c>
      <c r="D2008" t="str">
        <f>_xlfn.CONCAT("Distance parcourue associée"," (",'Remplissage - Sit. Init.'!$C$113,")")</f>
        <v>Distance parcourue associée (Catégorie 10)</v>
      </c>
      <c r="F2008" t="str">
        <f>_xlfn.CONCAT("ProjImmoPlatLogDist",RIGHT(LEFT(D2008,LEN(D2008)-1),2))</f>
        <v>ProjImmoPlatLogDist10</v>
      </c>
      <c r="G2008" t="s">
        <v>17</v>
      </c>
      <c r="H2008">
        <f>((((IF(ISNUMBER(SEARCH('Remplissage - Sit. Init.'!$I$113,$I$1975)),1,0))*(IF(ISNUMBER(SEARCH("La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08" t="s">
        <v>88</v>
      </c>
      <c r="L2008">
        <v>15</v>
      </c>
      <c r="N2008" t="s">
        <v>303</v>
      </c>
    </row>
    <row r="2009" spans="1:14" outlineLevel="1" x14ac:dyDescent="0.25">
      <c r="A2009" t="s">
        <v>300</v>
      </c>
      <c r="C2009" t="s">
        <v>250</v>
      </c>
      <c r="D2009" t="str">
        <f>_xlfn.CONCAT("Nombre de trajets associés"," (",'Remplissage - Sit. Init.'!$C$113,")")</f>
        <v>Nombre de trajets associés (Catégorie 10)</v>
      </c>
      <c r="F2009" t="str">
        <f>_xlfn.CONCAT("ProjImmoPlatLogNbTraj",RIGHT(LEFT(D2009,LEN(D2009)-1),2))</f>
        <v>ProjImmoPlatLogNbTraj10</v>
      </c>
      <c r="G2009" t="s">
        <v>17</v>
      </c>
      <c r="H2009">
        <f>((((IF(ISNUMBER(SEARCH('Remplissage - Sit. Init.'!$I$113,$I$1975)),1,0))*(IF(ISNUMBER(SEARCH("La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09" t="s">
        <v>145</v>
      </c>
      <c r="L2009">
        <v>5</v>
      </c>
      <c r="N2009" t="s">
        <v>303</v>
      </c>
    </row>
    <row r="2010" spans="1:14" outlineLevel="1" x14ac:dyDescent="0.25">
      <c r="A2010" t="s">
        <v>300</v>
      </c>
      <c r="C2010" t="s">
        <v>250</v>
      </c>
      <c r="D2010" t="str">
        <f>_xlfn.CONCAT("Taux de chargement moyen des véhicules pour l'accès à la plateforme logistique"," (",'Remplissage - Sit. Init.'!$C$123,")")</f>
        <v>Taux de chargement moyen des véhicules pour l'accès à la plateforme logistique (Catégorie 11)</v>
      </c>
      <c r="F2010" t="str">
        <f>_xlfn.CONCAT("ProjImmoPlatLogTC",RIGHT(LEFT(D2010,LEN(D2010)-1),2))</f>
        <v>ProjImmoPlatLogTC11</v>
      </c>
      <c r="G2010" t="s">
        <v>17</v>
      </c>
      <c r="H201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10" s="3"/>
      <c r="K2010" t="s">
        <v>70</v>
      </c>
      <c r="L2010" s="7">
        <v>0.8</v>
      </c>
      <c r="N2010" t="s">
        <v>303</v>
      </c>
    </row>
    <row r="2011" spans="1:14" outlineLevel="1" x14ac:dyDescent="0.25">
      <c r="A2011" t="s">
        <v>300</v>
      </c>
      <c r="C2011" t="s">
        <v>250</v>
      </c>
      <c r="D2011" t="str">
        <f>_xlfn.CONCAT("Distance parcourue associée"," (",'Remplissage - Sit. Init.'!$C$123,")")</f>
        <v>Distance parcourue associée (Catégorie 11)</v>
      </c>
      <c r="F2011" t="str">
        <f>_xlfn.CONCAT("ProjImmoPlatLogDist",RIGHT(LEFT(D2011,LEN(D2011)-1),2))</f>
        <v>ProjImmoPlatLogDist11</v>
      </c>
      <c r="G2011" t="s">
        <v>17</v>
      </c>
      <c r="H201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11" t="s">
        <v>88</v>
      </c>
      <c r="L2011">
        <v>15</v>
      </c>
      <c r="N2011" t="s">
        <v>303</v>
      </c>
    </row>
    <row r="2012" spans="1:14" outlineLevel="1" x14ac:dyDescent="0.25">
      <c r="A2012" t="s">
        <v>300</v>
      </c>
      <c r="C2012" t="s">
        <v>250</v>
      </c>
      <c r="D2012" t="str">
        <f>_xlfn.CONCAT("Nombre de trajets associés"," (",'Remplissage - Sit. Init.'!$C$123,")")</f>
        <v>Nombre de trajets associés (Catégorie 11)</v>
      </c>
      <c r="F2012" t="str">
        <f>_xlfn.CONCAT("ProjImmoPlatLogNbTraj",RIGHT(LEFT(D2012,LEN(D2012)-1),2))</f>
        <v>ProjImmoPlatLogNbTraj11</v>
      </c>
      <c r="G2012" t="s">
        <v>17</v>
      </c>
      <c r="H201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12" t="s">
        <v>145</v>
      </c>
      <c r="L2012">
        <v>5</v>
      </c>
      <c r="N2012" t="s">
        <v>303</v>
      </c>
    </row>
    <row r="2013" spans="1:14" outlineLevel="1" x14ac:dyDescent="0.25">
      <c r="A2013" t="s">
        <v>300</v>
      </c>
      <c r="C2013" t="s">
        <v>250</v>
      </c>
      <c r="D2013" t="str">
        <f>_xlfn.CONCAT("Taux de chargement moyen des véhicules pour l'accès à la plateforme logistique"," (",'Remplissage - Sit. Init.'!$C$133,")")</f>
        <v>Taux de chargement moyen des véhicules pour l'accès à la plateforme logistique (Catégorie 12)</v>
      </c>
      <c r="F2013" t="str">
        <f>_xlfn.CONCAT("ProjImmoPlatLogTC",RIGHT(LEFT(D2013,LEN(D2013)-1),2))</f>
        <v>ProjImmoPlatLogTC12</v>
      </c>
      <c r="G2013" t="s">
        <v>17</v>
      </c>
      <c r="H201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13" s="3"/>
      <c r="K2013" t="s">
        <v>70</v>
      </c>
      <c r="L2013" s="7">
        <v>0.8</v>
      </c>
      <c r="N2013" t="s">
        <v>303</v>
      </c>
    </row>
    <row r="2014" spans="1:14" outlineLevel="1" x14ac:dyDescent="0.25">
      <c r="A2014" t="s">
        <v>300</v>
      </c>
      <c r="C2014" t="s">
        <v>250</v>
      </c>
      <c r="D2014" t="str">
        <f>_xlfn.CONCAT("Distance parcourue associée"," (",'Remplissage - Sit. Init.'!$C$133,")")</f>
        <v>Distance parcourue associée (Catégorie 12)</v>
      </c>
      <c r="F2014" t="str">
        <f>_xlfn.CONCAT("ProjImmoPlatLogDist",RIGHT(LEFT(D2014,LEN(D2014)-1),2))</f>
        <v>ProjImmoPlatLogDist12</v>
      </c>
      <c r="G2014" t="s">
        <v>17</v>
      </c>
      <c r="H201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14" t="s">
        <v>88</v>
      </c>
      <c r="L2014">
        <v>15</v>
      </c>
      <c r="N2014" t="s">
        <v>303</v>
      </c>
    </row>
    <row r="2015" spans="1:14" outlineLevel="1" x14ac:dyDescent="0.25">
      <c r="A2015" t="s">
        <v>300</v>
      </c>
      <c r="C2015" t="s">
        <v>250</v>
      </c>
      <c r="D2015" t="str">
        <f>_xlfn.CONCAT("Nombre de trajets associés"," (",'Remplissage - Sit. Init.'!$C$133,")")</f>
        <v>Nombre de trajets associés (Catégorie 12)</v>
      </c>
      <c r="F2015" t="str">
        <f>_xlfn.CONCAT("ProjImmoPlatLogNbTraj",RIGHT(LEFT(D2015,LEN(D2015)-1),2))</f>
        <v>ProjImmoPlatLogNbTraj12</v>
      </c>
      <c r="G2015" t="s">
        <v>17</v>
      </c>
      <c r="H201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15" t="s">
        <v>145</v>
      </c>
      <c r="L2015">
        <v>5</v>
      </c>
      <c r="N2015" t="s">
        <v>303</v>
      </c>
    </row>
    <row r="2016" spans="1:14" outlineLevel="1" x14ac:dyDescent="0.25">
      <c r="A2016" t="s">
        <v>300</v>
      </c>
      <c r="C2016" t="s">
        <v>250</v>
      </c>
      <c r="D2016" t="str">
        <f>_xlfn.CONCAT("Taux de chargement moyen des véhicules pour l'accès à la plateforme logistique"," (",'Remplissage - Sit. Init.'!$C$143,")")</f>
        <v>Taux de chargement moyen des véhicules pour l'accès à la plateforme logistique (Catégorie 13)</v>
      </c>
      <c r="F2016" t="str">
        <f>_xlfn.CONCAT("ProjImmoPlatLogTC",RIGHT(LEFT(D2016,LEN(D2016)-1),2))</f>
        <v>ProjImmoPlatLogTC13</v>
      </c>
      <c r="G2016" t="s">
        <v>17</v>
      </c>
      <c r="H201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16" s="3"/>
      <c r="K2016" t="s">
        <v>70</v>
      </c>
      <c r="L2016" s="7">
        <v>0.8</v>
      </c>
      <c r="N2016" t="s">
        <v>303</v>
      </c>
    </row>
    <row r="2017" spans="1:14" outlineLevel="1" x14ac:dyDescent="0.25">
      <c r="A2017" t="s">
        <v>300</v>
      </c>
      <c r="C2017" t="s">
        <v>250</v>
      </c>
      <c r="D2017" t="str">
        <f>_xlfn.CONCAT("Distance parcourue associée"," (",'Remplissage - Sit. Init.'!$C$143,")")</f>
        <v>Distance parcourue associée (Catégorie 13)</v>
      </c>
      <c r="F2017" t="str">
        <f>_xlfn.CONCAT("ProjImmoPlatLogDist",RIGHT(LEFT(D2017,LEN(D2017)-1),2))</f>
        <v>ProjImmoPlatLogDist13</v>
      </c>
      <c r="G2017" t="s">
        <v>17</v>
      </c>
      <c r="H201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17" t="s">
        <v>88</v>
      </c>
      <c r="L2017">
        <v>15</v>
      </c>
      <c r="N2017" t="s">
        <v>303</v>
      </c>
    </row>
    <row r="2018" spans="1:14" outlineLevel="1" x14ac:dyDescent="0.25">
      <c r="A2018" t="s">
        <v>300</v>
      </c>
      <c r="C2018" t="s">
        <v>250</v>
      </c>
      <c r="D2018" t="str">
        <f>_xlfn.CONCAT("Nombre de trajets associés"," (",'Remplissage - Sit. Init.'!$C$143,")")</f>
        <v>Nombre de trajets associés (Catégorie 13)</v>
      </c>
      <c r="F2018" t="str">
        <f>_xlfn.CONCAT("ProjImmoPlatLogNbTraj",RIGHT(LEFT(D2018,LEN(D2018)-1),2))</f>
        <v>ProjImmoPlatLogNbTraj13</v>
      </c>
      <c r="G2018" t="s">
        <v>17</v>
      </c>
      <c r="H201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18" t="s">
        <v>145</v>
      </c>
      <c r="L2018">
        <v>5</v>
      </c>
      <c r="N2018" t="s">
        <v>303</v>
      </c>
    </row>
    <row r="2019" spans="1:14" outlineLevel="1" x14ac:dyDescent="0.25">
      <c r="A2019" t="s">
        <v>300</v>
      </c>
      <c r="C2019" t="s">
        <v>250</v>
      </c>
      <c r="D2019" t="str">
        <f>_xlfn.CONCAT("Taux de chargement moyen des véhicules pour l'accès à la plateforme logistique"," (",'Remplissage - Sit. Init.'!$C$153,")")</f>
        <v>Taux de chargement moyen des véhicules pour l'accès à la plateforme logistique (Catégorie 14)</v>
      </c>
      <c r="F2019" t="str">
        <f>_xlfn.CONCAT("ProjImmoPlatLogTC",RIGHT(LEFT(D2019,LEN(D2019)-1),2))</f>
        <v>ProjImmoPlatLogTC14</v>
      </c>
      <c r="G2019" t="s">
        <v>17</v>
      </c>
      <c r="H201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19" s="3"/>
      <c r="K2019" t="s">
        <v>70</v>
      </c>
      <c r="L2019" s="7">
        <v>0.8</v>
      </c>
      <c r="N2019" t="s">
        <v>303</v>
      </c>
    </row>
    <row r="2020" spans="1:14" outlineLevel="1" x14ac:dyDescent="0.25">
      <c r="A2020" t="s">
        <v>300</v>
      </c>
      <c r="C2020" t="s">
        <v>250</v>
      </c>
      <c r="D2020" t="str">
        <f>_xlfn.CONCAT("Distance parcourue associée"," (",'Remplissage - Sit. Init.'!$C$153,")")</f>
        <v>Distance parcourue associée (Catégorie 14)</v>
      </c>
      <c r="F2020" t="str">
        <f>_xlfn.CONCAT("ProjImmoPlatLogDist",RIGHT(LEFT(D2020,LEN(D2020)-1),2))</f>
        <v>ProjImmoPlatLogDist14</v>
      </c>
      <c r="G2020" t="s">
        <v>17</v>
      </c>
      <c r="H202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20" t="s">
        <v>88</v>
      </c>
      <c r="L2020">
        <v>15</v>
      </c>
      <c r="N2020" t="s">
        <v>303</v>
      </c>
    </row>
    <row r="2021" spans="1:14" outlineLevel="1" x14ac:dyDescent="0.25">
      <c r="A2021" t="s">
        <v>300</v>
      </c>
      <c r="C2021" t="s">
        <v>250</v>
      </c>
      <c r="D2021" t="str">
        <f>_xlfn.CONCAT("Nombre de trajets associés"," (",'Remplissage - Sit. Init.'!$C$153,")")</f>
        <v>Nombre de trajets associés (Catégorie 14)</v>
      </c>
      <c r="F2021" t="str">
        <f>_xlfn.CONCAT("ProjImmoPlatLogNbTraj",RIGHT(LEFT(D2021,LEN(D2021)-1),2))</f>
        <v>ProjImmoPlatLogNbTraj14</v>
      </c>
      <c r="G2021" t="s">
        <v>17</v>
      </c>
      <c r="H202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21" t="s">
        <v>145</v>
      </c>
      <c r="L2021">
        <v>5</v>
      </c>
      <c r="N2021" t="s">
        <v>303</v>
      </c>
    </row>
    <row r="2022" spans="1:14" outlineLevel="1" x14ac:dyDescent="0.25">
      <c r="A2022" t="s">
        <v>300</v>
      </c>
      <c r="C2022" t="s">
        <v>250</v>
      </c>
      <c r="D2022" t="str">
        <f>_xlfn.CONCAT("Taux de chargement moyen des véhicules pour l'accès à la plateforme logistique"," (",'Remplissage - Sit. Init.'!$C$163,")")</f>
        <v>Taux de chargement moyen des véhicules pour l'accès à la plateforme logistique (Catégorie 15)</v>
      </c>
      <c r="F2022" t="str">
        <f>_xlfn.CONCAT("ProjImmoPlatLogTC",RIGHT(LEFT(D2022,LEN(D2022)-1),2))</f>
        <v>ProjImmoPlatLogTC15</v>
      </c>
      <c r="G2022" t="s">
        <v>17</v>
      </c>
      <c r="H202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22" s="3"/>
      <c r="K2022" t="s">
        <v>70</v>
      </c>
      <c r="L2022" s="7">
        <v>0.8</v>
      </c>
      <c r="N2022" t="s">
        <v>303</v>
      </c>
    </row>
    <row r="2023" spans="1:14" outlineLevel="1" x14ac:dyDescent="0.25">
      <c r="A2023" t="s">
        <v>300</v>
      </c>
      <c r="C2023" t="s">
        <v>250</v>
      </c>
      <c r="D2023" t="str">
        <f>_xlfn.CONCAT("Distance parcourue associée"," (",'Remplissage - Sit. Init.'!$C$163,")")</f>
        <v>Distance parcourue associée (Catégorie 15)</v>
      </c>
      <c r="F2023" t="str">
        <f>_xlfn.CONCAT("ProjImmoPlatLogDist",RIGHT(LEFT(D2023,LEN(D2023)-1),2))</f>
        <v>ProjImmoPlatLogDist15</v>
      </c>
      <c r="G2023" t="s">
        <v>17</v>
      </c>
      <c r="H202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23" t="s">
        <v>88</v>
      </c>
      <c r="L2023">
        <v>15</v>
      </c>
      <c r="N2023" t="s">
        <v>303</v>
      </c>
    </row>
    <row r="2024" spans="1:14" outlineLevel="1" x14ac:dyDescent="0.25">
      <c r="A2024" t="s">
        <v>300</v>
      </c>
      <c r="C2024" t="s">
        <v>250</v>
      </c>
      <c r="D2024" t="str">
        <f>_xlfn.CONCAT("Nombre de trajets associés"," (",'Remplissage - Sit. Init.'!$C$163,")")</f>
        <v>Nombre de trajets associés (Catégorie 15)</v>
      </c>
      <c r="F2024" t="str">
        <f>_xlfn.CONCAT("ProjImmoPlatLogNbTraj",RIGHT(LEFT(D2024,LEN(D2024)-1),2))</f>
        <v>ProjImmoPlatLogNbTraj15</v>
      </c>
      <c r="G2024" t="s">
        <v>17</v>
      </c>
      <c r="H202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24" t="s">
        <v>145</v>
      </c>
      <c r="L2024">
        <v>5</v>
      </c>
      <c r="N2024" t="s">
        <v>303</v>
      </c>
    </row>
    <row r="2025" spans="1:14" outlineLevel="1" x14ac:dyDescent="0.25">
      <c r="A2025" t="s">
        <v>300</v>
      </c>
      <c r="C2025" t="s">
        <v>250</v>
      </c>
      <c r="D2025" t="str">
        <f>_xlfn.CONCAT("Taux de chargement moyen des véhicules pour l'accès à la plateforme logistique"," (",'Remplissage - Sit. Init.'!$C$173,")")</f>
        <v>Taux de chargement moyen des véhicules pour l'accès à la plateforme logistique (Catégorie 16)</v>
      </c>
      <c r="F2025" t="str">
        <f>_xlfn.CONCAT("ProjImmoPlatLogTC",RIGHT(LEFT(D2025,LEN(D2025)-1),2))</f>
        <v>ProjImmoPlatLogTC16</v>
      </c>
      <c r="G2025" t="s">
        <v>17</v>
      </c>
      <c r="H2025">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25" s="3"/>
      <c r="K2025" t="s">
        <v>70</v>
      </c>
      <c r="L2025" s="7">
        <v>0.8</v>
      </c>
      <c r="N2025" t="s">
        <v>303</v>
      </c>
    </row>
    <row r="2026" spans="1:14" outlineLevel="1" x14ac:dyDescent="0.25">
      <c r="A2026" t="s">
        <v>300</v>
      </c>
      <c r="C2026" t="s">
        <v>250</v>
      </c>
      <c r="D2026" t="str">
        <f>_xlfn.CONCAT("Distance parcourue associée"," (",'Remplissage - Sit. Init.'!$C$173,")")</f>
        <v>Distance parcourue associée (Catégorie 16)</v>
      </c>
      <c r="F2026" t="str">
        <f>_xlfn.CONCAT("ProjImmoPlatLogDist",RIGHT(LEFT(D2026,LEN(D2026)-1),2))</f>
        <v>ProjImmoPlatLogDist16</v>
      </c>
      <c r="G2026" t="s">
        <v>17</v>
      </c>
      <c r="H2026">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26" t="s">
        <v>88</v>
      </c>
      <c r="L2026">
        <v>15</v>
      </c>
      <c r="N2026" t="s">
        <v>303</v>
      </c>
    </row>
    <row r="2027" spans="1:14" outlineLevel="1" x14ac:dyDescent="0.25">
      <c r="A2027" t="s">
        <v>300</v>
      </c>
      <c r="C2027" t="s">
        <v>250</v>
      </c>
      <c r="D2027" t="str">
        <f>_xlfn.CONCAT("Nombre de trajets associés"," (",'Remplissage - Sit. Init.'!$C$173,")")</f>
        <v>Nombre de trajets associés (Catégorie 16)</v>
      </c>
      <c r="F2027" t="str">
        <f>_xlfn.CONCAT("ProjImmoPlatLogNbTraj",RIGHT(LEFT(D2027,LEN(D2027)-1),2))</f>
        <v>ProjImmoPlatLogNbTraj16</v>
      </c>
      <c r="G2027" t="s">
        <v>17</v>
      </c>
      <c r="H2027">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27" t="s">
        <v>145</v>
      </c>
      <c r="L2027">
        <v>5</v>
      </c>
      <c r="N2027" t="s">
        <v>303</v>
      </c>
    </row>
    <row r="2028" spans="1:14" outlineLevel="1" x14ac:dyDescent="0.25">
      <c r="A2028" t="s">
        <v>300</v>
      </c>
      <c r="C2028" t="s">
        <v>250</v>
      </c>
      <c r="D2028" t="str">
        <f>_xlfn.CONCAT("Taux de chargement moyen des véhicules pour l'accès à la plateforme logistique"," (",'Remplissage - Sit. Init.'!$C$183,")")</f>
        <v>Taux de chargement moyen des véhicules pour l'accès à la plateforme logistique (Catégorie 17)</v>
      </c>
      <c r="F2028" t="str">
        <f>_xlfn.CONCAT("ProjImmoPlatLogTC",RIGHT(LEFT(D2028,LEN(D2028)-1),2))</f>
        <v>ProjImmoPlatLogTC17</v>
      </c>
      <c r="G2028" t="s">
        <v>17</v>
      </c>
      <c r="H2028">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28" s="3"/>
      <c r="K2028" t="s">
        <v>70</v>
      </c>
      <c r="L2028" s="7">
        <v>0.8</v>
      </c>
      <c r="N2028" t="s">
        <v>303</v>
      </c>
    </row>
    <row r="2029" spans="1:14" outlineLevel="1" x14ac:dyDescent="0.25">
      <c r="A2029" t="s">
        <v>300</v>
      </c>
      <c r="C2029" t="s">
        <v>250</v>
      </c>
      <c r="D2029" t="str">
        <f>_xlfn.CONCAT("Distance parcourue associée"," (",'Remplissage - Sit. Init.'!$C$183,")")</f>
        <v>Distance parcourue associée (Catégorie 17)</v>
      </c>
      <c r="F2029" t="str">
        <f>_xlfn.CONCAT("ProjImmoPlatLogDist",RIGHT(LEFT(D2029,LEN(D2029)-1),2))</f>
        <v>ProjImmoPlatLogDist17</v>
      </c>
      <c r="G2029" t="s">
        <v>17</v>
      </c>
      <c r="H2029">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29" t="s">
        <v>88</v>
      </c>
      <c r="L2029">
        <v>15</v>
      </c>
      <c r="N2029" t="s">
        <v>303</v>
      </c>
    </row>
    <row r="2030" spans="1:14" outlineLevel="1" x14ac:dyDescent="0.25">
      <c r="A2030" t="s">
        <v>300</v>
      </c>
      <c r="C2030" t="s">
        <v>250</v>
      </c>
      <c r="D2030" t="str">
        <f>_xlfn.CONCAT("Nombre de trajets associés"," (",'Remplissage - Sit. Init.'!$C$183,")")</f>
        <v>Nombre de trajets associés (Catégorie 17)</v>
      </c>
      <c r="F2030" t="str">
        <f>_xlfn.CONCAT("ProjImmoPlatLogNbTraj",RIGHT(LEFT(D2030,LEN(D2030)-1),2))</f>
        <v>ProjImmoPlatLogNbTraj17</v>
      </c>
      <c r="G2030" t="s">
        <v>17</v>
      </c>
      <c r="H2030">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30" t="s">
        <v>145</v>
      </c>
      <c r="L2030">
        <v>5</v>
      </c>
      <c r="N2030" t="s">
        <v>303</v>
      </c>
    </row>
    <row r="2031" spans="1:14" outlineLevel="1" x14ac:dyDescent="0.25">
      <c r="A2031" t="s">
        <v>300</v>
      </c>
      <c r="C2031" t="s">
        <v>250</v>
      </c>
      <c r="D2031" t="str">
        <f>_xlfn.CONCAT("Taux de chargement moyen des véhicules pour l'accès à la plateforme logistique"," (",'Remplissage - Sit. Init.'!$C$193,")")</f>
        <v>Taux de chargement moyen des véhicules pour l'accès à la plateforme logistique (Catégorie 18)</v>
      </c>
      <c r="F2031" t="str">
        <f>_xlfn.CONCAT("ProjImmoPlatLogTC",RIGHT(LEFT(D2031,LEN(D2031)-1),2))</f>
        <v>ProjImmoPlatLogTC18</v>
      </c>
      <c r="G2031" t="s">
        <v>17</v>
      </c>
      <c r="H2031">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31" s="3"/>
      <c r="K2031" t="s">
        <v>70</v>
      </c>
      <c r="L2031" s="7">
        <v>0.8</v>
      </c>
      <c r="N2031" t="s">
        <v>303</v>
      </c>
    </row>
    <row r="2032" spans="1:14" outlineLevel="1" x14ac:dyDescent="0.25">
      <c r="A2032" t="s">
        <v>300</v>
      </c>
      <c r="C2032" t="s">
        <v>250</v>
      </c>
      <c r="D2032" t="str">
        <f>_xlfn.CONCAT("Distance parcourue associée"," (",'Remplissage - Sit. Init.'!$C$193,")")</f>
        <v>Distance parcourue associée (Catégorie 18)</v>
      </c>
      <c r="F2032" t="str">
        <f>_xlfn.CONCAT("ProjImmoPlatLogDist",RIGHT(LEFT(D2032,LEN(D2032)-1),2))</f>
        <v>ProjImmoPlatLogDist18</v>
      </c>
      <c r="G2032" t="s">
        <v>17</v>
      </c>
      <c r="H2032">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32" t="s">
        <v>88</v>
      </c>
      <c r="L2032">
        <v>15</v>
      </c>
      <c r="N2032" t="s">
        <v>303</v>
      </c>
    </row>
    <row r="2033" spans="1:14" outlineLevel="1" x14ac:dyDescent="0.25">
      <c r="A2033" t="s">
        <v>300</v>
      </c>
      <c r="C2033" t="s">
        <v>250</v>
      </c>
      <c r="D2033" t="str">
        <f>_xlfn.CONCAT("Nombre de trajets associés"," (",'Remplissage - Sit. Init.'!$C$193,")")</f>
        <v>Nombre de trajets associés (Catégorie 18)</v>
      </c>
      <c r="F2033" t="str">
        <f>_xlfn.CONCAT("ProjImmoPlatLogNbTraj",RIGHT(LEFT(D2033,LEN(D2033)-1),2))</f>
        <v>ProjImmoPlatLogNbTraj18</v>
      </c>
      <c r="G2033" t="s">
        <v>17</v>
      </c>
      <c r="H2033">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33" t="s">
        <v>145</v>
      </c>
      <c r="L2033">
        <v>5</v>
      </c>
      <c r="N2033" t="s">
        <v>303</v>
      </c>
    </row>
    <row r="2034" spans="1:14" outlineLevel="1" x14ac:dyDescent="0.25">
      <c r="A2034" t="s">
        <v>300</v>
      </c>
      <c r="C2034" t="s">
        <v>250</v>
      </c>
      <c r="D2034" t="str">
        <f>_xlfn.CONCAT("Taux de chargement moyen des véhicules pour l'accès à la plateforme logistique"," (",'Remplissage - Sit. Init.'!$C$203,")")</f>
        <v>Taux de chargement moyen des véhicules pour l'accès à la plateforme logistique (Catégorie 19)</v>
      </c>
      <c r="F2034" t="str">
        <f>_xlfn.CONCAT("ProjImmoPlatLogTC",RIGHT(LEFT(D2034,LEN(D2034)-1),2))</f>
        <v>ProjImmoPlatLogTC19</v>
      </c>
      <c r="G2034" t="s">
        <v>17</v>
      </c>
      <c r="H2034">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34" s="3"/>
      <c r="K2034" t="s">
        <v>70</v>
      </c>
      <c r="L2034" s="7">
        <v>0.8</v>
      </c>
      <c r="N2034" t="s">
        <v>303</v>
      </c>
    </row>
    <row r="2035" spans="1:14" outlineLevel="1" x14ac:dyDescent="0.25">
      <c r="A2035" t="s">
        <v>300</v>
      </c>
      <c r="C2035" t="s">
        <v>250</v>
      </c>
      <c r="D2035" t="str">
        <f>_xlfn.CONCAT("Distance parcourue associée"," (",'Remplissage - Sit. Init.'!$C$203,")")</f>
        <v>Distance parcourue associée (Catégorie 19)</v>
      </c>
      <c r="F2035" t="str">
        <f>_xlfn.CONCAT("ProjImmoPlatLogDist",RIGHT(LEFT(D2035,LEN(D2035)-1),2))</f>
        <v>ProjImmoPlatLogDist19</v>
      </c>
      <c r="G2035" t="s">
        <v>17</v>
      </c>
      <c r="H2035">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35" t="s">
        <v>88</v>
      </c>
      <c r="L2035">
        <v>15</v>
      </c>
      <c r="N2035" t="s">
        <v>303</v>
      </c>
    </row>
    <row r="2036" spans="1:14" outlineLevel="1" x14ac:dyDescent="0.25">
      <c r="A2036" t="s">
        <v>300</v>
      </c>
      <c r="C2036" t="s">
        <v>250</v>
      </c>
      <c r="D2036" t="str">
        <f>_xlfn.CONCAT("Nombre de trajets associés"," (",'Remplissage - Sit. Init.'!$C$203,")")</f>
        <v>Nombre de trajets associés (Catégorie 19)</v>
      </c>
      <c r="F2036" t="str">
        <f>_xlfn.CONCAT("ProjImmoPlatLogNbTraj",RIGHT(LEFT(D2036,LEN(D2036)-1),2))</f>
        <v>ProjImmoPlatLogNbTraj19</v>
      </c>
      <c r="G2036" t="s">
        <v>17</v>
      </c>
      <c r="H2036">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36" t="s">
        <v>145</v>
      </c>
      <c r="L2036">
        <v>5</v>
      </c>
      <c r="N2036" t="s">
        <v>303</v>
      </c>
    </row>
    <row r="2037" spans="1:14" outlineLevel="1" x14ac:dyDescent="0.25">
      <c r="A2037" t="s">
        <v>300</v>
      </c>
      <c r="C2037" t="s">
        <v>250</v>
      </c>
      <c r="D2037" t="str">
        <f>_xlfn.CONCAT("Taux de chargement moyen des véhicules pour l'accès à la plateforme logistique"," (",'Remplissage - Sit. Init.'!$C$213,")")</f>
        <v>Taux de chargement moyen des véhicules pour l'accès à la plateforme logistique (Catégorie 20)</v>
      </c>
      <c r="F2037" t="str">
        <f>_xlfn.CONCAT("ProjImmoPlatLogTC",RIGHT(LEFT(D2037,LEN(D2037)-1),2))</f>
        <v>ProjImmoPlatLogTC20</v>
      </c>
      <c r="G2037" t="s">
        <v>17</v>
      </c>
      <c r="H2037">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37" s="3"/>
      <c r="K2037" t="s">
        <v>70</v>
      </c>
      <c r="L2037" s="7">
        <v>0.8</v>
      </c>
      <c r="N2037" t="s">
        <v>303</v>
      </c>
    </row>
    <row r="2038" spans="1:14" outlineLevel="1" x14ac:dyDescent="0.25">
      <c r="A2038" t="s">
        <v>300</v>
      </c>
      <c r="C2038" t="s">
        <v>250</v>
      </c>
      <c r="D2038" t="str">
        <f>_xlfn.CONCAT("Distance parcourue associée"," (",'Remplissage - Sit. Init.'!$C$213,")")</f>
        <v>Distance parcourue associée (Catégorie 20)</v>
      </c>
      <c r="F2038" t="str">
        <f>_xlfn.CONCAT("ProjImmoPlatLogDist",RIGHT(LEFT(D2038,LEN(D2038)-1),2))</f>
        <v>ProjImmoPlatLogDist20</v>
      </c>
      <c r="G2038" t="s">
        <v>17</v>
      </c>
      <c r="H2038">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38" t="s">
        <v>88</v>
      </c>
      <c r="L2038">
        <v>15</v>
      </c>
      <c r="N2038" t="s">
        <v>303</v>
      </c>
    </row>
    <row r="2039" spans="1:14" outlineLevel="1" x14ac:dyDescent="0.25">
      <c r="A2039" t="s">
        <v>300</v>
      </c>
      <c r="C2039" t="s">
        <v>250</v>
      </c>
      <c r="D2039" t="str">
        <f>_xlfn.CONCAT("Nombre de trajets associés"," (",'Remplissage - Sit. Init.'!$C$213,")")</f>
        <v>Nombre de trajets associés (Catégorie 20)</v>
      </c>
      <c r="F2039" t="str">
        <f>_xlfn.CONCAT("ProjImmoPlatLogNbTraj",RIGHT(LEFT(D2039,LEN(D2039)-1),2))</f>
        <v>ProjImmoPlatLogNbTraj20</v>
      </c>
      <c r="G2039" t="s">
        <v>17</v>
      </c>
      <c r="H2039">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39" t="s">
        <v>145</v>
      </c>
      <c r="L2039">
        <v>5</v>
      </c>
      <c r="N2039" t="s">
        <v>303</v>
      </c>
    </row>
    <row r="2040" spans="1:14" outlineLevel="1" x14ac:dyDescent="0.25">
      <c r="A2040" t="s">
        <v>300</v>
      </c>
      <c r="C2040" t="s">
        <v>250</v>
      </c>
      <c r="D2040" t="str">
        <f>_xlfn.CONCAT("Taux de chargement moyen des véhicules pour l'accès à la plateforme logistique"," (",'Remplissage - Sit. Init.'!$C$223,")")</f>
        <v>Taux de chargement moyen des véhicules pour l'accès à la plateforme logistique (Catégorie 21)</v>
      </c>
      <c r="F2040" t="str">
        <f>_xlfn.CONCAT("ProjImmoPlatLogTC",RIGHT(LEFT(D2040,LEN(D2040)-1),2))</f>
        <v>ProjImmoPlatLogTC21</v>
      </c>
      <c r="G2040" t="s">
        <v>17</v>
      </c>
      <c r="H204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40" s="3"/>
      <c r="K2040" t="s">
        <v>70</v>
      </c>
      <c r="L2040" s="7">
        <v>0.8</v>
      </c>
      <c r="N2040" t="s">
        <v>303</v>
      </c>
    </row>
    <row r="2041" spans="1:14" outlineLevel="1" x14ac:dyDescent="0.25">
      <c r="A2041" t="s">
        <v>300</v>
      </c>
      <c r="C2041" t="s">
        <v>250</v>
      </c>
      <c r="D2041" t="str">
        <f>_xlfn.CONCAT("Distance parcourue associée"," (",'Remplissage - Sit. Init.'!$C$223,")")</f>
        <v>Distance parcourue associée (Catégorie 21)</v>
      </c>
      <c r="F2041" t="str">
        <f>_xlfn.CONCAT("ProjImmoPlatLogDist",RIGHT(LEFT(D2041,LEN(D2041)-1),2))</f>
        <v>ProjImmoPlatLogDist21</v>
      </c>
      <c r="G2041" t="s">
        <v>17</v>
      </c>
      <c r="H204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41" t="s">
        <v>88</v>
      </c>
      <c r="L2041">
        <v>15</v>
      </c>
      <c r="N2041" t="s">
        <v>303</v>
      </c>
    </row>
    <row r="2042" spans="1:14" outlineLevel="1" x14ac:dyDescent="0.25">
      <c r="A2042" t="s">
        <v>300</v>
      </c>
      <c r="C2042" t="s">
        <v>250</v>
      </c>
      <c r="D2042" t="str">
        <f>_xlfn.CONCAT("Nombre de trajets associés"," (",'Remplissage - Sit. Init.'!$C$223,")")</f>
        <v>Nombre de trajets associés (Catégorie 21)</v>
      </c>
      <c r="F2042" t="str">
        <f>_xlfn.CONCAT("ProjImmoPlatLogNbTraj",RIGHT(LEFT(D2042,LEN(D2042)-1),2))</f>
        <v>ProjImmoPlatLogNbTraj21</v>
      </c>
      <c r="G2042" t="s">
        <v>17</v>
      </c>
      <c r="H204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42" t="s">
        <v>145</v>
      </c>
      <c r="L2042">
        <v>5</v>
      </c>
      <c r="N2042" t="s">
        <v>303</v>
      </c>
    </row>
    <row r="2043" spans="1:14" outlineLevel="1" x14ac:dyDescent="0.25">
      <c r="A2043" t="s">
        <v>300</v>
      </c>
      <c r="C2043" t="s">
        <v>250</v>
      </c>
      <c r="D2043" t="str">
        <f>_xlfn.CONCAT("Taux de chargement moyen des véhicules pour l'accès à la plateforme logistique"," (",'Remplissage - Sit. Init.'!$C$233,")")</f>
        <v>Taux de chargement moyen des véhicules pour l'accès à la plateforme logistique (Catégorie 22)</v>
      </c>
      <c r="F2043" t="str">
        <f>_xlfn.CONCAT("ProjImmoPlatLogTC",RIGHT(LEFT(D2043,LEN(D2043)-1),2))</f>
        <v>ProjImmoPlatLogTC22</v>
      </c>
      <c r="G2043" t="s">
        <v>17</v>
      </c>
      <c r="H204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43" s="3"/>
      <c r="K2043" t="s">
        <v>70</v>
      </c>
      <c r="L2043" s="7">
        <v>0.8</v>
      </c>
      <c r="N2043" t="s">
        <v>303</v>
      </c>
    </row>
    <row r="2044" spans="1:14" outlineLevel="1" x14ac:dyDescent="0.25">
      <c r="A2044" t="s">
        <v>300</v>
      </c>
      <c r="C2044" t="s">
        <v>250</v>
      </c>
      <c r="D2044" t="str">
        <f>_xlfn.CONCAT("Distance parcourue associée"," (",'Remplissage - Sit. Init.'!$C$233,")")</f>
        <v>Distance parcourue associée (Catégorie 22)</v>
      </c>
      <c r="F2044" t="str">
        <f>_xlfn.CONCAT("ProjImmoPlatLogDist",RIGHT(LEFT(D2044,LEN(D2044)-1),2))</f>
        <v>ProjImmoPlatLogDist22</v>
      </c>
      <c r="G2044" t="s">
        <v>17</v>
      </c>
      <c r="H204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44" t="s">
        <v>88</v>
      </c>
      <c r="L2044">
        <v>15</v>
      </c>
      <c r="N2044" t="s">
        <v>303</v>
      </c>
    </row>
    <row r="2045" spans="1:14" outlineLevel="1" x14ac:dyDescent="0.25">
      <c r="A2045" t="s">
        <v>300</v>
      </c>
      <c r="C2045" t="s">
        <v>250</v>
      </c>
      <c r="D2045" t="str">
        <f>_xlfn.CONCAT("Nombre de trajets associés"," (",'Remplissage - Sit. Init.'!$C$233,")")</f>
        <v>Nombre de trajets associés (Catégorie 22)</v>
      </c>
      <c r="F2045" t="str">
        <f>_xlfn.CONCAT("ProjImmoPlatLogNbTraj",RIGHT(LEFT(D2045,LEN(D2045)-1),2))</f>
        <v>ProjImmoPlatLogNbTraj22</v>
      </c>
      <c r="G2045" t="s">
        <v>17</v>
      </c>
      <c r="H204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45" t="s">
        <v>145</v>
      </c>
      <c r="L2045">
        <v>5</v>
      </c>
      <c r="N2045" t="s">
        <v>303</v>
      </c>
    </row>
    <row r="2046" spans="1:14" outlineLevel="1" x14ac:dyDescent="0.25">
      <c r="A2046" t="s">
        <v>300</v>
      </c>
      <c r="C2046" t="s">
        <v>250</v>
      </c>
      <c r="D2046" t="str">
        <f>_xlfn.CONCAT("Taux de chargement moyen des véhicules pour l'accès à la plateforme logistique"," (",'Remplissage - Sit. Init.'!$C$243,")")</f>
        <v>Taux de chargement moyen des véhicules pour l'accès à la plateforme logistique (Catégorie 23)</v>
      </c>
      <c r="F2046" t="str">
        <f>_xlfn.CONCAT("ProjImmoPlatLogTC",RIGHT(LEFT(D2046,LEN(D2046)-1),2))</f>
        <v>ProjImmoPlatLogTC23</v>
      </c>
      <c r="G2046" t="s">
        <v>17</v>
      </c>
      <c r="H204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46" s="3"/>
      <c r="K2046" t="s">
        <v>70</v>
      </c>
      <c r="L2046" s="7">
        <v>0.8</v>
      </c>
      <c r="N2046" t="s">
        <v>303</v>
      </c>
    </row>
    <row r="2047" spans="1:14" outlineLevel="1" x14ac:dyDescent="0.25">
      <c r="A2047" t="s">
        <v>300</v>
      </c>
      <c r="C2047" t="s">
        <v>250</v>
      </c>
      <c r="D2047" t="str">
        <f>_xlfn.CONCAT("Distance parcourue associée"," (",'Remplissage - Sit. Init.'!$C$243,")")</f>
        <v>Distance parcourue associée (Catégorie 23)</v>
      </c>
      <c r="F2047" t="str">
        <f>_xlfn.CONCAT("ProjImmoPlatLogDist",RIGHT(LEFT(D2047,LEN(D2047)-1),2))</f>
        <v>ProjImmoPlatLogDist23</v>
      </c>
      <c r="G2047" t="s">
        <v>17</v>
      </c>
      <c r="H204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47" t="s">
        <v>88</v>
      </c>
      <c r="L2047">
        <v>15</v>
      </c>
      <c r="N2047" t="s">
        <v>303</v>
      </c>
    </row>
    <row r="2048" spans="1:14" outlineLevel="1" x14ac:dyDescent="0.25">
      <c r="A2048" t="s">
        <v>300</v>
      </c>
      <c r="C2048" t="s">
        <v>250</v>
      </c>
      <c r="D2048" t="str">
        <f>_xlfn.CONCAT("Nombre de trajets associés"," (",'Remplissage - Sit. Init.'!$C$243,")")</f>
        <v>Nombre de trajets associés (Catégorie 23)</v>
      </c>
      <c r="F2048" t="str">
        <f>_xlfn.CONCAT("ProjImmoPlatLogNbTraj",RIGHT(LEFT(D2048,LEN(D2048)-1),2))</f>
        <v>ProjImmoPlatLogNbTraj23</v>
      </c>
      <c r="G2048" t="s">
        <v>17</v>
      </c>
      <c r="H204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48" t="s">
        <v>145</v>
      </c>
      <c r="L2048">
        <v>5</v>
      </c>
      <c r="N2048" t="s">
        <v>303</v>
      </c>
    </row>
    <row r="2049" spans="1:14" outlineLevel="1" x14ac:dyDescent="0.25">
      <c r="A2049" t="s">
        <v>300</v>
      </c>
      <c r="C2049" t="s">
        <v>250</v>
      </c>
      <c r="D2049" t="str">
        <f>_xlfn.CONCAT("Taux de chargement moyen des véhicules pour l'accès à la plateforme logistique"," (",'Remplissage - Sit. Init.'!$C$253,")")</f>
        <v>Taux de chargement moyen des véhicules pour l'accès à la plateforme logistique (Catégorie 24)</v>
      </c>
      <c r="F2049" t="str">
        <f>_xlfn.CONCAT("ProjImmoPlatLogTC",RIGHT(LEFT(D2049,LEN(D2049)-1),2))</f>
        <v>ProjImmoPlatLogTC24</v>
      </c>
      <c r="G2049" t="s">
        <v>17</v>
      </c>
      <c r="H204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49" s="3"/>
      <c r="K2049" t="s">
        <v>70</v>
      </c>
      <c r="L2049" s="7">
        <v>0.8</v>
      </c>
      <c r="N2049" t="s">
        <v>303</v>
      </c>
    </row>
    <row r="2050" spans="1:14" outlineLevel="1" x14ac:dyDescent="0.25">
      <c r="A2050" t="s">
        <v>300</v>
      </c>
      <c r="C2050" t="s">
        <v>250</v>
      </c>
      <c r="D2050" t="str">
        <f>_xlfn.CONCAT("Distance parcourue associée"," (",'Remplissage - Sit. Init.'!$C$253,")")</f>
        <v>Distance parcourue associée (Catégorie 24)</v>
      </c>
      <c r="F2050" t="str">
        <f>_xlfn.CONCAT("ProjImmoPlatLogDist",RIGHT(LEFT(D2050,LEN(D2050)-1),2))</f>
        <v>ProjImmoPlatLogDist24</v>
      </c>
      <c r="G2050" t="s">
        <v>17</v>
      </c>
      <c r="H205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50" t="s">
        <v>88</v>
      </c>
      <c r="L2050">
        <v>15</v>
      </c>
      <c r="N2050" t="s">
        <v>303</v>
      </c>
    </row>
    <row r="2051" spans="1:14" outlineLevel="1" x14ac:dyDescent="0.25">
      <c r="A2051" t="s">
        <v>300</v>
      </c>
      <c r="C2051" t="s">
        <v>250</v>
      </c>
      <c r="D2051" t="str">
        <f>_xlfn.CONCAT("Nombre de trajets associés"," (",'Remplissage - Sit. Init.'!$C$253,")")</f>
        <v>Nombre de trajets associés (Catégorie 24)</v>
      </c>
      <c r="F2051" t="str">
        <f>_xlfn.CONCAT("ProjImmoPlatLogNbTraj",RIGHT(LEFT(D2051,LEN(D2051)-1),2))</f>
        <v>ProjImmoPlatLogNbTraj24</v>
      </c>
      <c r="G2051" t="s">
        <v>17</v>
      </c>
      <c r="H205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51" t="s">
        <v>145</v>
      </c>
      <c r="L2051">
        <v>5</v>
      </c>
      <c r="N2051" t="s">
        <v>303</v>
      </c>
    </row>
    <row r="2052" spans="1:14" outlineLevel="1" x14ac:dyDescent="0.25">
      <c r="A2052" t="s">
        <v>300</v>
      </c>
      <c r="C2052" t="s">
        <v>250</v>
      </c>
      <c r="D2052" t="str">
        <f>_xlfn.CONCAT("Taux de chargement moyen des véhicules pour l'accès à la plateforme logistique"," (",'Remplissage - Sit. Init.'!$C$263,")")</f>
        <v>Taux de chargement moyen des véhicules pour l'accès à la plateforme logistique (Catégorie 25)</v>
      </c>
      <c r="F2052" t="str">
        <f>_xlfn.CONCAT("ProjImmoPlatLogTC",RIGHT(LEFT(D2052,LEN(D2052)-1),2))</f>
        <v>ProjImmoPlatLogTC25</v>
      </c>
      <c r="G2052" t="s">
        <v>17</v>
      </c>
      <c r="H205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52" s="3"/>
      <c r="K2052" t="s">
        <v>70</v>
      </c>
      <c r="L2052" s="7">
        <v>0.8</v>
      </c>
      <c r="N2052" t="s">
        <v>303</v>
      </c>
    </row>
    <row r="2053" spans="1:14" outlineLevel="1" x14ac:dyDescent="0.25">
      <c r="A2053" t="s">
        <v>300</v>
      </c>
      <c r="C2053" t="s">
        <v>250</v>
      </c>
      <c r="D2053" t="str">
        <f>_xlfn.CONCAT("Distance parcourue associée"," (",'Remplissage - Sit. Init.'!$C$263,")")</f>
        <v>Distance parcourue associée (Catégorie 25)</v>
      </c>
      <c r="F2053" t="str">
        <f>_xlfn.CONCAT("ProjImmoPlatLogDist",RIGHT(LEFT(D2053,LEN(D2053)-1),2))</f>
        <v>ProjImmoPlatLogDist25</v>
      </c>
      <c r="G2053" t="s">
        <v>17</v>
      </c>
      <c r="H205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53" t="s">
        <v>88</v>
      </c>
      <c r="L2053">
        <v>15</v>
      </c>
      <c r="N2053" t="s">
        <v>303</v>
      </c>
    </row>
    <row r="2054" spans="1:14" outlineLevel="1" x14ac:dyDescent="0.25">
      <c r="A2054" t="s">
        <v>300</v>
      </c>
      <c r="C2054" t="s">
        <v>250</v>
      </c>
      <c r="D2054" t="str">
        <f>_xlfn.CONCAT("Nombre de trajets associés"," (",'Remplissage - Sit. Init.'!$C$263,")")</f>
        <v>Nombre de trajets associés (Catégorie 25)</v>
      </c>
      <c r="F2054" t="str">
        <f>_xlfn.CONCAT("ProjImmoPlatLogNbTraj",RIGHT(LEFT(D2054,LEN(D2054)-1),2))</f>
        <v>ProjImmoPlatLogNbTraj25</v>
      </c>
      <c r="G2054" t="s">
        <v>17</v>
      </c>
      <c r="H205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54" t="s">
        <v>145</v>
      </c>
      <c r="L2054">
        <v>5</v>
      </c>
      <c r="N2054" t="s">
        <v>303</v>
      </c>
    </row>
    <row r="2055" spans="1:14" outlineLevel="1" x14ac:dyDescent="0.25">
      <c r="A2055" t="s">
        <v>300</v>
      </c>
      <c r="C2055" t="s">
        <v>250</v>
      </c>
      <c r="D2055" t="str">
        <f>_xlfn.CONCAT("Taux de chargement moyen des véhicules pour l'accès à la plateforme logistique"," (",'Remplissage - Sit. Init.'!$C$273,")")</f>
        <v>Taux de chargement moyen des véhicules pour l'accès à la plateforme logistique (Catégorie 26)</v>
      </c>
      <c r="F2055" t="str">
        <f>_xlfn.CONCAT("ProjImmoPlatLogTC",RIGHT(LEFT(D2055,LEN(D2055)-1),2))</f>
        <v>ProjImmoPlatLogTC26</v>
      </c>
      <c r="G2055" t="s">
        <v>17</v>
      </c>
      <c r="H2055">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55" s="3"/>
      <c r="K2055" t="s">
        <v>70</v>
      </c>
      <c r="L2055" s="7">
        <v>0.8</v>
      </c>
      <c r="N2055" t="s">
        <v>303</v>
      </c>
    </row>
    <row r="2056" spans="1:14" outlineLevel="1" x14ac:dyDescent="0.25">
      <c r="A2056" t="s">
        <v>300</v>
      </c>
      <c r="C2056" t="s">
        <v>250</v>
      </c>
      <c r="D2056" t="str">
        <f>_xlfn.CONCAT("Distance parcourue associée"," (",'Remplissage - Sit. Init.'!$C$273,")")</f>
        <v>Distance parcourue associée (Catégorie 26)</v>
      </c>
      <c r="F2056" t="str">
        <f>_xlfn.CONCAT("ProjImmoPlatLogDist",RIGHT(LEFT(D2056,LEN(D2056)-1),2))</f>
        <v>ProjImmoPlatLogDist26</v>
      </c>
      <c r="G2056" t="s">
        <v>17</v>
      </c>
      <c r="H2056">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56" t="s">
        <v>88</v>
      </c>
      <c r="L2056">
        <v>15</v>
      </c>
      <c r="N2056" t="s">
        <v>303</v>
      </c>
    </row>
    <row r="2057" spans="1:14" outlineLevel="1" x14ac:dyDescent="0.25">
      <c r="A2057" t="s">
        <v>300</v>
      </c>
      <c r="C2057" t="s">
        <v>250</v>
      </c>
      <c r="D2057" t="str">
        <f>_xlfn.CONCAT("Nombre de trajets associés"," (",'Remplissage - Sit. Init.'!$C$273,")")</f>
        <v>Nombre de trajets associés (Catégorie 26)</v>
      </c>
      <c r="F2057" t="str">
        <f>_xlfn.CONCAT("ProjImmoPlatLogNbTraj",RIGHT(LEFT(D2057,LEN(D2057)-1),2))</f>
        <v>ProjImmoPlatLogNbTraj26</v>
      </c>
      <c r="G2057" t="s">
        <v>17</v>
      </c>
      <c r="H2057">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57" t="s">
        <v>145</v>
      </c>
      <c r="L2057">
        <v>5</v>
      </c>
      <c r="N2057" t="s">
        <v>303</v>
      </c>
    </row>
    <row r="2058" spans="1:14" outlineLevel="1" x14ac:dyDescent="0.25">
      <c r="A2058" t="s">
        <v>300</v>
      </c>
      <c r="C2058" t="s">
        <v>250</v>
      </c>
      <c r="D2058" t="str">
        <f>_xlfn.CONCAT("Taux de chargement moyen des véhicules pour l'accès à la plateforme logistique"," (",'Remplissage - Sit. Init.'!$C$283,")")</f>
        <v>Taux de chargement moyen des véhicules pour l'accès à la plateforme logistique (Catégorie 27)</v>
      </c>
      <c r="F2058" t="str">
        <f>_xlfn.CONCAT("ProjImmoPlatLogTC",RIGHT(LEFT(D2058,LEN(D2058)-1),2))</f>
        <v>ProjImmoPlatLogTC27</v>
      </c>
      <c r="G2058" t="s">
        <v>17</v>
      </c>
      <c r="H2058">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58" s="3"/>
      <c r="K2058" t="s">
        <v>70</v>
      </c>
      <c r="L2058" s="7">
        <v>0.8</v>
      </c>
      <c r="N2058" t="s">
        <v>303</v>
      </c>
    </row>
    <row r="2059" spans="1:14" outlineLevel="1" x14ac:dyDescent="0.25">
      <c r="A2059" t="s">
        <v>300</v>
      </c>
      <c r="C2059" t="s">
        <v>250</v>
      </c>
      <c r="D2059" t="str">
        <f>_xlfn.CONCAT("Distance parcourue associée"," (",'Remplissage - Sit. Init.'!$C$283,")")</f>
        <v>Distance parcourue associée (Catégorie 27)</v>
      </c>
      <c r="F2059" t="str">
        <f>_xlfn.CONCAT("ProjImmoPlatLogDist",RIGHT(LEFT(D2059,LEN(D2059)-1),2))</f>
        <v>ProjImmoPlatLogDist27</v>
      </c>
      <c r="G2059" t="s">
        <v>17</v>
      </c>
      <c r="H2059">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59" t="s">
        <v>88</v>
      </c>
      <c r="L2059">
        <v>15</v>
      </c>
      <c r="N2059" t="s">
        <v>303</v>
      </c>
    </row>
    <row r="2060" spans="1:14" outlineLevel="1" x14ac:dyDescent="0.25">
      <c r="A2060" t="s">
        <v>300</v>
      </c>
      <c r="C2060" t="s">
        <v>250</v>
      </c>
      <c r="D2060" t="str">
        <f>_xlfn.CONCAT("Nombre de trajets associés"," (",'Remplissage - Sit. Init.'!$C$283,")")</f>
        <v>Nombre de trajets associés (Catégorie 27)</v>
      </c>
      <c r="F2060" t="str">
        <f>_xlfn.CONCAT("ProjImmoPlatLogNbTraj",RIGHT(LEFT(D2060,LEN(D2060)-1),2))</f>
        <v>ProjImmoPlatLogNbTraj27</v>
      </c>
      <c r="G2060" t="s">
        <v>17</v>
      </c>
      <c r="H2060">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60" t="s">
        <v>145</v>
      </c>
      <c r="L2060">
        <v>5</v>
      </c>
      <c r="N2060" t="s">
        <v>303</v>
      </c>
    </row>
    <row r="2061" spans="1:14" outlineLevel="1" x14ac:dyDescent="0.25">
      <c r="A2061" t="s">
        <v>300</v>
      </c>
      <c r="C2061" t="s">
        <v>250</v>
      </c>
      <c r="D2061" t="str">
        <f>_xlfn.CONCAT("Taux de chargement moyen des véhicules pour l'accès à la plateforme logistique"," (",'Remplissage - Sit. Init.'!$C$293,")")</f>
        <v>Taux de chargement moyen des véhicules pour l'accès à la plateforme logistique (Catégorie 28)</v>
      </c>
      <c r="F2061" t="str">
        <f>_xlfn.CONCAT("ProjImmoPlatLogTC",RIGHT(LEFT(D2061,LEN(D2061)-1),2))</f>
        <v>ProjImmoPlatLogTC28</v>
      </c>
      <c r="G2061" t="s">
        <v>17</v>
      </c>
      <c r="H2061">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61" s="3"/>
      <c r="K2061" t="s">
        <v>70</v>
      </c>
      <c r="L2061" s="7">
        <v>0.8</v>
      </c>
      <c r="N2061" t="s">
        <v>303</v>
      </c>
    </row>
    <row r="2062" spans="1:14" outlineLevel="1" x14ac:dyDescent="0.25">
      <c r="A2062" t="s">
        <v>300</v>
      </c>
      <c r="C2062" t="s">
        <v>250</v>
      </c>
      <c r="D2062" t="str">
        <f>_xlfn.CONCAT("Distance parcourue associée"," (",'Remplissage - Sit. Init.'!$C$293,")")</f>
        <v>Distance parcourue associée (Catégorie 28)</v>
      </c>
      <c r="F2062" t="str">
        <f>_xlfn.CONCAT("ProjImmoPlatLogDist",RIGHT(LEFT(D2062,LEN(D2062)-1),2))</f>
        <v>ProjImmoPlatLogDist28</v>
      </c>
      <c r="G2062" t="s">
        <v>17</v>
      </c>
      <c r="H2062">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62" t="s">
        <v>88</v>
      </c>
      <c r="L2062">
        <v>15</v>
      </c>
      <c r="N2062" t="s">
        <v>303</v>
      </c>
    </row>
    <row r="2063" spans="1:14" outlineLevel="1" x14ac:dyDescent="0.25">
      <c r="A2063" t="s">
        <v>300</v>
      </c>
      <c r="C2063" t="s">
        <v>250</v>
      </c>
      <c r="D2063" t="str">
        <f>_xlfn.CONCAT("Nombre de trajets associés"," (",'Remplissage - Sit. Init.'!$C$293,")")</f>
        <v>Nombre de trajets associés (Catégorie 28)</v>
      </c>
      <c r="F2063" t="str">
        <f>_xlfn.CONCAT("ProjImmoPlatLogNbTraj",RIGHT(LEFT(D2063,LEN(D2063)-1),2))</f>
        <v>ProjImmoPlatLogNbTraj28</v>
      </c>
      <c r="G2063" t="s">
        <v>17</v>
      </c>
      <c r="H2063">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63" t="s">
        <v>145</v>
      </c>
      <c r="L2063">
        <v>5</v>
      </c>
      <c r="N2063" t="s">
        <v>303</v>
      </c>
    </row>
    <row r="2064" spans="1:14" outlineLevel="1" x14ac:dyDescent="0.25">
      <c r="A2064" t="s">
        <v>300</v>
      </c>
      <c r="C2064" t="s">
        <v>250</v>
      </c>
      <c r="D2064" t="str">
        <f>_xlfn.CONCAT("Taux de chargement moyen des véhicules pour l'accès à la plateforme logistique"," (",'Remplissage - Sit. Init.'!$C$303,")")</f>
        <v>Taux de chargement moyen des véhicules pour l'accès à la plateforme logistique (Catégorie 29)</v>
      </c>
      <c r="F2064" t="str">
        <f>_xlfn.CONCAT("ProjImmoPlatLogTC",RIGHT(LEFT(D2064,LEN(D2064)-1),2))</f>
        <v>ProjImmoPlatLogTC29</v>
      </c>
      <c r="G2064" t="s">
        <v>17</v>
      </c>
      <c r="H2064">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64" s="3"/>
      <c r="K2064" t="s">
        <v>70</v>
      </c>
      <c r="L2064" s="7">
        <v>0.8</v>
      </c>
      <c r="N2064" t="s">
        <v>303</v>
      </c>
    </row>
    <row r="2065" spans="1:14" outlineLevel="1" x14ac:dyDescent="0.25">
      <c r="A2065" t="s">
        <v>300</v>
      </c>
      <c r="C2065" t="s">
        <v>250</v>
      </c>
      <c r="D2065" t="str">
        <f>_xlfn.CONCAT("Distance parcourue associée"," (",'Remplissage - Sit. Init.'!$C$303,")")</f>
        <v>Distance parcourue associée (Catégorie 29)</v>
      </c>
      <c r="F2065" t="str">
        <f>_xlfn.CONCAT("ProjImmoPlatLogDist",RIGHT(LEFT(D2065,LEN(D2065)-1),2))</f>
        <v>ProjImmoPlatLogDist29</v>
      </c>
      <c r="G2065" t="s">
        <v>17</v>
      </c>
      <c r="H2065">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65" t="s">
        <v>88</v>
      </c>
      <c r="L2065">
        <v>15</v>
      </c>
      <c r="N2065" t="s">
        <v>303</v>
      </c>
    </row>
    <row r="2066" spans="1:14" outlineLevel="1" x14ac:dyDescent="0.25">
      <c r="A2066" t="s">
        <v>300</v>
      </c>
      <c r="C2066" t="s">
        <v>250</v>
      </c>
      <c r="D2066" t="str">
        <f>_xlfn.CONCAT("Nombre de trajets associés"," (",'Remplissage - Sit. Init.'!$C$303,")")</f>
        <v>Nombre de trajets associés (Catégorie 29)</v>
      </c>
      <c r="F2066" t="str">
        <f>_xlfn.CONCAT("ProjImmoPlatLogNbTraj",RIGHT(LEFT(D2066,LEN(D2066)-1),2))</f>
        <v>ProjImmoPlatLogNbTraj29</v>
      </c>
      <c r="G2066" t="s">
        <v>17</v>
      </c>
      <c r="H2066">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66" t="s">
        <v>145</v>
      </c>
      <c r="L2066">
        <v>5</v>
      </c>
      <c r="N2066" t="s">
        <v>303</v>
      </c>
    </row>
    <row r="2067" spans="1:14" outlineLevel="1" x14ac:dyDescent="0.25">
      <c r="A2067" t="s">
        <v>300</v>
      </c>
      <c r="C2067" t="s">
        <v>250</v>
      </c>
      <c r="D2067" t="str">
        <f>_xlfn.CONCAT("Taux de chargement moyen des véhicules pour l'accès à la plateforme logistique"," (",'Remplissage - Sit. Init.'!$C$313,")")</f>
        <v>Taux de chargement moyen des véhicules pour l'accès à la plateforme logistique (Catégorie 30)</v>
      </c>
      <c r="F2067" t="str">
        <f>_xlfn.CONCAT("ProjImmoPlatLogTC",RIGHT(LEFT(D2067,LEN(D2067)-1),2))</f>
        <v>ProjImmoPlatLogTC30</v>
      </c>
      <c r="G2067" t="s">
        <v>17</v>
      </c>
      <c r="H2067">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67" s="3"/>
      <c r="K2067" t="s">
        <v>70</v>
      </c>
      <c r="L2067" s="7">
        <v>0.8</v>
      </c>
      <c r="N2067" t="s">
        <v>303</v>
      </c>
    </row>
    <row r="2068" spans="1:14" outlineLevel="1" x14ac:dyDescent="0.25">
      <c r="A2068" t="s">
        <v>300</v>
      </c>
      <c r="C2068" t="s">
        <v>250</v>
      </c>
      <c r="D2068" t="str">
        <f>_xlfn.CONCAT("Distance parcourue associée"," (",'Remplissage - Sit. Init.'!$C$313,")")</f>
        <v>Distance parcourue associée (Catégorie 30)</v>
      </c>
      <c r="F2068" t="str">
        <f>_xlfn.CONCAT("ProjImmoPlatLogDist",RIGHT(LEFT(D2068,LEN(D2068)-1),2))</f>
        <v>ProjImmoPlatLogDist30</v>
      </c>
      <c r="G2068" t="s">
        <v>17</v>
      </c>
      <c r="H2068">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68" t="s">
        <v>88</v>
      </c>
      <c r="L2068">
        <v>15</v>
      </c>
      <c r="N2068" t="s">
        <v>303</v>
      </c>
    </row>
    <row r="2069" spans="1:14" outlineLevel="1" x14ac:dyDescent="0.25">
      <c r="A2069" t="s">
        <v>300</v>
      </c>
      <c r="C2069" t="s">
        <v>250</v>
      </c>
      <c r="D2069" t="str">
        <f>_xlfn.CONCAT("Nombre de trajets associés"," (",'Remplissage - Sit. Init.'!$C$313,")")</f>
        <v>Nombre de trajets associés (Catégorie 30)</v>
      </c>
      <c r="F2069" t="str">
        <f>_xlfn.CONCAT("ProjImmoPlatLogNbTraj",RIGHT(LEFT(D2069,LEN(D2069)-1),2))</f>
        <v>ProjImmoPlatLogNbTraj30</v>
      </c>
      <c r="G2069" t="s">
        <v>17</v>
      </c>
      <c r="H2069">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69" t="s">
        <v>145</v>
      </c>
      <c r="L2069">
        <v>5</v>
      </c>
      <c r="N2069" t="s">
        <v>303</v>
      </c>
    </row>
    <row r="2070" spans="1:14" outlineLevel="1" x14ac:dyDescent="0.25">
      <c r="A2070" t="s">
        <v>300</v>
      </c>
      <c r="C2070" t="s">
        <v>250</v>
      </c>
      <c r="D2070" t="str">
        <f>_xlfn.CONCAT("Taux de chargement moyen des véhicules pour l'accès à la plateforme logistique"," (",'Remplissage - Sit. Init.'!$C$323,")")</f>
        <v>Taux de chargement moyen des véhicules pour l'accès à la plateforme logistique (Catégorie 31)</v>
      </c>
      <c r="F2070" t="str">
        <f>_xlfn.CONCAT("ProjImmoPlatLogTC",RIGHT(LEFT(D2070,LEN(D2070)-1),2))</f>
        <v>ProjImmoPlatLogTC31</v>
      </c>
      <c r="G2070" t="s">
        <v>17</v>
      </c>
      <c r="H207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70" s="3"/>
      <c r="K2070" t="s">
        <v>70</v>
      </c>
      <c r="L2070" s="7">
        <v>0.8</v>
      </c>
      <c r="N2070" t="s">
        <v>303</v>
      </c>
    </row>
    <row r="2071" spans="1:14" outlineLevel="1" x14ac:dyDescent="0.25">
      <c r="A2071" t="s">
        <v>300</v>
      </c>
      <c r="C2071" t="s">
        <v>250</v>
      </c>
      <c r="D2071" t="str">
        <f>_xlfn.CONCAT("Distance parcourue associée"," (",'Remplissage - Sit. Init.'!$C$323,")")</f>
        <v>Distance parcourue associée (Catégorie 31)</v>
      </c>
      <c r="F2071" t="str">
        <f>_xlfn.CONCAT("ProjImmoPlatLogDist",RIGHT(LEFT(D2071,LEN(D2071)-1),2))</f>
        <v>ProjImmoPlatLogDist31</v>
      </c>
      <c r="G2071" t="s">
        <v>17</v>
      </c>
      <c r="H207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71" t="s">
        <v>88</v>
      </c>
      <c r="L2071">
        <v>15</v>
      </c>
      <c r="N2071" t="s">
        <v>303</v>
      </c>
    </row>
    <row r="2072" spans="1:14" outlineLevel="1" x14ac:dyDescent="0.25">
      <c r="A2072" t="s">
        <v>300</v>
      </c>
      <c r="C2072" t="s">
        <v>250</v>
      </c>
      <c r="D2072" t="str">
        <f>_xlfn.CONCAT("Nombre de trajets associés"," (",'Remplissage - Sit. Init.'!$C$323,")")</f>
        <v>Nombre de trajets associés (Catégorie 31)</v>
      </c>
      <c r="F2072" t="str">
        <f>_xlfn.CONCAT("ProjImmoPlatLogNbTraj",RIGHT(LEFT(D2072,LEN(D2072)-1),2))</f>
        <v>ProjImmoPlatLogNbTraj31</v>
      </c>
      <c r="G2072" t="s">
        <v>17</v>
      </c>
      <c r="H207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72" t="s">
        <v>145</v>
      </c>
      <c r="L2072">
        <v>5</v>
      </c>
      <c r="N2072" t="s">
        <v>303</v>
      </c>
    </row>
    <row r="2073" spans="1:14" outlineLevel="1" x14ac:dyDescent="0.25">
      <c r="A2073" t="s">
        <v>300</v>
      </c>
      <c r="C2073" t="s">
        <v>250</v>
      </c>
      <c r="D2073" t="str">
        <f>_xlfn.CONCAT("Taux de chargement moyen des véhicules pour l'accès à la plateforme logistique"," (",'Remplissage - Sit. Init.'!$C$333,")")</f>
        <v>Taux de chargement moyen des véhicules pour l'accès à la plateforme logistique (Catégorie 32)</v>
      </c>
      <c r="F2073" t="str">
        <f>_xlfn.CONCAT("ProjImmoPlatLogTC",RIGHT(LEFT(D2073,LEN(D2073)-1),2))</f>
        <v>ProjImmoPlatLogTC32</v>
      </c>
      <c r="G2073" t="s">
        <v>17</v>
      </c>
      <c r="H207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73" s="3"/>
      <c r="K2073" t="s">
        <v>70</v>
      </c>
      <c r="L2073" s="7">
        <v>0.8</v>
      </c>
      <c r="N2073" t="s">
        <v>303</v>
      </c>
    </row>
    <row r="2074" spans="1:14" outlineLevel="1" x14ac:dyDescent="0.25">
      <c r="A2074" t="s">
        <v>300</v>
      </c>
      <c r="C2074" t="s">
        <v>250</v>
      </c>
      <c r="D2074" t="str">
        <f>_xlfn.CONCAT("Distance parcourue associée"," (",'Remplissage - Sit. Init.'!$C$333,")")</f>
        <v>Distance parcourue associée (Catégorie 32)</v>
      </c>
      <c r="F2074" t="str">
        <f>_xlfn.CONCAT("ProjImmoPlatLogDist",RIGHT(LEFT(D2074,LEN(D2074)-1),2))</f>
        <v>ProjImmoPlatLogDist32</v>
      </c>
      <c r="G2074" t="s">
        <v>17</v>
      </c>
      <c r="H207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74" t="s">
        <v>88</v>
      </c>
      <c r="L2074">
        <v>15</v>
      </c>
      <c r="N2074" t="s">
        <v>303</v>
      </c>
    </row>
    <row r="2075" spans="1:14" outlineLevel="1" x14ac:dyDescent="0.25">
      <c r="A2075" t="s">
        <v>300</v>
      </c>
      <c r="C2075" t="s">
        <v>250</v>
      </c>
      <c r="D2075" t="str">
        <f>_xlfn.CONCAT("Nombre de trajets associés"," (",'Remplissage - Sit. Init.'!$C$333,")")</f>
        <v>Nombre de trajets associés (Catégorie 32)</v>
      </c>
      <c r="F2075" t="str">
        <f>_xlfn.CONCAT("ProjImmoPlatLogNbTraj",RIGHT(LEFT(D2075,LEN(D2075)-1),2))</f>
        <v>ProjImmoPlatLogNbTraj32</v>
      </c>
      <c r="G2075" t="s">
        <v>17</v>
      </c>
      <c r="H207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75" t="s">
        <v>145</v>
      </c>
      <c r="L2075">
        <v>5</v>
      </c>
      <c r="N2075" t="s">
        <v>303</v>
      </c>
    </row>
    <row r="2076" spans="1:14" outlineLevel="1" x14ac:dyDescent="0.25">
      <c r="A2076" t="s">
        <v>300</v>
      </c>
      <c r="C2076" t="s">
        <v>250</v>
      </c>
      <c r="D2076" t="str">
        <f>_xlfn.CONCAT("Taux de chargement moyen des véhicules pour l'accès à la plateforme logistique"," (",'Remplissage - Sit. Init.'!$C$343,")")</f>
        <v>Taux de chargement moyen des véhicules pour l'accès à la plateforme logistique (Catégorie 33)</v>
      </c>
      <c r="F2076" t="str">
        <f>_xlfn.CONCAT("ProjImmoPlatLogTC",RIGHT(LEFT(D2076,LEN(D2076)-1),2))</f>
        <v>ProjImmoPlatLogTC33</v>
      </c>
      <c r="G2076" t="s">
        <v>17</v>
      </c>
      <c r="H207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76" s="3"/>
      <c r="K2076" t="s">
        <v>70</v>
      </c>
      <c r="L2076" s="7">
        <v>0.8</v>
      </c>
      <c r="N2076" t="s">
        <v>303</v>
      </c>
    </row>
    <row r="2077" spans="1:14" outlineLevel="1" x14ac:dyDescent="0.25">
      <c r="A2077" t="s">
        <v>300</v>
      </c>
      <c r="C2077" t="s">
        <v>250</v>
      </c>
      <c r="D2077" t="str">
        <f>_xlfn.CONCAT("Distance parcourue associée"," (",'Remplissage - Sit. Init.'!$C$343,")")</f>
        <v>Distance parcourue associée (Catégorie 33)</v>
      </c>
      <c r="F2077" t="str">
        <f>_xlfn.CONCAT("ProjImmoPlatLogDist",RIGHT(LEFT(D2077,LEN(D2077)-1),2))</f>
        <v>ProjImmoPlatLogDist33</v>
      </c>
      <c r="G2077" t="s">
        <v>17</v>
      </c>
      <c r="H207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77" t="s">
        <v>88</v>
      </c>
      <c r="L2077">
        <v>15</v>
      </c>
      <c r="N2077" t="s">
        <v>303</v>
      </c>
    </row>
    <row r="2078" spans="1:14" outlineLevel="1" x14ac:dyDescent="0.25">
      <c r="A2078" t="s">
        <v>300</v>
      </c>
      <c r="C2078" t="s">
        <v>250</v>
      </c>
      <c r="D2078" t="str">
        <f>_xlfn.CONCAT("Nombre de trajets associés"," (",'Remplissage - Sit. Init.'!$C$343,")")</f>
        <v>Nombre de trajets associés (Catégorie 33)</v>
      </c>
      <c r="F2078" t="str">
        <f>_xlfn.CONCAT("ProjImmoPlatLogNbTraj",RIGHT(LEFT(D2078,LEN(D2078)-1),2))</f>
        <v>ProjImmoPlatLogNbTraj33</v>
      </c>
      <c r="G2078" t="s">
        <v>17</v>
      </c>
      <c r="H207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78" t="s">
        <v>145</v>
      </c>
      <c r="L2078">
        <v>5</v>
      </c>
      <c r="N2078" t="s">
        <v>303</v>
      </c>
    </row>
    <row r="2079" spans="1:14" outlineLevel="1" x14ac:dyDescent="0.25">
      <c r="A2079" t="s">
        <v>300</v>
      </c>
      <c r="C2079" t="s">
        <v>250</v>
      </c>
      <c r="D2079" t="str">
        <f>_xlfn.CONCAT("Taux de chargement moyen des véhicules pour l'accès à la plateforme logistique"," (",'Remplissage - Sit. Init.'!$C$353,")")</f>
        <v>Taux de chargement moyen des véhicules pour l'accès à la plateforme logistique (Catégorie 34)</v>
      </c>
      <c r="F2079" t="str">
        <f>_xlfn.CONCAT("ProjImmoPlatLogTC",RIGHT(LEFT(D2079,LEN(D2079)-1),2))</f>
        <v>ProjImmoPlatLogTC34</v>
      </c>
      <c r="G2079" t="s">
        <v>17</v>
      </c>
      <c r="H207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79" s="3"/>
      <c r="K2079" t="s">
        <v>70</v>
      </c>
      <c r="L2079" s="7">
        <v>0.8</v>
      </c>
      <c r="N2079" t="s">
        <v>303</v>
      </c>
    </row>
    <row r="2080" spans="1:14" outlineLevel="1" x14ac:dyDescent="0.25">
      <c r="A2080" t="s">
        <v>300</v>
      </c>
      <c r="C2080" t="s">
        <v>250</v>
      </c>
      <c r="D2080" t="str">
        <f>_xlfn.CONCAT("Distance parcourue associée"," (",'Remplissage - Sit. Init.'!$C$353,")")</f>
        <v>Distance parcourue associée (Catégorie 34)</v>
      </c>
      <c r="F2080" t="str">
        <f>_xlfn.CONCAT("ProjImmoPlatLogDist",RIGHT(LEFT(D2080,LEN(D2080)-1),2))</f>
        <v>ProjImmoPlatLogDist34</v>
      </c>
      <c r="G2080" t="s">
        <v>17</v>
      </c>
      <c r="H208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80" t="s">
        <v>88</v>
      </c>
      <c r="L2080">
        <v>15</v>
      </c>
      <c r="N2080" t="s">
        <v>303</v>
      </c>
    </row>
    <row r="2081" spans="1:14" outlineLevel="1" x14ac:dyDescent="0.25">
      <c r="A2081" t="s">
        <v>300</v>
      </c>
      <c r="C2081" t="s">
        <v>250</v>
      </c>
      <c r="D2081" t="str">
        <f>_xlfn.CONCAT("Nombre de trajets associés"," (",'Remplissage - Sit. Init.'!$C$353,")")</f>
        <v>Nombre de trajets associés (Catégorie 34)</v>
      </c>
      <c r="F2081" t="str">
        <f>_xlfn.CONCAT("ProjImmoPlatLogNbTraj",RIGHT(LEFT(D2081,LEN(D2081)-1),2))</f>
        <v>ProjImmoPlatLogNbTraj34</v>
      </c>
      <c r="G2081" t="s">
        <v>17</v>
      </c>
      <c r="H208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81" t="s">
        <v>145</v>
      </c>
      <c r="L2081">
        <v>5</v>
      </c>
      <c r="N2081" t="s">
        <v>303</v>
      </c>
    </row>
    <row r="2082" spans="1:14" outlineLevel="1" x14ac:dyDescent="0.25">
      <c r="A2082" t="s">
        <v>300</v>
      </c>
      <c r="C2082" t="s">
        <v>250</v>
      </c>
      <c r="D2082" t="str">
        <f>_xlfn.CONCAT("Taux de chargement moyen des véhicules pour l'accès à la plateforme logistique"," (",'Remplissage - Sit. Init.'!$C$363,")")</f>
        <v>Taux de chargement moyen des véhicules pour l'accès à la plateforme logistique (Catégorie 35)</v>
      </c>
      <c r="F2082" t="str">
        <f>_xlfn.CONCAT("ProjImmoPlatLogTC",RIGHT(LEFT(D2082,LEN(D2082)-1),2))</f>
        <v>ProjImmoPlatLogTC35</v>
      </c>
      <c r="G2082" t="s">
        <v>17</v>
      </c>
      <c r="H208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82" s="3"/>
      <c r="K2082" t="s">
        <v>70</v>
      </c>
      <c r="L2082" s="7">
        <v>0.8</v>
      </c>
      <c r="N2082" t="s">
        <v>303</v>
      </c>
    </row>
    <row r="2083" spans="1:14" outlineLevel="1" x14ac:dyDescent="0.25">
      <c r="A2083" t="s">
        <v>300</v>
      </c>
      <c r="C2083" t="s">
        <v>250</v>
      </c>
      <c r="D2083" t="str">
        <f>_xlfn.CONCAT("Distance parcourue associée"," (",'Remplissage - Sit. Init.'!$C$363,")")</f>
        <v>Distance parcourue associée (Catégorie 35)</v>
      </c>
      <c r="F2083" t="str">
        <f>_xlfn.CONCAT("ProjImmoPlatLogDist",RIGHT(LEFT(D2083,LEN(D2083)-1),2))</f>
        <v>ProjImmoPlatLogDist35</v>
      </c>
      <c r="G2083" t="s">
        <v>17</v>
      </c>
      <c r="H208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83" t="s">
        <v>88</v>
      </c>
      <c r="L2083">
        <v>15</v>
      </c>
      <c r="N2083" t="s">
        <v>303</v>
      </c>
    </row>
    <row r="2084" spans="1:14" outlineLevel="1" x14ac:dyDescent="0.25">
      <c r="A2084" t="s">
        <v>300</v>
      </c>
      <c r="C2084" t="s">
        <v>250</v>
      </c>
      <c r="D2084" t="str">
        <f>_xlfn.CONCAT("Nombre de trajets associés"," (",'Remplissage - Sit. Init.'!$C$363,")")</f>
        <v>Nombre de trajets associés (Catégorie 35)</v>
      </c>
      <c r="F2084" t="str">
        <f>_xlfn.CONCAT("ProjImmoPlatLogNbTraj",RIGHT(LEFT(D2084,LEN(D2084)-1),2))</f>
        <v>ProjImmoPlatLogNbTraj35</v>
      </c>
      <c r="G2084" t="s">
        <v>17</v>
      </c>
      <c r="H208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84" t="s">
        <v>145</v>
      </c>
      <c r="L2084">
        <v>5</v>
      </c>
      <c r="N2084" t="s">
        <v>303</v>
      </c>
    </row>
    <row r="2085" spans="1:14" outlineLevel="1" x14ac:dyDescent="0.25">
      <c r="A2085" t="s">
        <v>300</v>
      </c>
      <c r="C2085" t="s">
        <v>250</v>
      </c>
      <c r="D2085" t="str">
        <f>_xlfn.CONCAT("Taux de chargement moyen des véhicules pour l'accès à la plateforme logistique"," (",'Remplissage - Sit. Init.'!$C$373,")")</f>
        <v>Taux de chargement moyen des véhicules pour l'accès à la plateforme logistique (Catégorie 36)</v>
      </c>
      <c r="F2085" t="str">
        <f>_xlfn.CONCAT("ProjImmoPlatLogTC",RIGHT(LEFT(D2085,LEN(D2085)-1),2))</f>
        <v>ProjImmoPlatLogTC36</v>
      </c>
      <c r="G2085" t="s">
        <v>17</v>
      </c>
      <c r="H2085">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85" s="3"/>
      <c r="K2085" t="s">
        <v>70</v>
      </c>
      <c r="L2085" s="7">
        <v>0.8</v>
      </c>
      <c r="N2085" t="s">
        <v>303</v>
      </c>
    </row>
    <row r="2086" spans="1:14" outlineLevel="1" x14ac:dyDescent="0.25">
      <c r="A2086" t="s">
        <v>300</v>
      </c>
      <c r="C2086" t="s">
        <v>250</v>
      </c>
      <c r="D2086" t="str">
        <f>_xlfn.CONCAT("Distance parcourue associée"," (",'Remplissage - Sit. Init.'!$C$373,")")</f>
        <v>Distance parcourue associée (Catégorie 36)</v>
      </c>
      <c r="F2086" t="str">
        <f>_xlfn.CONCAT("ProjImmoPlatLogDist",RIGHT(LEFT(D2086,LEN(D2086)-1),2))</f>
        <v>ProjImmoPlatLogDist36</v>
      </c>
      <c r="G2086" t="s">
        <v>17</v>
      </c>
      <c r="H2086">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86" t="s">
        <v>88</v>
      </c>
      <c r="L2086">
        <v>15</v>
      </c>
      <c r="N2086" t="s">
        <v>303</v>
      </c>
    </row>
    <row r="2087" spans="1:14" outlineLevel="1" x14ac:dyDescent="0.25">
      <c r="A2087" t="s">
        <v>300</v>
      </c>
      <c r="C2087" t="s">
        <v>250</v>
      </c>
      <c r="D2087" t="str">
        <f>_xlfn.CONCAT("Nombre de trajets associés"," (",'Remplissage - Sit. Init.'!$C$373,")")</f>
        <v>Nombre de trajets associés (Catégorie 36)</v>
      </c>
      <c r="F2087" t="str">
        <f>_xlfn.CONCAT("ProjImmoPlatLogNbTraj",RIGHT(LEFT(D2087,LEN(D2087)-1),2))</f>
        <v>ProjImmoPlatLogNbTraj36</v>
      </c>
      <c r="G2087" t="s">
        <v>17</v>
      </c>
      <c r="H2087">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87" t="s">
        <v>145</v>
      </c>
      <c r="L2087">
        <v>5</v>
      </c>
      <c r="N2087" t="s">
        <v>303</v>
      </c>
    </row>
    <row r="2088" spans="1:14" outlineLevel="1" x14ac:dyDescent="0.25">
      <c r="A2088" t="s">
        <v>300</v>
      </c>
      <c r="C2088" t="s">
        <v>250</v>
      </c>
      <c r="D2088" t="str">
        <f>_xlfn.CONCAT("Taux de chargement moyen des véhicules pour l'accès à la plateforme logistique"," (",'Remplissage - Sit. Init.'!$C$383,")")</f>
        <v>Taux de chargement moyen des véhicules pour l'accès à la plateforme logistique (Catégorie 37)</v>
      </c>
      <c r="F2088" t="str">
        <f>_xlfn.CONCAT("ProjImmoPlatLogTC",RIGHT(LEFT(D2088,LEN(D2088)-1),2))</f>
        <v>ProjImmoPlatLogTC37</v>
      </c>
      <c r="G2088" t="s">
        <v>17</v>
      </c>
      <c r="H2088">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88" s="3"/>
      <c r="K2088" t="s">
        <v>70</v>
      </c>
      <c r="L2088" s="7">
        <v>0.8</v>
      </c>
      <c r="N2088" t="s">
        <v>303</v>
      </c>
    </row>
    <row r="2089" spans="1:14" outlineLevel="1" x14ac:dyDescent="0.25">
      <c r="A2089" t="s">
        <v>300</v>
      </c>
      <c r="C2089" t="s">
        <v>250</v>
      </c>
      <c r="D2089" t="str">
        <f>_xlfn.CONCAT("Distance parcourue associée"," (",'Remplissage - Sit. Init.'!$C$383,")")</f>
        <v>Distance parcourue associée (Catégorie 37)</v>
      </c>
      <c r="F2089" t="str">
        <f>_xlfn.CONCAT("ProjImmoPlatLogDist",RIGHT(LEFT(D2089,LEN(D2089)-1),2))</f>
        <v>ProjImmoPlatLogDist37</v>
      </c>
      <c r="G2089" t="s">
        <v>17</v>
      </c>
      <c r="H2089">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89" t="s">
        <v>88</v>
      </c>
      <c r="L2089">
        <v>15</v>
      </c>
      <c r="N2089" t="s">
        <v>303</v>
      </c>
    </row>
    <row r="2090" spans="1:14" outlineLevel="1" x14ac:dyDescent="0.25">
      <c r="A2090" t="s">
        <v>300</v>
      </c>
      <c r="C2090" t="s">
        <v>250</v>
      </c>
      <c r="D2090" t="str">
        <f>_xlfn.CONCAT("Nombre de trajets associés"," (",'Remplissage - Sit. Init.'!$C$383,")")</f>
        <v>Nombre de trajets associés (Catégorie 37)</v>
      </c>
      <c r="F2090" t="str">
        <f>_xlfn.CONCAT("ProjImmoPlatLogNbTraj",RIGHT(LEFT(D2090,LEN(D2090)-1),2))</f>
        <v>ProjImmoPlatLogNbTraj37</v>
      </c>
      <c r="G2090" t="s">
        <v>17</v>
      </c>
      <c r="H2090">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90" t="s">
        <v>145</v>
      </c>
      <c r="L2090">
        <v>5</v>
      </c>
      <c r="N2090" t="s">
        <v>303</v>
      </c>
    </row>
    <row r="2091" spans="1:14" outlineLevel="1" x14ac:dyDescent="0.25">
      <c r="A2091" t="s">
        <v>300</v>
      </c>
      <c r="C2091" t="s">
        <v>250</v>
      </c>
      <c r="D2091" t="str">
        <f>_xlfn.CONCAT("Taux de chargement moyen des véhicules pour l'accès à la plateforme logistique"," (",'Remplissage - Sit. Init.'!$C$393,")")</f>
        <v>Taux de chargement moyen des véhicules pour l'accès à la plateforme logistique (Catégorie 38)</v>
      </c>
      <c r="F2091" t="str">
        <f>_xlfn.CONCAT("ProjImmoPlatLogTC",RIGHT(LEFT(D2091,LEN(D2091)-1),2))</f>
        <v>ProjImmoPlatLogTC38</v>
      </c>
      <c r="G2091" t="s">
        <v>17</v>
      </c>
      <c r="H2091">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91" s="3"/>
      <c r="K2091" t="s">
        <v>70</v>
      </c>
      <c r="L2091" s="7">
        <v>0.8</v>
      </c>
      <c r="N2091" t="s">
        <v>303</v>
      </c>
    </row>
    <row r="2092" spans="1:14" outlineLevel="1" x14ac:dyDescent="0.25">
      <c r="A2092" t="s">
        <v>300</v>
      </c>
      <c r="C2092" t="s">
        <v>250</v>
      </c>
      <c r="D2092" t="str">
        <f>_xlfn.CONCAT("Distance parcourue associée"," (",'Remplissage - Sit. Init.'!$C$393,")")</f>
        <v>Distance parcourue associée (Catégorie 38)</v>
      </c>
      <c r="F2092" t="str">
        <f>_xlfn.CONCAT("ProjImmoPlatLogDist",RIGHT(LEFT(D2092,LEN(D2092)-1),2))</f>
        <v>ProjImmoPlatLogDist38</v>
      </c>
      <c r="G2092" t="s">
        <v>17</v>
      </c>
      <c r="H2092">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92" t="s">
        <v>88</v>
      </c>
      <c r="L2092">
        <v>15</v>
      </c>
      <c r="N2092" t="s">
        <v>303</v>
      </c>
    </row>
    <row r="2093" spans="1:14" outlineLevel="1" x14ac:dyDescent="0.25">
      <c r="A2093" t="s">
        <v>300</v>
      </c>
      <c r="C2093" t="s">
        <v>250</v>
      </c>
      <c r="D2093" t="str">
        <f>_xlfn.CONCAT("Nombre de trajets associés"," (",'Remplissage - Sit. Init.'!$C$393,")")</f>
        <v>Nombre de trajets associés (Catégorie 38)</v>
      </c>
      <c r="F2093" t="str">
        <f>_xlfn.CONCAT("ProjImmoPlatLogNbTraj",RIGHT(LEFT(D2093,LEN(D2093)-1),2))</f>
        <v>ProjImmoPlatLogNbTraj38</v>
      </c>
      <c r="G2093" t="s">
        <v>17</v>
      </c>
      <c r="H2093">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93" t="s">
        <v>145</v>
      </c>
      <c r="L2093">
        <v>5</v>
      </c>
      <c r="N2093" t="s">
        <v>303</v>
      </c>
    </row>
    <row r="2094" spans="1:14" outlineLevel="1" x14ac:dyDescent="0.25">
      <c r="A2094" t="s">
        <v>300</v>
      </c>
      <c r="C2094" t="s">
        <v>250</v>
      </c>
      <c r="D2094" t="str">
        <f>_xlfn.CONCAT("Taux de chargement moyen des véhicules pour l'accès à la plateforme logistique"," (",'Remplissage - Sit. Init.'!$C$403,")")</f>
        <v>Taux de chargement moyen des véhicules pour l'accès à la plateforme logistique (Catégorie 39)</v>
      </c>
      <c r="F2094" t="str">
        <f>_xlfn.CONCAT("ProjImmoPlatLogTC",RIGHT(LEFT(D2094,LEN(D2094)-1),2))</f>
        <v>ProjImmoPlatLogTC39</v>
      </c>
      <c r="G2094" t="s">
        <v>17</v>
      </c>
      <c r="H2094">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94" s="3"/>
      <c r="K2094" t="s">
        <v>70</v>
      </c>
      <c r="L2094" s="7">
        <v>0.8</v>
      </c>
      <c r="N2094" t="s">
        <v>303</v>
      </c>
    </row>
    <row r="2095" spans="1:14" outlineLevel="1" x14ac:dyDescent="0.25">
      <c r="A2095" t="s">
        <v>300</v>
      </c>
      <c r="C2095" t="s">
        <v>250</v>
      </c>
      <c r="D2095" t="str">
        <f>_xlfn.CONCAT("Distance parcourue associée"," (",'Remplissage - Sit. Init.'!$C$403,")")</f>
        <v>Distance parcourue associée (Catégorie 39)</v>
      </c>
      <c r="F2095" t="str">
        <f>_xlfn.CONCAT("ProjImmoPlatLogDist",RIGHT(LEFT(D2095,LEN(D2095)-1),2))</f>
        <v>ProjImmoPlatLogDist39</v>
      </c>
      <c r="G2095" t="s">
        <v>17</v>
      </c>
      <c r="H2095">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95" t="s">
        <v>88</v>
      </c>
      <c r="L2095">
        <v>15</v>
      </c>
      <c r="N2095" t="s">
        <v>303</v>
      </c>
    </row>
    <row r="2096" spans="1:14" outlineLevel="1" x14ac:dyDescent="0.25">
      <c r="A2096" t="s">
        <v>300</v>
      </c>
      <c r="C2096" t="s">
        <v>250</v>
      </c>
      <c r="D2096" t="str">
        <f>_xlfn.CONCAT("Nombre de trajets associés"," (",'Remplissage - Sit. Init.'!$C$403,")")</f>
        <v>Nombre de trajets associés (Catégorie 39)</v>
      </c>
      <c r="F2096" t="str">
        <f>_xlfn.CONCAT("ProjImmoPlatLogNbTraj",RIGHT(LEFT(D2096,LEN(D2096)-1),2))</f>
        <v>ProjImmoPlatLogNbTraj39</v>
      </c>
      <c r="G2096" t="s">
        <v>17</v>
      </c>
      <c r="H2096">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96" t="s">
        <v>145</v>
      </c>
      <c r="L2096">
        <v>5</v>
      </c>
      <c r="N2096" t="s">
        <v>303</v>
      </c>
    </row>
    <row r="2097" spans="1:14" outlineLevel="1" x14ac:dyDescent="0.25">
      <c r="A2097" t="s">
        <v>300</v>
      </c>
      <c r="C2097" t="s">
        <v>250</v>
      </c>
      <c r="D2097" t="str">
        <f>_xlfn.CONCAT("Taux de chargement moyen des véhicules pour l'accès à la plateforme logistique"," (",'Remplissage - Sit. Init.'!$C$413,")")</f>
        <v>Taux de chargement moyen des véhicules pour l'accès à la plateforme logistique (Catégorie 40)</v>
      </c>
      <c r="F2097" t="str">
        <f>_xlfn.CONCAT("ProjImmoPlatLogTC",RIGHT(LEFT(D2097,LEN(D2097)-1),2))</f>
        <v>ProjImmoPlatLogTC40</v>
      </c>
      <c r="G2097" t="s">
        <v>17</v>
      </c>
      <c r="H2097">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097" s="3"/>
      <c r="K2097" t="s">
        <v>70</v>
      </c>
      <c r="L2097" s="7">
        <v>0.8</v>
      </c>
      <c r="N2097" t="s">
        <v>303</v>
      </c>
    </row>
    <row r="2098" spans="1:14" outlineLevel="1" x14ac:dyDescent="0.25">
      <c r="A2098" t="s">
        <v>300</v>
      </c>
      <c r="C2098" t="s">
        <v>250</v>
      </c>
      <c r="D2098" t="str">
        <f>_xlfn.CONCAT("Distance parcourue associée"," (",'Remplissage - Sit. Init.'!$C$413,")")</f>
        <v>Distance parcourue associée (Catégorie 40)</v>
      </c>
      <c r="F2098" t="str">
        <f>_xlfn.CONCAT("ProjImmoPlatLogDist",RIGHT(LEFT(D2098,LEN(D2098)-1),2))</f>
        <v>ProjImmoPlatLogDist40</v>
      </c>
      <c r="G2098" t="s">
        <v>17</v>
      </c>
      <c r="H2098">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98" t="s">
        <v>88</v>
      </c>
      <c r="L2098">
        <v>15</v>
      </c>
      <c r="N2098" t="s">
        <v>303</v>
      </c>
    </row>
    <row r="2099" spans="1:14" outlineLevel="1" x14ac:dyDescent="0.25">
      <c r="A2099" t="s">
        <v>300</v>
      </c>
      <c r="C2099" t="s">
        <v>250</v>
      </c>
      <c r="D2099" t="str">
        <f>_xlfn.CONCAT("Nombre de trajets associés"," (",'Remplissage - Sit. Init.'!$C$413,")")</f>
        <v>Nombre de trajets associés (Catégorie 40)</v>
      </c>
      <c r="F2099" t="str">
        <f>_xlfn.CONCAT("ProjImmoPlatLogNbTraj",RIGHT(LEFT(D2099,LEN(D2099)-1),2))</f>
        <v>ProjImmoPlatLogNbTraj40</v>
      </c>
      <c r="G2099" t="s">
        <v>17</v>
      </c>
      <c r="H2099">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099" t="s">
        <v>145</v>
      </c>
      <c r="L2099">
        <v>5</v>
      </c>
      <c r="N2099" t="s">
        <v>303</v>
      </c>
    </row>
    <row r="2100" spans="1:14" outlineLevel="1" x14ac:dyDescent="0.25">
      <c r="A2100" t="s">
        <v>300</v>
      </c>
      <c r="C2100" t="s">
        <v>250</v>
      </c>
      <c r="D2100" t="str">
        <f>_xlfn.CONCAT("Taux de chargement moyen des véhicules pour l'accès à la plateforme logistique"," (",'Remplissage - Sit. Init.'!$C$423,")")</f>
        <v>Taux de chargement moyen des véhicules pour l'accès à la plateforme logistique (Catégorie 41)</v>
      </c>
      <c r="F2100" t="str">
        <f>_xlfn.CONCAT("ProjImmoPlatLogTC",RIGHT(LEFT(D2100,LEN(D2100)-1),2))</f>
        <v>ProjImmoPlatLogTC41</v>
      </c>
      <c r="G2100" t="s">
        <v>17</v>
      </c>
      <c r="H210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00" s="3"/>
      <c r="K2100" t="s">
        <v>70</v>
      </c>
      <c r="L2100" s="7">
        <v>0.8</v>
      </c>
      <c r="N2100" t="s">
        <v>303</v>
      </c>
    </row>
    <row r="2101" spans="1:14" outlineLevel="1" x14ac:dyDescent="0.25">
      <c r="A2101" t="s">
        <v>300</v>
      </c>
      <c r="C2101" t="s">
        <v>250</v>
      </c>
      <c r="D2101" t="str">
        <f>_xlfn.CONCAT("Distance parcourue associée"," (",'Remplissage - Sit. Init.'!$C$423,")")</f>
        <v>Distance parcourue associée (Catégorie 41)</v>
      </c>
      <c r="F2101" t="str">
        <f>_xlfn.CONCAT("ProjImmoPlatLogDist",RIGHT(LEFT(D2101,LEN(D2101)-1),2))</f>
        <v>ProjImmoPlatLogDist41</v>
      </c>
      <c r="G2101" t="s">
        <v>17</v>
      </c>
      <c r="H210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01" t="s">
        <v>88</v>
      </c>
      <c r="L2101">
        <v>15</v>
      </c>
      <c r="N2101" t="s">
        <v>303</v>
      </c>
    </row>
    <row r="2102" spans="1:14" outlineLevel="1" x14ac:dyDescent="0.25">
      <c r="A2102" t="s">
        <v>300</v>
      </c>
      <c r="C2102" t="s">
        <v>250</v>
      </c>
      <c r="D2102" t="str">
        <f>_xlfn.CONCAT("Nombre de trajets associés"," (",'Remplissage - Sit. Init.'!$C$423,")")</f>
        <v>Nombre de trajets associés (Catégorie 41)</v>
      </c>
      <c r="F2102" t="str">
        <f>_xlfn.CONCAT("ProjImmoPlatLogNbTraj",RIGHT(LEFT(D2102,LEN(D2102)-1),2))</f>
        <v>ProjImmoPlatLogNbTraj41</v>
      </c>
      <c r="G2102" t="s">
        <v>17</v>
      </c>
      <c r="H210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02" t="s">
        <v>145</v>
      </c>
      <c r="L2102">
        <v>5</v>
      </c>
      <c r="N2102" t="s">
        <v>303</v>
      </c>
    </row>
    <row r="2103" spans="1:14" outlineLevel="1" x14ac:dyDescent="0.25">
      <c r="A2103" t="s">
        <v>300</v>
      </c>
      <c r="C2103" t="s">
        <v>250</v>
      </c>
      <c r="D2103" t="str">
        <f>_xlfn.CONCAT("Taux de chargement moyen des véhicules pour l'accès à la plateforme logistique"," (",'Remplissage - Sit. Init.'!$C$433,")")</f>
        <v>Taux de chargement moyen des véhicules pour l'accès à la plateforme logistique (Catégorie 42)</v>
      </c>
      <c r="F2103" t="str">
        <f>_xlfn.CONCAT("ProjImmoPlatLogTC",RIGHT(LEFT(D2103,LEN(D2103)-1),2))</f>
        <v>ProjImmoPlatLogTC42</v>
      </c>
      <c r="G2103" t="s">
        <v>17</v>
      </c>
      <c r="H210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03" s="3"/>
      <c r="K2103" t="s">
        <v>70</v>
      </c>
      <c r="L2103" s="7">
        <v>0.8</v>
      </c>
      <c r="N2103" t="s">
        <v>303</v>
      </c>
    </row>
    <row r="2104" spans="1:14" outlineLevel="1" x14ac:dyDescent="0.25">
      <c r="A2104" t="s">
        <v>300</v>
      </c>
      <c r="C2104" t="s">
        <v>250</v>
      </c>
      <c r="D2104" t="str">
        <f>_xlfn.CONCAT("Distance parcourue associée"," (",'Remplissage - Sit. Init.'!$C$433,")")</f>
        <v>Distance parcourue associée (Catégorie 42)</v>
      </c>
      <c r="F2104" t="str">
        <f>_xlfn.CONCAT("ProjImmoPlatLogDist",RIGHT(LEFT(D2104,LEN(D2104)-1),2))</f>
        <v>ProjImmoPlatLogDist42</v>
      </c>
      <c r="G2104" t="s">
        <v>17</v>
      </c>
      <c r="H210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04" t="s">
        <v>88</v>
      </c>
      <c r="L2104">
        <v>15</v>
      </c>
      <c r="N2104" t="s">
        <v>303</v>
      </c>
    </row>
    <row r="2105" spans="1:14" outlineLevel="1" x14ac:dyDescent="0.25">
      <c r="A2105" t="s">
        <v>300</v>
      </c>
      <c r="C2105" t="s">
        <v>250</v>
      </c>
      <c r="D2105" t="str">
        <f>_xlfn.CONCAT("Nombre de trajets associés"," (",'Remplissage - Sit. Init.'!$C$433,")")</f>
        <v>Nombre de trajets associés (Catégorie 42)</v>
      </c>
      <c r="F2105" t="str">
        <f>_xlfn.CONCAT("ProjImmoPlatLogNbTraj",RIGHT(LEFT(D2105,LEN(D2105)-1),2))</f>
        <v>ProjImmoPlatLogNbTraj42</v>
      </c>
      <c r="G2105" t="s">
        <v>17</v>
      </c>
      <c r="H210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05" t="s">
        <v>145</v>
      </c>
      <c r="L2105">
        <v>5</v>
      </c>
      <c r="N2105" t="s">
        <v>303</v>
      </c>
    </row>
    <row r="2106" spans="1:14" outlineLevel="1" x14ac:dyDescent="0.25">
      <c r="A2106" t="s">
        <v>300</v>
      </c>
      <c r="C2106" t="s">
        <v>250</v>
      </c>
      <c r="D2106" t="str">
        <f>_xlfn.CONCAT("Taux de chargement moyen des véhicules pour l'accès à la plateforme logistique"," (",'Remplissage - Sit. Init.'!$C$443,")")</f>
        <v>Taux de chargement moyen des véhicules pour l'accès à la plateforme logistique (Catégorie 43)</v>
      </c>
      <c r="F2106" t="str">
        <f>_xlfn.CONCAT("ProjImmoPlatLogTC",RIGHT(LEFT(D2106,LEN(D2106)-1),2))</f>
        <v>ProjImmoPlatLogTC43</v>
      </c>
      <c r="G2106" t="s">
        <v>17</v>
      </c>
      <c r="H210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06" s="3"/>
      <c r="K2106" t="s">
        <v>70</v>
      </c>
      <c r="L2106" s="7">
        <v>0.8</v>
      </c>
      <c r="N2106" t="s">
        <v>303</v>
      </c>
    </row>
    <row r="2107" spans="1:14" outlineLevel="1" x14ac:dyDescent="0.25">
      <c r="A2107" t="s">
        <v>300</v>
      </c>
      <c r="C2107" t="s">
        <v>250</v>
      </c>
      <c r="D2107" t="str">
        <f>_xlfn.CONCAT("Distance parcourue associée"," (",'Remplissage - Sit. Init.'!$C$443,")")</f>
        <v>Distance parcourue associée (Catégorie 43)</v>
      </c>
      <c r="F2107" t="str">
        <f>_xlfn.CONCAT("ProjImmoPlatLogDist",RIGHT(LEFT(D2107,LEN(D2107)-1),2))</f>
        <v>ProjImmoPlatLogDist43</v>
      </c>
      <c r="G2107" t="s">
        <v>17</v>
      </c>
      <c r="H210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07" t="s">
        <v>88</v>
      </c>
      <c r="L2107">
        <v>15</v>
      </c>
      <c r="N2107" t="s">
        <v>303</v>
      </c>
    </row>
    <row r="2108" spans="1:14" outlineLevel="1" x14ac:dyDescent="0.25">
      <c r="A2108" t="s">
        <v>300</v>
      </c>
      <c r="C2108" t="s">
        <v>250</v>
      </c>
      <c r="D2108" t="str">
        <f>_xlfn.CONCAT("Nombre de trajets associés"," (",'Remplissage - Sit. Init.'!$C$443,")")</f>
        <v>Nombre de trajets associés (Catégorie 43)</v>
      </c>
      <c r="F2108" t="str">
        <f>_xlfn.CONCAT("ProjImmoPlatLogNbTraj",RIGHT(LEFT(D2108,LEN(D2108)-1),2))</f>
        <v>ProjImmoPlatLogNbTraj43</v>
      </c>
      <c r="G2108" t="s">
        <v>17</v>
      </c>
      <c r="H210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08" t="s">
        <v>145</v>
      </c>
      <c r="L2108">
        <v>5</v>
      </c>
      <c r="N2108" t="s">
        <v>303</v>
      </c>
    </row>
    <row r="2109" spans="1:14" outlineLevel="1" x14ac:dyDescent="0.25">
      <c r="A2109" t="s">
        <v>300</v>
      </c>
      <c r="C2109" t="s">
        <v>250</v>
      </c>
      <c r="D2109" t="str">
        <f>_xlfn.CONCAT("Taux de chargement moyen des véhicules pour l'accès à la plateforme logistique"," (",'Remplissage - Sit. Init.'!$C$453,")")</f>
        <v>Taux de chargement moyen des véhicules pour l'accès à la plateforme logistique (Catégorie 44)</v>
      </c>
      <c r="F2109" t="str">
        <f>_xlfn.CONCAT("ProjImmoPlatLogTC",RIGHT(LEFT(D2109,LEN(D2109)-1),2))</f>
        <v>ProjImmoPlatLogTC44</v>
      </c>
      <c r="G2109" t="s">
        <v>17</v>
      </c>
      <c r="H210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09" s="3"/>
      <c r="K2109" t="s">
        <v>70</v>
      </c>
      <c r="L2109" s="7">
        <v>0.8</v>
      </c>
      <c r="N2109" t="s">
        <v>303</v>
      </c>
    </row>
    <row r="2110" spans="1:14" outlineLevel="1" x14ac:dyDescent="0.25">
      <c r="A2110" t="s">
        <v>300</v>
      </c>
      <c r="C2110" t="s">
        <v>250</v>
      </c>
      <c r="D2110" t="str">
        <f>_xlfn.CONCAT("Distance parcourue associée"," (",'Remplissage - Sit. Init.'!$C$453,")")</f>
        <v>Distance parcourue associée (Catégorie 44)</v>
      </c>
      <c r="F2110" t="str">
        <f>_xlfn.CONCAT("ProjImmoPlatLogDist",RIGHT(LEFT(D2110,LEN(D2110)-1),2))</f>
        <v>ProjImmoPlatLogDist44</v>
      </c>
      <c r="G2110" t="s">
        <v>17</v>
      </c>
      <c r="H211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10" t="s">
        <v>88</v>
      </c>
      <c r="L2110">
        <v>15</v>
      </c>
      <c r="N2110" t="s">
        <v>303</v>
      </c>
    </row>
    <row r="2111" spans="1:14" outlineLevel="1" x14ac:dyDescent="0.25">
      <c r="A2111" t="s">
        <v>300</v>
      </c>
      <c r="C2111" t="s">
        <v>250</v>
      </c>
      <c r="D2111" t="str">
        <f>_xlfn.CONCAT("Nombre de trajets associés"," (",'Remplissage - Sit. Init.'!$C$453,")")</f>
        <v>Nombre de trajets associés (Catégorie 44)</v>
      </c>
      <c r="F2111" t="str">
        <f>_xlfn.CONCAT("ProjImmoPlatLogNbTraj",RIGHT(LEFT(D2111,LEN(D2111)-1),2))</f>
        <v>ProjImmoPlatLogNbTraj44</v>
      </c>
      <c r="G2111" t="s">
        <v>17</v>
      </c>
      <c r="H211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11" t="s">
        <v>145</v>
      </c>
      <c r="L2111">
        <v>5</v>
      </c>
      <c r="N2111" t="s">
        <v>303</v>
      </c>
    </row>
    <row r="2112" spans="1:14" outlineLevel="1" x14ac:dyDescent="0.25">
      <c r="A2112" t="s">
        <v>300</v>
      </c>
      <c r="C2112" t="s">
        <v>250</v>
      </c>
      <c r="D2112" t="str">
        <f>_xlfn.CONCAT("Taux de chargement moyen des véhicules pour l'accès à la plateforme logistique"," (",'Remplissage - Sit. Init.'!$C$463,")")</f>
        <v>Taux de chargement moyen des véhicules pour l'accès à la plateforme logistique (Catégorie 45)</v>
      </c>
      <c r="F2112" t="str">
        <f>_xlfn.CONCAT("ProjImmoPlatLogTC",RIGHT(LEFT(D2112,LEN(D2112)-1),2))</f>
        <v>ProjImmoPlatLogTC45</v>
      </c>
      <c r="G2112" t="s">
        <v>17</v>
      </c>
      <c r="H211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12" s="3"/>
      <c r="K2112" t="s">
        <v>70</v>
      </c>
      <c r="L2112" s="7">
        <v>0.8</v>
      </c>
      <c r="N2112" t="s">
        <v>303</v>
      </c>
    </row>
    <row r="2113" spans="1:14" outlineLevel="1" x14ac:dyDescent="0.25">
      <c r="A2113" t="s">
        <v>300</v>
      </c>
      <c r="C2113" t="s">
        <v>250</v>
      </c>
      <c r="D2113" t="str">
        <f>_xlfn.CONCAT("Distance parcourue associée"," (",'Remplissage - Sit. Init.'!$C$463,")")</f>
        <v>Distance parcourue associée (Catégorie 45)</v>
      </c>
      <c r="F2113" t="str">
        <f>_xlfn.CONCAT("ProjImmoPlatLogDist",RIGHT(LEFT(D2113,LEN(D2113)-1),2))</f>
        <v>ProjImmoPlatLogDist45</v>
      </c>
      <c r="G2113" t="s">
        <v>17</v>
      </c>
      <c r="H211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13" t="s">
        <v>88</v>
      </c>
      <c r="L2113">
        <v>15</v>
      </c>
      <c r="N2113" t="s">
        <v>303</v>
      </c>
    </row>
    <row r="2114" spans="1:14" outlineLevel="1" x14ac:dyDescent="0.25">
      <c r="A2114" t="s">
        <v>300</v>
      </c>
      <c r="C2114" t="s">
        <v>250</v>
      </c>
      <c r="D2114" t="str">
        <f>_xlfn.CONCAT("Nombre de trajets associés"," (",'Remplissage - Sit. Init.'!$C$463,")")</f>
        <v>Nombre de trajets associés (Catégorie 45)</v>
      </c>
      <c r="F2114" t="str">
        <f>_xlfn.CONCAT("ProjImmoPlatLogNbTraj",RIGHT(LEFT(D2114,LEN(D2114)-1),2))</f>
        <v>ProjImmoPlatLogNbTraj45</v>
      </c>
      <c r="G2114" t="s">
        <v>17</v>
      </c>
      <c r="H211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14" t="s">
        <v>145</v>
      </c>
      <c r="L2114">
        <v>5</v>
      </c>
      <c r="N2114" t="s">
        <v>303</v>
      </c>
    </row>
    <row r="2115" spans="1:14" x14ac:dyDescent="0.25">
      <c r="A2115" t="s">
        <v>300</v>
      </c>
      <c r="C2115" t="s">
        <v>358</v>
      </c>
      <c r="D2115" t="s">
        <v>359</v>
      </c>
      <c r="F2115" t="s">
        <v>360</v>
      </c>
      <c r="G2115" t="s">
        <v>20</v>
      </c>
      <c r="H2115">
        <f>(((IF(ISNUMBER(SEARCH("Oui",$I$1833)),1,0))*(IF($I$1823="Les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15" t="s">
        <v>382</v>
      </c>
      <c r="J2115" t="s">
        <v>239</v>
      </c>
      <c r="N2115" t="s">
        <v>303</v>
      </c>
    </row>
    <row r="2116" spans="1:14" x14ac:dyDescent="0.25">
      <c r="A2116" t="s">
        <v>300</v>
      </c>
      <c r="C2116" t="s">
        <v>358</v>
      </c>
      <c r="D2116" t="s">
        <v>361</v>
      </c>
      <c r="F2116" t="s">
        <v>362</v>
      </c>
      <c r="G2116" t="s">
        <v>17</v>
      </c>
      <c r="H2116">
        <f>(((IF(ISNUMBER(SEARCH("Oui",$I$1833)),1,0))*(IF($I$1823="Les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16" t="s">
        <v>88</v>
      </c>
      <c r="L2116">
        <v>20</v>
      </c>
      <c r="N2116" t="s">
        <v>303</v>
      </c>
    </row>
    <row r="2117" spans="1:14" x14ac:dyDescent="0.25">
      <c r="A2117" t="s">
        <v>300</v>
      </c>
      <c r="C2117" t="s">
        <v>358</v>
      </c>
      <c r="D2117" t="s">
        <v>363</v>
      </c>
      <c r="F2117" t="s">
        <v>364</v>
      </c>
      <c r="G2117" t="s">
        <v>17</v>
      </c>
      <c r="H2117">
        <f>(((IF(ISNUMBER(SEARCH("Oui",$I$1833)),1,0))*(IF($I$1823="Les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17" s="3"/>
      <c r="K2117" t="s">
        <v>70</v>
      </c>
      <c r="L2117" s="7">
        <v>0.6</v>
      </c>
      <c r="N2117" t="s">
        <v>303</v>
      </c>
    </row>
    <row r="2118" spans="1:14" x14ac:dyDescent="0.25">
      <c r="A2118" t="s">
        <v>300</v>
      </c>
      <c r="C2118" t="s">
        <v>358</v>
      </c>
      <c r="D2118" t="s">
        <v>348</v>
      </c>
      <c r="F2118" t="s">
        <v>365</v>
      </c>
      <c r="G2118" t="s">
        <v>17</v>
      </c>
      <c r="H2118">
        <f>(((IF(ISNUMBER(SEARCH("Oui",$I$1833)),1,0)*IF(ISNUMBER(SEARCH("La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18" t="s">
        <v>88</v>
      </c>
      <c r="L2118">
        <v>20</v>
      </c>
      <c r="N2118" t="s">
        <v>303</v>
      </c>
    </row>
    <row r="2119" spans="1:14" x14ac:dyDescent="0.25">
      <c r="A2119" t="s">
        <v>300</v>
      </c>
      <c r="C2119" t="s">
        <v>358</v>
      </c>
      <c r="D2119" t="s">
        <v>248</v>
      </c>
      <c r="F2119" t="s">
        <v>366</v>
      </c>
      <c r="G2119" t="s">
        <v>17</v>
      </c>
      <c r="H2119">
        <f>(((IF(ISNUMBER(SEARCH("Oui",$I$1833)),1,0)*IF(ISNUMBER(SEARCH("La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19" t="s">
        <v>145</v>
      </c>
      <c r="L2119">
        <v>5</v>
      </c>
      <c r="N2119" t="s">
        <v>303</v>
      </c>
    </row>
    <row r="2120" spans="1:14" outlineLevel="1" x14ac:dyDescent="0.25">
      <c r="A2120" t="s">
        <v>300</v>
      </c>
      <c r="C2120" t="s">
        <v>358</v>
      </c>
      <c r="D2120" t="str">
        <f>_xlfn.CONCAT("Taux de chargement moyen des véhicules pour l'accès au(x) projet(s) depuis la plateforme"," (",'Remplissage - Sit. Init.'!$C$23,")")</f>
        <v>Taux de chargement moyen des véhicules pour l'accès au(x) projet(s) depuis la plateforme (Catégorie 1)</v>
      </c>
      <c r="F2120" t="str">
        <f>_xlfn.CONCAT("ProjImmoDepuisPLTC",RIGHT(LEFT(D2120,LEN(D2120)-1),1))</f>
        <v>ProjImmoDepuisPLTC1</v>
      </c>
      <c r="G2120" t="s">
        <v>17</v>
      </c>
      <c r="H2120">
        <f>(((IF(ISNUMBER(SEARCH('Remplissage - Sit. Init.'!$I$23,$I$2115)),1,0))*(IF($I$1823="Les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20" s="3"/>
      <c r="K2120" t="s">
        <v>70</v>
      </c>
      <c r="L2120" s="7">
        <v>0.6</v>
      </c>
      <c r="N2120" t="s">
        <v>303</v>
      </c>
    </row>
    <row r="2121" spans="1:14" outlineLevel="1" x14ac:dyDescent="0.25">
      <c r="A2121" t="s">
        <v>300</v>
      </c>
      <c r="C2121" t="s">
        <v>358</v>
      </c>
      <c r="D2121" t="str">
        <f>_xlfn.CONCAT("Distance parcourue associée"," (",'Remplissage - Sit. Init.'!$C$23,")")</f>
        <v>Distance parcourue associée (Catégorie 1)</v>
      </c>
      <c r="F2121" t="str">
        <f>_xlfn.CONCAT("ProjImmoDepuisPLDist",RIGHT(LEFT(D2121,LEN(D2121)-1),1))</f>
        <v>ProjImmoDepuisPLDist1</v>
      </c>
      <c r="G2121" t="s">
        <v>17</v>
      </c>
      <c r="H2121">
        <f>((((IF(ISNUMBER(SEARCH('Remplissage - Sit. Init.'!$I$23,$I$2115)),1,0))*(IF(ISNUMBER(SEARCH("La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21" t="s">
        <v>88</v>
      </c>
      <c r="L2121">
        <v>20</v>
      </c>
      <c r="N2121" t="s">
        <v>303</v>
      </c>
    </row>
    <row r="2122" spans="1:14" outlineLevel="1" x14ac:dyDescent="0.25">
      <c r="A2122" t="s">
        <v>300</v>
      </c>
      <c r="C2122" t="s">
        <v>358</v>
      </c>
      <c r="D2122" t="str">
        <f>_xlfn.CONCAT("Nombre de trajets associés"," (",'Remplissage - Sit. Init.'!$C$23,")")</f>
        <v>Nombre de trajets associés (Catégorie 1)</v>
      </c>
      <c r="F2122" t="str">
        <f>_xlfn.CONCAT("ProjImmoDepuisPLNbTraj",RIGHT(LEFT(D2122,LEN(D2122)-1),1))</f>
        <v>ProjImmoDepuisPLNbTraj1</v>
      </c>
      <c r="G2122" t="s">
        <v>17</v>
      </c>
      <c r="H2122">
        <f>((((IF(ISNUMBER(SEARCH('Remplissage - Sit. Init.'!$I$23,$I$2115)),1,0))*(IF(ISNUMBER(SEARCH("La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22" t="s">
        <v>145</v>
      </c>
      <c r="L2122">
        <v>5</v>
      </c>
      <c r="N2122" t="s">
        <v>303</v>
      </c>
    </row>
    <row r="2123" spans="1:14" outlineLevel="1" x14ac:dyDescent="0.25">
      <c r="A2123" t="s">
        <v>300</v>
      </c>
      <c r="C2123" t="s">
        <v>358</v>
      </c>
      <c r="D2123" t="str">
        <f>_xlfn.CONCAT("Taux de chargement moyen des véhicules pour l'accès au(x) projet(s) depuis la plateforme"," (",'Remplissage - Sit. Init.'!$C$33,")")</f>
        <v>Taux de chargement moyen des véhicules pour l'accès au(x) projet(s) depuis la plateforme (Catégorie 2)</v>
      </c>
      <c r="F2123" t="str">
        <f>_xlfn.CONCAT("ProjImmoDepuisPLTC",RIGHT(LEFT(D2123,LEN(D2123)-1),1))</f>
        <v>ProjImmoDepuisPLTC2</v>
      </c>
      <c r="G2123" t="s">
        <v>17</v>
      </c>
      <c r="H2123">
        <f>(((IF(ISNUMBER(SEARCH('Remplissage - Sit. Init.'!$I$33,$I$2115)),1,0))*(IF($I$1823="Les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23" s="3"/>
      <c r="K2123" t="s">
        <v>70</v>
      </c>
      <c r="L2123" s="7">
        <v>0.6</v>
      </c>
      <c r="N2123" t="s">
        <v>303</v>
      </c>
    </row>
    <row r="2124" spans="1:14" outlineLevel="1" x14ac:dyDescent="0.25">
      <c r="A2124" t="s">
        <v>300</v>
      </c>
      <c r="C2124" t="s">
        <v>358</v>
      </c>
      <c r="D2124" t="str">
        <f>_xlfn.CONCAT("Distance parcourue associée"," (",'Remplissage - Sit. Init.'!$C$33,")")</f>
        <v>Distance parcourue associée (Catégorie 2)</v>
      </c>
      <c r="F2124" t="str">
        <f>_xlfn.CONCAT("ProjImmoDepuisPLDist",RIGHT(LEFT(D2124,LEN(D2124)-1),1))</f>
        <v>ProjImmoDepuisPLDist2</v>
      </c>
      <c r="G2124" t="s">
        <v>17</v>
      </c>
      <c r="H2124">
        <f>((((IF(ISNUMBER(SEARCH('Remplissage - Sit. Init.'!$I$33,$I$2115)),1,0))*(IF(ISNUMBER(SEARCH("La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24" t="s">
        <v>88</v>
      </c>
      <c r="L2124">
        <v>20</v>
      </c>
      <c r="N2124" t="s">
        <v>303</v>
      </c>
    </row>
    <row r="2125" spans="1:14" outlineLevel="1" x14ac:dyDescent="0.25">
      <c r="A2125" t="s">
        <v>300</v>
      </c>
      <c r="C2125" t="s">
        <v>358</v>
      </c>
      <c r="D2125" t="str">
        <f>_xlfn.CONCAT("Nombre de trajets associés"," (",'Remplissage - Sit. Init.'!$C$33,")")</f>
        <v>Nombre de trajets associés (Catégorie 2)</v>
      </c>
      <c r="F2125" t="str">
        <f>_xlfn.CONCAT("ProjImmoDepuisPLNbTraj",RIGHT(LEFT(D2125,LEN(D2125)-1),1))</f>
        <v>ProjImmoDepuisPLNbTraj2</v>
      </c>
      <c r="G2125" t="s">
        <v>17</v>
      </c>
      <c r="H2125">
        <f>((((IF(ISNUMBER(SEARCH('Remplissage - Sit. Init.'!$I$33,$I$2115)),1,0))*(IF(ISNUMBER(SEARCH("La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25" t="s">
        <v>145</v>
      </c>
      <c r="L2125">
        <v>5</v>
      </c>
      <c r="N2125" t="s">
        <v>303</v>
      </c>
    </row>
    <row r="2126" spans="1:14" outlineLevel="1" x14ac:dyDescent="0.25">
      <c r="A2126" t="s">
        <v>300</v>
      </c>
      <c r="C2126" t="s">
        <v>358</v>
      </c>
      <c r="D2126" t="str">
        <f>_xlfn.CONCAT("Taux de chargement moyen des véhicules pour l'accès au(x) projet(s) depuis la plateforme"," (",'Remplissage - Sit. Init.'!$C$43,")")</f>
        <v>Taux de chargement moyen des véhicules pour l'accès au(x) projet(s) depuis la plateforme (Catégorie 3)</v>
      </c>
      <c r="F2126" t="str">
        <f>_xlfn.CONCAT("ProjImmoDepuisPLTC",RIGHT(LEFT(D2126,LEN(D2126)-1),1))</f>
        <v>ProjImmoDepuisPLTC3</v>
      </c>
      <c r="G2126" t="s">
        <v>17</v>
      </c>
      <c r="H2126">
        <f>(((IF(ISNUMBER(SEARCH('Remplissage - Sit. Init.'!$I$43,$I$2115)),1,0))*(IF($I$1823="Les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26" s="3"/>
      <c r="K2126" t="s">
        <v>70</v>
      </c>
      <c r="L2126" s="7">
        <v>0.6</v>
      </c>
      <c r="N2126" t="s">
        <v>303</v>
      </c>
    </row>
    <row r="2127" spans="1:14" outlineLevel="1" x14ac:dyDescent="0.25">
      <c r="A2127" t="s">
        <v>300</v>
      </c>
      <c r="C2127" t="s">
        <v>358</v>
      </c>
      <c r="D2127" t="str">
        <f>_xlfn.CONCAT("Distance parcourue associée"," (",'Remplissage - Sit. Init.'!$C$43,")")</f>
        <v>Distance parcourue associée (Catégorie 3)</v>
      </c>
      <c r="F2127" t="str">
        <f>_xlfn.CONCAT("ProjImmoDepuisPLDist",RIGHT(LEFT(D2127,LEN(D2127)-1),1))</f>
        <v>ProjImmoDepuisPLDist3</v>
      </c>
      <c r="G2127" t="s">
        <v>17</v>
      </c>
      <c r="H2127">
        <f>((((IF(ISNUMBER(SEARCH('Remplissage - Sit. Init.'!$I$43,$I$2115)),1,0))*(IF(ISNUMBER(SEARCH("La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27" t="s">
        <v>88</v>
      </c>
      <c r="L2127">
        <v>20</v>
      </c>
      <c r="N2127" t="s">
        <v>303</v>
      </c>
    </row>
    <row r="2128" spans="1:14" outlineLevel="1" x14ac:dyDescent="0.25">
      <c r="A2128" t="s">
        <v>300</v>
      </c>
      <c r="C2128" t="s">
        <v>358</v>
      </c>
      <c r="D2128" t="str">
        <f>_xlfn.CONCAT("Nombre de trajets associés"," (",'Remplissage - Sit. Init.'!$C$43,")")</f>
        <v>Nombre de trajets associés (Catégorie 3)</v>
      </c>
      <c r="F2128" t="str">
        <f>_xlfn.CONCAT("ProjImmoDepuisPLNbTraj",RIGHT(LEFT(D2128,LEN(D2128)-1),1))</f>
        <v>ProjImmoDepuisPLNbTraj3</v>
      </c>
      <c r="G2128" t="s">
        <v>17</v>
      </c>
      <c r="H2128">
        <f>((((IF(ISNUMBER(SEARCH('Remplissage - Sit. Init.'!$I$43,$I$2115)),1,0))*(IF(ISNUMBER(SEARCH("La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28" t="s">
        <v>145</v>
      </c>
      <c r="L2128">
        <v>5</v>
      </c>
      <c r="N2128" t="s">
        <v>303</v>
      </c>
    </row>
    <row r="2129" spans="1:14" outlineLevel="1" x14ac:dyDescent="0.25">
      <c r="A2129" t="s">
        <v>300</v>
      </c>
      <c r="C2129" t="s">
        <v>358</v>
      </c>
      <c r="D2129" t="str">
        <f>_xlfn.CONCAT("Taux de chargement moyen des véhicules pour l'accès au(x) projet(s) depuis la plateforme"," (",'Remplissage - Sit. Init.'!$C$53,")")</f>
        <v>Taux de chargement moyen des véhicules pour l'accès au(x) projet(s) depuis la plateforme (Catégorie 4)</v>
      </c>
      <c r="F2129" t="str">
        <f>_xlfn.CONCAT("ProjImmoDepuisPLTC",RIGHT(LEFT(D2129,LEN(D2129)-1),1))</f>
        <v>ProjImmoDepuisPLTC4</v>
      </c>
      <c r="G2129" t="s">
        <v>17</v>
      </c>
      <c r="H2129">
        <f>(((IF(ISNUMBER(SEARCH('Remplissage - Sit. Init.'!$I$53,$I$2115)),1,0))*(IF($I$1823="Les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29" s="3"/>
      <c r="K2129" t="s">
        <v>70</v>
      </c>
      <c r="L2129" s="7">
        <v>0.6</v>
      </c>
      <c r="N2129" t="s">
        <v>303</v>
      </c>
    </row>
    <row r="2130" spans="1:14" outlineLevel="1" x14ac:dyDescent="0.25">
      <c r="A2130" t="s">
        <v>300</v>
      </c>
      <c r="C2130" t="s">
        <v>358</v>
      </c>
      <c r="D2130" t="str">
        <f>_xlfn.CONCAT("Distance parcourue associée"," (",'Remplissage - Sit. Init.'!$C$53,")")</f>
        <v>Distance parcourue associée (Catégorie 4)</v>
      </c>
      <c r="F2130" t="str">
        <f>_xlfn.CONCAT("ProjImmoDepuisPLDist",RIGHT(LEFT(D2130,LEN(D2130)-1),1))</f>
        <v>ProjImmoDepuisPLDist4</v>
      </c>
      <c r="G2130" t="s">
        <v>17</v>
      </c>
      <c r="H2130">
        <f>((((IF(ISNUMBER(SEARCH('Remplissage - Sit. Init.'!$I$53,$I$2115)),1,0))*(IF(ISNUMBER(SEARCH("La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30" t="s">
        <v>88</v>
      </c>
      <c r="L2130">
        <v>20</v>
      </c>
      <c r="N2130" t="s">
        <v>303</v>
      </c>
    </row>
    <row r="2131" spans="1:14" outlineLevel="1" x14ac:dyDescent="0.25">
      <c r="A2131" t="s">
        <v>300</v>
      </c>
      <c r="C2131" t="s">
        <v>358</v>
      </c>
      <c r="D2131" t="str">
        <f>_xlfn.CONCAT("Nombre de trajets associés"," (",'Remplissage - Sit. Init.'!$C$53,")")</f>
        <v>Nombre de trajets associés (Catégorie 4)</v>
      </c>
      <c r="F2131" t="str">
        <f>_xlfn.CONCAT("ProjImmoDepuisPLNbTraj",RIGHT(LEFT(D2131,LEN(D2131)-1),1))</f>
        <v>ProjImmoDepuisPLNbTraj4</v>
      </c>
      <c r="G2131" t="s">
        <v>17</v>
      </c>
      <c r="H2131">
        <f>((((IF(ISNUMBER(SEARCH('Remplissage - Sit. Init.'!$I$53,$I$2115)),1,0))*(IF(ISNUMBER(SEARCH("La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31" t="s">
        <v>145</v>
      </c>
      <c r="L2131">
        <v>5</v>
      </c>
      <c r="N2131" t="s">
        <v>303</v>
      </c>
    </row>
    <row r="2132" spans="1:14" outlineLevel="1" x14ac:dyDescent="0.25">
      <c r="A2132" t="s">
        <v>300</v>
      </c>
      <c r="C2132" t="s">
        <v>358</v>
      </c>
      <c r="D2132" t="str">
        <f>_xlfn.CONCAT("Taux de chargement moyen des véhicules pour l'accès au(x) projet(s) depuis la plateforme"," (",'Remplissage - Sit. Init.'!$C$63,")")</f>
        <v>Taux de chargement moyen des véhicules pour l'accès au(x) projet(s) depuis la plateforme (Catégorie 5)</v>
      </c>
      <c r="F2132" t="str">
        <f>_xlfn.CONCAT("ProjImmoDepuisPLTC",RIGHT(LEFT(D2132,LEN(D2132)-1),1))</f>
        <v>ProjImmoDepuisPLTC5</v>
      </c>
      <c r="G2132" t="s">
        <v>17</v>
      </c>
      <c r="H2132">
        <f>(((IF(ISNUMBER(SEARCH('Remplissage - Sit. Init.'!$I$63,$I$2115)),1,0))*(IF($I$1823="Les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32" s="3"/>
      <c r="K2132" t="s">
        <v>70</v>
      </c>
      <c r="L2132" s="7">
        <v>0.6</v>
      </c>
      <c r="N2132" t="s">
        <v>303</v>
      </c>
    </row>
    <row r="2133" spans="1:14" outlineLevel="1" x14ac:dyDescent="0.25">
      <c r="A2133" t="s">
        <v>300</v>
      </c>
      <c r="C2133" t="s">
        <v>358</v>
      </c>
      <c r="D2133" t="str">
        <f>_xlfn.CONCAT("Distance parcourue associée"," (",'Remplissage - Sit. Init.'!$C$63,")")</f>
        <v>Distance parcourue associée (Catégorie 5)</v>
      </c>
      <c r="F2133" t="str">
        <f>_xlfn.CONCAT("ProjImmoDepuisPLDist",RIGHT(LEFT(D2133,LEN(D2133)-1),1))</f>
        <v>ProjImmoDepuisPLDist5</v>
      </c>
      <c r="G2133" t="s">
        <v>17</v>
      </c>
      <c r="H2133">
        <f>((((IF(ISNUMBER(SEARCH('Remplissage - Sit. Init.'!$I$63,$I$2115)),1,0))*(IF(ISNUMBER(SEARCH("La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33" t="s">
        <v>88</v>
      </c>
      <c r="L2133">
        <v>20</v>
      </c>
      <c r="N2133" t="s">
        <v>303</v>
      </c>
    </row>
    <row r="2134" spans="1:14" outlineLevel="1" x14ac:dyDescent="0.25">
      <c r="A2134" t="s">
        <v>300</v>
      </c>
      <c r="C2134" t="s">
        <v>358</v>
      </c>
      <c r="D2134" t="str">
        <f>_xlfn.CONCAT("Nombre de trajets associés"," (",'Remplissage - Sit. Init.'!$C$63,")")</f>
        <v>Nombre de trajets associés (Catégorie 5)</v>
      </c>
      <c r="F2134" t="str">
        <f>_xlfn.CONCAT("ProjImmoDepuisPLNbTraj",RIGHT(LEFT(D2134,LEN(D2134)-1),1))</f>
        <v>ProjImmoDepuisPLNbTraj5</v>
      </c>
      <c r="G2134" t="s">
        <v>17</v>
      </c>
      <c r="H2134">
        <f>((((IF(ISNUMBER(SEARCH('Remplissage - Sit. Init.'!$I$63,$I$2115)),1,0))*(IF(ISNUMBER(SEARCH("La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34" t="s">
        <v>145</v>
      </c>
      <c r="L2134">
        <v>5</v>
      </c>
      <c r="N2134" t="s">
        <v>303</v>
      </c>
    </row>
    <row r="2135" spans="1:14" outlineLevel="1" x14ac:dyDescent="0.25">
      <c r="A2135" t="s">
        <v>300</v>
      </c>
      <c r="C2135" t="s">
        <v>358</v>
      </c>
      <c r="D2135" t="str">
        <f>_xlfn.CONCAT("Taux de chargement moyen des véhicules pour l'accès au(x) projet(s) depuis la plateforme"," (",'Remplissage - Sit. Init.'!$C$73,")")</f>
        <v>Taux de chargement moyen des véhicules pour l'accès au(x) projet(s) depuis la plateforme (Catégorie 6)</v>
      </c>
      <c r="F2135" t="str">
        <f>_xlfn.CONCAT("ProjImmoDepuisPLTC",RIGHT(LEFT(D2135,LEN(D2135)-1),1))</f>
        <v>ProjImmoDepuisPLTC6</v>
      </c>
      <c r="G2135" t="s">
        <v>17</v>
      </c>
      <c r="H2135">
        <f>(((IF(ISNUMBER(SEARCH('Remplissage - Sit. Init.'!$I$73,$I$2115)),1,0))*(IF($I$1823="Les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35" s="3"/>
      <c r="K2135" t="s">
        <v>70</v>
      </c>
      <c r="L2135" s="7">
        <v>0.6</v>
      </c>
      <c r="N2135" t="s">
        <v>303</v>
      </c>
    </row>
    <row r="2136" spans="1:14" outlineLevel="1" x14ac:dyDescent="0.25">
      <c r="A2136" t="s">
        <v>300</v>
      </c>
      <c r="C2136" t="s">
        <v>358</v>
      </c>
      <c r="D2136" t="str">
        <f>_xlfn.CONCAT("Distance parcourue associée"," (",'Remplissage - Sit. Init.'!$C$73,")")</f>
        <v>Distance parcourue associée (Catégorie 6)</v>
      </c>
      <c r="F2136" t="str">
        <f>_xlfn.CONCAT("ProjImmoDepuisPLDist",RIGHT(LEFT(D2136,LEN(D2136)-1),1))</f>
        <v>ProjImmoDepuisPLDist6</v>
      </c>
      <c r="G2136" t="s">
        <v>17</v>
      </c>
      <c r="H2136">
        <f>((((IF(ISNUMBER(SEARCH('Remplissage - Sit. Init.'!$I$73,$I$2115)),1,0))*(IF(ISNUMBER(SEARCH("La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36" t="s">
        <v>88</v>
      </c>
      <c r="L2136">
        <v>20</v>
      </c>
      <c r="N2136" t="s">
        <v>303</v>
      </c>
    </row>
    <row r="2137" spans="1:14" outlineLevel="1" x14ac:dyDescent="0.25">
      <c r="A2137" t="s">
        <v>300</v>
      </c>
      <c r="C2137" t="s">
        <v>358</v>
      </c>
      <c r="D2137" t="str">
        <f>_xlfn.CONCAT("Nombre de trajets associés"," (",'Remplissage - Sit. Init.'!$C$73,")")</f>
        <v>Nombre de trajets associés (Catégorie 6)</v>
      </c>
      <c r="F2137" t="str">
        <f>_xlfn.CONCAT("ProjImmoDepuisPLNbTraj",RIGHT(LEFT(D2137,LEN(D2137)-1),1))</f>
        <v>ProjImmoDepuisPLNbTraj6</v>
      </c>
      <c r="G2137" t="s">
        <v>17</v>
      </c>
      <c r="H2137">
        <f>((((IF(ISNUMBER(SEARCH('Remplissage - Sit. Init.'!$I$73,$I$2115)),1,0))*(IF(ISNUMBER(SEARCH("La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37" t="s">
        <v>145</v>
      </c>
      <c r="L2137">
        <v>5</v>
      </c>
      <c r="N2137" t="s">
        <v>303</v>
      </c>
    </row>
    <row r="2138" spans="1:14" outlineLevel="1" x14ac:dyDescent="0.25">
      <c r="A2138" t="s">
        <v>300</v>
      </c>
      <c r="C2138" t="s">
        <v>358</v>
      </c>
      <c r="D2138" t="str">
        <f>_xlfn.CONCAT("Taux de chargement moyen des véhicules pour l'accès au(x) projet(s) depuis la plateforme"," (",'Remplissage - Sit. Init.'!$C$83,")")</f>
        <v>Taux de chargement moyen des véhicules pour l'accès au(x) projet(s) depuis la plateforme (Catégorie 7)</v>
      </c>
      <c r="F2138" t="str">
        <f>_xlfn.CONCAT("ProjImmoDepuisPLTC",RIGHT(LEFT(D2138,LEN(D2138)-1),1))</f>
        <v>ProjImmoDepuisPLTC7</v>
      </c>
      <c r="G2138" t="s">
        <v>17</v>
      </c>
      <c r="H2138">
        <f>(((IF(ISNUMBER(SEARCH('Remplissage - Sit. Init.'!$I$83,$I$2115)),1,0))*(IF($I$1823="Les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38" s="3"/>
      <c r="K2138" t="s">
        <v>70</v>
      </c>
      <c r="L2138" s="7">
        <v>0.6</v>
      </c>
      <c r="N2138" t="s">
        <v>303</v>
      </c>
    </row>
    <row r="2139" spans="1:14" outlineLevel="1" x14ac:dyDescent="0.25">
      <c r="A2139" t="s">
        <v>300</v>
      </c>
      <c r="C2139" t="s">
        <v>358</v>
      </c>
      <c r="D2139" t="str">
        <f>_xlfn.CONCAT("Distance parcourue associée"," (",'Remplissage - Sit. Init.'!$C$83,")")</f>
        <v>Distance parcourue associée (Catégorie 7)</v>
      </c>
      <c r="F2139" t="str">
        <f>_xlfn.CONCAT("ProjImmoDepuisPLDist",RIGHT(LEFT(D2139,LEN(D2139)-1),1))</f>
        <v>ProjImmoDepuisPLDist7</v>
      </c>
      <c r="G2139" t="s">
        <v>17</v>
      </c>
      <c r="H2139">
        <f>((((IF(ISNUMBER(SEARCH('Remplissage - Sit. Init.'!$I$83,$I$2115)),1,0))*(IF(ISNUMBER(SEARCH("La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39" t="s">
        <v>88</v>
      </c>
      <c r="L2139">
        <v>20</v>
      </c>
      <c r="N2139" t="s">
        <v>303</v>
      </c>
    </row>
    <row r="2140" spans="1:14" outlineLevel="1" x14ac:dyDescent="0.25">
      <c r="A2140" t="s">
        <v>300</v>
      </c>
      <c r="C2140" t="s">
        <v>358</v>
      </c>
      <c r="D2140" t="str">
        <f>_xlfn.CONCAT("Nombre de trajets associés"," (",'Remplissage - Sit. Init.'!$C$83,")")</f>
        <v>Nombre de trajets associés (Catégorie 7)</v>
      </c>
      <c r="F2140" t="str">
        <f>_xlfn.CONCAT("ProjImmoDepuisPLNbTraj",RIGHT(LEFT(D2140,LEN(D2140)-1),1))</f>
        <v>ProjImmoDepuisPLNbTraj7</v>
      </c>
      <c r="G2140" t="s">
        <v>17</v>
      </c>
      <c r="H2140">
        <f>((((IF(ISNUMBER(SEARCH('Remplissage - Sit. Init.'!$I$83,$I$2115)),1,0))*(IF(ISNUMBER(SEARCH("La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40" t="s">
        <v>145</v>
      </c>
      <c r="L2140">
        <v>5</v>
      </c>
      <c r="N2140" t="s">
        <v>303</v>
      </c>
    </row>
    <row r="2141" spans="1:14" outlineLevel="1" x14ac:dyDescent="0.25">
      <c r="A2141" t="s">
        <v>300</v>
      </c>
      <c r="C2141" t="s">
        <v>358</v>
      </c>
      <c r="D2141" t="str">
        <f>_xlfn.CONCAT("Taux de chargement moyen des véhicules pour l'accès au(x) projet(s) depuis la plateforme"," (",'Remplissage - Sit. Init.'!$C$93,")")</f>
        <v>Taux de chargement moyen des véhicules pour l'accès au(x) projet(s) depuis la plateforme (Catégorie 8)</v>
      </c>
      <c r="F2141" t="str">
        <f>_xlfn.CONCAT("ProjImmoDepuisPLTC",RIGHT(LEFT(D2141,LEN(D2141)-1),1))</f>
        <v>ProjImmoDepuisPLTC8</v>
      </c>
      <c r="G2141" t="s">
        <v>17</v>
      </c>
      <c r="H2141">
        <f>(((IF(ISNUMBER(SEARCH('Remplissage - Sit. Init.'!$I$93,$I$2115)),1,0))*(IF($I$1823="Les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41" s="3"/>
      <c r="K2141" t="s">
        <v>70</v>
      </c>
      <c r="L2141" s="7">
        <v>0.6</v>
      </c>
      <c r="N2141" t="s">
        <v>303</v>
      </c>
    </row>
    <row r="2142" spans="1:14" outlineLevel="1" x14ac:dyDescent="0.25">
      <c r="A2142" t="s">
        <v>300</v>
      </c>
      <c r="C2142" t="s">
        <v>358</v>
      </c>
      <c r="D2142" t="str">
        <f>_xlfn.CONCAT("Distance parcourue associée"," (",'Remplissage - Sit. Init.'!$C$93,")")</f>
        <v>Distance parcourue associée (Catégorie 8)</v>
      </c>
      <c r="F2142" t="str">
        <f>_xlfn.CONCAT("ProjImmoDepuisPLDist",RIGHT(LEFT(D2142,LEN(D2142)-1),1))</f>
        <v>ProjImmoDepuisPLDist8</v>
      </c>
      <c r="G2142" t="s">
        <v>17</v>
      </c>
      <c r="H2142">
        <f>((((IF(ISNUMBER(SEARCH('Remplissage - Sit. Init.'!$I$93,$I$2115)),1,0))*(IF(ISNUMBER(SEARCH("La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42" t="s">
        <v>88</v>
      </c>
      <c r="L2142">
        <v>20</v>
      </c>
      <c r="N2142" t="s">
        <v>303</v>
      </c>
    </row>
    <row r="2143" spans="1:14" outlineLevel="1" x14ac:dyDescent="0.25">
      <c r="A2143" t="s">
        <v>300</v>
      </c>
      <c r="C2143" t="s">
        <v>358</v>
      </c>
      <c r="D2143" t="str">
        <f>_xlfn.CONCAT("Nombre de trajets associés"," (",'Remplissage - Sit. Init.'!$C$93,")")</f>
        <v>Nombre de trajets associés (Catégorie 8)</v>
      </c>
      <c r="F2143" t="str">
        <f>_xlfn.CONCAT("ProjImmoDepuisPLNbTraj",RIGHT(LEFT(D2143,LEN(D2143)-1),1))</f>
        <v>ProjImmoDepuisPLNbTraj8</v>
      </c>
      <c r="G2143" t="s">
        <v>17</v>
      </c>
      <c r="H2143">
        <f>((((IF(ISNUMBER(SEARCH('Remplissage - Sit. Init.'!$I$93,$I$2115)),1,0))*(IF(ISNUMBER(SEARCH("La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43" t="s">
        <v>145</v>
      </c>
      <c r="L2143">
        <v>5</v>
      </c>
      <c r="N2143" t="s">
        <v>303</v>
      </c>
    </row>
    <row r="2144" spans="1:14" outlineLevel="1" x14ac:dyDescent="0.25">
      <c r="A2144" t="s">
        <v>300</v>
      </c>
      <c r="C2144" t="s">
        <v>358</v>
      </c>
      <c r="D2144" t="str">
        <f>_xlfn.CONCAT("Taux de chargement moyen des véhicules pour l'accès au(x) projet(s) depuis la plateforme"," (",'Remplissage - Sit. Init.'!$C$103,")")</f>
        <v>Taux de chargement moyen des véhicules pour l'accès au(x) projet(s) depuis la plateforme (Catégorie 9)</v>
      </c>
      <c r="F2144" t="str">
        <f>_xlfn.CONCAT("ProjImmoDepuisPLTC",RIGHT(LEFT(D2144,LEN(D2144)-1),1))</f>
        <v>ProjImmoDepuisPLTC9</v>
      </c>
      <c r="G2144" t="s">
        <v>17</v>
      </c>
      <c r="H2144">
        <f>(((IF(ISNUMBER(SEARCH('Remplissage - Sit. Init.'!$I$103,$I$2115)),1,0))*(IF($I$1823="Les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44" s="3"/>
      <c r="K2144" t="s">
        <v>70</v>
      </c>
      <c r="L2144" s="7">
        <v>0.6</v>
      </c>
      <c r="N2144" t="s">
        <v>303</v>
      </c>
    </row>
    <row r="2145" spans="1:14" outlineLevel="1" x14ac:dyDescent="0.25">
      <c r="A2145" t="s">
        <v>300</v>
      </c>
      <c r="C2145" t="s">
        <v>358</v>
      </c>
      <c r="D2145" t="str">
        <f>_xlfn.CONCAT("Distance parcourue associée"," (",'Remplissage - Sit. Init.'!$C$103,")")</f>
        <v>Distance parcourue associée (Catégorie 9)</v>
      </c>
      <c r="F2145" t="str">
        <f>_xlfn.CONCAT("ProjImmoDepuisPLDist",RIGHT(LEFT(D2145,LEN(D2145)-1),1))</f>
        <v>ProjImmoDepuisPLDist9</v>
      </c>
      <c r="G2145" t="s">
        <v>17</v>
      </c>
      <c r="H2145">
        <f>((((IF(ISNUMBER(SEARCH('Remplissage - Sit. Init.'!$I$103,$I$2115)),1,0))*(IF(ISNUMBER(SEARCH("La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45" t="s">
        <v>88</v>
      </c>
      <c r="L2145">
        <v>20</v>
      </c>
      <c r="N2145" t="s">
        <v>303</v>
      </c>
    </row>
    <row r="2146" spans="1:14" outlineLevel="1" x14ac:dyDescent="0.25">
      <c r="A2146" t="s">
        <v>300</v>
      </c>
      <c r="C2146" t="s">
        <v>358</v>
      </c>
      <c r="D2146" t="str">
        <f>_xlfn.CONCAT("Nombre de trajets associés"," (",'Remplissage - Sit. Init.'!$C$103,")")</f>
        <v>Nombre de trajets associés (Catégorie 9)</v>
      </c>
      <c r="F2146" t="str">
        <f>_xlfn.CONCAT("ProjImmoDepuisPLNbTraj",RIGHT(LEFT(D2146,LEN(D2146)-1),1))</f>
        <v>ProjImmoDepuisPLNbTraj9</v>
      </c>
      <c r="G2146" t="s">
        <v>17</v>
      </c>
      <c r="H2146">
        <f>((((IF(ISNUMBER(SEARCH('Remplissage - Sit. Init.'!$I$103,$I$2115)),1,0))*(IF(ISNUMBER(SEARCH("La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46" t="s">
        <v>145</v>
      </c>
      <c r="L2146">
        <v>5</v>
      </c>
      <c r="N2146" t="s">
        <v>303</v>
      </c>
    </row>
    <row r="2147" spans="1:14" outlineLevel="1" x14ac:dyDescent="0.25">
      <c r="A2147" t="s">
        <v>300</v>
      </c>
      <c r="C2147" t="s">
        <v>358</v>
      </c>
      <c r="D2147" t="str">
        <f>_xlfn.CONCAT("Taux de chargement moyen des véhicules pour l'accès au(x) projet(s) depuis la plateforme"," (",'Remplissage - Sit. Init.'!$C$113,")")</f>
        <v>Taux de chargement moyen des véhicules pour l'accès au(x) projet(s) depuis la plateforme (Catégorie 10)</v>
      </c>
      <c r="F2147" t="str">
        <f>_xlfn.CONCAT("ProjImmoDepuisPLTC",RIGHT(LEFT(D2147,LEN(D2147)-1),2))</f>
        <v>ProjImmoDepuisPLTC10</v>
      </c>
      <c r="G2147" t="s">
        <v>17</v>
      </c>
      <c r="H2147">
        <f>(((IF(ISNUMBER(SEARCH('Remplissage - Sit. Init.'!$I$113,$I$2115)),1,0))*(IF($I$1823="Les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47" s="3"/>
      <c r="K2147" t="s">
        <v>70</v>
      </c>
      <c r="L2147" s="7">
        <v>0.6</v>
      </c>
      <c r="N2147" t="s">
        <v>303</v>
      </c>
    </row>
    <row r="2148" spans="1:14" outlineLevel="1" x14ac:dyDescent="0.25">
      <c r="A2148" t="s">
        <v>300</v>
      </c>
      <c r="C2148" t="s">
        <v>358</v>
      </c>
      <c r="D2148" t="str">
        <f>_xlfn.CONCAT("Distance parcourue associée"," (",'Remplissage - Sit. Init.'!$C$113,")")</f>
        <v>Distance parcourue associée (Catégorie 10)</v>
      </c>
      <c r="F2148" t="str">
        <f>_xlfn.CONCAT("ProjImmoDepuisPLDist",RIGHT(LEFT(D2148,LEN(D2148)-1),2))</f>
        <v>ProjImmoDepuisPLDist10</v>
      </c>
      <c r="G2148" t="s">
        <v>17</v>
      </c>
      <c r="H2148">
        <f>((((IF(ISNUMBER(SEARCH('Remplissage - Sit. Init.'!$I$113,$I$2115)),1,0))*(IF(ISNUMBER(SEARCH("La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48" t="s">
        <v>88</v>
      </c>
      <c r="L2148">
        <v>20</v>
      </c>
      <c r="N2148" t="s">
        <v>303</v>
      </c>
    </row>
    <row r="2149" spans="1:14" outlineLevel="1" x14ac:dyDescent="0.25">
      <c r="A2149" t="s">
        <v>300</v>
      </c>
      <c r="C2149" t="s">
        <v>358</v>
      </c>
      <c r="D2149" t="str">
        <f>_xlfn.CONCAT("Nombre de trajets associés"," (",'Remplissage - Sit. Init.'!$C$113,")")</f>
        <v>Nombre de trajets associés (Catégorie 10)</v>
      </c>
      <c r="F2149" t="str">
        <f>_xlfn.CONCAT("ProjImmoDepuisPLNbTraj",RIGHT(LEFT(D2149,LEN(D2149)-1),2))</f>
        <v>ProjImmoDepuisPLNbTraj10</v>
      </c>
      <c r="G2149" t="s">
        <v>17</v>
      </c>
      <c r="H2149">
        <f>((((IF(ISNUMBER(SEARCH('Remplissage - Sit. Init.'!$I$113,$I$2115)),1,0))*(IF(ISNUMBER(SEARCH("La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49" t="s">
        <v>145</v>
      </c>
      <c r="L2149">
        <v>5</v>
      </c>
      <c r="N2149" t="s">
        <v>303</v>
      </c>
    </row>
    <row r="2150" spans="1:14" outlineLevel="1" x14ac:dyDescent="0.25">
      <c r="A2150" t="s">
        <v>300</v>
      </c>
      <c r="C2150" t="s">
        <v>358</v>
      </c>
      <c r="D2150" t="str">
        <f>_xlfn.CONCAT("Taux de chargement moyen des véhicules pour l'accès au(x) projet(s) depuis la plateforme"," (",'Remplissage - Sit. Init.'!$C$123,")")</f>
        <v>Taux de chargement moyen des véhicules pour l'accès au(x) projet(s) depuis la plateforme (Catégorie 11)</v>
      </c>
      <c r="F2150" t="str">
        <f>_xlfn.CONCAT("ProjImmoDepuisPLTC",RIGHT(LEFT(D2150,LEN(D2150)-1),2))</f>
        <v>ProjImmoDepuisPLTC11</v>
      </c>
      <c r="G2150" t="s">
        <v>17</v>
      </c>
      <c r="H215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50" s="3"/>
      <c r="K2150" t="s">
        <v>70</v>
      </c>
      <c r="L2150" s="7">
        <v>0.8</v>
      </c>
      <c r="N2150" t="s">
        <v>303</v>
      </c>
    </row>
    <row r="2151" spans="1:14" outlineLevel="1" x14ac:dyDescent="0.25">
      <c r="A2151" t="s">
        <v>300</v>
      </c>
      <c r="C2151" t="s">
        <v>358</v>
      </c>
      <c r="D2151" t="str">
        <f>_xlfn.CONCAT("Distance parcourue associée"," (",'Remplissage - Sit. Init.'!$C$123,")")</f>
        <v>Distance parcourue associée (Catégorie 11)</v>
      </c>
      <c r="F2151" t="str">
        <f>_xlfn.CONCAT("ProjImmoDepuisPLDist",RIGHT(LEFT(D2151,LEN(D2151)-1),2))</f>
        <v>ProjImmoDepuisPLDist11</v>
      </c>
      <c r="G2151" t="s">
        <v>17</v>
      </c>
      <c r="H215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51" t="s">
        <v>88</v>
      </c>
      <c r="L2151">
        <v>15</v>
      </c>
      <c r="N2151" t="s">
        <v>303</v>
      </c>
    </row>
    <row r="2152" spans="1:14" outlineLevel="1" x14ac:dyDescent="0.25">
      <c r="A2152" t="s">
        <v>300</v>
      </c>
      <c r="C2152" t="s">
        <v>358</v>
      </c>
      <c r="D2152" t="str">
        <f>_xlfn.CONCAT("Nombre de trajets associés"," (",'Remplissage - Sit. Init.'!$C$123,")")</f>
        <v>Nombre de trajets associés (Catégorie 11)</v>
      </c>
      <c r="F2152" t="str">
        <f>_xlfn.CONCAT("ProjImmoDepuisPLNbTraj",RIGHT(LEFT(D2152,LEN(D2152)-1),2))</f>
        <v>ProjImmoDepuisPLNbTraj11</v>
      </c>
      <c r="G2152" t="s">
        <v>17</v>
      </c>
      <c r="H215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52" t="s">
        <v>145</v>
      </c>
      <c r="L2152">
        <v>5</v>
      </c>
      <c r="N2152" t="s">
        <v>303</v>
      </c>
    </row>
    <row r="2153" spans="1:14" outlineLevel="1" x14ac:dyDescent="0.25">
      <c r="A2153" t="s">
        <v>300</v>
      </c>
      <c r="C2153" t="s">
        <v>358</v>
      </c>
      <c r="D2153" t="str">
        <f>_xlfn.CONCAT("Taux de chargement moyen des véhicules pour l'accès au(x) projet(s) depuis la plateforme"," (",'Remplissage - Sit. Init.'!$C$133,")")</f>
        <v>Taux de chargement moyen des véhicules pour l'accès au(x) projet(s) depuis la plateforme (Catégorie 12)</v>
      </c>
      <c r="F2153" t="str">
        <f>_xlfn.CONCAT("ProjImmoDepuisPLTC",RIGHT(LEFT(D2153,LEN(D2153)-1),2))</f>
        <v>ProjImmoDepuisPLTC12</v>
      </c>
      <c r="G2153" t="s">
        <v>17</v>
      </c>
      <c r="H215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53" s="3"/>
      <c r="K2153" t="s">
        <v>70</v>
      </c>
      <c r="L2153" s="7">
        <v>0.8</v>
      </c>
      <c r="N2153" t="s">
        <v>303</v>
      </c>
    </row>
    <row r="2154" spans="1:14" outlineLevel="1" x14ac:dyDescent="0.25">
      <c r="A2154" t="s">
        <v>300</v>
      </c>
      <c r="C2154" t="s">
        <v>358</v>
      </c>
      <c r="D2154" t="str">
        <f>_xlfn.CONCAT("Distance parcourue associée"," (",'Remplissage - Sit. Init.'!$C$133,")")</f>
        <v>Distance parcourue associée (Catégorie 12)</v>
      </c>
      <c r="F2154" t="str">
        <f>_xlfn.CONCAT("ProjImmoDepuisPLDist",RIGHT(LEFT(D2154,LEN(D2154)-1),2))</f>
        <v>ProjImmoDepuisPLDist12</v>
      </c>
      <c r="G2154" t="s">
        <v>17</v>
      </c>
      <c r="H215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54" t="s">
        <v>88</v>
      </c>
      <c r="L2154">
        <v>15</v>
      </c>
      <c r="N2154" t="s">
        <v>303</v>
      </c>
    </row>
    <row r="2155" spans="1:14" outlineLevel="1" x14ac:dyDescent="0.25">
      <c r="A2155" t="s">
        <v>300</v>
      </c>
      <c r="C2155" t="s">
        <v>358</v>
      </c>
      <c r="D2155" t="str">
        <f>_xlfn.CONCAT("Nombre de trajets associés"," (",'Remplissage - Sit. Init.'!$C$133,")")</f>
        <v>Nombre de trajets associés (Catégorie 12)</v>
      </c>
      <c r="F2155" t="str">
        <f>_xlfn.CONCAT("ProjImmoDepuisPLNbTraj",RIGHT(LEFT(D2155,LEN(D2155)-1),2))</f>
        <v>ProjImmoDepuisPLNbTraj12</v>
      </c>
      <c r="G2155" t="s">
        <v>17</v>
      </c>
      <c r="H215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55" t="s">
        <v>145</v>
      </c>
      <c r="L2155">
        <v>5</v>
      </c>
      <c r="N2155" t="s">
        <v>303</v>
      </c>
    </row>
    <row r="2156" spans="1:14" outlineLevel="1" x14ac:dyDescent="0.25">
      <c r="A2156" t="s">
        <v>300</v>
      </c>
      <c r="C2156" t="s">
        <v>358</v>
      </c>
      <c r="D2156" t="str">
        <f>_xlfn.CONCAT("Taux de chargement moyen des véhicules pour l'accès au(x) projet(s) depuis la plateforme"," (",'Remplissage - Sit. Init.'!$C$143,")")</f>
        <v>Taux de chargement moyen des véhicules pour l'accès au(x) projet(s) depuis la plateforme (Catégorie 13)</v>
      </c>
      <c r="F2156" t="str">
        <f>_xlfn.CONCAT("ProjImmoDepuisPLTC",RIGHT(LEFT(D2156,LEN(D2156)-1),2))</f>
        <v>ProjImmoDepuisPLTC13</v>
      </c>
      <c r="G2156" t="s">
        <v>17</v>
      </c>
      <c r="H215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56" s="3"/>
      <c r="K2156" t="s">
        <v>70</v>
      </c>
      <c r="L2156" s="7">
        <v>0.8</v>
      </c>
      <c r="N2156" t="s">
        <v>303</v>
      </c>
    </row>
    <row r="2157" spans="1:14" outlineLevel="1" x14ac:dyDescent="0.25">
      <c r="A2157" t="s">
        <v>300</v>
      </c>
      <c r="C2157" t="s">
        <v>358</v>
      </c>
      <c r="D2157" t="str">
        <f>_xlfn.CONCAT("Distance parcourue associée"," (",'Remplissage - Sit. Init.'!$C$143,")")</f>
        <v>Distance parcourue associée (Catégorie 13)</v>
      </c>
      <c r="F2157" t="str">
        <f>_xlfn.CONCAT("ProjImmoDepuisPLDist",RIGHT(LEFT(D2157,LEN(D2157)-1),2))</f>
        <v>ProjImmoDepuisPLDist13</v>
      </c>
      <c r="G2157" t="s">
        <v>17</v>
      </c>
      <c r="H215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57" t="s">
        <v>88</v>
      </c>
      <c r="L2157">
        <v>15</v>
      </c>
      <c r="N2157" t="s">
        <v>303</v>
      </c>
    </row>
    <row r="2158" spans="1:14" outlineLevel="1" x14ac:dyDescent="0.25">
      <c r="A2158" t="s">
        <v>300</v>
      </c>
      <c r="C2158" t="s">
        <v>358</v>
      </c>
      <c r="D2158" t="str">
        <f>_xlfn.CONCAT("Nombre de trajets associés"," (",'Remplissage - Sit. Init.'!$C$143,")")</f>
        <v>Nombre de trajets associés (Catégorie 13)</v>
      </c>
      <c r="F2158" t="str">
        <f>_xlfn.CONCAT("ProjImmoDepuisPLNbTraj",RIGHT(LEFT(D2158,LEN(D2158)-1),2))</f>
        <v>ProjImmoDepuisPLNbTraj13</v>
      </c>
      <c r="G2158" t="s">
        <v>17</v>
      </c>
      <c r="H215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58" t="s">
        <v>145</v>
      </c>
      <c r="L2158">
        <v>5</v>
      </c>
      <c r="N2158" t="s">
        <v>303</v>
      </c>
    </row>
    <row r="2159" spans="1:14" outlineLevel="1" x14ac:dyDescent="0.25">
      <c r="A2159" t="s">
        <v>300</v>
      </c>
      <c r="C2159" t="s">
        <v>358</v>
      </c>
      <c r="D2159" t="str">
        <f>_xlfn.CONCAT("Taux de chargement moyen des véhicules pour l'accès au(x) projet(s) depuis la plateforme"," (",'Remplissage - Sit. Init.'!$C$153,")")</f>
        <v>Taux de chargement moyen des véhicules pour l'accès au(x) projet(s) depuis la plateforme (Catégorie 14)</v>
      </c>
      <c r="F2159" t="str">
        <f>_xlfn.CONCAT("ProjImmoDepuisPLTC",RIGHT(LEFT(D2159,LEN(D2159)-1),2))</f>
        <v>ProjImmoDepuisPLTC14</v>
      </c>
      <c r="G2159" t="s">
        <v>17</v>
      </c>
      <c r="H215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59" s="3"/>
      <c r="K2159" t="s">
        <v>70</v>
      </c>
      <c r="L2159" s="7">
        <v>0.8</v>
      </c>
      <c r="N2159" t="s">
        <v>303</v>
      </c>
    </row>
    <row r="2160" spans="1:14" outlineLevel="1" x14ac:dyDescent="0.25">
      <c r="A2160" t="s">
        <v>300</v>
      </c>
      <c r="C2160" t="s">
        <v>358</v>
      </c>
      <c r="D2160" t="str">
        <f>_xlfn.CONCAT("Distance parcourue associée"," (",'Remplissage - Sit. Init.'!$C$153,")")</f>
        <v>Distance parcourue associée (Catégorie 14)</v>
      </c>
      <c r="F2160" t="str">
        <f>_xlfn.CONCAT("ProjImmoDepuisPLDist",RIGHT(LEFT(D2160,LEN(D2160)-1),2))</f>
        <v>ProjImmoDepuisPLDist14</v>
      </c>
      <c r="G2160" t="s">
        <v>17</v>
      </c>
      <c r="H216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60" t="s">
        <v>88</v>
      </c>
      <c r="L2160">
        <v>15</v>
      </c>
      <c r="N2160" t="s">
        <v>303</v>
      </c>
    </row>
    <row r="2161" spans="1:14" outlineLevel="1" x14ac:dyDescent="0.25">
      <c r="A2161" t="s">
        <v>300</v>
      </c>
      <c r="C2161" t="s">
        <v>358</v>
      </c>
      <c r="D2161" t="str">
        <f>_xlfn.CONCAT("Nombre de trajets associés"," (",'Remplissage - Sit. Init.'!$C$153,")")</f>
        <v>Nombre de trajets associés (Catégorie 14)</v>
      </c>
      <c r="F2161" t="str">
        <f>_xlfn.CONCAT("ProjImmoDepuisPLNbTraj",RIGHT(LEFT(D2161,LEN(D2161)-1),2))</f>
        <v>ProjImmoDepuisPLNbTraj14</v>
      </c>
      <c r="G2161" t="s">
        <v>17</v>
      </c>
      <c r="H216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61" t="s">
        <v>145</v>
      </c>
      <c r="L2161">
        <v>5</v>
      </c>
      <c r="N2161" t="s">
        <v>303</v>
      </c>
    </row>
    <row r="2162" spans="1:14" outlineLevel="1" x14ac:dyDescent="0.25">
      <c r="A2162" t="s">
        <v>300</v>
      </c>
      <c r="C2162" t="s">
        <v>358</v>
      </c>
      <c r="D2162" t="str">
        <f>_xlfn.CONCAT("Taux de chargement moyen des véhicules pour l'accès au(x) projet(s) depuis la plateforme"," (",'Remplissage - Sit. Init.'!$C$163,")")</f>
        <v>Taux de chargement moyen des véhicules pour l'accès au(x) projet(s) depuis la plateforme (Catégorie 15)</v>
      </c>
      <c r="F2162" t="str">
        <f>_xlfn.CONCAT("ProjImmoDepuisPLTC",RIGHT(LEFT(D2162,LEN(D2162)-1),2))</f>
        <v>ProjImmoDepuisPLTC15</v>
      </c>
      <c r="G2162" t="s">
        <v>17</v>
      </c>
      <c r="H216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62" s="3"/>
      <c r="K2162" t="s">
        <v>70</v>
      </c>
      <c r="L2162" s="7">
        <v>0.8</v>
      </c>
      <c r="N2162" t="s">
        <v>303</v>
      </c>
    </row>
    <row r="2163" spans="1:14" outlineLevel="1" x14ac:dyDescent="0.25">
      <c r="A2163" t="s">
        <v>300</v>
      </c>
      <c r="C2163" t="s">
        <v>358</v>
      </c>
      <c r="D2163" t="str">
        <f>_xlfn.CONCAT("Distance parcourue associée"," (",'Remplissage - Sit. Init.'!$C$163,")")</f>
        <v>Distance parcourue associée (Catégorie 15)</v>
      </c>
      <c r="F2163" t="str">
        <f>_xlfn.CONCAT("ProjImmoDepuisPLDist",RIGHT(LEFT(D2163,LEN(D2163)-1),2))</f>
        <v>ProjImmoDepuisPLDist15</v>
      </c>
      <c r="G2163" t="s">
        <v>17</v>
      </c>
      <c r="H216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63" t="s">
        <v>88</v>
      </c>
      <c r="L2163">
        <v>15</v>
      </c>
      <c r="N2163" t="s">
        <v>303</v>
      </c>
    </row>
    <row r="2164" spans="1:14" outlineLevel="1" x14ac:dyDescent="0.25">
      <c r="A2164" t="s">
        <v>300</v>
      </c>
      <c r="C2164" t="s">
        <v>358</v>
      </c>
      <c r="D2164" t="str">
        <f>_xlfn.CONCAT("Nombre de trajets associés"," (",'Remplissage - Sit. Init.'!$C$163,")")</f>
        <v>Nombre de trajets associés (Catégorie 15)</v>
      </c>
      <c r="F2164" t="str">
        <f>_xlfn.CONCAT("ProjImmoDepuisPLNbTraj",RIGHT(LEFT(D2164,LEN(D2164)-1),2))</f>
        <v>ProjImmoDepuisPLNbTraj15</v>
      </c>
      <c r="G2164" t="s">
        <v>17</v>
      </c>
      <c r="H216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64" t="s">
        <v>145</v>
      </c>
      <c r="L2164">
        <v>5</v>
      </c>
      <c r="N2164" t="s">
        <v>303</v>
      </c>
    </row>
    <row r="2165" spans="1:14" outlineLevel="1" x14ac:dyDescent="0.25">
      <c r="A2165" t="s">
        <v>300</v>
      </c>
      <c r="C2165" t="s">
        <v>358</v>
      </c>
      <c r="D2165" t="str">
        <f>_xlfn.CONCAT("Taux de chargement moyen des véhicules pour l'accès au(x) projet(s) depuis la plateforme"," (",'Remplissage - Sit. Init.'!$C$173,")")</f>
        <v>Taux de chargement moyen des véhicules pour l'accès au(x) projet(s) depuis la plateforme (Catégorie 16)</v>
      </c>
      <c r="F2165" t="str">
        <f>_xlfn.CONCAT("ProjImmoDepuisPLTC",RIGHT(LEFT(D2165,LEN(D2165)-1),2))</f>
        <v>ProjImmoDepuisPLTC16</v>
      </c>
      <c r="G2165" t="s">
        <v>17</v>
      </c>
      <c r="H2165">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65" s="3"/>
      <c r="K2165" t="s">
        <v>70</v>
      </c>
      <c r="L2165" s="7">
        <v>0.8</v>
      </c>
      <c r="N2165" t="s">
        <v>303</v>
      </c>
    </row>
    <row r="2166" spans="1:14" outlineLevel="1" x14ac:dyDescent="0.25">
      <c r="A2166" t="s">
        <v>300</v>
      </c>
      <c r="C2166" t="s">
        <v>358</v>
      </c>
      <c r="D2166" t="str">
        <f>_xlfn.CONCAT("Distance parcourue associée"," (",'Remplissage - Sit. Init.'!$C$173,")")</f>
        <v>Distance parcourue associée (Catégorie 16)</v>
      </c>
      <c r="F2166" t="str">
        <f>_xlfn.CONCAT("ProjImmoDepuisPLDist",RIGHT(LEFT(D2166,LEN(D2166)-1),2))</f>
        <v>ProjImmoDepuisPLDist16</v>
      </c>
      <c r="G2166" t="s">
        <v>17</v>
      </c>
      <c r="H2166">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66" t="s">
        <v>88</v>
      </c>
      <c r="L2166">
        <v>15</v>
      </c>
      <c r="N2166" t="s">
        <v>303</v>
      </c>
    </row>
    <row r="2167" spans="1:14" outlineLevel="1" x14ac:dyDescent="0.25">
      <c r="A2167" t="s">
        <v>300</v>
      </c>
      <c r="C2167" t="s">
        <v>358</v>
      </c>
      <c r="D2167" t="str">
        <f>_xlfn.CONCAT("Nombre de trajets associés"," (",'Remplissage - Sit. Init.'!$C$173,")")</f>
        <v>Nombre de trajets associés (Catégorie 16)</v>
      </c>
      <c r="F2167" t="str">
        <f>_xlfn.CONCAT("ProjImmoDepuisPLNbTraj",RIGHT(LEFT(D2167,LEN(D2167)-1),2))</f>
        <v>ProjImmoDepuisPLNbTraj16</v>
      </c>
      <c r="G2167" t="s">
        <v>17</v>
      </c>
      <c r="H2167">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67" t="s">
        <v>145</v>
      </c>
      <c r="L2167">
        <v>5</v>
      </c>
      <c r="N2167" t="s">
        <v>303</v>
      </c>
    </row>
    <row r="2168" spans="1:14" outlineLevel="1" x14ac:dyDescent="0.25">
      <c r="A2168" t="s">
        <v>300</v>
      </c>
      <c r="C2168" t="s">
        <v>358</v>
      </c>
      <c r="D2168" t="str">
        <f>_xlfn.CONCAT("Taux de chargement moyen des véhicules pour l'accès au(x) projet(s) depuis la plateforme"," (",'Remplissage - Sit. Init.'!$C$183,")")</f>
        <v>Taux de chargement moyen des véhicules pour l'accès au(x) projet(s) depuis la plateforme (Catégorie 17)</v>
      </c>
      <c r="F2168" t="str">
        <f>_xlfn.CONCAT("ProjImmoDepuisPLTC",RIGHT(LEFT(D2168,LEN(D2168)-1),2))</f>
        <v>ProjImmoDepuisPLTC17</v>
      </c>
      <c r="G2168" t="s">
        <v>17</v>
      </c>
      <c r="H2168">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68" s="3"/>
      <c r="K2168" t="s">
        <v>70</v>
      </c>
      <c r="L2168" s="7">
        <v>0.8</v>
      </c>
      <c r="N2168" t="s">
        <v>303</v>
      </c>
    </row>
    <row r="2169" spans="1:14" outlineLevel="1" x14ac:dyDescent="0.25">
      <c r="A2169" t="s">
        <v>300</v>
      </c>
      <c r="C2169" t="s">
        <v>358</v>
      </c>
      <c r="D2169" t="str">
        <f>_xlfn.CONCAT("Distance parcourue associée"," (",'Remplissage - Sit. Init.'!$C$183,")")</f>
        <v>Distance parcourue associée (Catégorie 17)</v>
      </c>
      <c r="F2169" t="str">
        <f>_xlfn.CONCAT("ProjImmoDepuisPLDist",RIGHT(LEFT(D2169,LEN(D2169)-1),2))</f>
        <v>ProjImmoDepuisPLDist17</v>
      </c>
      <c r="G2169" t="s">
        <v>17</v>
      </c>
      <c r="H2169">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69" t="s">
        <v>88</v>
      </c>
      <c r="L2169">
        <v>15</v>
      </c>
      <c r="N2169" t="s">
        <v>303</v>
      </c>
    </row>
    <row r="2170" spans="1:14" outlineLevel="1" x14ac:dyDescent="0.25">
      <c r="A2170" t="s">
        <v>300</v>
      </c>
      <c r="C2170" t="s">
        <v>358</v>
      </c>
      <c r="D2170" t="str">
        <f>_xlfn.CONCAT("Nombre de trajets associés"," (",'Remplissage - Sit. Init.'!$C$183,")")</f>
        <v>Nombre de trajets associés (Catégorie 17)</v>
      </c>
      <c r="F2170" t="str">
        <f>_xlfn.CONCAT("ProjImmoDepuisPLNbTraj",RIGHT(LEFT(D2170,LEN(D2170)-1),2))</f>
        <v>ProjImmoDepuisPLNbTraj17</v>
      </c>
      <c r="G2170" t="s">
        <v>17</v>
      </c>
      <c r="H2170">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70" t="s">
        <v>145</v>
      </c>
      <c r="L2170">
        <v>5</v>
      </c>
      <c r="N2170" t="s">
        <v>303</v>
      </c>
    </row>
    <row r="2171" spans="1:14" outlineLevel="1" x14ac:dyDescent="0.25">
      <c r="A2171" t="s">
        <v>300</v>
      </c>
      <c r="C2171" t="s">
        <v>358</v>
      </c>
      <c r="D2171" t="str">
        <f>_xlfn.CONCAT("Taux de chargement moyen des véhicules pour l'accès au(x) projet(s) depuis la plateforme"," (",'Remplissage - Sit. Init.'!$C$193,")")</f>
        <v>Taux de chargement moyen des véhicules pour l'accès au(x) projet(s) depuis la plateforme (Catégorie 18)</v>
      </c>
      <c r="F2171" t="str">
        <f>_xlfn.CONCAT("ProjImmoDepuisPLTC",RIGHT(LEFT(D2171,LEN(D2171)-1),2))</f>
        <v>ProjImmoDepuisPLTC18</v>
      </c>
      <c r="G2171" t="s">
        <v>17</v>
      </c>
      <c r="H2171">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71" s="3"/>
      <c r="K2171" t="s">
        <v>70</v>
      </c>
      <c r="L2171" s="7">
        <v>0.8</v>
      </c>
      <c r="N2171" t="s">
        <v>303</v>
      </c>
    </row>
    <row r="2172" spans="1:14" outlineLevel="1" x14ac:dyDescent="0.25">
      <c r="A2172" t="s">
        <v>300</v>
      </c>
      <c r="C2172" t="s">
        <v>358</v>
      </c>
      <c r="D2172" t="str">
        <f>_xlfn.CONCAT("Distance parcourue associée"," (",'Remplissage - Sit. Init.'!$C$193,")")</f>
        <v>Distance parcourue associée (Catégorie 18)</v>
      </c>
      <c r="F2172" t="str">
        <f>_xlfn.CONCAT("ProjImmoDepuisPLDist",RIGHT(LEFT(D2172,LEN(D2172)-1),2))</f>
        <v>ProjImmoDepuisPLDist18</v>
      </c>
      <c r="G2172" t="s">
        <v>17</v>
      </c>
      <c r="H2172">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72" t="s">
        <v>88</v>
      </c>
      <c r="L2172">
        <v>15</v>
      </c>
      <c r="N2172" t="s">
        <v>303</v>
      </c>
    </row>
    <row r="2173" spans="1:14" outlineLevel="1" x14ac:dyDescent="0.25">
      <c r="A2173" t="s">
        <v>300</v>
      </c>
      <c r="C2173" t="s">
        <v>358</v>
      </c>
      <c r="D2173" t="str">
        <f>_xlfn.CONCAT("Nombre de trajets associés"," (",'Remplissage - Sit. Init.'!$C$193,")")</f>
        <v>Nombre de trajets associés (Catégorie 18)</v>
      </c>
      <c r="F2173" t="str">
        <f>_xlfn.CONCAT("ProjImmoDepuisPLNbTraj",RIGHT(LEFT(D2173,LEN(D2173)-1),2))</f>
        <v>ProjImmoDepuisPLNbTraj18</v>
      </c>
      <c r="G2173" t="s">
        <v>17</v>
      </c>
      <c r="H2173">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73" t="s">
        <v>145</v>
      </c>
      <c r="L2173">
        <v>5</v>
      </c>
      <c r="N2173" t="s">
        <v>303</v>
      </c>
    </row>
    <row r="2174" spans="1:14" outlineLevel="1" x14ac:dyDescent="0.25">
      <c r="A2174" t="s">
        <v>300</v>
      </c>
      <c r="C2174" t="s">
        <v>358</v>
      </c>
      <c r="D2174" t="str">
        <f>_xlfn.CONCAT("Taux de chargement moyen des véhicules pour l'accès au(x) projet(s) depuis la plateforme"," (",'Remplissage - Sit. Init.'!$C$203,")")</f>
        <v>Taux de chargement moyen des véhicules pour l'accès au(x) projet(s) depuis la plateforme (Catégorie 19)</v>
      </c>
      <c r="F2174" t="str">
        <f>_xlfn.CONCAT("ProjImmoDepuisPLTC",RIGHT(LEFT(D2174,LEN(D2174)-1),2))</f>
        <v>ProjImmoDepuisPLTC19</v>
      </c>
      <c r="G2174" t="s">
        <v>17</v>
      </c>
      <c r="H2174">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74" s="3"/>
      <c r="K2174" t="s">
        <v>70</v>
      </c>
      <c r="L2174" s="7">
        <v>0.8</v>
      </c>
      <c r="N2174" t="s">
        <v>303</v>
      </c>
    </row>
    <row r="2175" spans="1:14" outlineLevel="1" x14ac:dyDescent="0.25">
      <c r="A2175" t="s">
        <v>300</v>
      </c>
      <c r="C2175" t="s">
        <v>358</v>
      </c>
      <c r="D2175" t="str">
        <f>_xlfn.CONCAT("Distance parcourue associée"," (",'Remplissage - Sit. Init.'!$C$203,")")</f>
        <v>Distance parcourue associée (Catégorie 19)</v>
      </c>
      <c r="F2175" t="str">
        <f>_xlfn.CONCAT("ProjImmoDepuisPLDist",RIGHT(LEFT(D2175,LEN(D2175)-1),2))</f>
        <v>ProjImmoDepuisPLDist19</v>
      </c>
      <c r="G2175" t="s">
        <v>17</v>
      </c>
      <c r="H2175">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75" t="s">
        <v>88</v>
      </c>
      <c r="L2175">
        <v>15</v>
      </c>
      <c r="N2175" t="s">
        <v>303</v>
      </c>
    </row>
    <row r="2176" spans="1:14" outlineLevel="1" x14ac:dyDescent="0.25">
      <c r="A2176" t="s">
        <v>300</v>
      </c>
      <c r="C2176" t="s">
        <v>358</v>
      </c>
      <c r="D2176" t="str">
        <f>_xlfn.CONCAT("Nombre de trajets associés"," (",'Remplissage - Sit. Init.'!$C$203,")")</f>
        <v>Nombre de trajets associés (Catégorie 19)</v>
      </c>
      <c r="F2176" t="str">
        <f>_xlfn.CONCAT("ProjImmoDepuisPLNbTraj",RIGHT(LEFT(D2176,LEN(D2176)-1),2))</f>
        <v>ProjImmoDepuisPLNbTraj19</v>
      </c>
      <c r="G2176" t="s">
        <v>17</v>
      </c>
      <c r="H2176">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76" t="s">
        <v>145</v>
      </c>
      <c r="L2176">
        <v>5</v>
      </c>
      <c r="N2176" t="s">
        <v>303</v>
      </c>
    </row>
    <row r="2177" spans="1:14" outlineLevel="1" x14ac:dyDescent="0.25">
      <c r="A2177" t="s">
        <v>300</v>
      </c>
      <c r="C2177" t="s">
        <v>358</v>
      </c>
      <c r="D2177" t="str">
        <f>_xlfn.CONCAT("Taux de chargement moyen des véhicules pour l'accès au(x) projet(s) depuis la plateforme"," (",'Remplissage - Sit. Init.'!$C$213,")")</f>
        <v>Taux de chargement moyen des véhicules pour l'accès au(x) projet(s) depuis la plateforme (Catégorie 20)</v>
      </c>
      <c r="F2177" t="str">
        <f>_xlfn.CONCAT("ProjImmoDepuisPLTC",RIGHT(LEFT(D2177,LEN(D2177)-1),2))</f>
        <v>ProjImmoDepuisPLTC20</v>
      </c>
      <c r="G2177" t="s">
        <v>17</v>
      </c>
      <c r="H2177">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77" s="3"/>
      <c r="K2177" t="s">
        <v>70</v>
      </c>
      <c r="L2177" s="7">
        <v>0.8</v>
      </c>
      <c r="N2177" t="s">
        <v>303</v>
      </c>
    </row>
    <row r="2178" spans="1:14" outlineLevel="1" x14ac:dyDescent="0.25">
      <c r="A2178" t="s">
        <v>300</v>
      </c>
      <c r="C2178" t="s">
        <v>358</v>
      </c>
      <c r="D2178" t="str">
        <f>_xlfn.CONCAT("Distance parcourue associée"," (",'Remplissage - Sit. Init.'!$C$213,")")</f>
        <v>Distance parcourue associée (Catégorie 20)</v>
      </c>
      <c r="F2178" t="str">
        <f>_xlfn.CONCAT("ProjImmoDepuisPLDist",RIGHT(LEFT(D2178,LEN(D2178)-1),2))</f>
        <v>ProjImmoDepuisPLDist20</v>
      </c>
      <c r="G2178" t="s">
        <v>17</v>
      </c>
      <c r="H2178">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78" t="s">
        <v>88</v>
      </c>
      <c r="L2178">
        <v>15</v>
      </c>
      <c r="N2178" t="s">
        <v>303</v>
      </c>
    </row>
    <row r="2179" spans="1:14" outlineLevel="1" x14ac:dyDescent="0.25">
      <c r="A2179" t="s">
        <v>300</v>
      </c>
      <c r="C2179" t="s">
        <v>358</v>
      </c>
      <c r="D2179" t="str">
        <f>_xlfn.CONCAT("Nombre de trajets associés"," (",'Remplissage - Sit. Init.'!$C$213,")")</f>
        <v>Nombre de trajets associés (Catégorie 20)</v>
      </c>
      <c r="F2179" t="str">
        <f>_xlfn.CONCAT("ProjImmoDepuisPLNbTraj",RIGHT(LEFT(D2179,LEN(D2179)-1),2))</f>
        <v>ProjImmoDepuisPLNbTraj20</v>
      </c>
      <c r="G2179" t="s">
        <v>17</v>
      </c>
      <c r="H2179">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79" t="s">
        <v>145</v>
      </c>
      <c r="L2179">
        <v>5</v>
      </c>
      <c r="N2179" t="s">
        <v>303</v>
      </c>
    </row>
    <row r="2180" spans="1:14" outlineLevel="1" x14ac:dyDescent="0.25">
      <c r="A2180" t="s">
        <v>300</v>
      </c>
      <c r="C2180" t="s">
        <v>358</v>
      </c>
      <c r="D2180" t="str">
        <f>_xlfn.CONCAT("Taux de chargement moyen des véhicules pour l'accès au(x) projet(s) depuis la plateforme"," (",'Remplissage - Sit. Init.'!$C$223,")")</f>
        <v>Taux de chargement moyen des véhicules pour l'accès au(x) projet(s) depuis la plateforme (Catégorie 21)</v>
      </c>
      <c r="F2180" t="str">
        <f>_xlfn.CONCAT("ProjImmoDepuisPLTC",RIGHT(LEFT(D2180,LEN(D2180)-1),2))</f>
        <v>ProjImmoDepuisPLTC21</v>
      </c>
      <c r="G2180" t="s">
        <v>17</v>
      </c>
      <c r="H218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80" s="3"/>
      <c r="K2180" t="s">
        <v>70</v>
      </c>
      <c r="L2180" s="7">
        <v>0.8</v>
      </c>
      <c r="N2180" t="s">
        <v>303</v>
      </c>
    </row>
    <row r="2181" spans="1:14" outlineLevel="1" x14ac:dyDescent="0.25">
      <c r="A2181" t="s">
        <v>300</v>
      </c>
      <c r="C2181" t="s">
        <v>358</v>
      </c>
      <c r="D2181" t="str">
        <f>_xlfn.CONCAT("Distance parcourue associée"," (",'Remplissage - Sit. Init.'!$C$223,")")</f>
        <v>Distance parcourue associée (Catégorie 21)</v>
      </c>
      <c r="F2181" t="str">
        <f>_xlfn.CONCAT("ProjImmoDepuisPLDist",RIGHT(LEFT(D2181,LEN(D2181)-1),2))</f>
        <v>ProjImmoDepuisPLDist21</v>
      </c>
      <c r="G2181" t="s">
        <v>17</v>
      </c>
      <c r="H218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81" t="s">
        <v>88</v>
      </c>
      <c r="L2181">
        <v>15</v>
      </c>
      <c r="N2181" t="s">
        <v>303</v>
      </c>
    </row>
    <row r="2182" spans="1:14" outlineLevel="1" x14ac:dyDescent="0.25">
      <c r="A2182" t="s">
        <v>300</v>
      </c>
      <c r="C2182" t="s">
        <v>358</v>
      </c>
      <c r="D2182" t="str">
        <f>_xlfn.CONCAT("Nombre de trajets associés"," (",'Remplissage - Sit. Init.'!$C$223,")")</f>
        <v>Nombre de trajets associés (Catégorie 21)</v>
      </c>
      <c r="F2182" t="str">
        <f>_xlfn.CONCAT("ProjImmoDepuisPLNbTraj",RIGHT(LEFT(D2182,LEN(D2182)-1),2))</f>
        <v>ProjImmoDepuisPLNbTraj21</v>
      </c>
      <c r="G2182" t="s">
        <v>17</v>
      </c>
      <c r="H218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82" t="s">
        <v>145</v>
      </c>
      <c r="L2182">
        <v>5</v>
      </c>
      <c r="N2182" t="s">
        <v>303</v>
      </c>
    </row>
    <row r="2183" spans="1:14" outlineLevel="1" x14ac:dyDescent="0.25">
      <c r="A2183" t="s">
        <v>300</v>
      </c>
      <c r="C2183" t="s">
        <v>358</v>
      </c>
      <c r="D2183" t="str">
        <f>_xlfn.CONCAT("Taux de chargement moyen des véhicules pour l'accès au(x) projet(s) depuis la plateforme"," (",'Remplissage - Sit. Init.'!$C$233,")")</f>
        <v>Taux de chargement moyen des véhicules pour l'accès au(x) projet(s) depuis la plateforme (Catégorie 22)</v>
      </c>
      <c r="F2183" t="str">
        <f>_xlfn.CONCAT("ProjImmoDepuisPLTC",RIGHT(LEFT(D2183,LEN(D2183)-1),2))</f>
        <v>ProjImmoDepuisPLTC22</v>
      </c>
      <c r="G2183" t="s">
        <v>17</v>
      </c>
      <c r="H218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83" s="3"/>
      <c r="K2183" t="s">
        <v>70</v>
      </c>
      <c r="L2183" s="7">
        <v>0.8</v>
      </c>
      <c r="N2183" t="s">
        <v>303</v>
      </c>
    </row>
    <row r="2184" spans="1:14" outlineLevel="1" x14ac:dyDescent="0.25">
      <c r="A2184" t="s">
        <v>300</v>
      </c>
      <c r="C2184" t="s">
        <v>358</v>
      </c>
      <c r="D2184" t="str">
        <f>_xlfn.CONCAT("Distance parcourue associée"," (",'Remplissage - Sit. Init.'!$C$233,")")</f>
        <v>Distance parcourue associée (Catégorie 22)</v>
      </c>
      <c r="F2184" t="str">
        <f>_xlfn.CONCAT("ProjImmoDepuisPLDist",RIGHT(LEFT(D2184,LEN(D2184)-1),2))</f>
        <v>ProjImmoDepuisPLDist22</v>
      </c>
      <c r="G2184" t="s">
        <v>17</v>
      </c>
      <c r="H218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84" t="s">
        <v>88</v>
      </c>
      <c r="L2184">
        <v>15</v>
      </c>
      <c r="N2184" t="s">
        <v>303</v>
      </c>
    </row>
    <row r="2185" spans="1:14" outlineLevel="1" x14ac:dyDescent="0.25">
      <c r="A2185" t="s">
        <v>300</v>
      </c>
      <c r="C2185" t="s">
        <v>358</v>
      </c>
      <c r="D2185" t="str">
        <f>_xlfn.CONCAT("Nombre de trajets associés"," (",'Remplissage - Sit. Init.'!$C$233,")")</f>
        <v>Nombre de trajets associés (Catégorie 22)</v>
      </c>
      <c r="F2185" t="str">
        <f>_xlfn.CONCAT("ProjImmoDepuisPLNbTraj",RIGHT(LEFT(D2185,LEN(D2185)-1),2))</f>
        <v>ProjImmoDepuisPLNbTraj22</v>
      </c>
      <c r="G2185" t="s">
        <v>17</v>
      </c>
      <c r="H218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85" t="s">
        <v>145</v>
      </c>
      <c r="L2185">
        <v>5</v>
      </c>
      <c r="N2185" t="s">
        <v>303</v>
      </c>
    </row>
    <row r="2186" spans="1:14" outlineLevel="1" x14ac:dyDescent="0.25">
      <c r="A2186" t="s">
        <v>300</v>
      </c>
      <c r="C2186" t="s">
        <v>358</v>
      </c>
      <c r="D2186" t="str">
        <f>_xlfn.CONCAT("Taux de chargement moyen des véhicules pour l'accès au(x) projet(s) depuis la plateforme"," (",'Remplissage - Sit. Init.'!$C$243,")")</f>
        <v>Taux de chargement moyen des véhicules pour l'accès au(x) projet(s) depuis la plateforme (Catégorie 23)</v>
      </c>
      <c r="F2186" t="str">
        <f>_xlfn.CONCAT("ProjImmoDepuisPLTC",RIGHT(LEFT(D2186,LEN(D2186)-1),2))</f>
        <v>ProjImmoDepuisPLTC23</v>
      </c>
      <c r="G2186" t="s">
        <v>17</v>
      </c>
      <c r="H218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86" s="3"/>
      <c r="K2186" t="s">
        <v>70</v>
      </c>
      <c r="L2186" s="7">
        <v>0.8</v>
      </c>
      <c r="N2186" t="s">
        <v>303</v>
      </c>
    </row>
    <row r="2187" spans="1:14" outlineLevel="1" x14ac:dyDescent="0.25">
      <c r="A2187" t="s">
        <v>300</v>
      </c>
      <c r="C2187" t="s">
        <v>358</v>
      </c>
      <c r="D2187" t="str">
        <f>_xlfn.CONCAT("Distance parcourue associée"," (",'Remplissage - Sit. Init.'!$C$243,")")</f>
        <v>Distance parcourue associée (Catégorie 23)</v>
      </c>
      <c r="F2187" t="str">
        <f>_xlfn.CONCAT("ProjImmoDepuisPLDist",RIGHT(LEFT(D2187,LEN(D2187)-1),2))</f>
        <v>ProjImmoDepuisPLDist23</v>
      </c>
      <c r="G2187" t="s">
        <v>17</v>
      </c>
      <c r="H218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87" t="s">
        <v>88</v>
      </c>
      <c r="L2187">
        <v>15</v>
      </c>
      <c r="N2187" t="s">
        <v>303</v>
      </c>
    </row>
    <row r="2188" spans="1:14" outlineLevel="1" x14ac:dyDescent="0.25">
      <c r="A2188" t="s">
        <v>300</v>
      </c>
      <c r="C2188" t="s">
        <v>358</v>
      </c>
      <c r="D2188" t="str">
        <f>_xlfn.CONCAT("Nombre de trajets associés"," (",'Remplissage - Sit. Init.'!$C$243,")")</f>
        <v>Nombre de trajets associés (Catégorie 23)</v>
      </c>
      <c r="F2188" t="str">
        <f>_xlfn.CONCAT("ProjImmoDepuisPLNbTraj",RIGHT(LEFT(D2188,LEN(D2188)-1),2))</f>
        <v>ProjImmoDepuisPLNbTraj23</v>
      </c>
      <c r="G2188" t="s">
        <v>17</v>
      </c>
      <c r="H218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88" t="s">
        <v>145</v>
      </c>
      <c r="L2188">
        <v>5</v>
      </c>
      <c r="N2188" t="s">
        <v>303</v>
      </c>
    </row>
    <row r="2189" spans="1:14" outlineLevel="1" x14ac:dyDescent="0.25">
      <c r="A2189" t="s">
        <v>300</v>
      </c>
      <c r="C2189" t="s">
        <v>358</v>
      </c>
      <c r="D2189" t="str">
        <f>_xlfn.CONCAT("Taux de chargement moyen des véhicules pour l'accès au(x) projet(s) depuis la plateforme"," (",'Remplissage - Sit. Init.'!$C$253,")")</f>
        <v>Taux de chargement moyen des véhicules pour l'accès au(x) projet(s) depuis la plateforme (Catégorie 24)</v>
      </c>
      <c r="F2189" t="str">
        <f>_xlfn.CONCAT("ProjImmoDepuisPLTC",RIGHT(LEFT(D2189,LEN(D2189)-1),2))</f>
        <v>ProjImmoDepuisPLTC24</v>
      </c>
      <c r="G2189" t="s">
        <v>17</v>
      </c>
      <c r="H218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89" s="3"/>
      <c r="K2189" t="s">
        <v>70</v>
      </c>
      <c r="L2189" s="7">
        <v>0.8</v>
      </c>
      <c r="N2189" t="s">
        <v>303</v>
      </c>
    </row>
    <row r="2190" spans="1:14" outlineLevel="1" x14ac:dyDescent="0.25">
      <c r="A2190" t="s">
        <v>300</v>
      </c>
      <c r="C2190" t="s">
        <v>358</v>
      </c>
      <c r="D2190" t="str">
        <f>_xlfn.CONCAT("Distance parcourue associée"," (",'Remplissage - Sit. Init.'!$C$253,")")</f>
        <v>Distance parcourue associée (Catégorie 24)</v>
      </c>
      <c r="F2190" t="str">
        <f>_xlfn.CONCAT("ProjImmoDepuisPLDist",RIGHT(LEFT(D2190,LEN(D2190)-1),2))</f>
        <v>ProjImmoDepuisPLDist24</v>
      </c>
      <c r="G2190" t="s">
        <v>17</v>
      </c>
      <c r="H219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90" t="s">
        <v>88</v>
      </c>
      <c r="L2190">
        <v>15</v>
      </c>
      <c r="N2190" t="s">
        <v>303</v>
      </c>
    </row>
    <row r="2191" spans="1:14" outlineLevel="1" x14ac:dyDescent="0.25">
      <c r="A2191" t="s">
        <v>300</v>
      </c>
      <c r="C2191" t="s">
        <v>358</v>
      </c>
      <c r="D2191" t="str">
        <f>_xlfn.CONCAT("Nombre de trajets associés"," (",'Remplissage - Sit. Init.'!$C$253,")")</f>
        <v>Nombre de trajets associés (Catégorie 24)</v>
      </c>
      <c r="F2191" t="str">
        <f>_xlfn.CONCAT("ProjImmoDepuisPLNbTraj",RIGHT(LEFT(D2191,LEN(D2191)-1),2))</f>
        <v>ProjImmoDepuisPLNbTraj24</v>
      </c>
      <c r="G2191" t="s">
        <v>17</v>
      </c>
      <c r="H219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91" t="s">
        <v>145</v>
      </c>
      <c r="L2191">
        <v>5</v>
      </c>
      <c r="N2191" t="s">
        <v>303</v>
      </c>
    </row>
    <row r="2192" spans="1:14" outlineLevel="1" x14ac:dyDescent="0.25">
      <c r="A2192" t="s">
        <v>300</v>
      </c>
      <c r="C2192" t="s">
        <v>358</v>
      </c>
      <c r="D2192" t="str">
        <f>_xlfn.CONCAT("Taux de chargement moyen des véhicules pour l'accès au(x) projet(s) depuis la plateforme"," (",'Remplissage - Sit. Init.'!$C$263,")")</f>
        <v>Taux de chargement moyen des véhicules pour l'accès au(x) projet(s) depuis la plateforme (Catégorie 25)</v>
      </c>
      <c r="F2192" t="str">
        <f>_xlfn.CONCAT("ProjImmoDepuisPLTC",RIGHT(LEFT(D2192,LEN(D2192)-1),2))</f>
        <v>ProjImmoDepuisPLTC25</v>
      </c>
      <c r="G2192" t="s">
        <v>17</v>
      </c>
      <c r="H219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92" s="3"/>
      <c r="K2192" t="s">
        <v>70</v>
      </c>
      <c r="L2192" s="7">
        <v>0.8</v>
      </c>
      <c r="N2192" t="s">
        <v>303</v>
      </c>
    </row>
    <row r="2193" spans="1:14" outlineLevel="1" x14ac:dyDescent="0.25">
      <c r="A2193" t="s">
        <v>300</v>
      </c>
      <c r="C2193" t="s">
        <v>358</v>
      </c>
      <c r="D2193" t="str">
        <f>_xlfn.CONCAT("Distance parcourue associée"," (",'Remplissage - Sit. Init.'!$C$263,")")</f>
        <v>Distance parcourue associée (Catégorie 25)</v>
      </c>
      <c r="F2193" t="str">
        <f>_xlfn.CONCAT("ProjImmoDepuisPLDist",RIGHT(LEFT(D2193,LEN(D2193)-1),2))</f>
        <v>ProjImmoDepuisPLDist25</v>
      </c>
      <c r="G2193" t="s">
        <v>17</v>
      </c>
      <c r="H219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93" t="s">
        <v>88</v>
      </c>
      <c r="L2193">
        <v>15</v>
      </c>
      <c r="N2193" t="s">
        <v>303</v>
      </c>
    </row>
    <row r="2194" spans="1:14" outlineLevel="1" x14ac:dyDescent="0.25">
      <c r="A2194" t="s">
        <v>300</v>
      </c>
      <c r="C2194" t="s">
        <v>358</v>
      </c>
      <c r="D2194" t="str">
        <f>_xlfn.CONCAT("Nombre de trajets associés"," (",'Remplissage - Sit. Init.'!$C$263,")")</f>
        <v>Nombre de trajets associés (Catégorie 25)</v>
      </c>
      <c r="F2194" t="str">
        <f>_xlfn.CONCAT("ProjImmoDepuisPLNbTraj",RIGHT(LEFT(D2194,LEN(D2194)-1),2))</f>
        <v>ProjImmoDepuisPLNbTraj25</v>
      </c>
      <c r="G2194" t="s">
        <v>17</v>
      </c>
      <c r="H219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94" t="s">
        <v>145</v>
      </c>
      <c r="L2194">
        <v>5</v>
      </c>
      <c r="N2194" t="s">
        <v>303</v>
      </c>
    </row>
    <row r="2195" spans="1:14" outlineLevel="1" x14ac:dyDescent="0.25">
      <c r="A2195" t="s">
        <v>300</v>
      </c>
      <c r="C2195" t="s">
        <v>358</v>
      </c>
      <c r="D2195" t="str">
        <f>_xlfn.CONCAT("Taux de chargement moyen des véhicules pour l'accès au(x) projet(s) depuis la plateforme"," (",'Remplissage - Sit. Init.'!$C$273,")")</f>
        <v>Taux de chargement moyen des véhicules pour l'accès au(x) projet(s) depuis la plateforme (Catégorie 26)</v>
      </c>
      <c r="F2195" t="str">
        <f>_xlfn.CONCAT("ProjImmoDepuisPLTC",RIGHT(LEFT(D2195,LEN(D2195)-1),2))</f>
        <v>ProjImmoDepuisPLTC26</v>
      </c>
      <c r="G2195" t="s">
        <v>17</v>
      </c>
      <c r="H2195">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95" s="3"/>
      <c r="K2195" t="s">
        <v>70</v>
      </c>
      <c r="L2195" s="7">
        <v>0.8</v>
      </c>
      <c r="N2195" t="s">
        <v>303</v>
      </c>
    </row>
    <row r="2196" spans="1:14" outlineLevel="1" x14ac:dyDescent="0.25">
      <c r="A2196" t="s">
        <v>300</v>
      </c>
      <c r="C2196" t="s">
        <v>358</v>
      </c>
      <c r="D2196" t="str">
        <f>_xlfn.CONCAT("Distance parcourue associée"," (",'Remplissage - Sit. Init.'!$C$273,")")</f>
        <v>Distance parcourue associée (Catégorie 26)</v>
      </c>
      <c r="F2196" t="str">
        <f>_xlfn.CONCAT("ProjImmoDepuisPLDist",RIGHT(LEFT(D2196,LEN(D2196)-1),2))</f>
        <v>ProjImmoDepuisPLDist26</v>
      </c>
      <c r="G2196" t="s">
        <v>17</v>
      </c>
      <c r="H2196">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96" t="s">
        <v>88</v>
      </c>
      <c r="L2196">
        <v>15</v>
      </c>
      <c r="N2196" t="s">
        <v>303</v>
      </c>
    </row>
    <row r="2197" spans="1:14" outlineLevel="1" x14ac:dyDescent="0.25">
      <c r="A2197" t="s">
        <v>300</v>
      </c>
      <c r="C2197" t="s">
        <v>358</v>
      </c>
      <c r="D2197" t="str">
        <f>_xlfn.CONCAT("Nombre de trajets associés"," (",'Remplissage - Sit. Init.'!$C$273,")")</f>
        <v>Nombre de trajets associés (Catégorie 26)</v>
      </c>
      <c r="F2197" t="str">
        <f>_xlfn.CONCAT("ProjImmoDepuisPLNbTraj",RIGHT(LEFT(D2197,LEN(D2197)-1),2))</f>
        <v>ProjImmoDepuisPLNbTraj26</v>
      </c>
      <c r="G2197" t="s">
        <v>17</v>
      </c>
      <c r="H2197">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97" t="s">
        <v>145</v>
      </c>
      <c r="L2197">
        <v>5</v>
      </c>
      <c r="N2197" t="s">
        <v>303</v>
      </c>
    </row>
    <row r="2198" spans="1:14" outlineLevel="1" x14ac:dyDescent="0.25">
      <c r="A2198" t="s">
        <v>300</v>
      </c>
      <c r="C2198" t="s">
        <v>358</v>
      </c>
      <c r="D2198" t="str">
        <f>_xlfn.CONCAT("Taux de chargement moyen des véhicules pour l'accès au(x) projet(s) depuis la plateforme"," (",'Remplissage - Sit. Init.'!$C$283,")")</f>
        <v>Taux de chargement moyen des véhicules pour l'accès au(x) projet(s) depuis la plateforme (Catégorie 27)</v>
      </c>
      <c r="F2198" t="str">
        <f>_xlfn.CONCAT("ProjImmoDepuisPLTC",RIGHT(LEFT(D2198,LEN(D2198)-1),2))</f>
        <v>ProjImmoDepuisPLTC27</v>
      </c>
      <c r="G2198" t="s">
        <v>17</v>
      </c>
      <c r="H2198">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198" s="3"/>
      <c r="K2198" t="s">
        <v>70</v>
      </c>
      <c r="L2198" s="7">
        <v>0.8</v>
      </c>
      <c r="N2198" t="s">
        <v>303</v>
      </c>
    </row>
    <row r="2199" spans="1:14" outlineLevel="1" x14ac:dyDescent="0.25">
      <c r="A2199" t="s">
        <v>300</v>
      </c>
      <c r="C2199" t="s">
        <v>358</v>
      </c>
      <c r="D2199" t="str">
        <f>_xlfn.CONCAT("Distance parcourue associée"," (",'Remplissage - Sit. Init.'!$C$283,")")</f>
        <v>Distance parcourue associée (Catégorie 27)</v>
      </c>
      <c r="F2199" t="str">
        <f>_xlfn.CONCAT("ProjImmoDepuisPLDist",RIGHT(LEFT(D2199,LEN(D2199)-1),2))</f>
        <v>ProjImmoDepuisPLDist27</v>
      </c>
      <c r="G2199" t="s">
        <v>17</v>
      </c>
      <c r="H2199">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199" t="s">
        <v>88</v>
      </c>
      <c r="L2199">
        <v>15</v>
      </c>
      <c r="N2199" t="s">
        <v>303</v>
      </c>
    </row>
    <row r="2200" spans="1:14" outlineLevel="1" x14ac:dyDescent="0.25">
      <c r="A2200" t="s">
        <v>300</v>
      </c>
      <c r="C2200" t="s">
        <v>358</v>
      </c>
      <c r="D2200" t="str">
        <f>_xlfn.CONCAT("Nombre de trajets associés"," (",'Remplissage - Sit. Init.'!$C$283,")")</f>
        <v>Nombre de trajets associés (Catégorie 27)</v>
      </c>
      <c r="F2200" t="str">
        <f>_xlfn.CONCAT("ProjImmoDepuisPLNbTraj",RIGHT(LEFT(D2200,LEN(D2200)-1),2))</f>
        <v>ProjImmoDepuisPLNbTraj27</v>
      </c>
      <c r="G2200" t="s">
        <v>17</v>
      </c>
      <c r="H2200">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00" t="s">
        <v>145</v>
      </c>
      <c r="L2200">
        <v>5</v>
      </c>
      <c r="N2200" t="s">
        <v>303</v>
      </c>
    </row>
    <row r="2201" spans="1:14" outlineLevel="1" x14ac:dyDescent="0.25">
      <c r="A2201" t="s">
        <v>300</v>
      </c>
      <c r="C2201" t="s">
        <v>358</v>
      </c>
      <c r="D2201" t="str">
        <f>_xlfn.CONCAT("Taux de chargement moyen des véhicules pour l'accès au(x) projet(s) depuis la plateforme"," (",'Remplissage - Sit. Init.'!$C$293,")")</f>
        <v>Taux de chargement moyen des véhicules pour l'accès au(x) projet(s) depuis la plateforme (Catégorie 28)</v>
      </c>
      <c r="F2201" t="str">
        <f>_xlfn.CONCAT("ProjImmoDepuisPLTC",RIGHT(LEFT(D2201,LEN(D2201)-1),2))</f>
        <v>ProjImmoDepuisPLTC28</v>
      </c>
      <c r="G2201" t="s">
        <v>17</v>
      </c>
      <c r="H2201">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01" s="3"/>
      <c r="K2201" t="s">
        <v>70</v>
      </c>
      <c r="L2201" s="7">
        <v>0.8</v>
      </c>
      <c r="N2201" t="s">
        <v>303</v>
      </c>
    </row>
    <row r="2202" spans="1:14" outlineLevel="1" x14ac:dyDescent="0.25">
      <c r="A2202" t="s">
        <v>300</v>
      </c>
      <c r="C2202" t="s">
        <v>358</v>
      </c>
      <c r="D2202" t="str">
        <f>_xlfn.CONCAT("Distance parcourue associée"," (",'Remplissage - Sit. Init.'!$C$293,")")</f>
        <v>Distance parcourue associée (Catégorie 28)</v>
      </c>
      <c r="F2202" t="str">
        <f>_xlfn.CONCAT("ProjImmoDepuisPLDist",RIGHT(LEFT(D2202,LEN(D2202)-1),2))</f>
        <v>ProjImmoDepuisPLDist28</v>
      </c>
      <c r="G2202" t="s">
        <v>17</v>
      </c>
      <c r="H2202">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02" t="s">
        <v>88</v>
      </c>
      <c r="L2202">
        <v>15</v>
      </c>
      <c r="N2202" t="s">
        <v>303</v>
      </c>
    </row>
    <row r="2203" spans="1:14" outlineLevel="1" x14ac:dyDescent="0.25">
      <c r="A2203" t="s">
        <v>300</v>
      </c>
      <c r="C2203" t="s">
        <v>358</v>
      </c>
      <c r="D2203" t="str">
        <f>_xlfn.CONCAT("Nombre de trajets associés"," (",'Remplissage - Sit. Init.'!$C$293,")")</f>
        <v>Nombre de trajets associés (Catégorie 28)</v>
      </c>
      <c r="F2203" t="str">
        <f>_xlfn.CONCAT("ProjImmoDepuisPLNbTraj",RIGHT(LEFT(D2203,LEN(D2203)-1),2))</f>
        <v>ProjImmoDepuisPLNbTraj28</v>
      </c>
      <c r="G2203" t="s">
        <v>17</v>
      </c>
      <c r="H2203">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03" t="s">
        <v>145</v>
      </c>
      <c r="L2203">
        <v>5</v>
      </c>
      <c r="N2203" t="s">
        <v>303</v>
      </c>
    </row>
    <row r="2204" spans="1:14" outlineLevel="1" x14ac:dyDescent="0.25">
      <c r="A2204" t="s">
        <v>300</v>
      </c>
      <c r="C2204" t="s">
        <v>358</v>
      </c>
      <c r="D2204" t="str">
        <f>_xlfn.CONCAT("Taux de chargement moyen des véhicules pour l'accès au(x) projet(s) depuis la plateforme"," (",'Remplissage - Sit. Init.'!$C$303,")")</f>
        <v>Taux de chargement moyen des véhicules pour l'accès au(x) projet(s) depuis la plateforme (Catégorie 29)</v>
      </c>
      <c r="F2204" t="str">
        <f>_xlfn.CONCAT("ProjImmoDepuisPLTC",RIGHT(LEFT(D2204,LEN(D2204)-1),2))</f>
        <v>ProjImmoDepuisPLTC29</v>
      </c>
      <c r="G2204" t="s">
        <v>17</v>
      </c>
      <c r="H2204">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04" s="3"/>
      <c r="K2204" t="s">
        <v>70</v>
      </c>
      <c r="L2204" s="7">
        <v>0.8</v>
      </c>
      <c r="N2204" t="s">
        <v>303</v>
      </c>
    </row>
    <row r="2205" spans="1:14" outlineLevel="1" x14ac:dyDescent="0.25">
      <c r="A2205" t="s">
        <v>300</v>
      </c>
      <c r="C2205" t="s">
        <v>358</v>
      </c>
      <c r="D2205" t="str">
        <f>_xlfn.CONCAT("Distance parcourue associée"," (",'Remplissage - Sit. Init.'!$C$303,")")</f>
        <v>Distance parcourue associée (Catégorie 29)</v>
      </c>
      <c r="F2205" t="str">
        <f>_xlfn.CONCAT("ProjImmoDepuisPLDist",RIGHT(LEFT(D2205,LEN(D2205)-1),2))</f>
        <v>ProjImmoDepuisPLDist29</v>
      </c>
      <c r="G2205" t="s">
        <v>17</v>
      </c>
      <c r="H2205">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05" t="s">
        <v>88</v>
      </c>
      <c r="L2205">
        <v>15</v>
      </c>
      <c r="N2205" t="s">
        <v>303</v>
      </c>
    </row>
    <row r="2206" spans="1:14" outlineLevel="1" x14ac:dyDescent="0.25">
      <c r="A2206" t="s">
        <v>300</v>
      </c>
      <c r="C2206" t="s">
        <v>358</v>
      </c>
      <c r="D2206" t="str">
        <f>_xlfn.CONCAT("Nombre de trajets associés"," (",'Remplissage - Sit. Init.'!$C$303,")")</f>
        <v>Nombre de trajets associés (Catégorie 29)</v>
      </c>
      <c r="F2206" t="str">
        <f>_xlfn.CONCAT("ProjImmoDepuisPLNbTraj",RIGHT(LEFT(D2206,LEN(D2206)-1),2))</f>
        <v>ProjImmoDepuisPLNbTraj29</v>
      </c>
      <c r="G2206" t="s">
        <v>17</v>
      </c>
      <c r="H2206">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06" t="s">
        <v>145</v>
      </c>
      <c r="L2206">
        <v>5</v>
      </c>
      <c r="N2206" t="s">
        <v>303</v>
      </c>
    </row>
    <row r="2207" spans="1:14" outlineLevel="1" x14ac:dyDescent="0.25">
      <c r="A2207" t="s">
        <v>300</v>
      </c>
      <c r="C2207" t="s">
        <v>358</v>
      </c>
      <c r="D2207" t="str">
        <f>_xlfn.CONCAT("Taux de chargement moyen des véhicules pour l'accès au(x) projet(s) depuis la plateforme"," (",'Remplissage - Sit. Init.'!$C$313,")")</f>
        <v>Taux de chargement moyen des véhicules pour l'accès au(x) projet(s) depuis la plateforme (Catégorie 30)</v>
      </c>
      <c r="F2207" t="str">
        <f>_xlfn.CONCAT("ProjImmoDepuisPLTC",RIGHT(LEFT(D2207,LEN(D2207)-1),2))</f>
        <v>ProjImmoDepuisPLTC30</v>
      </c>
      <c r="G2207" t="s">
        <v>17</v>
      </c>
      <c r="H2207">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07" s="3"/>
      <c r="K2207" t="s">
        <v>70</v>
      </c>
      <c r="L2207" s="7">
        <v>0.8</v>
      </c>
      <c r="N2207" t="s">
        <v>303</v>
      </c>
    </row>
    <row r="2208" spans="1:14" outlineLevel="1" x14ac:dyDescent="0.25">
      <c r="A2208" t="s">
        <v>300</v>
      </c>
      <c r="C2208" t="s">
        <v>358</v>
      </c>
      <c r="D2208" t="str">
        <f>_xlfn.CONCAT("Distance parcourue associée"," (",'Remplissage - Sit. Init.'!$C$313,")")</f>
        <v>Distance parcourue associée (Catégorie 30)</v>
      </c>
      <c r="F2208" t="str">
        <f>_xlfn.CONCAT("ProjImmoDepuisPLDist",RIGHT(LEFT(D2208,LEN(D2208)-1),2))</f>
        <v>ProjImmoDepuisPLDist30</v>
      </c>
      <c r="G2208" t="s">
        <v>17</v>
      </c>
      <c r="H2208">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08" t="s">
        <v>88</v>
      </c>
      <c r="L2208">
        <v>15</v>
      </c>
      <c r="N2208" t="s">
        <v>303</v>
      </c>
    </row>
    <row r="2209" spans="1:14" outlineLevel="1" x14ac:dyDescent="0.25">
      <c r="A2209" t="s">
        <v>300</v>
      </c>
      <c r="C2209" t="s">
        <v>358</v>
      </c>
      <c r="D2209" t="str">
        <f>_xlfn.CONCAT("Nombre de trajets associés"," (",'Remplissage - Sit. Init.'!$C$313,")")</f>
        <v>Nombre de trajets associés (Catégorie 30)</v>
      </c>
      <c r="F2209" t="str">
        <f>_xlfn.CONCAT("ProjImmoDepuisPLNbTraj",RIGHT(LEFT(D2209,LEN(D2209)-1),2))</f>
        <v>ProjImmoDepuisPLNbTraj30</v>
      </c>
      <c r="G2209" t="s">
        <v>17</v>
      </c>
      <c r="H2209">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09" t="s">
        <v>145</v>
      </c>
      <c r="L2209">
        <v>5</v>
      </c>
      <c r="N2209" t="s">
        <v>303</v>
      </c>
    </row>
    <row r="2210" spans="1:14" outlineLevel="1" x14ac:dyDescent="0.25">
      <c r="A2210" t="s">
        <v>300</v>
      </c>
      <c r="C2210" t="s">
        <v>358</v>
      </c>
      <c r="D2210" t="str">
        <f>_xlfn.CONCAT("Taux de chargement moyen des véhicules pour l'accès au(x) projet(s) depuis la plateforme"," (",'Remplissage - Sit. Init.'!$C$323,")")</f>
        <v>Taux de chargement moyen des véhicules pour l'accès au(x) projet(s) depuis la plateforme (Catégorie 31)</v>
      </c>
      <c r="F2210" t="str">
        <f>_xlfn.CONCAT("ProjImmoDepuisPLTC",RIGHT(LEFT(D2210,LEN(D2210)-1),2))</f>
        <v>ProjImmoDepuisPLTC31</v>
      </c>
      <c r="G2210" t="s">
        <v>17</v>
      </c>
      <c r="H221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10" s="3"/>
      <c r="K2210" t="s">
        <v>70</v>
      </c>
      <c r="L2210" s="7">
        <v>0.8</v>
      </c>
      <c r="N2210" t="s">
        <v>303</v>
      </c>
    </row>
    <row r="2211" spans="1:14" outlineLevel="1" x14ac:dyDescent="0.25">
      <c r="A2211" t="s">
        <v>300</v>
      </c>
      <c r="C2211" t="s">
        <v>358</v>
      </c>
      <c r="D2211" t="str">
        <f>_xlfn.CONCAT("Distance parcourue associée"," (",'Remplissage - Sit. Init.'!$C$323,")")</f>
        <v>Distance parcourue associée (Catégorie 31)</v>
      </c>
      <c r="F2211" t="str">
        <f>_xlfn.CONCAT("ProjImmoDepuisPLDist",RIGHT(LEFT(D2211,LEN(D2211)-1),2))</f>
        <v>ProjImmoDepuisPLDist31</v>
      </c>
      <c r="G2211" t="s">
        <v>17</v>
      </c>
      <c r="H221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11" t="s">
        <v>88</v>
      </c>
      <c r="L2211">
        <v>15</v>
      </c>
      <c r="N2211" t="s">
        <v>303</v>
      </c>
    </row>
    <row r="2212" spans="1:14" outlineLevel="1" x14ac:dyDescent="0.25">
      <c r="A2212" t="s">
        <v>300</v>
      </c>
      <c r="C2212" t="s">
        <v>358</v>
      </c>
      <c r="D2212" t="str">
        <f>_xlfn.CONCAT("Nombre de trajets associés"," (",'Remplissage - Sit. Init.'!$C$323,")")</f>
        <v>Nombre de trajets associés (Catégorie 31)</v>
      </c>
      <c r="F2212" t="str">
        <f>_xlfn.CONCAT("ProjImmoDepuisPLNbTraj",RIGHT(LEFT(D2212,LEN(D2212)-1),2))</f>
        <v>ProjImmoDepuisPLNbTraj31</v>
      </c>
      <c r="G2212" t="s">
        <v>17</v>
      </c>
      <c r="H221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12" t="s">
        <v>145</v>
      </c>
      <c r="L2212">
        <v>5</v>
      </c>
      <c r="N2212" t="s">
        <v>303</v>
      </c>
    </row>
    <row r="2213" spans="1:14" outlineLevel="1" x14ac:dyDescent="0.25">
      <c r="A2213" t="s">
        <v>300</v>
      </c>
      <c r="C2213" t="s">
        <v>358</v>
      </c>
      <c r="D2213" t="str">
        <f>_xlfn.CONCAT("Taux de chargement moyen des véhicules pour l'accès au(x) projet(s) depuis la plateforme"," (",'Remplissage - Sit. Init.'!$C$333,")")</f>
        <v>Taux de chargement moyen des véhicules pour l'accès au(x) projet(s) depuis la plateforme (Catégorie 32)</v>
      </c>
      <c r="F2213" t="str">
        <f>_xlfn.CONCAT("ProjImmoDepuisPLTC",RIGHT(LEFT(D2213,LEN(D2213)-1),2))</f>
        <v>ProjImmoDepuisPLTC32</v>
      </c>
      <c r="G2213" t="s">
        <v>17</v>
      </c>
      <c r="H221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13" s="3"/>
      <c r="K2213" t="s">
        <v>70</v>
      </c>
      <c r="L2213" s="7">
        <v>0.8</v>
      </c>
      <c r="N2213" t="s">
        <v>303</v>
      </c>
    </row>
    <row r="2214" spans="1:14" outlineLevel="1" x14ac:dyDescent="0.25">
      <c r="A2214" t="s">
        <v>300</v>
      </c>
      <c r="C2214" t="s">
        <v>358</v>
      </c>
      <c r="D2214" t="str">
        <f>_xlfn.CONCAT("Distance parcourue associée"," (",'Remplissage - Sit. Init.'!$C$333,")")</f>
        <v>Distance parcourue associée (Catégorie 32)</v>
      </c>
      <c r="F2214" t="str">
        <f>_xlfn.CONCAT("ProjImmoDepuisPLDist",RIGHT(LEFT(D2214,LEN(D2214)-1),2))</f>
        <v>ProjImmoDepuisPLDist32</v>
      </c>
      <c r="G2214" t="s">
        <v>17</v>
      </c>
      <c r="H221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14" t="s">
        <v>88</v>
      </c>
      <c r="L2214">
        <v>15</v>
      </c>
      <c r="N2214" t="s">
        <v>303</v>
      </c>
    </row>
    <row r="2215" spans="1:14" outlineLevel="1" x14ac:dyDescent="0.25">
      <c r="A2215" t="s">
        <v>300</v>
      </c>
      <c r="C2215" t="s">
        <v>358</v>
      </c>
      <c r="D2215" t="str">
        <f>_xlfn.CONCAT("Nombre de trajets associés"," (",'Remplissage - Sit. Init.'!$C$333,")")</f>
        <v>Nombre de trajets associés (Catégorie 32)</v>
      </c>
      <c r="F2215" t="str">
        <f>_xlfn.CONCAT("ProjImmoDepuisPLNbTraj",RIGHT(LEFT(D2215,LEN(D2215)-1),2))</f>
        <v>ProjImmoDepuisPLNbTraj32</v>
      </c>
      <c r="G2215" t="s">
        <v>17</v>
      </c>
      <c r="H221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15" t="s">
        <v>145</v>
      </c>
      <c r="L2215">
        <v>5</v>
      </c>
      <c r="N2215" t="s">
        <v>303</v>
      </c>
    </row>
    <row r="2216" spans="1:14" outlineLevel="1" x14ac:dyDescent="0.25">
      <c r="A2216" t="s">
        <v>300</v>
      </c>
      <c r="C2216" t="s">
        <v>358</v>
      </c>
      <c r="D2216" t="str">
        <f>_xlfn.CONCAT("Taux de chargement moyen des véhicules pour l'accès au(x) projet(s) depuis la plateforme"," (",'Remplissage - Sit. Init.'!$C$343,")")</f>
        <v>Taux de chargement moyen des véhicules pour l'accès au(x) projet(s) depuis la plateforme (Catégorie 33)</v>
      </c>
      <c r="F2216" t="str">
        <f>_xlfn.CONCAT("ProjImmoDepuisPLTC",RIGHT(LEFT(D2216,LEN(D2216)-1),2))</f>
        <v>ProjImmoDepuisPLTC33</v>
      </c>
      <c r="G2216" t="s">
        <v>17</v>
      </c>
      <c r="H221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16" s="3"/>
      <c r="K2216" t="s">
        <v>70</v>
      </c>
      <c r="L2216" s="7">
        <v>0.8</v>
      </c>
      <c r="N2216" t="s">
        <v>303</v>
      </c>
    </row>
    <row r="2217" spans="1:14" outlineLevel="1" x14ac:dyDescent="0.25">
      <c r="A2217" t="s">
        <v>300</v>
      </c>
      <c r="C2217" t="s">
        <v>358</v>
      </c>
      <c r="D2217" t="str">
        <f>_xlfn.CONCAT("Distance parcourue associée"," (",'Remplissage - Sit. Init.'!$C$343,")")</f>
        <v>Distance parcourue associée (Catégorie 33)</v>
      </c>
      <c r="F2217" t="str">
        <f>_xlfn.CONCAT("ProjImmoDepuisPLDist",RIGHT(LEFT(D2217,LEN(D2217)-1),2))</f>
        <v>ProjImmoDepuisPLDist33</v>
      </c>
      <c r="G2217" t="s">
        <v>17</v>
      </c>
      <c r="H221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17" t="s">
        <v>88</v>
      </c>
      <c r="L2217">
        <v>15</v>
      </c>
      <c r="N2217" t="s">
        <v>303</v>
      </c>
    </row>
    <row r="2218" spans="1:14" outlineLevel="1" x14ac:dyDescent="0.25">
      <c r="A2218" t="s">
        <v>300</v>
      </c>
      <c r="C2218" t="s">
        <v>358</v>
      </c>
      <c r="D2218" t="str">
        <f>_xlfn.CONCAT("Nombre de trajets associés"," (",'Remplissage - Sit. Init.'!$C$343,")")</f>
        <v>Nombre de trajets associés (Catégorie 33)</v>
      </c>
      <c r="F2218" t="str">
        <f>_xlfn.CONCAT("ProjImmoDepuisPLNbTraj",RIGHT(LEFT(D2218,LEN(D2218)-1),2))</f>
        <v>ProjImmoDepuisPLNbTraj33</v>
      </c>
      <c r="G2218" t="s">
        <v>17</v>
      </c>
      <c r="H221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18" t="s">
        <v>145</v>
      </c>
      <c r="L2218">
        <v>5</v>
      </c>
      <c r="N2218" t="s">
        <v>303</v>
      </c>
    </row>
    <row r="2219" spans="1:14" outlineLevel="1" x14ac:dyDescent="0.25">
      <c r="A2219" t="s">
        <v>300</v>
      </c>
      <c r="C2219" t="s">
        <v>358</v>
      </c>
      <c r="D2219" t="str">
        <f>_xlfn.CONCAT("Taux de chargement moyen des véhicules pour l'accès au(x) projet(s) depuis la plateforme"," (",'Remplissage - Sit. Init.'!$C$353,")")</f>
        <v>Taux de chargement moyen des véhicules pour l'accès au(x) projet(s) depuis la plateforme (Catégorie 34)</v>
      </c>
      <c r="F2219" t="str">
        <f>_xlfn.CONCAT("ProjImmoDepuisPLTC",RIGHT(LEFT(D2219,LEN(D2219)-1),2))</f>
        <v>ProjImmoDepuisPLTC34</v>
      </c>
      <c r="G2219" t="s">
        <v>17</v>
      </c>
      <c r="H221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19" s="3"/>
      <c r="K2219" t="s">
        <v>70</v>
      </c>
      <c r="L2219" s="7">
        <v>0.8</v>
      </c>
      <c r="N2219" t="s">
        <v>303</v>
      </c>
    </row>
    <row r="2220" spans="1:14" outlineLevel="1" x14ac:dyDescent="0.25">
      <c r="A2220" t="s">
        <v>300</v>
      </c>
      <c r="C2220" t="s">
        <v>358</v>
      </c>
      <c r="D2220" t="str">
        <f>_xlfn.CONCAT("Distance parcourue associée"," (",'Remplissage - Sit. Init.'!$C$353,")")</f>
        <v>Distance parcourue associée (Catégorie 34)</v>
      </c>
      <c r="F2220" t="str">
        <f>_xlfn.CONCAT("ProjImmoDepuisPLDist",RIGHT(LEFT(D2220,LEN(D2220)-1),2))</f>
        <v>ProjImmoDepuisPLDist34</v>
      </c>
      <c r="G2220" t="s">
        <v>17</v>
      </c>
      <c r="H222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20" t="s">
        <v>88</v>
      </c>
      <c r="L2220">
        <v>15</v>
      </c>
      <c r="N2220" t="s">
        <v>303</v>
      </c>
    </row>
    <row r="2221" spans="1:14" outlineLevel="1" x14ac:dyDescent="0.25">
      <c r="A2221" t="s">
        <v>300</v>
      </c>
      <c r="C2221" t="s">
        <v>358</v>
      </c>
      <c r="D2221" t="str">
        <f>_xlfn.CONCAT("Nombre de trajets associés"," (",'Remplissage - Sit. Init.'!$C$353,")")</f>
        <v>Nombre de trajets associés (Catégorie 34)</v>
      </c>
      <c r="F2221" t="str">
        <f>_xlfn.CONCAT("ProjImmoDepuisPLNbTraj",RIGHT(LEFT(D2221,LEN(D2221)-1),2))</f>
        <v>ProjImmoDepuisPLNbTraj34</v>
      </c>
      <c r="G2221" t="s">
        <v>17</v>
      </c>
      <c r="H222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21" t="s">
        <v>145</v>
      </c>
      <c r="L2221">
        <v>5</v>
      </c>
      <c r="N2221" t="s">
        <v>303</v>
      </c>
    </row>
    <row r="2222" spans="1:14" outlineLevel="1" x14ac:dyDescent="0.25">
      <c r="A2222" t="s">
        <v>300</v>
      </c>
      <c r="C2222" t="s">
        <v>358</v>
      </c>
      <c r="D2222" t="str">
        <f>_xlfn.CONCAT("Taux de chargement moyen des véhicules pour l'accès au(x) projet(s) depuis la plateforme"," (",'Remplissage - Sit. Init.'!$C$363,")")</f>
        <v>Taux de chargement moyen des véhicules pour l'accès au(x) projet(s) depuis la plateforme (Catégorie 35)</v>
      </c>
      <c r="F2222" t="str">
        <f>_xlfn.CONCAT("ProjImmoDepuisPLTC",RIGHT(LEFT(D2222,LEN(D2222)-1),2))</f>
        <v>ProjImmoDepuisPLTC35</v>
      </c>
      <c r="G2222" t="s">
        <v>17</v>
      </c>
      <c r="H222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22" s="3"/>
      <c r="K2222" t="s">
        <v>70</v>
      </c>
      <c r="L2222" s="7">
        <v>0.8</v>
      </c>
      <c r="N2222" t="s">
        <v>303</v>
      </c>
    </row>
    <row r="2223" spans="1:14" outlineLevel="1" x14ac:dyDescent="0.25">
      <c r="A2223" t="s">
        <v>300</v>
      </c>
      <c r="C2223" t="s">
        <v>358</v>
      </c>
      <c r="D2223" t="str">
        <f>_xlfn.CONCAT("Distance parcourue associée"," (",'Remplissage - Sit. Init.'!$C$363,")")</f>
        <v>Distance parcourue associée (Catégorie 35)</v>
      </c>
      <c r="F2223" t="str">
        <f>_xlfn.CONCAT("ProjImmoDepuisPLDist",RIGHT(LEFT(D2223,LEN(D2223)-1),2))</f>
        <v>ProjImmoDepuisPLDist35</v>
      </c>
      <c r="G2223" t="s">
        <v>17</v>
      </c>
      <c r="H222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23" t="s">
        <v>88</v>
      </c>
      <c r="L2223">
        <v>15</v>
      </c>
      <c r="N2223" t="s">
        <v>303</v>
      </c>
    </row>
    <row r="2224" spans="1:14" outlineLevel="1" x14ac:dyDescent="0.25">
      <c r="A2224" t="s">
        <v>300</v>
      </c>
      <c r="C2224" t="s">
        <v>358</v>
      </c>
      <c r="D2224" t="str">
        <f>_xlfn.CONCAT("Nombre de trajets associés"," (",'Remplissage - Sit. Init.'!$C$363,")")</f>
        <v>Nombre de trajets associés (Catégorie 35)</v>
      </c>
      <c r="F2224" t="str">
        <f>_xlfn.CONCAT("ProjImmoDepuisPLNbTraj",RIGHT(LEFT(D2224,LEN(D2224)-1),2))</f>
        <v>ProjImmoDepuisPLNbTraj35</v>
      </c>
      <c r="G2224" t="s">
        <v>17</v>
      </c>
      <c r="H222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24" t="s">
        <v>145</v>
      </c>
      <c r="L2224">
        <v>5</v>
      </c>
      <c r="N2224" t="s">
        <v>303</v>
      </c>
    </row>
    <row r="2225" spans="1:14" outlineLevel="1" x14ac:dyDescent="0.25">
      <c r="A2225" t="s">
        <v>300</v>
      </c>
      <c r="C2225" t="s">
        <v>358</v>
      </c>
      <c r="D2225" t="str">
        <f>_xlfn.CONCAT("Taux de chargement moyen des véhicules pour l'accès au(x) projet(s) depuis la plateforme"," (",'Remplissage - Sit. Init.'!$C$373,")")</f>
        <v>Taux de chargement moyen des véhicules pour l'accès au(x) projet(s) depuis la plateforme (Catégorie 36)</v>
      </c>
      <c r="F2225" t="str">
        <f>_xlfn.CONCAT("ProjImmoDepuisPLTC",RIGHT(LEFT(D2225,LEN(D2225)-1),2))</f>
        <v>ProjImmoDepuisPLTC36</v>
      </c>
      <c r="G2225" t="s">
        <v>17</v>
      </c>
      <c r="H2225">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25" s="3"/>
      <c r="K2225" t="s">
        <v>70</v>
      </c>
      <c r="L2225" s="7">
        <v>0.8</v>
      </c>
      <c r="N2225" t="s">
        <v>303</v>
      </c>
    </row>
    <row r="2226" spans="1:14" outlineLevel="1" x14ac:dyDescent="0.25">
      <c r="A2226" t="s">
        <v>300</v>
      </c>
      <c r="C2226" t="s">
        <v>358</v>
      </c>
      <c r="D2226" t="str">
        <f>_xlfn.CONCAT("Distance parcourue associée"," (",'Remplissage - Sit. Init.'!$C$373,")")</f>
        <v>Distance parcourue associée (Catégorie 36)</v>
      </c>
      <c r="F2226" t="str">
        <f>_xlfn.CONCAT("ProjImmoDepuisPLDist",RIGHT(LEFT(D2226,LEN(D2226)-1),2))</f>
        <v>ProjImmoDepuisPLDist36</v>
      </c>
      <c r="G2226" t="s">
        <v>17</v>
      </c>
      <c r="H2226">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26" t="s">
        <v>88</v>
      </c>
      <c r="L2226">
        <v>15</v>
      </c>
      <c r="N2226" t="s">
        <v>303</v>
      </c>
    </row>
    <row r="2227" spans="1:14" outlineLevel="1" x14ac:dyDescent="0.25">
      <c r="A2227" t="s">
        <v>300</v>
      </c>
      <c r="C2227" t="s">
        <v>358</v>
      </c>
      <c r="D2227" t="str">
        <f>_xlfn.CONCAT("Nombre de trajets associés"," (",'Remplissage - Sit. Init.'!$C$373,")")</f>
        <v>Nombre de trajets associés (Catégorie 36)</v>
      </c>
      <c r="F2227" t="str">
        <f>_xlfn.CONCAT("ProjImmoDepuisPLNbTraj",RIGHT(LEFT(D2227,LEN(D2227)-1),2))</f>
        <v>ProjImmoDepuisPLNbTraj36</v>
      </c>
      <c r="G2227" t="s">
        <v>17</v>
      </c>
      <c r="H2227">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27" t="s">
        <v>145</v>
      </c>
      <c r="L2227">
        <v>5</v>
      </c>
      <c r="N2227" t="s">
        <v>303</v>
      </c>
    </row>
    <row r="2228" spans="1:14" outlineLevel="1" x14ac:dyDescent="0.25">
      <c r="A2228" t="s">
        <v>300</v>
      </c>
      <c r="C2228" t="s">
        <v>358</v>
      </c>
      <c r="D2228" t="str">
        <f>_xlfn.CONCAT("Taux de chargement moyen des véhicules pour l'accès au(x) projet(s) depuis la plateforme"," (",'Remplissage - Sit. Init.'!$C$383,")")</f>
        <v>Taux de chargement moyen des véhicules pour l'accès au(x) projet(s) depuis la plateforme (Catégorie 37)</v>
      </c>
      <c r="F2228" t="str">
        <f>_xlfn.CONCAT("ProjImmoDepuisPLTC",RIGHT(LEFT(D2228,LEN(D2228)-1),2))</f>
        <v>ProjImmoDepuisPLTC37</v>
      </c>
      <c r="G2228" t="s">
        <v>17</v>
      </c>
      <c r="H2228">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28" s="3"/>
      <c r="K2228" t="s">
        <v>70</v>
      </c>
      <c r="L2228" s="7">
        <v>0.8</v>
      </c>
      <c r="N2228" t="s">
        <v>303</v>
      </c>
    </row>
    <row r="2229" spans="1:14" outlineLevel="1" x14ac:dyDescent="0.25">
      <c r="A2229" t="s">
        <v>300</v>
      </c>
      <c r="C2229" t="s">
        <v>358</v>
      </c>
      <c r="D2229" t="str">
        <f>_xlfn.CONCAT("Distance parcourue associée"," (",'Remplissage - Sit. Init.'!$C$383,")")</f>
        <v>Distance parcourue associée (Catégorie 37)</v>
      </c>
      <c r="F2229" t="str">
        <f>_xlfn.CONCAT("ProjImmoDepuisPLDist",RIGHT(LEFT(D2229,LEN(D2229)-1),2))</f>
        <v>ProjImmoDepuisPLDist37</v>
      </c>
      <c r="G2229" t="s">
        <v>17</v>
      </c>
      <c r="H2229">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29" t="s">
        <v>88</v>
      </c>
      <c r="L2229">
        <v>15</v>
      </c>
      <c r="N2229" t="s">
        <v>303</v>
      </c>
    </row>
    <row r="2230" spans="1:14" outlineLevel="1" x14ac:dyDescent="0.25">
      <c r="A2230" t="s">
        <v>300</v>
      </c>
      <c r="C2230" t="s">
        <v>358</v>
      </c>
      <c r="D2230" t="str">
        <f>_xlfn.CONCAT("Nombre de trajets associés"," (",'Remplissage - Sit. Init.'!$C$383,")")</f>
        <v>Nombre de trajets associés (Catégorie 37)</v>
      </c>
      <c r="F2230" t="str">
        <f>_xlfn.CONCAT("ProjImmoDepuisPLNbTraj",RIGHT(LEFT(D2230,LEN(D2230)-1),2))</f>
        <v>ProjImmoDepuisPLNbTraj37</v>
      </c>
      <c r="G2230" t="s">
        <v>17</v>
      </c>
      <c r="H2230">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30" t="s">
        <v>145</v>
      </c>
      <c r="L2230">
        <v>5</v>
      </c>
      <c r="N2230" t="s">
        <v>303</v>
      </c>
    </row>
    <row r="2231" spans="1:14" outlineLevel="1" x14ac:dyDescent="0.25">
      <c r="A2231" t="s">
        <v>300</v>
      </c>
      <c r="C2231" t="s">
        <v>358</v>
      </c>
      <c r="D2231" t="str">
        <f>_xlfn.CONCAT("Taux de chargement moyen des véhicules pour l'accès au(x) projet(s) depuis la plateforme"," (",'Remplissage - Sit. Init.'!$C$393,")")</f>
        <v>Taux de chargement moyen des véhicules pour l'accès au(x) projet(s) depuis la plateforme (Catégorie 38)</v>
      </c>
      <c r="F2231" t="str">
        <f>_xlfn.CONCAT("ProjImmoDepuisPLTC",RIGHT(LEFT(D2231,LEN(D2231)-1),2))</f>
        <v>ProjImmoDepuisPLTC38</v>
      </c>
      <c r="G2231" t="s">
        <v>17</v>
      </c>
      <c r="H2231">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31" s="3"/>
      <c r="K2231" t="s">
        <v>70</v>
      </c>
      <c r="L2231" s="7">
        <v>0.8</v>
      </c>
      <c r="N2231" t="s">
        <v>303</v>
      </c>
    </row>
    <row r="2232" spans="1:14" outlineLevel="1" x14ac:dyDescent="0.25">
      <c r="A2232" t="s">
        <v>300</v>
      </c>
      <c r="C2232" t="s">
        <v>358</v>
      </c>
      <c r="D2232" t="str">
        <f>_xlfn.CONCAT("Distance parcourue associée"," (",'Remplissage - Sit. Init.'!$C$393,")")</f>
        <v>Distance parcourue associée (Catégorie 38)</v>
      </c>
      <c r="F2232" t="str">
        <f>_xlfn.CONCAT("ProjImmoDepuisPLDist",RIGHT(LEFT(D2232,LEN(D2232)-1),2))</f>
        <v>ProjImmoDepuisPLDist38</v>
      </c>
      <c r="G2232" t="s">
        <v>17</v>
      </c>
      <c r="H2232">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32" t="s">
        <v>88</v>
      </c>
      <c r="L2232">
        <v>15</v>
      </c>
      <c r="N2232" t="s">
        <v>303</v>
      </c>
    </row>
    <row r="2233" spans="1:14" outlineLevel="1" x14ac:dyDescent="0.25">
      <c r="A2233" t="s">
        <v>300</v>
      </c>
      <c r="C2233" t="s">
        <v>358</v>
      </c>
      <c r="D2233" t="str">
        <f>_xlfn.CONCAT("Nombre de trajets associés"," (",'Remplissage - Sit. Init.'!$C$393,")")</f>
        <v>Nombre de trajets associés (Catégorie 38)</v>
      </c>
      <c r="F2233" t="str">
        <f>_xlfn.CONCAT("ProjImmoDepuisPLNbTraj",RIGHT(LEFT(D2233,LEN(D2233)-1),2))</f>
        <v>ProjImmoDepuisPLNbTraj38</v>
      </c>
      <c r="G2233" t="s">
        <v>17</v>
      </c>
      <c r="H2233">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33" t="s">
        <v>145</v>
      </c>
      <c r="L2233">
        <v>5</v>
      </c>
      <c r="N2233" t="s">
        <v>303</v>
      </c>
    </row>
    <row r="2234" spans="1:14" outlineLevel="1" x14ac:dyDescent="0.25">
      <c r="A2234" t="s">
        <v>300</v>
      </c>
      <c r="C2234" t="s">
        <v>358</v>
      </c>
      <c r="D2234" t="str">
        <f>_xlfn.CONCAT("Taux de chargement moyen des véhicules pour l'accès au(x) projet(s) depuis la plateforme"," (",'Remplissage - Sit. Init.'!$C$403,")")</f>
        <v>Taux de chargement moyen des véhicules pour l'accès au(x) projet(s) depuis la plateforme (Catégorie 39)</v>
      </c>
      <c r="F2234" t="str">
        <f>_xlfn.CONCAT("ProjImmoDepuisPLTC",RIGHT(LEFT(D2234,LEN(D2234)-1),2))</f>
        <v>ProjImmoDepuisPLTC39</v>
      </c>
      <c r="G2234" t="s">
        <v>17</v>
      </c>
      <c r="H2234">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34" s="3"/>
      <c r="K2234" t="s">
        <v>70</v>
      </c>
      <c r="L2234" s="7">
        <v>0.8</v>
      </c>
      <c r="N2234" t="s">
        <v>303</v>
      </c>
    </row>
    <row r="2235" spans="1:14" outlineLevel="1" x14ac:dyDescent="0.25">
      <c r="A2235" t="s">
        <v>300</v>
      </c>
      <c r="C2235" t="s">
        <v>358</v>
      </c>
      <c r="D2235" t="str">
        <f>_xlfn.CONCAT("Distance parcourue associée"," (",'Remplissage - Sit. Init.'!$C$403,")")</f>
        <v>Distance parcourue associée (Catégorie 39)</v>
      </c>
      <c r="F2235" t="str">
        <f>_xlfn.CONCAT("ProjImmoDepuisPLDist",RIGHT(LEFT(D2235,LEN(D2235)-1),2))</f>
        <v>ProjImmoDepuisPLDist39</v>
      </c>
      <c r="G2235" t="s">
        <v>17</v>
      </c>
      <c r="H2235">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35" t="s">
        <v>88</v>
      </c>
      <c r="L2235">
        <v>15</v>
      </c>
      <c r="N2235" t="s">
        <v>303</v>
      </c>
    </row>
    <row r="2236" spans="1:14" outlineLevel="1" x14ac:dyDescent="0.25">
      <c r="A2236" t="s">
        <v>300</v>
      </c>
      <c r="C2236" t="s">
        <v>358</v>
      </c>
      <c r="D2236" t="str">
        <f>_xlfn.CONCAT("Nombre de trajets associés"," (",'Remplissage - Sit. Init.'!$C$403,")")</f>
        <v>Nombre de trajets associés (Catégorie 39)</v>
      </c>
      <c r="F2236" t="str">
        <f>_xlfn.CONCAT("ProjImmoDepuisPLNbTraj",RIGHT(LEFT(D2236,LEN(D2236)-1),2))</f>
        <v>ProjImmoDepuisPLNbTraj39</v>
      </c>
      <c r="G2236" t="s">
        <v>17</v>
      </c>
      <c r="H2236">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36" t="s">
        <v>145</v>
      </c>
      <c r="L2236">
        <v>5</v>
      </c>
      <c r="N2236" t="s">
        <v>303</v>
      </c>
    </row>
    <row r="2237" spans="1:14" outlineLevel="1" x14ac:dyDescent="0.25">
      <c r="A2237" t="s">
        <v>300</v>
      </c>
      <c r="C2237" t="s">
        <v>358</v>
      </c>
      <c r="D2237" t="str">
        <f>_xlfn.CONCAT("Taux de chargement moyen des véhicules pour l'accès au(x) projet(s) depuis la plateforme"," (",'Remplissage - Sit. Init.'!$C$413,")")</f>
        <v>Taux de chargement moyen des véhicules pour l'accès au(x) projet(s) depuis la plateforme (Catégorie 40)</v>
      </c>
      <c r="F2237" t="str">
        <f>_xlfn.CONCAT("ProjImmoDepuisPLTC",RIGHT(LEFT(D2237,LEN(D2237)-1),2))</f>
        <v>ProjImmoDepuisPLTC40</v>
      </c>
      <c r="G2237" t="s">
        <v>17</v>
      </c>
      <c r="H2237">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37" s="3"/>
      <c r="K2237" t="s">
        <v>70</v>
      </c>
      <c r="L2237" s="7">
        <v>0.8</v>
      </c>
      <c r="N2237" t="s">
        <v>303</v>
      </c>
    </row>
    <row r="2238" spans="1:14" outlineLevel="1" x14ac:dyDescent="0.25">
      <c r="A2238" t="s">
        <v>300</v>
      </c>
      <c r="C2238" t="s">
        <v>358</v>
      </c>
      <c r="D2238" t="str">
        <f>_xlfn.CONCAT("Distance parcourue associée"," (",'Remplissage - Sit. Init.'!$C$413,")")</f>
        <v>Distance parcourue associée (Catégorie 40)</v>
      </c>
      <c r="F2238" t="str">
        <f>_xlfn.CONCAT("ProjImmoDepuisPLDist",RIGHT(LEFT(D2238,LEN(D2238)-1),2))</f>
        <v>ProjImmoDepuisPLDist40</v>
      </c>
      <c r="G2238" t="s">
        <v>17</v>
      </c>
      <c r="H2238">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38" t="s">
        <v>88</v>
      </c>
      <c r="L2238">
        <v>15</v>
      </c>
      <c r="N2238" t="s">
        <v>303</v>
      </c>
    </row>
    <row r="2239" spans="1:14" outlineLevel="1" x14ac:dyDescent="0.25">
      <c r="A2239" t="s">
        <v>300</v>
      </c>
      <c r="C2239" t="s">
        <v>358</v>
      </c>
      <c r="D2239" t="str">
        <f>_xlfn.CONCAT("Nombre de trajets associés"," (",'Remplissage - Sit. Init.'!$C$413,")")</f>
        <v>Nombre de trajets associés (Catégorie 40)</v>
      </c>
      <c r="F2239" t="str">
        <f>_xlfn.CONCAT("ProjImmoDepuisPLNbTraj",RIGHT(LEFT(D2239,LEN(D2239)-1),2))</f>
        <v>ProjImmoDepuisPLNbTraj40</v>
      </c>
      <c r="G2239" t="s">
        <v>17</v>
      </c>
      <c r="H2239">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39" t="s">
        <v>145</v>
      </c>
      <c r="L2239">
        <v>5</v>
      </c>
      <c r="N2239" t="s">
        <v>303</v>
      </c>
    </row>
    <row r="2240" spans="1:14" outlineLevel="1" x14ac:dyDescent="0.25">
      <c r="A2240" t="s">
        <v>300</v>
      </c>
      <c r="C2240" t="s">
        <v>358</v>
      </c>
      <c r="D2240" t="str">
        <f>_xlfn.CONCAT("Taux de chargement moyen des véhicules pour l'accès au(x) projet(s) depuis la plateforme"," (",'Remplissage - Sit. Init.'!$C$423,")")</f>
        <v>Taux de chargement moyen des véhicules pour l'accès au(x) projet(s) depuis la plateforme (Catégorie 41)</v>
      </c>
      <c r="F2240" t="str">
        <f>_xlfn.CONCAT("ProjImmoDepuisPLTC",RIGHT(LEFT(D2240,LEN(D2240)-1),2))</f>
        <v>ProjImmoDepuisPLTC41</v>
      </c>
      <c r="G2240" t="s">
        <v>17</v>
      </c>
      <c r="H2240">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40" s="3"/>
      <c r="K2240" t="s">
        <v>70</v>
      </c>
      <c r="L2240" s="7">
        <v>0.8</v>
      </c>
      <c r="N2240" t="s">
        <v>303</v>
      </c>
    </row>
    <row r="2241" spans="1:14" outlineLevel="1" x14ac:dyDescent="0.25">
      <c r="A2241" t="s">
        <v>300</v>
      </c>
      <c r="C2241" t="s">
        <v>358</v>
      </c>
      <c r="D2241" t="str">
        <f>_xlfn.CONCAT("Distance parcourue associée"," (",'Remplissage - Sit. Init.'!$C$423,")")</f>
        <v>Distance parcourue associée (Catégorie 41)</v>
      </c>
      <c r="F2241" t="str">
        <f>_xlfn.CONCAT("ProjImmoDepuisPLDist",RIGHT(LEFT(D2241,LEN(D2241)-1),2))</f>
        <v>ProjImmoDepuisPLDist41</v>
      </c>
      <c r="G2241" t="s">
        <v>17</v>
      </c>
      <c r="H2241">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41" t="s">
        <v>88</v>
      </c>
      <c r="L2241">
        <v>15</v>
      </c>
      <c r="N2241" t="s">
        <v>303</v>
      </c>
    </row>
    <row r="2242" spans="1:14" outlineLevel="1" x14ac:dyDescent="0.25">
      <c r="A2242" t="s">
        <v>300</v>
      </c>
      <c r="C2242" t="s">
        <v>358</v>
      </c>
      <c r="D2242" t="str">
        <f>_xlfn.CONCAT("Nombre de trajets associés"," (",'Remplissage - Sit. Init.'!$C$423,")")</f>
        <v>Nombre de trajets associés (Catégorie 41)</v>
      </c>
      <c r="F2242" t="str">
        <f>_xlfn.CONCAT("ProjImmoDepuisPLNbTraj",RIGHT(LEFT(D2242,LEN(D2242)-1),2))</f>
        <v>ProjImmoDepuisPLNbTraj41</v>
      </c>
      <c r="G2242" t="s">
        <v>17</v>
      </c>
      <c r="H2242">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42" t="s">
        <v>145</v>
      </c>
      <c r="L2242">
        <v>5</v>
      </c>
      <c r="N2242" t="s">
        <v>303</v>
      </c>
    </row>
    <row r="2243" spans="1:14" outlineLevel="1" x14ac:dyDescent="0.25">
      <c r="A2243" t="s">
        <v>300</v>
      </c>
      <c r="C2243" t="s">
        <v>358</v>
      </c>
      <c r="D2243" t="str">
        <f>_xlfn.CONCAT("Taux de chargement moyen des véhicules pour l'accès au(x) projet(s) depuis la plateforme"," (",'Remplissage - Sit. Init.'!$C$433,")")</f>
        <v>Taux de chargement moyen des véhicules pour l'accès au(x) projet(s) depuis la plateforme (Catégorie 42)</v>
      </c>
      <c r="F2243" t="str">
        <f>_xlfn.CONCAT("ProjImmoDepuisPLTC",RIGHT(LEFT(D2243,LEN(D2243)-1),2))</f>
        <v>ProjImmoDepuisPLTC42</v>
      </c>
      <c r="G2243" t="s">
        <v>17</v>
      </c>
      <c r="H2243">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43" s="3"/>
      <c r="K2243" t="s">
        <v>70</v>
      </c>
      <c r="L2243" s="7">
        <v>0.8</v>
      </c>
      <c r="N2243" t="s">
        <v>303</v>
      </c>
    </row>
    <row r="2244" spans="1:14" outlineLevel="1" x14ac:dyDescent="0.25">
      <c r="A2244" t="s">
        <v>300</v>
      </c>
      <c r="C2244" t="s">
        <v>358</v>
      </c>
      <c r="D2244" t="str">
        <f>_xlfn.CONCAT("Distance parcourue associée"," (",'Remplissage - Sit. Init.'!$C$433,")")</f>
        <v>Distance parcourue associée (Catégorie 42)</v>
      </c>
      <c r="F2244" t="str">
        <f>_xlfn.CONCAT("ProjImmoDepuisPLDist",RIGHT(LEFT(D2244,LEN(D2244)-1),2))</f>
        <v>ProjImmoDepuisPLDist42</v>
      </c>
      <c r="G2244" t="s">
        <v>17</v>
      </c>
      <c r="H2244">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44" t="s">
        <v>88</v>
      </c>
      <c r="L2244">
        <v>15</v>
      </c>
      <c r="N2244" t="s">
        <v>303</v>
      </c>
    </row>
    <row r="2245" spans="1:14" outlineLevel="1" x14ac:dyDescent="0.25">
      <c r="A2245" t="s">
        <v>300</v>
      </c>
      <c r="C2245" t="s">
        <v>358</v>
      </c>
      <c r="D2245" t="str">
        <f>_xlfn.CONCAT("Nombre de trajets associés"," (",'Remplissage - Sit. Init.'!$C$433,")")</f>
        <v>Nombre de trajets associés (Catégorie 42)</v>
      </c>
      <c r="F2245" t="str">
        <f>_xlfn.CONCAT("ProjImmoDepuisPLNbTraj",RIGHT(LEFT(D2245,LEN(D2245)-1),2))</f>
        <v>ProjImmoDepuisPLNbTraj42</v>
      </c>
      <c r="G2245" t="s">
        <v>17</v>
      </c>
      <c r="H2245">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45" t="s">
        <v>145</v>
      </c>
      <c r="L2245">
        <v>5</v>
      </c>
      <c r="N2245" t="s">
        <v>303</v>
      </c>
    </row>
    <row r="2246" spans="1:14" outlineLevel="1" x14ac:dyDescent="0.25">
      <c r="A2246" t="s">
        <v>300</v>
      </c>
      <c r="C2246" t="s">
        <v>358</v>
      </c>
      <c r="D2246" t="str">
        <f>_xlfn.CONCAT("Taux de chargement moyen des véhicules pour l'accès au(x) projet(s) depuis la plateforme"," (",'Remplissage - Sit. Init.'!$C$443,")")</f>
        <v>Taux de chargement moyen des véhicules pour l'accès au(x) projet(s) depuis la plateforme (Catégorie 43)</v>
      </c>
      <c r="F2246" t="str">
        <f>_xlfn.CONCAT("ProjImmoDepuisPLTC",RIGHT(LEFT(D2246,LEN(D2246)-1),2))</f>
        <v>ProjImmoDepuisPLTC43</v>
      </c>
      <c r="G2246" t="s">
        <v>17</v>
      </c>
      <c r="H2246">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46" s="3"/>
      <c r="K2246" t="s">
        <v>70</v>
      </c>
      <c r="L2246" s="7">
        <v>0.8</v>
      </c>
      <c r="N2246" t="s">
        <v>303</v>
      </c>
    </row>
    <row r="2247" spans="1:14" outlineLevel="1" x14ac:dyDescent="0.25">
      <c r="A2247" t="s">
        <v>300</v>
      </c>
      <c r="C2247" t="s">
        <v>358</v>
      </c>
      <c r="D2247" t="str">
        <f>_xlfn.CONCAT("Distance parcourue associée"," (",'Remplissage - Sit. Init.'!$C$443,")")</f>
        <v>Distance parcourue associée (Catégorie 43)</v>
      </c>
      <c r="F2247" t="str">
        <f>_xlfn.CONCAT("ProjImmoDepuisPLDist",RIGHT(LEFT(D2247,LEN(D2247)-1),2))</f>
        <v>ProjImmoDepuisPLDist43</v>
      </c>
      <c r="G2247" t="s">
        <v>17</v>
      </c>
      <c r="H2247">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47" t="s">
        <v>88</v>
      </c>
      <c r="L2247">
        <v>15</v>
      </c>
      <c r="N2247" t="s">
        <v>303</v>
      </c>
    </row>
    <row r="2248" spans="1:14" outlineLevel="1" x14ac:dyDescent="0.25">
      <c r="A2248" t="s">
        <v>300</v>
      </c>
      <c r="C2248" t="s">
        <v>358</v>
      </c>
      <c r="D2248" t="str">
        <f>_xlfn.CONCAT("Nombre de trajets associés"," (",'Remplissage - Sit. Init.'!$C$443,")")</f>
        <v>Nombre de trajets associés (Catégorie 43)</v>
      </c>
      <c r="F2248" t="str">
        <f>_xlfn.CONCAT("ProjImmoDepuisPLNbTraj",RIGHT(LEFT(D2248,LEN(D2248)-1),2))</f>
        <v>ProjImmoDepuisPLNbTraj43</v>
      </c>
      <c r="G2248" t="s">
        <v>17</v>
      </c>
      <c r="H2248">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48" t="s">
        <v>145</v>
      </c>
      <c r="L2248">
        <v>5</v>
      </c>
      <c r="N2248" t="s">
        <v>303</v>
      </c>
    </row>
    <row r="2249" spans="1:14" outlineLevel="1" x14ac:dyDescent="0.25">
      <c r="A2249" t="s">
        <v>300</v>
      </c>
      <c r="C2249" t="s">
        <v>358</v>
      </c>
      <c r="D2249" t="str">
        <f>_xlfn.CONCAT("Taux de chargement moyen des véhicules pour l'accès au(x) projet(s) depuis la plateforme"," (",'Remplissage - Sit. Init.'!$C$453,")")</f>
        <v>Taux de chargement moyen des véhicules pour l'accès au(x) projet(s) depuis la plateforme (Catégorie 44)</v>
      </c>
      <c r="F2249" t="str">
        <f>_xlfn.CONCAT("ProjImmoDepuisPLTC",RIGHT(LEFT(D2249,LEN(D2249)-1),2))</f>
        <v>ProjImmoDepuisPLTC44</v>
      </c>
      <c r="G2249" t="s">
        <v>17</v>
      </c>
      <c r="H2249">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49" s="3"/>
      <c r="K2249" t="s">
        <v>70</v>
      </c>
      <c r="L2249" s="7">
        <v>0.8</v>
      </c>
      <c r="N2249" t="s">
        <v>303</v>
      </c>
    </row>
    <row r="2250" spans="1:14" outlineLevel="1" x14ac:dyDescent="0.25">
      <c r="A2250" t="s">
        <v>300</v>
      </c>
      <c r="C2250" t="s">
        <v>358</v>
      </c>
      <c r="D2250" t="str">
        <f>_xlfn.CONCAT("Distance parcourue associée"," (",'Remplissage - Sit. Init.'!$C$453,")")</f>
        <v>Distance parcourue associée (Catégorie 44)</v>
      </c>
      <c r="F2250" t="str">
        <f>_xlfn.CONCAT("ProjImmoDepuisPLDist",RIGHT(LEFT(D2250,LEN(D2250)-1),2))</f>
        <v>ProjImmoDepuisPLDist44</v>
      </c>
      <c r="G2250" t="s">
        <v>17</v>
      </c>
      <c r="H2250">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50" t="s">
        <v>88</v>
      </c>
      <c r="L2250">
        <v>15</v>
      </c>
      <c r="N2250" t="s">
        <v>303</v>
      </c>
    </row>
    <row r="2251" spans="1:14" outlineLevel="1" x14ac:dyDescent="0.25">
      <c r="A2251" t="s">
        <v>300</v>
      </c>
      <c r="C2251" t="s">
        <v>358</v>
      </c>
      <c r="D2251" t="str">
        <f>_xlfn.CONCAT("Nombre de trajets associés"," (",'Remplissage - Sit. Init.'!$C$453,")")</f>
        <v>Nombre de trajets associés (Catégorie 44)</v>
      </c>
      <c r="F2251" t="str">
        <f>_xlfn.CONCAT("ProjImmoDepuisPLNbTraj",RIGHT(LEFT(D2251,LEN(D2251)-1),2))</f>
        <v>ProjImmoDepuisPLNbTraj44</v>
      </c>
      <c r="G2251" t="s">
        <v>17</v>
      </c>
      <c r="H2251">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51" t="s">
        <v>145</v>
      </c>
      <c r="L2251">
        <v>5</v>
      </c>
      <c r="N2251" t="s">
        <v>303</v>
      </c>
    </row>
    <row r="2252" spans="1:14" outlineLevel="1" x14ac:dyDescent="0.25">
      <c r="A2252" t="s">
        <v>300</v>
      </c>
      <c r="C2252" t="s">
        <v>358</v>
      </c>
      <c r="D2252" t="str">
        <f>_xlfn.CONCAT("Taux de chargement moyen des véhicules pour l'accès au(x) projet(s) depuis la plateforme"," (",'Remplissage - Sit. Init.'!$C$463,")")</f>
        <v>Taux de chargement moyen des véhicules pour l'accès au(x) projet(s) depuis la plateforme (Catégorie 45)</v>
      </c>
      <c r="F2252" t="str">
        <f>_xlfn.CONCAT("ProjImmoDepuisPLTC",RIGHT(LEFT(D2252,LEN(D2252)-1),2))</f>
        <v>ProjImmoDepuisPLTC45</v>
      </c>
      <c r="G2252" t="s">
        <v>17</v>
      </c>
      <c r="H2252">
        <f>(((IF(ISNUMBER(SEARCH('Remplissage - Sit. Init.'!$I$113,$I$1835)),1,0))*(IF($I$1823="Les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I2252" s="3"/>
      <c r="K2252" t="s">
        <v>70</v>
      </c>
      <c r="L2252" s="7">
        <v>0.8</v>
      </c>
      <c r="N2252" t="s">
        <v>303</v>
      </c>
    </row>
    <row r="2253" spans="1:14" outlineLevel="1" x14ac:dyDescent="0.25">
      <c r="A2253" t="s">
        <v>300</v>
      </c>
      <c r="C2253" t="s">
        <v>358</v>
      </c>
      <c r="D2253" t="str">
        <f>_xlfn.CONCAT("Distance parcourue associée"," (",'Remplissage - Sit. Init.'!$C$463,")")</f>
        <v>Distance parcourue associée (Catégorie 45)</v>
      </c>
      <c r="F2253" t="str">
        <f>_xlfn.CONCAT("ProjImmoDepuisPLDist",RIGHT(LEFT(D2253,LEN(D2253)-1),2))</f>
        <v>ProjImmoDepuisPLDist45</v>
      </c>
      <c r="G2253" t="s">
        <v>17</v>
      </c>
      <c r="H2253">
        <f>((((IF(ISNUMBER(SEARCH('Remplissage - Sit. Init.'!$I$113,$I$1835)),1,0))*(IF(ISNUMBER(SEARCH("La distance totale parcourue",#REF!)),1,0)))*(IF($I$1823="Les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53" t="s">
        <v>88</v>
      </c>
      <c r="L2253">
        <v>15</v>
      </c>
      <c r="N2253" t="s">
        <v>303</v>
      </c>
    </row>
    <row r="2254" spans="1:14" outlineLevel="1" x14ac:dyDescent="0.25">
      <c r="A2254" t="s">
        <v>300</v>
      </c>
      <c r="C2254" t="s">
        <v>358</v>
      </c>
      <c r="D2254" t="str">
        <f>_xlfn.CONCAT("Nombre de trajets associés"," (",'Remplissage - Sit. Init.'!$C$463,")")</f>
        <v>Nombre de trajets associés (Catégorie 45)</v>
      </c>
      <c r="F2254" t="str">
        <f>_xlfn.CONCAT("ProjImmoDepuisPLNbTraj",RIGHT(LEFT(D2254,LEN(D2254)-1),2))</f>
        <v>ProjImmoDepuisPLNbTraj45</v>
      </c>
      <c r="G2254" t="s">
        <v>17</v>
      </c>
      <c r="H2254">
        <f>((((IF(ISNUMBER(SEARCH('Remplissage - Sit. Init.'!$I$113,$I$1835)),1,0))*(IF(ISNUMBER(SEARCH("La distance moyenne d'un trajet et le nombre de trajets",#REF!)),1,0)))*(IF($I$1823="Les consommations d'énergie des véhicules entrants et sortants du site (factures énergétiques des prestataires de transport)",1,0)))*(IF($I$1823="Les catégories de véhicules mobilisées avec les données d'activité (ordre de grandeur de la distance parcourue/taux de chargement moyen/etc.)",1,0)))*(IF($I$1834="Par catégorie de véhicule sélectionnée (meilleure précision)",1,0))</f>
        <v>0</v>
      </c>
      <c r="K2254" t="s">
        <v>145</v>
      </c>
      <c r="L2254">
        <v>5</v>
      </c>
      <c r="N2254" t="s">
        <v>303</v>
      </c>
    </row>
    <row r="2255" spans="1:14" x14ac:dyDescent="0.25">
      <c r="A2255" t="s">
        <v>367</v>
      </c>
      <c r="D2255" t="s">
        <v>368</v>
      </c>
      <c r="F2255" t="s">
        <v>369</v>
      </c>
      <c r="G2255" t="s">
        <v>17</v>
      </c>
      <c r="H2255">
        <f>IF(OR(ISNUMBER(SEARCH("C9",$I$18)),ISNUMBER(SEARCH("C9",$I$17))),1,0)</f>
        <v>1</v>
      </c>
      <c r="K2255" t="s">
        <v>370</v>
      </c>
      <c r="L2255" s="2">
        <f>ROUND(0.0005*$I$5/2,0)</f>
        <v>174</v>
      </c>
      <c r="N2255" t="s">
        <v>371</v>
      </c>
    </row>
    <row r="2256" spans="1:14" x14ac:dyDescent="0.25">
      <c r="A2256" t="s">
        <v>367</v>
      </c>
      <c r="D2256" t="s">
        <v>372</v>
      </c>
      <c r="F2256" t="s">
        <v>373</v>
      </c>
      <c r="G2256" t="s">
        <v>17</v>
      </c>
      <c r="H2256">
        <f>IF(OR(ISNUMBER(SEARCH("C9",$I$18)),ISNUMBER(SEARCH("C9",$I$17))),1,0)</f>
        <v>1</v>
      </c>
      <c r="K2256" t="s">
        <v>374</v>
      </c>
      <c r="L2256" s="2">
        <f>ROUND(0.0005*$I$5/2,0)</f>
        <v>174</v>
      </c>
      <c r="N2256" t="s">
        <v>371</v>
      </c>
    </row>
    <row r="2257" spans="1:14" s="20" customFormat="1" x14ac:dyDescent="0.25">
      <c r="A2257" t="s">
        <v>367</v>
      </c>
      <c r="B2257"/>
      <c r="C2257"/>
      <c r="D2257" t="s">
        <v>375</v>
      </c>
      <c r="E2257"/>
      <c r="F2257" t="s">
        <v>376</v>
      </c>
      <c r="G2257" t="s">
        <v>17</v>
      </c>
      <c r="H2257">
        <f>IF(OR(ISNUMBER(SEARCH("C9",$I$18)),ISNUMBER(SEARCH("C9",$I$17))),1,0)</f>
        <v>1</v>
      </c>
      <c r="I2257"/>
      <c r="J2257"/>
      <c r="K2257" t="s">
        <v>377</v>
      </c>
      <c r="L2257" s="20" t="e">
        <f>14*POWER(1+#REF!,$I$2-2019+1)</f>
        <v>#REF!</v>
      </c>
      <c r="N2257" t="s">
        <v>371</v>
      </c>
    </row>
    <row r="2258" spans="1:14" x14ac:dyDescent="0.25">
      <c r="A2258" t="s">
        <v>367</v>
      </c>
      <c r="D2258" t="s">
        <v>378</v>
      </c>
      <c r="F2258" t="s">
        <v>379</v>
      </c>
      <c r="G2258" t="s">
        <v>17</v>
      </c>
      <c r="H2258">
        <f>IF(OR(ISNUMBER(SEARCH("C9",$I$18)),ISNUMBER(SEARCH("C9",$I$17))),1,0)</f>
        <v>1</v>
      </c>
      <c r="I2258" s="3"/>
      <c r="K2258" t="s">
        <v>70</v>
      </c>
      <c r="L2258" s="18">
        <v>0.5</v>
      </c>
      <c r="N2258" t="s">
        <v>371</v>
      </c>
    </row>
    <row r="2259" spans="1:14" x14ac:dyDescent="0.25">
      <c r="A2259" t="s">
        <v>367</v>
      </c>
      <c r="D2259" t="s">
        <v>380</v>
      </c>
      <c r="F2259" t="s">
        <v>381</v>
      </c>
      <c r="G2259" t="s">
        <v>17</v>
      </c>
      <c r="H2259">
        <f>IF(OR(ISNUMBER(SEARCH("C9",$I$18)),ISNUMBER(SEARCH("C9",$I$17))),1,0)</f>
        <v>1</v>
      </c>
      <c r="I2259" s="3"/>
      <c r="K2259" t="s">
        <v>70</v>
      </c>
      <c r="L2259" s="18">
        <v>0.5</v>
      </c>
      <c r="N2259" t="s">
        <v>371</v>
      </c>
    </row>
  </sheetData>
  <autoFilter ref="A1:O2259" xr:uid="{00000000-0009-0000-0000-000005000000}"/>
  <phoneticPr fontId="9" type="noConversion"/>
  <conditionalFormatting sqref="F1588:F1595">
    <cfRule type="duplicateValues" dxfId="72" priority="1"/>
  </conditionalFormatting>
  <conditionalFormatting sqref="F1596:F1817">
    <cfRule type="duplicateValues" dxfId="71" priority="2"/>
  </conditionalFormatting>
  <conditionalFormatting sqref="F1819:F1822">
    <cfRule type="duplicateValues" dxfId="70" priority="6"/>
  </conditionalFormatting>
  <conditionalFormatting sqref="F2258:F1048576 G4 F1:F22 F1401:F1587 F1823:F2256 F1818">
    <cfRule type="duplicateValues" dxfId="69" priority="7"/>
  </conditionalFormatting>
  <conditionalFormatting sqref="F2257:G2257">
    <cfRule type="duplicateValues" dxfId="68" priority="5"/>
  </conditionalFormatting>
  <conditionalFormatting sqref="G464 G314 G174 G24 G34 G44 G54 G64 G74 G84 G94 G104 G114 G124 G134 G144 G154 G164 G184 G194 G204 G214 G224 G234 G244 G254 G264 G274 G284 G294 G304 G324 G334 G344 G354 G364 G374 G384 G394 G404 G414 G424 G434 G444 G454 F23:F472">
    <cfRule type="duplicateValues" dxfId="67" priority="8"/>
  </conditionalFormatting>
  <conditionalFormatting sqref="G474 G485 G496 G507 G518 G529 G540 G551 G562 G573 G584 G595 G606 G617 G628 G639 G650 G661 G672 G683 G694 G705 G716 G727 G738 G749 G760 G771 G782 G793 G804 G815 G826 G837 G848 G859 G870 G881 G892 G903 G914 G925 G936 G947 G958 G969 G980 G991 G1002 G1013 G1024 G1035 G1046 G1057 G1068 G1079 F473:F1088">
    <cfRule type="duplicateValues" dxfId="66" priority="3"/>
  </conditionalFormatting>
  <conditionalFormatting sqref="G1110 F1109:G1109 F1089:F1108 F1110:F1400">
    <cfRule type="duplicateValues" dxfId="65" priority="18"/>
  </conditionalFormatting>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9A2D6-C5E7-4BE3-96FB-24912216A045}">
  <dimension ref="B3:B92"/>
  <sheetViews>
    <sheetView topLeftCell="A61" workbookViewId="0">
      <selection activeCell="B91" activeCellId="34" sqref="B23 B25 B27 B29 B31 B33 B35 B37 B39 B41 B43 B45 B47 B49 B51 B53 B55 B57 B59 B61 B63 B65 B67 B69 B71 B73 B75 B77 B79 B81 B83 B85 B87 B89 B91"/>
    </sheetView>
  </sheetViews>
  <sheetFormatPr baseColWidth="10" defaultRowHeight="15" x14ac:dyDescent="0.25"/>
  <sheetData>
    <row r="3" spans="2:2" x14ac:dyDescent="0.25">
      <c r="B3" t="s">
        <v>382</v>
      </c>
    </row>
    <row r="4" spans="2:2" x14ac:dyDescent="0.25">
      <c r="B4" t="s">
        <v>382</v>
      </c>
    </row>
    <row r="5" spans="2:2" x14ac:dyDescent="0.25">
      <c r="B5" t="s">
        <v>386</v>
      </c>
    </row>
    <row r="6" spans="2:2" x14ac:dyDescent="0.25">
      <c r="B6" t="s">
        <v>386</v>
      </c>
    </row>
    <row r="7" spans="2:2" x14ac:dyDescent="0.25">
      <c r="B7" t="s">
        <v>388</v>
      </c>
    </row>
    <row r="8" spans="2:2" x14ac:dyDescent="0.25">
      <c r="B8" t="s">
        <v>388</v>
      </c>
    </row>
    <row r="9" spans="2:2" x14ac:dyDescent="0.25">
      <c r="B9" t="s">
        <v>389</v>
      </c>
    </row>
    <row r="10" spans="2:2" x14ac:dyDescent="0.25">
      <c r="B10" t="s">
        <v>389</v>
      </c>
    </row>
    <row r="11" spans="2:2" x14ac:dyDescent="0.25">
      <c r="B11" t="s">
        <v>390</v>
      </c>
    </row>
    <row r="12" spans="2:2" x14ac:dyDescent="0.25">
      <c r="B12" t="s">
        <v>390</v>
      </c>
    </row>
    <row r="13" spans="2:2" x14ac:dyDescent="0.25">
      <c r="B13" t="s">
        <v>391</v>
      </c>
    </row>
    <row r="14" spans="2:2" x14ac:dyDescent="0.25">
      <c r="B14" t="s">
        <v>391</v>
      </c>
    </row>
    <row r="15" spans="2:2" x14ac:dyDescent="0.25">
      <c r="B15" t="s">
        <v>392</v>
      </c>
    </row>
    <row r="16" spans="2:2" x14ac:dyDescent="0.25">
      <c r="B16" t="s">
        <v>392</v>
      </c>
    </row>
    <row r="17" spans="2:2" x14ac:dyDescent="0.25">
      <c r="B17" t="s">
        <v>393</v>
      </c>
    </row>
    <row r="18" spans="2:2" x14ac:dyDescent="0.25">
      <c r="B18" t="s">
        <v>393</v>
      </c>
    </row>
    <row r="19" spans="2:2" x14ac:dyDescent="0.25">
      <c r="B19" t="s">
        <v>394</v>
      </c>
    </row>
    <row r="20" spans="2:2" x14ac:dyDescent="0.25">
      <c r="B20" t="s">
        <v>394</v>
      </c>
    </row>
    <row r="21" spans="2:2" x14ac:dyDescent="0.25">
      <c r="B21" t="s">
        <v>395</v>
      </c>
    </row>
    <row r="22" spans="2:2" x14ac:dyDescent="0.25">
      <c r="B22" t="s">
        <v>395</v>
      </c>
    </row>
    <row r="23" spans="2:2" x14ac:dyDescent="0.25">
      <c r="B23" t="s">
        <v>396</v>
      </c>
    </row>
    <row r="24" spans="2:2" x14ac:dyDescent="0.25">
      <c r="B24" t="s">
        <v>396</v>
      </c>
    </row>
    <row r="25" spans="2:2" x14ac:dyDescent="0.25">
      <c r="B25" t="s">
        <v>397</v>
      </c>
    </row>
    <row r="26" spans="2:2" x14ac:dyDescent="0.25">
      <c r="B26" t="s">
        <v>397</v>
      </c>
    </row>
    <row r="27" spans="2:2" x14ac:dyDescent="0.25">
      <c r="B27" t="s">
        <v>398</v>
      </c>
    </row>
    <row r="28" spans="2:2" x14ac:dyDescent="0.25">
      <c r="B28" t="s">
        <v>398</v>
      </c>
    </row>
    <row r="29" spans="2:2" x14ac:dyDescent="0.25">
      <c r="B29" t="s">
        <v>399</v>
      </c>
    </row>
    <row r="30" spans="2:2" x14ac:dyDescent="0.25">
      <c r="B30" t="s">
        <v>399</v>
      </c>
    </row>
    <row r="31" spans="2:2" x14ac:dyDescent="0.25">
      <c r="B31" t="s">
        <v>400</v>
      </c>
    </row>
    <row r="32" spans="2:2" x14ac:dyDescent="0.25">
      <c r="B32" t="s">
        <v>400</v>
      </c>
    </row>
    <row r="33" spans="2:2" x14ac:dyDescent="0.25">
      <c r="B33" t="s">
        <v>401</v>
      </c>
    </row>
    <row r="34" spans="2:2" x14ac:dyDescent="0.25">
      <c r="B34" t="s">
        <v>401</v>
      </c>
    </row>
    <row r="35" spans="2:2" x14ac:dyDescent="0.25">
      <c r="B35" t="s">
        <v>402</v>
      </c>
    </row>
    <row r="36" spans="2:2" x14ac:dyDescent="0.25">
      <c r="B36" t="s">
        <v>402</v>
      </c>
    </row>
    <row r="37" spans="2:2" x14ac:dyDescent="0.25">
      <c r="B37" t="s">
        <v>403</v>
      </c>
    </row>
    <row r="38" spans="2:2" x14ac:dyDescent="0.25">
      <c r="B38" t="s">
        <v>403</v>
      </c>
    </row>
    <row r="39" spans="2:2" x14ac:dyDescent="0.25">
      <c r="B39" t="s">
        <v>404</v>
      </c>
    </row>
    <row r="40" spans="2:2" x14ac:dyDescent="0.25">
      <c r="B40" t="s">
        <v>404</v>
      </c>
    </row>
    <row r="41" spans="2:2" x14ac:dyDescent="0.25">
      <c r="B41" t="s">
        <v>405</v>
      </c>
    </row>
    <row r="42" spans="2:2" x14ac:dyDescent="0.25">
      <c r="B42" t="s">
        <v>405</v>
      </c>
    </row>
    <row r="43" spans="2:2" x14ac:dyDescent="0.25">
      <c r="B43" t="s">
        <v>406</v>
      </c>
    </row>
    <row r="44" spans="2:2" x14ac:dyDescent="0.25">
      <c r="B44" t="s">
        <v>406</v>
      </c>
    </row>
    <row r="45" spans="2:2" x14ac:dyDescent="0.25">
      <c r="B45" t="s">
        <v>407</v>
      </c>
    </row>
    <row r="46" spans="2:2" x14ac:dyDescent="0.25">
      <c r="B46" t="s">
        <v>407</v>
      </c>
    </row>
    <row r="47" spans="2:2" x14ac:dyDescent="0.25">
      <c r="B47" t="s">
        <v>408</v>
      </c>
    </row>
    <row r="48" spans="2:2" x14ac:dyDescent="0.25">
      <c r="B48" t="s">
        <v>408</v>
      </c>
    </row>
    <row r="49" spans="2:2" x14ac:dyDescent="0.25">
      <c r="B49" t="s">
        <v>409</v>
      </c>
    </row>
    <row r="50" spans="2:2" x14ac:dyDescent="0.25">
      <c r="B50" t="s">
        <v>409</v>
      </c>
    </row>
    <row r="51" spans="2:2" x14ac:dyDescent="0.25">
      <c r="B51" t="s">
        <v>410</v>
      </c>
    </row>
    <row r="52" spans="2:2" x14ac:dyDescent="0.25">
      <c r="B52" t="s">
        <v>410</v>
      </c>
    </row>
    <row r="53" spans="2:2" x14ac:dyDescent="0.25">
      <c r="B53" t="s">
        <v>411</v>
      </c>
    </row>
    <row r="54" spans="2:2" x14ac:dyDescent="0.25">
      <c r="B54" t="s">
        <v>411</v>
      </c>
    </row>
    <row r="55" spans="2:2" x14ac:dyDescent="0.25">
      <c r="B55" t="s">
        <v>412</v>
      </c>
    </row>
    <row r="56" spans="2:2" x14ac:dyDescent="0.25">
      <c r="B56" t="s">
        <v>412</v>
      </c>
    </row>
    <row r="57" spans="2:2" x14ac:dyDescent="0.25">
      <c r="B57" t="s">
        <v>413</v>
      </c>
    </row>
    <row r="58" spans="2:2" x14ac:dyDescent="0.25">
      <c r="B58" t="s">
        <v>413</v>
      </c>
    </row>
    <row r="59" spans="2:2" x14ac:dyDescent="0.25">
      <c r="B59" t="s">
        <v>414</v>
      </c>
    </row>
    <row r="60" spans="2:2" x14ac:dyDescent="0.25">
      <c r="B60" t="s">
        <v>414</v>
      </c>
    </row>
    <row r="61" spans="2:2" x14ac:dyDescent="0.25">
      <c r="B61" t="s">
        <v>415</v>
      </c>
    </row>
    <row r="62" spans="2:2" x14ac:dyDescent="0.25">
      <c r="B62" t="s">
        <v>415</v>
      </c>
    </row>
    <row r="63" spans="2:2" x14ac:dyDescent="0.25">
      <c r="B63" t="s">
        <v>416</v>
      </c>
    </row>
    <row r="64" spans="2:2" x14ac:dyDescent="0.25">
      <c r="B64" t="s">
        <v>416</v>
      </c>
    </row>
    <row r="65" spans="2:2" x14ac:dyDescent="0.25">
      <c r="B65" t="s">
        <v>417</v>
      </c>
    </row>
    <row r="66" spans="2:2" x14ac:dyDescent="0.25">
      <c r="B66" t="s">
        <v>417</v>
      </c>
    </row>
    <row r="67" spans="2:2" x14ac:dyDescent="0.25">
      <c r="B67" t="s">
        <v>418</v>
      </c>
    </row>
    <row r="68" spans="2:2" x14ac:dyDescent="0.25">
      <c r="B68" t="s">
        <v>418</v>
      </c>
    </row>
    <row r="69" spans="2:2" x14ac:dyDescent="0.25">
      <c r="B69" t="s">
        <v>419</v>
      </c>
    </row>
    <row r="70" spans="2:2" x14ac:dyDescent="0.25">
      <c r="B70" t="s">
        <v>419</v>
      </c>
    </row>
    <row r="71" spans="2:2" x14ac:dyDescent="0.25">
      <c r="B71" t="s">
        <v>420</v>
      </c>
    </row>
    <row r="72" spans="2:2" x14ac:dyDescent="0.25">
      <c r="B72" t="s">
        <v>420</v>
      </c>
    </row>
    <row r="73" spans="2:2" x14ac:dyDescent="0.25">
      <c r="B73" t="s">
        <v>421</v>
      </c>
    </row>
    <row r="74" spans="2:2" x14ac:dyDescent="0.25">
      <c r="B74" t="s">
        <v>421</v>
      </c>
    </row>
    <row r="75" spans="2:2" x14ac:dyDescent="0.25">
      <c r="B75" t="s">
        <v>422</v>
      </c>
    </row>
    <row r="76" spans="2:2" x14ac:dyDescent="0.25">
      <c r="B76" t="s">
        <v>422</v>
      </c>
    </row>
    <row r="77" spans="2:2" x14ac:dyDescent="0.25">
      <c r="B77" t="s">
        <v>423</v>
      </c>
    </row>
    <row r="78" spans="2:2" x14ac:dyDescent="0.25">
      <c r="B78" t="s">
        <v>423</v>
      </c>
    </row>
    <row r="79" spans="2:2" x14ac:dyDescent="0.25">
      <c r="B79" t="s">
        <v>424</v>
      </c>
    </row>
    <row r="80" spans="2:2" x14ac:dyDescent="0.25">
      <c r="B80" t="s">
        <v>424</v>
      </c>
    </row>
    <row r="81" spans="2:2" x14ac:dyDescent="0.25">
      <c r="B81" t="s">
        <v>425</v>
      </c>
    </row>
    <row r="82" spans="2:2" x14ac:dyDescent="0.25">
      <c r="B82" t="s">
        <v>425</v>
      </c>
    </row>
    <row r="83" spans="2:2" x14ac:dyDescent="0.25">
      <c r="B83" t="s">
        <v>426</v>
      </c>
    </row>
    <row r="84" spans="2:2" x14ac:dyDescent="0.25">
      <c r="B84" t="s">
        <v>426</v>
      </c>
    </row>
    <row r="85" spans="2:2" x14ac:dyDescent="0.25">
      <c r="B85" t="s">
        <v>427</v>
      </c>
    </row>
    <row r="86" spans="2:2" x14ac:dyDescent="0.25">
      <c r="B86" t="s">
        <v>427</v>
      </c>
    </row>
    <row r="87" spans="2:2" x14ac:dyDescent="0.25">
      <c r="B87" t="s">
        <v>428</v>
      </c>
    </row>
    <row r="88" spans="2:2" x14ac:dyDescent="0.25">
      <c r="B88" t="s">
        <v>428</v>
      </c>
    </row>
    <row r="89" spans="2:2" x14ac:dyDescent="0.25">
      <c r="B89" t="s">
        <v>429</v>
      </c>
    </row>
    <row r="90" spans="2:2" x14ac:dyDescent="0.25">
      <c r="B90" t="s">
        <v>429</v>
      </c>
    </row>
    <row r="91" spans="2:2" x14ac:dyDescent="0.25">
      <c r="B91" t="s">
        <v>387</v>
      </c>
    </row>
    <row r="92" spans="2:2" x14ac:dyDescent="0.25">
      <c r="B92" t="s">
        <v>387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37E4-EAA7-40C1-913A-1FB456B254C5}">
  <sheetPr>
    <tabColor theme="7"/>
  </sheetPr>
  <dimension ref="A1:AP1171"/>
  <sheetViews>
    <sheetView topLeftCell="A1024" zoomScale="63" workbookViewId="0">
      <selection activeCell="C1065" sqref="C1065"/>
    </sheetView>
  </sheetViews>
  <sheetFormatPr baseColWidth="10" defaultRowHeight="15" outlineLevelRow="1" x14ac:dyDescent="0.25"/>
  <cols>
    <col min="1" max="2" width="27.5703125" customWidth="1"/>
    <col min="3" max="3" width="84.42578125" customWidth="1"/>
    <col min="4" max="4" width="12.7109375" customWidth="1"/>
    <col min="5" max="5" width="19.42578125" customWidth="1"/>
    <col min="7" max="7" width="11.42578125" customWidth="1"/>
    <col min="8" max="8" width="26.5703125" customWidth="1"/>
    <col min="9" max="9" width="17.7109375" customWidth="1"/>
    <col min="11" max="11" width="18.28515625" customWidth="1"/>
    <col min="12" max="12" width="14.7109375" customWidth="1"/>
    <col min="13" max="13" width="16.5703125" customWidth="1"/>
    <col min="14" max="14" width="22.42578125" customWidth="1"/>
  </cols>
  <sheetData>
    <row r="1" spans="1:42" x14ac:dyDescent="0.25">
      <c r="A1" s="1" t="s">
        <v>0</v>
      </c>
      <c r="B1" s="1" t="s">
        <v>1</v>
      </c>
      <c r="C1" s="1" t="s">
        <v>2</v>
      </c>
      <c r="D1" s="1" t="s">
        <v>3</v>
      </c>
      <c r="E1" s="1" t="s">
        <v>4</v>
      </c>
      <c r="F1" s="1" t="s">
        <v>5</v>
      </c>
      <c r="G1" s="1" t="s">
        <v>6</v>
      </c>
      <c r="H1" s="1" t="s">
        <v>7</v>
      </c>
      <c r="I1" s="1" t="s">
        <v>8</v>
      </c>
      <c r="J1" s="1" t="s">
        <v>9</v>
      </c>
      <c r="K1" s="1" t="s">
        <v>10</v>
      </c>
      <c r="L1" s="1" t="s">
        <v>11</v>
      </c>
      <c r="M1" s="1" t="s">
        <v>12</v>
      </c>
      <c r="N1" s="1" t="s">
        <v>13</v>
      </c>
      <c r="P1">
        <v>2024</v>
      </c>
      <c r="Q1">
        <v>2025</v>
      </c>
      <c r="R1">
        <v>2026</v>
      </c>
      <c r="S1">
        <v>2027</v>
      </c>
      <c r="T1">
        <v>2028</v>
      </c>
      <c r="U1">
        <v>2029</v>
      </c>
      <c r="V1">
        <v>2030</v>
      </c>
      <c r="W1">
        <v>2031</v>
      </c>
      <c r="X1">
        <v>2032</v>
      </c>
      <c r="Y1">
        <v>2033</v>
      </c>
      <c r="Z1">
        <v>2034</v>
      </c>
      <c r="AA1">
        <v>2035</v>
      </c>
      <c r="AB1">
        <v>2036</v>
      </c>
      <c r="AC1">
        <v>2037</v>
      </c>
      <c r="AD1">
        <v>2038</v>
      </c>
      <c r="AE1">
        <v>2039</v>
      </c>
      <c r="AF1">
        <v>2040</v>
      </c>
      <c r="AG1">
        <v>2041</v>
      </c>
      <c r="AH1">
        <v>2042</v>
      </c>
      <c r="AI1">
        <v>2043</v>
      </c>
      <c r="AJ1">
        <v>2044</v>
      </c>
      <c r="AK1">
        <v>2045</v>
      </c>
      <c r="AL1">
        <v>2046</v>
      </c>
      <c r="AM1">
        <v>2047</v>
      </c>
      <c r="AN1">
        <v>2048</v>
      </c>
      <c r="AO1">
        <v>2049</v>
      </c>
      <c r="AP1">
        <v>2050</v>
      </c>
    </row>
    <row r="2" spans="1:42" x14ac:dyDescent="0.25">
      <c r="A2" t="s">
        <v>434</v>
      </c>
      <c r="C2" t="s">
        <v>468</v>
      </c>
      <c r="E2" s="2" t="s">
        <v>467</v>
      </c>
      <c r="F2" t="s">
        <v>17</v>
      </c>
      <c r="G2">
        <v>1</v>
      </c>
      <c r="H2" s="14">
        <v>2028</v>
      </c>
    </row>
    <row r="3" spans="1:42" x14ac:dyDescent="0.25">
      <c r="A3" t="s">
        <v>434</v>
      </c>
      <c r="C3" t="s">
        <v>461</v>
      </c>
      <c r="E3" t="s">
        <v>460</v>
      </c>
      <c r="F3" t="s">
        <v>17</v>
      </c>
      <c r="G3">
        <v>1</v>
      </c>
      <c r="H3" s="8">
        <v>721036.15913688485</v>
      </c>
      <c r="J3" t="s">
        <v>27</v>
      </c>
      <c r="K3" t="e">
        <v>#REF!</v>
      </c>
    </row>
    <row r="4" spans="1:42" x14ac:dyDescent="0.25">
      <c r="A4" t="s">
        <v>434</v>
      </c>
      <c r="C4" t="s">
        <v>459</v>
      </c>
      <c r="E4" t="s">
        <v>458</v>
      </c>
      <c r="F4" t="s">
        <v>17</v>
      </c>
      <c r="G4">
        <v>1</v>
      </c>
      <c r="H4" s="8">
        <v>341974.06001348625</v>
      </c>
      <c r="J4" t="s">
        <v>30</v>
      </c>
      <c r="K4" t="e">
        <v>#REF!</v>
      </c>
    </row>
    <row r="5" spans="1:42" x14ac:dyDescent="0.25">
      <c r="A5" t="s">
        <v>65</v>
      </c>
      <c r="C5" t="s">
        <v>466</v>
      </c>
      <c r="E5" t="s">
        <v>69</v>
      </c>
      <c r="F5" t="s">
        <v>17</v>
      </c>
      <c r="G5">
        <v>1</v>
      </c>
      <c r="H5" s="3">
        <v>0.3</v>
      </c>
      <c r="J5" t="s">
        <v>70</v>
      </c>
      <c r="K5" t="e">
        <v>#REF!</v>
      </c>
    </row>
    <row r="6" spans="1:42" x14ac:dyDescent="0.25">
      <c r="A6" t="s">
        <v>76</v>
      </c>
      <c r="B6" t="s">
        <v>77</v>
      </c>
      <c r="C6" t="s">
        <v>78</v>
      </c>
      <c r="E6" t="str">
        <f>_xlfn.CONCAT("FretRout",LEFT(B6,3),RIGHT(B6,1),"Nom")</f>
        <v>FretRoutCat1Nom</v>
      </c>
      <c r="F6" t="s">
        <v>20</v>
      </c>
      <c r="G6">
        <v>1</v>
      </c>
      <c r="H6" s="4">
        <v>34</v>
      </c>
      <c r="I6" s="4" t="s">
        <v>382</v>
      </c>
      <c r="K6" s="4" t="str">
        <f t="shared" ref="K6:K12" si="0">I6</f>
        <v>VUL Electrique (Crit'Air E)</v>
      </c>
    </row>
    <row r="7" spans="1:42" x14ac:dyDescent="0.25">
      <c r="A7" t="s">
        <v>76</v>
      </c>
      <c r="B7" t="s">
        <v>77</v>
      </c>
      <c r="C7" t="s">
        <v>79</v>
      </c>
      <c r="E7" t="str">
        <f>_xlfn.CONCAT("FretRout",LEFT(B7,3),RIGHT(B7,1),"Type")</f>
        <v>FretRoutCat1Type</v>
      </c>
      <c r="F7" t="s">
        <v>20</v>
      </c>
      <c r="G7">
        <v>1</v>
      </c>
      <c r="I7" t="s">
        <v>1770</v>
      </c>
      <c r="K7" s="4" t="str">
        <f t="shared" si="0"/>
        <v>VUL</v>
      </c>
    </row>
    <row r="8" spans="1:42" x14ac:dyDescent="0.25">
      <c r="A8" t="s">
        <v>76</v>
      </c>
      <c r="B8" t="s">
        <v>77</v>
      </c>
      <c r="C8" t="s">
        <v>80</v>
      </c>
      <c r="E8" t="str">
        <f>_xlfn.CONCAT("FretRout",LEFT(B8,3),RIGHT(B8,1),"PTAC")</f>
        <v>FretRoutCat1PTAC</v>
      </c>
      <c r="F8" t="s">
        <v>36</v>
      </c>
      <c r="G8">
        <v>1</v>
      </c>
      <c r="I8" t="s">
        <v>1451</v>
      </c>
      <c r="K8" s="4" t="str">
        <f t="shared" si="0"/>
        <v>&lt;=3,5t</v>
      </c>
    </row>
    <row r="9" spans="1:42" x14ac:dyDescent="0.25">
      <c r="A9" t="s">
        <v>76</v>
      </c>
      <c r="B9" t="s">
        <v>77</v>
      </c>
      <c r="C9" t="s">
        <v>81</v>
      </c>
      <c r="E9" t="str">
        <f>_xlfn.CONCAT("FretRout",LEFT(B9,3),RIGHT(B9,1),"Mot")</f>
        <v>FretRoutCat1Mot</v>
      </c>
      <c r="F9" t="s">
        <v>36</v>
      </c>
      <c r="G9">
        <v>1</v>
      </c>
      <c r="H9" s="2"/>
      <c r="I9" t="s">
        <v>456</v>
      </c>
      <c r="K9" s="4" t="str">
        <f t="shared" si="0"/>
        <v>Electrique</v>
      </c>
    </row>
    <row r="10" spans="1:42" x14ac:dyDescent="0.25">
      <c r="A10" t="s">
        <v>76</v>
      </c>
      <c r="B10" t="s">
        <v>77</v>
      </c>
      <c r="C10" t="s">
        <v>82</v>
      </c>
      <c r="E10" t="str">
        <f>_xlfn.CONCAT("FretRout",LEFT(B10,3),RIGHT(B10,1),"Carb")</f>
        <v>FretRoutCat1Carb</v>
      </c>
      <c r="F10" t="s">
        <v>36</v>
      </c>
      <c r="G10">
        <v>1</v>
      </c>
      <c r="I10" t="s">
        <v>1452</v>
      </c>
      <c r="K10" s="4" t="str">
        <f t="shared" si="0"/>
        <v xml:space="preserve"> -   </v>
      </c>
    </row>
    <row r="11" spans="1:42" x14ac:dyDescent="0.25">
      <c r="A11" t="s">
        <v>76</v>
      </c>
      <c r="B11" t="s">
        <v>77</v>
      </c>
      <c r="C11" t="s">
        <v>83</v>
      </c>
      <c r="E11" t="str">
        <f>_xlfn.CONCAT("FretRout",LEFT(B11,3),RIGHT(B11,1),"Euro")</f>
        <v>FretRoutCat1Euro</v>
      </c>
      <c r="F11" t="s">
        <v>36</v>
      </c>
      <c r="G11">
        <v>1</v>
      </c>
      <c r="I11">
        <v>0</v>
      </c>
      <c r="K11" s="4">
        <f t="shared" si="0"/>
        <v>0</v>
      </c>
      <c r="Q11" t="e">
        <v>#REF!</v>
      </c>
      <c r="R11" t="e">
        <f>(6*VLOOKUP($H7&amp;";TauxRenouvellement",#REF!,R$1-2020,FALSE)*VLOOKUP($H7&amp;";Volume",#REF!,R$1-2020,FALSE)+
Q11*(VLOOKUP($H7&amp;";Volume",#REF!,R$1-2019,FALSE)-VLOOKUP($H7&amp;";TauxRenouvellement",#REF!,R$1-2020,FALSE)*VLOOKUP($H7&amp;";Volume",#REF!,R$1-2020,FALSE)))/
VLOOKUP($H7&amp;";Volume",#REF!,R$1-2019,FALSE)</f>
        <v>#REF!</v>
      </c>
      <c r="S11" t="e">
        <f>(6*VLOOKUP($H7&amp;";TauxRenouvellement",#REF!,S$1-2020,FALSE)*VLOOKUP($H7&amp;";Volume",#REF!,S$1-2020,FALSE)+
R11*(VLOOKUP($H7&amp;";Volume",#REF!,S$1-2019,FALSE)-VLOOKUP($H7&amp;";TauxRenouvellement",#REF!,S$1-2020,FALSE)*VLOOKUP($H7&amp;";Volume",#REF!,S$1-2020,FALSE)))/
VLOOKUP($H7&amp;";Volume",#REF!,S$1-2019,FALSE)</f>
        <v>#REF!</v>
      </c>
      <c r="T11" t="e">
        <f>(6*VLOOKUP($H7&amp;";TauxRenouvellement",#REF!,T$1-2020,FALSE)*VLOOKUP($H7&amp;";Volume",#REF!,T$1-2020,FALSE)+
S11*(VLOOKUP($H7&amp;";Volume",#REF!,T$1-2019,FALSE)-VLOOKUP($H7&amp;";TauxRenouvellement",#REF!,T$1-2020,FALSE)*VLOOKUP($H7&amp;";Volume",#REF!,T$1-2020,FALSE)))/
VLOOKUP($H7&amp;";Volume",#REF!,T$1-2019,FALSE)</f>
        <v>#REF!</v>
      </c>
      <c r="U11" t="e">
        <f>(6*VLOOKUP($H7&amp;";TauxRenouvellement",#REF!,U$1-2020,FALSE)*VLOOKUP($H7&amp;";Volume",#REF!,U$1-2020,FALSE)+
T11*(VLOOKUP($H7&amp;";Volume",#REF!,U$1-2019,FALSE)-VLOOKUP($H7&amp;";TauxRenouvellement",#REF!,U$1-2020,FALSE)*VLOOKUP($H7&amp;";Volume",#REF!,U$1-2020,FALSE)))/
VLOOKUP($H7&amp;";Volume",#REF!,U$1-2019,FALSE)</f>
        <v>#REF!</v>
      </c>
      <c r="V11" t="e">
        <f>(6*VLOOKUP($H7&amp;";TauxRenouvellement",#REF!,V$1-2020,FALSE)*VLOOKUP($H7&amp;";Volume",#REF!,V$1-2020,FALSE)+
U11*(VLOOKUP($H7&amp;";Volume",#REF!,V$1-2019,FALSE)-VLOOKUP($H7&amp;";TauxRenouvellement",#REF!,V$1-2020,FALSE)*VLOOKUP($H7&amp;";Volume",#REF!,V$1-2020,FALSE)))/
VLOOKUP($H7&amp;";Volume",#REF!,V$1-2019,FALSE)</f>
        <v>#REF!</v>
      </c>
      <c r="W11" t="e">
        <f>(6*VLOOKUP($H7&amp;";TauxRenouvellement",#REF!,W$1-2020,FALSE)*VLOOKUP($H7&amp;";Volume",#REF!,W$1-2020,FALSE)+
V11*(VLOOKUP($H7&amp;";Volume",#REF!,W$1-2019,FALSE)-VLOOKUP($H7&amp;";TauxRenouvellement",#REF!,W$1-2020,FALSE)*VLOOKUP($H7&amp;";Volume",#REF!,W$1-2020,FALSE)))/
VLOOKUP($H7&amp;";Volume",#REF!,W$1-2019,FALSE)</f>
        <v>#REF!</v>
      </c>
      <c r="X11" t="e">
        <f>(6*VLOOKUP($H7&amp;";TauxRenouvellement",#REF!,X$1-2020,FALSE)*VLOOKUP($H7&amp;";Volume",#REF!,X$1-2020,FALSE)+
W11*(VLOOKUP($H7&amp;";Volume",#REF!,X$1-2019,FALSE)-VLOOKUP($H7&amp;";TauxRenouvellement",#REF!,X$1-2020,FALSE)*VLOOKUP($H7&amp;";Volume",#REF!,X$1-2020,FALSE)))/
VLOOKUP($H7&amp;";Volume",#REF!,X$1-2019,FALSE)</f>
        <v>#REF!</v>
      </c>
      <c r="Y11" t="e">
        <f>(6*VLOOKUP($H7&amp;";TauxRenouvellement",#REF!,Y$1-2020,FALSE)*VLOOKUP($H7&amp;";Volume",#REF!,Y$1-2020,FALSE)+
X11*(VLOOKUP($H7&amp;";Volume",#REF!,Y$1-2019,FALSE)-VLOOKUP($H7&amp;";TauxRenouvellement",#REF!,Y$1-2020,FALSE)*VLOOKUP($H7&amp;";Volume",#REF!,Y$1-2020,FALSE)))/
VLOOKUP($H7&amp;";Volume",#REF!,Y$1-2019,FALSE)</f>
        <v>#REF!</v>
      </c>
      <c r="Z11" t="e">
        <f>(6*VLOOKUP($H7&amp;";TauxRenouvellement",#REF!,Z$1-2020,FALSE)*VLOOKUP($H7&amp;";Volume",#REF!,Z$1-2020,FALSE)+
Y11*(VLOOKUP($H7&amp;";Volume",#REF!,Z$1-2019,FALSE)-VLOOKUP($H7&amp;";TauxRenouvellement",#REF!,Z$1-2020,FALSE)*VLOOKUP($H7&amp;";Volume",#REF!,Z$1-2020,FALSE)))/
VLOOKUP($H7&amp;";Volume",#REF!,Z$1-2019,FALSE)</f>
        <v>#REF!</v>
      </c>
      <c r="AA11" t="e">
        <f>(6*VLOOKUP($H7&amp;";TauxRenouvellement",#REF!,AA$1-2020,FALSE)*VLOOKUP($H7&amp;";Volume",#REF!,AA$1-2020,FALSE)+
Z11*(VLOOKUP($H7&amp;";Volume",#REF!,AA$1-2019,FALSE)-VLOOKUP($H7&amp;";TauxRenouvellement",#REF!,AA$1-2020,FALSE)*VLOOKUP($H7&amp;";Volume",#REF!,AA$1-2020,FALSE)))/
VLOOKUP($H7&amp;";Volume",#REF!,AA$1-2019,FALSE)</f>
        <v>#REF!</v>
      </c>
      <c r="AB11" t="e">
        <f>(6*VLOOKUP($H7&amp;";TauxRenouvellement",#REF!,AB$1-2020,FALSE)*VLOOKUP($H7&amp;";Volume",#REF!,AB$1-2020,FALSE)+
AA11*(VLOOKUP($H7&amp;";Volume",#REF!,AB$1-2019,FALSE)-VLOOKUP($H7&amp;";TauxRenouvellement",#REF!,AB$1-2020,FALSE)*VLOOKUP($H7&amp;";Volume",#REF!,AB$1-2020,FALSE)))/
VLOOKUP($H7&amp;";Volume",#REF!,AB$1-2019,FALSE)</f>
        <v>#REF!</v>
      </c>
      <c r="AC11" t="e">
        <f>(6*VLOOKUP($H7&amp;";TauxRenouvellement",#REF!,AC$1-2020,FALSE)*VLOOKUP($H7&amp;";Volume",#REF!,AC$1-2020,FALSE)+
AB11*(VLOOKUP($H7&amp;";Volume",#REF!,AC$1-2019,FALSE)-VLOOKUP($H7&amp;";TauxRenouvellement",#REF!,AC$1-2020,FALSE)*VLOOKUP($H7&amp;";Volume",#REF!,AC$1-2020,FALSE)))/
VLOOKUP($H7&amp;";Volume",#REF!,AC$1-2019,FALSE)</f>
        <v>#REF!</v>
      </c>
      <c r="AD11" t="e">
        <f>(6*VLOOKUP($H7&amp;";TauxRenouvellement",#REF!,AD$1-2020,FALSE)*VLOOKUP($H7&amp;";Volume",#REF!,AD$1-2020,FALSE)+
AC11*(VLOOKUP($H7&amp;";Volume",#REF!,AD$1-2019,FALSE)-VLOOKUP($H7&amp;";TauxRenouvellement",#REF!,AD$1-2020,FALSE)*VLOOKUP($H7&amp;";Volume",#REF!,AD$1-2020,FALSE)))/
VLOOKUP($H7&amp;";Volume",#REF!,AD$1-2019,FALSE)</f>
        <v>#REF!</v>
      </c>
      <c r="AE11" t="e">
        <f>(6*VLOOKUP($H7&amp;";TauxRenouvellement",#REF!,AE$1-2020,FALSE)*VLOOKUP($H7&amp;";Volume",#REF!,AE$1-2020,FALSE)+
AD11*(VLOOKUP($H7&amp;";Volume",#REF!,AE$1-2019,FALSE)-VLOOKUP($H7&amp;";TauxRenouvellement",#REF!,AE$1-2020,FALSE)*VLOOKUP($H7&amp;";Volume",#REF!,AE$1-2020,FALSE)))/
VLOOKUP($H7&amp;";Volume",#REF!,AE$1-2019,FALSE)</f>
        <v>#REF!</v>
      </c>
      <c r="AF11" t="e">
        <f>(6*VLOOKUP($H7&amp;";TauxRenouvellement",#REF!,AF$1-2020,FALSE)*VLOOKUP($H7&amp;";Volume",#REF!,AF$1-2020,FALSE)+
AE11*(VLOOKUP($H7&amp;";Volume",#REF!,AF$1-2019,FALSE)-VLOOKUP($H7&amp;";TauxRenouvellement",#REF!,AF$1-2020,FALSE)*VLOOKUP($H7&amp;";Volume",#REF!,AF$1-2020,FALSE)))/
VLOOKUP($H7&amp;";Volume",#REF!,AF$1-2019,FALSE)</f>
        <v>#REF!</v>
      </c>
      <c r="AG11" t="e">
        <f>(6*VLOOKUP($H7&amp;";TauxRenouvellement",#REF!,AG$1-2020,FALSE)*VLOOKUP($H7&amp;";Volume",#REF!,AG$1-2020,FALSE)+
AF11*(VLOOKUP($H7&amp;";Volume",#REF!,AG$1-2019,FALSE)-VLOOKUP($H7&amp;";TauxRenouvellement",#REF!,AG$1-2020,FALSE)*VLOOKUP($H7&amp;";Volume",#REF!,AG$1-2020,FALSE)))/
VLOOKUP($H7&amp;";Volume",#REF!,AG$1-2019,FALSE)</f>
        <v>#REF!</v>
      </c>
      <c r="AH11" t="e">
        <f>(6*VLOOKUP($H7&amp;";TauxRenouvellement",#REF!,AH$1-2020,FALSE)*VLOOKUP($H7&amp;";Volume",#REF!,AH$1-2020,FALSE)+
AG11*(VLOOKUP($H7&amp;";Volume",#REF!,AH$1-2019,FALSE)-VLOOKUP($H7&amp;";TauxRenouvellement",#REF!,AH$1-2020,FALSE)*VLOOKUP($H7&amp;";Volume",#REF!,AH$1-2020,FALSE)))/
VLOOKUP($H7&amp;";Volume",#REF!,AH$1-2019,FALSE)</f>
        <v>#REF!</v>
      </c>
      <c r="AI11" t="e">
        <f>(6*VLOOKUP($H7&amp;";TauxRenouvellement",#REF!,AI$1-2020,FALSE)*VLOOKUP($H7&amp;";Volume",#REF!,AI$1-2020,FALSE)+
AH11*(VLOOKUP($H7&amp;";Volume",#REF!,AI$1-2019,FALSE)-VLOOKUP($H7&amp;";TauxRenouvellement",#REF!,AI$1-2020,FALSE)*VLOOKUP($H7&amp;";Volume",#REF!,AI$1-2020,FALSE)))/
VLOOKUP($H7&amp;";Volume",#REF!,AI$1-2019,FALSE)</f>
        <v>#REF!</v>
      </c>
      <c r="AJ11" t="e">
        <f>(6*VLOOKUP($H7&amp;";TauxRenouvellement",#REF!,AJ$1-2020,FALSE)*VLOOKUP($H7&amp;";Volume",#REF!,AJ$1-2020,FALSE)+
AI11*(VLOOKUP($H7&amp;";Volume",#REF!,AJ$1-2019,FALSE)-VLOOKUP($H7&amp;";TauxRenouvellement",#REF!,AJ$1-2020,FALSE)*VLOOKUP($H7&amp;";Volume",#REF!,AJ$1-2020,FALSE)))/
VLOOKUP($H7&amp;";Volume",#REF!,AJ$1-2019,FALSE)</f>
        <v>#REF!</v>
      </c>
      <c r="AK11" t="e">
        <f>(6*VLOOKUP($H7&amp;";TauxRenouvellement",#REF!,AK$1-2020,FALSE)*VLOOKUP($H7&amp;";Volume",#REF!,AK$1-2020,FALSE)+
AJ11*(VLOOKUP($H7&amp;";Volume",#REF!,AK$1-2019,FALSE)-VLOOKUP($H7&amp;";TauxRenouvellement",#REF!,AK$1-2020,FALSE)*VLOOKUP($H7&amp;";Volume",#REF!,AK$1-2020,FALSE)))/
VLOOKUP($H7&amp;";Volume",#REF!,AK$1-2019,FALSE)</f>
        <v>#REF!</v>
      </c>
      <c r="AL11" t="e">
        <f>(6*VLOOKUP($H7&amp;";TauxRenouvellement",#REF!,AL$1-2020,FALSE)*VLOOKUP($H7&amp;";Volume",#REF!,AL$1-2020,FALSE)+
AK11*(VLOOKUP($H7&amp;";Volume",#REF!,AL$1-2019,FALSE)-VLOOKUP($H7&amp;";TauxRenouvellement",#REF!,AL$1-2020,FALSE)*VLOOKUP($H7&amp;";Volume",#REF!,AL$1-2020,FALSE)))/
VLOOKUP($H7&amp;";Volume",#REF!,AL$1-2019,FALSE)</f>
        <v>#REF!</v>
      </c>
      <c r="AM11" t="e">
        <f>(6*VLOOKUP($H7&amp;";TauxRenouvellement",#REF!,AM$1-2020,FALSE)*VLOOKUP($H7&amp;";Volume",#REF!,AM$1-2020,FALSE)+
AL11*(VLOOKUP($H7&amp;";Volume",#REF!,AM$1-2019,FALSE)-VLOOKUP($H7&amp;";TauxRenouvellement",#REF!,AM$1-2020,FALSE)*VLOOKUP($H7&amp;";Volume",#REF!,AM$1-2020,FALSE)))/
VLOOKUP($H7&amp;";Volume",#REF!,AM$1-2019,FALSE)</f>
        <v>#REF!</v>
      </c>
      <c r="AN11" t="e">
        <f>(6*VLOOKUP($H7&amp;";TauxRenouvellement",#REF!,AN$1-2020,FALSE)*VLOOKUP($H7&amp;";Volume",#REF!,AN$1-2020,FALSE)+
AM11*(VLOOKUP($H7&amp;";Volume",#REF!,AN$1-2019,FALSE)-VLOOKUP($H7&amp;";TauxRenouvellement",#REF!,AN$1-2020,FALSE)*VLOOKUP($H7&amp;";Volume",#REF!,AN$1-2020,FALSE)))/
VLOOKUP($H7&amp;";Volume",#REF!,AN$1-2019,FALSE)</f>
        <v>#REF!</v>
      </c>
      <c r="AO11" t="e">
        <f>(6*VLOOKUP($H7&amp;";TauxRenouvellement",#REF!,AO$1-2020,FALSE)*VLOOKUP($H7&amp;";Volume",#REF!,AO$1-2020,FALSE)+
AN11*(VLOOKUP($H7&amp;";Volume",#REF!,AO$1-2019,FALSE)-VLOOKUP($H7&amp;";TauxRenouvellement",#REF!,AO$1-2020,FALSE)*VLOOKUP($H7&amp;";Volume",#REF!,AO$1-2020,FALSE)))/
VLOOKUP($H7&amp;";Volume",#REF!,AO$1-2019,FALSE)</f>
        <v>#REF!</v>
      </c>
      <c r="AP11" t="e">
        <f>(6*VLOOKUP($H7&amp;";TauxRenouvellement",#REF!,AP$1-2020,FALSE)*VLOOKUP($H7&amp;";Volume",#REF!,AP$1-2020,FALSE)+
AO11*(VLOOKUP($H7&amp;";Volume",#REF!,AP$1-2019,FALSE)-VLOOKUP($H7&amp;";TauxRenouvellement",#REF!,AP$1-2020,FALSE)*VLOOKUP($H7&amp;";Volume",#REF!,AP$1-2020,FALSE)))/
VLOOKUP($H7&amp;";Volume",#REF!,AP$1-2019,FALSE)</f>
        <v>#REF!</v>
      </c>
    </row>
    <row r="12" spans="1:42" x14ac:dyDescent="0.25">
      <c r="A12" t="s">
        <v>76</v>
      </c>
      <c r="B12" t="s">
        <v>77</v>
      </c>
      <c r="C12" t="s">
        <v>84</v>
      </c>
      <c r="E12" t="str">
        <f>_xlfn.CONCAT("FretRout",LEFT(B12,3),RIGHT(B12,1),"CritAir")</f>
        <v>FretRoutCat1CritAir</v>
      </c>
      <c r="F12" t="s">
        <v>36</v>
      </c>
      <c r="G12">
        <v>1</v>
      </c>
      <c r="H12" s="2"/>
      <c r="I12" t="s">
        <v>1453</v>
      </c>
      <c r="K12" s="4" t="str">
        <f t="shared" si="0"/>
        <v>E</v>
      </c>
      <c r="Q12" t="e">
        <v>#REF!</v>
      </c>
      <c r="R12" t="e">
        <f>(VLOOKUP($H7&amp;";TauxRenouvellement",#REF!,R$1-2020,FALSE)*VLOOKUP($H7&amp;";Volume",#REF!,R$1-2020,FALSE)+
Q12*(VLOOKUP($H7&amp;";Volume",#REF!,R$1-2019,FALSE)-VLOOKUP($H7&amp;";TauxRenouvellement",#REF!,R$1-2020,FALSE)*VLOOKUP($H7&amp;";Volume",#REF!,R$1-2020,FALSE)))/
VLOOKUP($H7&amp;";Volume",#REF!,R$1-2019,FALSE)</f>
        <v>#REF!</v>
      </c>
      <c r="S12" t="e">
        <f>(VLOOKUP($H7&amp;";TauxRenouvellement",#REF!,S$1-2020,FALSE)*VLOOKUP($H7&amp;";Volume",#REF!,S$1-2020,FALSE)+
R12*(VLOOKUP($H7&amp;";Volume",#REF!,S$1-2019,FALSE)-VLOOKUP($H7&amp;";TauxRenouvellement",#REF!,S$1-2020,FALSE)*VLOOKUP($H7&amp;";Volume",#REF!,S$1-2020,FALSE)))/
VLOOKUP($H7&amp;";Volume",#REF!,S$1-2019,FALSE)</f>
        <v>#REF!</v>
      </c>
      <c r="T12" t="e">
        <f>(VLOOKUP($H7&amp;";TauxRenouvellement",#REF!,T$1-2020,FALSE)*VLOOKUP($H7&amp;";Volume",#REF!,T$1-2020,FALSE)+
S12*(VLOOKUP($H7&amp;";Volume",#REF!,T$1-2019,FALSE)-VLOOKUP($H7&amp;";TauxRenouvellement",#REF!,T$1-2020,FALSE)*VLOOKUP($H7&amp;";Volume",#REF!,T$1-2020,FALSE)))/
VLOOKUP($H7&amp;";Volume",#REF!,T$1-2019,FALSE)</f>
        <v>#REF!</v>
      </c>
      <c r="U12" t="e">
        <f>(VLOOKUP($H7&amp;";TauxRenouvellement",#REF!,U$1-2020,FALSE)*VLOOKUP($H7&amp;";Volume",#REF!,U$1-2020,FALSE)+
T12*(VLOOKUP($H7&amp;";Volume",#REF!,U$1-2019,FALSE)-VLOOKUP($H7&amp;";TauxRenouvellement",#REF!,U$1-2020,FALSE)*VLOOKUP($H7&amp;";Volume",#REF!,U$1-2020,FALSE)))/
VLOOKUP($H7&amp;";Volume",#REF!,U$1-2019,FALSE)</f>
        <v>#REF!</v>
      </c>
      <c r="V12" t="e">
        <f>(VLOOKUP($H7&amp;";TauxRenouvellement",#REF!,V$1-2020,FALSE)*VLOOKUP($H7&amp;";Volume",#REF!,V$1-2020,FALSE)+
U12*(VLOOKUP($H7&amp;";Volume",#REF!,V$1-2019,FALSE)-VLOOKUP($H7&amp;";TauxRenouvellement",#REF!,V$1-2020,FALSE)*VLOOKUP($H7&amp;";Volume",#REF!,V$1-2020,FALSE)))/
VLOOKUP($H7&amp;";Volume",#REF!,V$1-2019,FALSE)</f>
        <v>#REF!</v>
      </c>
      <c r="W12" t="e">
        <f>(VLOOKUP($H7&amp;";TauxRenouvellement",#REF!,W$1-2020,FALSE)*VLOOKUP($H7&amp;";Volume",#REF!,W$1-2020,FALSE)+
V12*(VLOOKUP($H7&amp;";Volume",#REF!,W$1-2019,FALSE)-VLOOKUP($H7&amp;";TauxRenouvellement",#REF!,W$1-2020,FALSE)*VLOOKUP($H7&amp;";Volume",#REF!,W$1-2020,FALSE)))/
VLOOKUP($H7&amp;";Volume",#REF!,W$1-2019,FALSE)</f>
        <v>#REF!</v>
      </c>
      <c r="X12" t="e">
        <f>(VLOOKUP($H7&amp;";TauxRenouvellement",#REF!,X$1-2020,FALSE)*VLOOKUP($H7&amp;";Volume",#REF!,X$1-2020,FALSE)+
W12*(VLOOKUP($H7&amp;";Volume",#REF!,X$1-2019,FALSE)-VLOOKUP($H7&amp;";TauxRenouvellement",#REF!,X$1-2020,FALSE)*VLOOKUP($H7&amp;";Volume",#REF!,X$1-2020,FALSE)))/
VLOOKUP($H7&amp;";Volume",#REF!,X$1-2019,FALSE)</f>
        <v>#REF!</v>
      </c>
      <c r="Y12" t="e">
        <f>(VLOOKUP($H7&amp;";TauxRenouvellement",#REF!,Y$1-2020,FALSE)*VLOOKUP($H7&amp;";Volume",#REF!,Y$1-2020,FALSE)+
X12*(VLOOKUP($H7&amp;";Volume",#REF!,Y$1-2019,FALSE)-VLOOKUP($H7&amp;";TauxRenouvellement",#REF!,Y$1-2020,FALSE)*VLOOKUP($H7&amp;";Volume",#REF!,Y$1-2020,FALSE)))/
VLOOKUP($H7&amp;";Volume",#REF!,Y$1-2019,FALSE)</f>
        <v>#REF!</v>
      </c>
      <c r="Z12" t="e">
        <f>(VLOOKUP($H7&amp;";TauxRenouvellement",#REF!,Z$1-2020,FALSE)*VLOOKUP($H7&amp;";Volume",#REF!,Z$1-2020,FALSE)+
Y12*(VLOOKUP($H7&amp;";Volume",#REF!,Z$1-2019,FALSE)-VLOOKUP($H7&amp;";TauxRenouvellement",#REF!,Z$1-2020,FALSE)*VLOOKUP($H7&amp;";Volume",#REF!,Z$1-2020,FALSE)))/
VLOOKUP($H7&amp;";Volume",#REF!,Z$1-2019,FALSE)</f>
        <v>#REF!</v>
      </c>
      <c r="AA12" t="e">
        <f>(VLOOKUP($H7&amp;";TauxRenouvellement",#REF!,AA$1-2020,FALSE)*VLOOKUP($H7&amp;";Volume",#REF!,AA$1-2020,FALSE)+
Z12*(VLOOKUP($H7&amp;";Volume",#REF!,AA$1-2019,FALSE)-VLOOKUP($H7&amp;";TauxRenouvellement",#REF!,AA$1-2020,FALSE)*VLOOKUP($H7&amp;";Volume",#REF!,AA$1-2020,FALSE)))/
VLOOKUP($H7&amp;";Volume",#REF!,AA$1-2019,FALSE)</f>
        <v>#REF!</v>
      </c>
      <c r="AB12" t="e">
        <f>(VLOOKUP($H7&amp;";TauxRenouvellement",#REF!,AB$1-2020,FALSE)*VLOOKUP($H7&amp;";Volume",#REF!,AB$1-2020,FALSE)+
AA12*(VLOOKUP($H7&amp;";Volume",#REF!,AB$1-2019,FALSE)-VLOOKUP($H7&amp;";TauxRenouvellement",#REF!,AB$1-2020,FALSE)*VLOOKUP($H7&amp;";Volume",#REF!,AB$1-2020,FALSE)))/
VLOOKUP($H7&amp;";Volume",#REF!,AB$1-2019,FALSE)</f>
        <v>#REF!</v>
      </c>
      <c r="AC12" t="e">
        <f>(VLOOKUP($H7&amp;";TauxRenouvellement",#REF!,AC$1-2020,FALSE)*VLOOKUP($H7&amp;";Volume",#REF!,AC$1-2020,FALSE)+
AB12*(VLOOKUP($H7&amp;";Volume",#REF!,AC$1-2019,FALSE)-VLOOKUP($H7&amp;";TauxRenouvellement",#REF!,AC$1-2020,FALSE)*VLOOKUP($H7&amp;";Volume",#REF!,AC$1-2020,FALSE)))/
VLOOKUP($H7&amp;";Volume",#REF!,AC$1-2019,FALSE)</f>
        <v>#REF!</v>
      </c>
      <c r="AD12" t="e">
        <f>(VLOOKUP($H7&amp;";TauxRenouvellement",#REF!,AD$1-2020,FALSE)*VLOOKUP($H7&amp;";Volume",#REF!,AD$1-2020,FALSE)+
AC12*(VLOOKUP($H7&amp;";Volume",#REF!,AD$1-2019,FALSE)-VLOOKUP($H7&amp;";TauxRenouvellement",#REF!,AD$1-2020,FALSE)*VLOOKUP($H7&amp;";Volume",#REF!,AD$1-2020,FALSE)))/
VLOOKUP($H7&amp;";Volume",#REF!,AD$1-2019,FALSE)</f>
        <v>#REF!</v>
      </c>
      <c r="AE12" t="e">
        <f>(VLOOKUP($H7&amp;";TauxRenouvellement",#REF!,AE$1-2020,FALSE)*VLOOKUP($H7&amp;";Volume",#REF!,AE$1-2020,FALSE)+
AD12*(VLOOKUP($H7&amp;";Volume",#REF!,AE$1-2019,FALSE)-VLOOKUP($H7&amp;";TauxRenouvellement",#REF!,AE$1-2020,FALSE)*VLOOKUP($H7&amp;";Volume",#REF!,AE$1-2020,FALSE)))/
VLOOKUP($H7&amp;";Volume",#REF!,AE$1-2019,FALSE)</f>
        <v>#REF!</v>
      </c>
      <c r="AF12" t="e">
        <f>(VLOOKUP($H7&amp;";TauxRenouvellement",#REF!,AF$1-2020,FALSE)*VLOOKUP($H7&amp;";Volume",#REF!,AF$1-2020,FALSE)+
AE12*(VLOOKUP($H7&amp;";Volume",#REF!,AF$1-2019,FALSE)-VLOOKUP($H7&amp;";TauxRenouvellement",#REF!,AF$1-2020,FALSE)*VLOOKUP($H7&amp;";Volume",#REF!,AF$1-2020,FALSE)))/
VLOOKUP($H7&amp;";Volume",#REF!,AF$1-2019,FALSE)</f>
        <v>#REF!</v>
      </c>
      <c r="AG12" t="e">
        <f>(VLOOKUP($H7&amp;";TauxRenouvellement",#REF!,AG$1-2020,FALSE)*VLOOKUP($H7&amp;";Volume",#REF!,AG$1-2020,FALSE)+
AF12*(VLOOKUP($H7&amp;";Volume",#REF!,AG$1-2019,FALSE)-VLOOKUP($H7&amp;";TauxRenouvellement",#REF!,AG$1-2020,FALSE)*VLOOKUP($H7&amp;";Volume",#REF!,AG$1-2020,FALSE)))/
VLOOKUP($H7&amp;";Volume",#REF!,AG$1-2019,FALSE)</f>
        <v>#REF!</v>
      </c>
      <c r="AH12" t="e">
        <f>(VLOOKUP($H7&amp;";TauxRenouvellement",#REF!,AH$1-2020,FALSE)*VLOOKUP($H7&amp;";Volume",#REF!,AH$1-2020,FALSE)+
AG12*(VLOOKUP($H7&amp;";Volume",#REF!,AH$1-2019,FALSE)-VLOOKUP($H7&amp;";TauxRenouvellement",#REF!,AH$1-2020,FALSE)*VLOOKUP($H7&amp;";Volume",#REF!,AH$1-2020,FALSE)))/
VLOOKUP($H7&amp;";Volume",#REF!,AH$1-2019,FALSE)</f>
        <v>#REF!</v>
      </c>
      <c r="AI12" t="e">
        <f>(VLOOKUP($H7&amp;";TauxRenouvellement",#REF!,AI$1-2020,FALSE)*VLOOKUP($H7&amp;";Volume",#REF!,AI$1-2020,FALSE)+
AH12*(VLOOKUP($H7&amp;";Volume",#REF!,AI$1-2019,FALSE)-VLOOKUP($H7&amp;";TauxRenouvellement",#REF!,AI$1-2020,FALSE)*VLOOKUP($H7&amp;";Volume",#REF!,AI$1-2020,FALSE)))/
VLOOKUP($H7&amp;";Volume",#REF!,AI$1-2019,FALSE)</f>
        <v>#REF!</v>
      </c>
      <c r="AJ12" t="e">
        <f>(VLOOKUP($H7&amp;";TauxRenouvellement",#REF!,AJ$1-2020,FALSE)*VLOOKUP($H7&amp;";Volume",#REF!,AJ$1-2020,FALSE)+
AI12*(VLOOKUP($H7&amp;";Volume",#REF!,AJ$1-2019,FALSE)-VLOOKUP($H7&amp;";TauxRenouvellement",#REF!,AJ$1-2020,FALSE)*VLOOKUP($H7&amp;";Volume",#REF!,AJ$1-2020,FALSE)))/
VLOOKUP($H7&amp;";Volume",#REF!,AJ$1-2019,FALSE)</f>
        <v>#REF!</v>
      </c>
      <c r="AK12" t="e">
        <f>(VLOOKUP($H7&amp;";TauxRenouvellement",#REF!,AK$1-2020,FALSE)*VLOOKUP($H7&amp;";Volume",#REF!,AK$1-2020,FALSE)+
AJ12*(VLOOKUP($H7&amp;";Volume",#REF!,AK$1-2019,FALSE)-VLOOKUP($H7&amp;";TauxRenouvellement",#REF!,AK$1-2020,FALSE)*VLOOKUP($H7&amp;";Volume",#REF!,AK$1-2020,FALSE)))/
VLOOKUP($H7&amp;";Volume",#REF!,AK$1-2019,FALSE)</f>
        <v>#REF!</v>
      </c>
      <c r="AL12" t="e">
        <f>(VLOOKUP($H7&amp;";TauxRenouvellement",#REF!,AL$1-2020,FALSE)*VLOOKUP($H7&amp;";Volume",#REF!,AL$1-2020,FALSE)+
AK12*(VLOOKUP($H7&amp;";Volume",#REF!,AL$1-2019,FALSE)-VLOOKUP($H7&amp;";TauxRenouvellement",#REF!,AL$1-2020,FALSE)*VLOOKUP($H7&amp;";Volume",#REF!,AL$1-2020,FALSE)))/
VLOOKUP($H7&amp;";Volume",#REF!,AL$1-2019,FALSE)</f>
        <v>#REF!</v>
      </c>
      <c r="AM12" t="e">
        <f>(VLOOKUP($H7&amp;";TauxRenouvellement",#REF!,AM$1-2020,FALSE)*VLOOKUP($H7&amp;";Volume",#REF!,AM$1-2020,FALSE)+
AL12*(VLOOKUP($H7&amp;";Volume",#REF!,AM$1-2019,FALSE)-VLOOKUP($H7&amp;";TauxRenouvellement",#REF!,AM$1-2020,FALSE)*VLOOKUP($H7&amp;";Volume",#REF!,AM$1-2020,FALSE)))/
VLOOKUP($H7&amp;";Volume",#REF!,AM$1-2019,FALSE)</f>
        <v>#REF!</v>
      </c>
      <c r="AN12" t="e">
        <f>(VLOOKUP($H7&amp;";TauxRenouvellement",#REF!,AN$1-2020,FALSE)*VLOOKUP($H7&amp;";Volume",#REF!,AN$1-2020,FALSE)+
AM12*(VLOOKUP($H7&amp;";Volume",#REF!,AN$1-2019,FALSE)-VLOOKUP($H7&amp;";TauxRenouvellement",#REF!,AN$1-2020,FALSE)*VLOOKUP($H7&amp;";Volume",#REF!,AN$1-2020,FALSE)))/
VLOOKUP($H7&amp;";Volume",#REF!,AN$1-2019,FALSE)</f>
        <v>#REF!</v>
      </c>
      <c r="AO12" t="e">
        <f>(VLOOKUP($H7&amp;";TauxRenouvellement",#REF!,AO$1-2020,FALSE)*VLOOKUP($H7&amp;";Volume",#REF!,AO$1-2020,FALSE)+
AN12*(VLOOKUP($H7&amp;";Volume",#REF!,AO$1-2019,FALSE)-VLOOKUP($H7&amp;";TauxRenouvellement",#REF!,AO$1-2020,FALSE)*VLOOKUP($H7&amp;";Volume",#REF!,AO$1-2020,FALSE)))/
VLOOKUP($H7&amp;";Volume",#REF!,AO$1-2019,FALSE)</f>
        <v>#REF!</v>
      </c>
      <c r="AP12" t="e">
        <f>(VLOOKUP($H7&amp;";TauxRenouvellement",#REF!,AP$1-2020,FALSE)*VLOOKUP($H7&amp;";Volume",#REF!,AP$1-2020,FALSE)+
AO12*(VLOOKUP($H7&amp;";Volume",#REF!,AP$1-2019,FALSE)-VLOOKUP($H7&amp;";TauxRenouvellement",#REF!,AP$1-2020,FALSE)*VLOOKUP($H7&amp;";Volume",#REF!,AP$1-2020,FALSE)))/
VLOOKUP($H7&amp;";Volume",#REF!,AP$1-2019,FALSE)</f>
        <v>#REF!</v>
      </c>
    </row>
    <row r="13" spans="1:42" x14ac:dyDescent="0.25">
      <c r="A13" t="s">
        <v>76</v>
      </c>
      <c r="B13" t="s">
        <v>77</v>
      </c>
      <c r="C13" t="s">
        <v>85</v>
      </c>
      <c r="E13" t="str">
        <f>_xlfn.CONCAT("FretRout",LEFT(B13,3),RIGHT(B13,1),"Nb")</f>
        <v>FretRoutCat1Nb</v>
      </c>
      <c r="F13" t="s">
        <v>17</v>
      </c>
      <c r="G13">
        <v>1</v>
      </c>
      <c r="J13" t="s">
        <v>86</v>
      </c>
      <c r="K13">
        <v>0</v>
      </c>
    </row>
    <row r="14" spans="1:42" x14ac:dyDescent="0.25">
      <c r="A14" t="s">
        <v>76</v>
      </c>
      <c r="B14" t="s">
        <v>77</v>
      </c>
      <c r="C14" t="s">
        <v>87</v>
      </c>
      <c r="E14" t="str">
        <f>_xlfn.CONCAT("FretRout",LEFT(B14,3),RIGHT(B14,1),"Dist")</f>
        <v>FretRoutCat1Dist</v>
      </c>
      <c r="F14" t="s">
        <v>17</v>
      </c>
      <c r="G14">
        <v>1</v>
      </c>
      <c r="H14" s="2"/>
      <c r="J14" t="s">
        <v>88</v>
      </c>
      <c r="K14">
        <v>7694</v>
      </c>
    </row>
    <row r="15" spans="1:42" x14ac:dyDescent="0.25">
      <c r="A15" t="s">
        <v>76</v>
      </c>
      <c r="B15" t="s">
        <v>77</v>
      </c>
      <c r="C15" s="2" t="s">
        <v>89</v>
      </c>
      <c r="E15" t="str">
        <f>_xlfn.CONCAT("FretRout",LEFT(B15,3),RIGHT(B15,1),"Rempl")</f>
        <v>FretRoutCat1Rempl</v>
      </c>
      <c r="F15" t="s">
        <v>17</v>
      </c>
      <c r="G15">
        <v>1</v>
      </c>
      <c r="H15" s="3" t="s">
        <v>465</v>
      </c>
      <c r="J15" t="s">
        <v>70</v>
      </c>
      <c r="K15">
        <v>0</v>
      </c>
    </row>
    <row r="16" spans="1:42" x14ac:dyDescent="0.25">
      <c r="A16" t="s">
        <v>76</v>
      </c>
      <c r="B16" s="2" t="s">
        <v>90</v>
      </c>
      <c r="C16" t="s">
        <v>78</v>
      </c>
      <c r="E16" t="str">
        <f>_xlfn.CONCAT("FretRout",LEFT(B16,3),RIGHT(B16,1),"Nom")</f>
        <v>FretRoutCat2Nom</v>
      </c>
      <c r="F16" t="s">
        <v>20</v>
      </c>
      <c r="G16">
        <v>1</v>
      </c>
      <c r="H16" s="4">
        <v>45</v>
      </c>
      <c r="I16" s="4" t="s">
        <v>386</v>
      </c>
      <c r="K16" s="4" t="str">
        <f t="shared" ref="K16:K22" si="1">I16</f>
        <v>VUL Diesel (Crit'Air 2)</v>
      </c>
    </row>
    <row r="17" spans="1:42" x14ac:dyDescent="0.25">
      <c r="A17" t="s">
        <v>76</v>
      </c>
      <c r="B17" s="2" t="s">
        <v>90</v>
      </c>
      <c r="C17" t="s">
        <v>79</v>
      </c>
      <c r="E17" t="str">
        <f>_xlfn.CONCAT("FretRout",LEFT(B17,3),RIGHT(B17,1),"Type")</f>
        <v>FretRoutCat2Type</v>
      </c>
      <c r="F17" t="s">
        <v>20</v>
      </c>
      <c r="G17">
        <v>1</v>
      </c>
      <c r="I17" t="s">
        <v>1770</v>
      </c>
      <c r="K17" s="4" t="str">
        <f t="shared" si="1"/>
        <v>VUL</v>
      </c>
    </row>
    <row r="18" spans="1:42" x14ac:dyDescent="0.25">
      <c r="A18" t="s">
        <v>76</v>
      </c>
      <c r="B18" s="2" t="s">
        <v>90</v>
      </c>
      <c r="C18" t="s">
        <v>80</v>
      </c>
      <c r="E18" t="str">
        <f>_xlfn.CONCAT("FretRout",LEFT(B18,3),RIGHT(B18,1),"PTAC")</f>
        <v>FretRoutCat2PTAC</v>
      </c>
      <c r="F18" t="s">
        <v>36</v>
      </c>
      <c r="G18">
        <v>1</v>
      </c>
      <c r="I18" t="s">
        <v>1451</v>
      </c>
      <c r="K18" s="4" t="str">
        <f t="shared" si="1"/>
        <v>&lt;=3,5t</v>
      </c>
    </row>
    <row r="19" spans="1:42" x14ac:dyDescent="0.25">
      <c r="A19" t="s">
        <v>76</v>
      </c>
      <c r="B19" s="2" t="s">
        <v>90</v>
      </c>
      <c r="C19" t="s">
        <v>81</v>
      </c>
      <c r="E19" t="str">
        <f>_xlfn.CONCAT("FretRout",LEFT(B19,3),RIGHT(B19,1),"Mot")</f>
        <v>FretRoutCat2Mot</v>
      </c>
      <c r="F19" t="s">
        <v>36</v>
      </c>
      <c r="G19">
        <v>1</v>
      </c>
      <c r="H19" s="2"/>
      <c r="I19" t="s">
        <v>138</v>
      </c>
      <c r="K19" s="4" t="str">
        <f t="shared" si="1"/>
        <v>Diesel</v>
      </c>
    </row>
    <row r="20" spans="1:42" outlineLevel="1" x14ac:dyDescent="0.25">
      <c r="A20" t="s">
        <v>76</v>
      </c>
      <c r="B20" s="2" t="s">
        <v>90</v>
      </c>
      <c r="C20" t="s">
        <v>82</v>
      </c>
      <c r="E20" t="str">
        <f>_xlfn.CONCAT("FretRout",LEFT(B20,3),RIGHT(B20,1),"Carb")</f>
        <v>FretRoutCat2Carb</v>
      </c>
      <c r="F20" t="s">
        <v>36</v>
      </c>
      <c r="G20">
        <v>1</v>
      </c>
      <c r="I20" t="s">
        <v>1449</v>
      </c>
      <c r="K20" s="4" t="str">
        <f t="shared" si="1"/>
        <v>Gazole à la pompe</v>
      </c>
    </row>
    <row r="21" spans="1:42" outlineLevel="1" x14ac:dyDescent="0.25">
      <c r="A21" t="s">
        <v>76</v>
      </c>
      <c r="B21" s="2" t="s">
        <v>90</v>
      </c>
      <c r="C21" t="s">
        <v>83</v>
      </c>
      <c r="E21" t="str">
        <f>_xlfn.CONCAT("FretRout",LEFT(B21,3),RIGHT(B21,1),"Euro")</f>
        <v>FretRoutCat2Euro</v>
      </c>
      <c r="F21" t="s">
        <v>36</v>
      </c>
      <c r="G21">
        <v>1</v>
      </c>
      <c r="I21">
        <v>0</v>
      </c>
      <c r="K21" s="4">
        <f t="shared" si="1"/>
        <v>0</v>
      </c>
      <c r="Q21" t="e">
        <v>#REF!</v>
      </c>
      <c r="R21" t="e">
        <f>(6*VLOOKUP($H17&amp;";TauxRenouvellement",#REF!,R$1-2020,FALSE)*VLOOKUP($H17&amp;";Volume",#REF!,R$1-2020,FALSE)+
Q21*(VLOOKUP($H17&amp;";Volume",#REF!,R$1-2019,FALSE)-VLOOKUP($H17&amp;";TauxRenouvellement",#REF!,R$1-2020,FALSE)*VLOOKUP($H17&amp;";Volume",#REF!,R$1-2020,FALSE)))/
VLOOKUP($H17&amp;";Volume",#REF!,R$1-2019,FALSE)</f>
        <v>#REF!</v>
      </c>
      <c r="S21" t="e">
        <f>(6*VLOOKUP($H17&amp;";TauxRenouvellement",#REF!,S$1-2020,FALSE)*VLOOKUP($H17&amp;";Volume",#REF!,S$1-2020,FALSE)+
R21*(VLOOKUP($H17&amp;";Volume",#REF!,S$1-2019,FALSE)-VLOOKUP($H17&amp;";TauxRenouvellement",#REF!,S$1-2020,FALSE)*VLOOKUP($H17&amp;";Volume",#REF!,S$1-2020,FALSE)))/
VLOOKUP($H17&amp;";Volume",#REF!,S$1-2019,FALSE)</f>
        <v>#REF!</v>
      </c>
      <c r="T21" t="e">
        <f>(6*VLOOKUP($H17&amp;";TauxRenouvellement",#REF!,T$1-2020,FALSE)*VLOOKUP($H17&amp;";Volume",#REF!,T$1-2020,FALSE)+
S21*(VLOOKUP($H17&amp;";Volume",#REF!,T$1-2019,FALSE)-VLOOKUP($H17&amp;";TauxRenouvellement",#REF!,T$1-2020,FALSE)*VLOOKUP($H17&amp;";Volume",#REF!,T$1-2020,FALSE)))/
VLOOKUP($H17&amp;";Volume",#REF!,T$1-2019,FALSE)</f>
        <v>#REF!</v>
      </c>
      <c r="U21" t="e">
        <f>(6*VLOOKUP($H17&amp;";TauxRenouvellement",#REF!,U$1-2020,FALSE)*VLOOKUP($H17&amp;";Volume",#REF!,U$1-2020,FALSE)+
T21*(VLOOKUP($H17&amp;";Volume",#REF!,U$1-2019,FALSE)-VLOOKUP($H17&amp;";TauxRenouvellement",#REF!,U$1-2020,FALSE)*VLOOKUP($H17&amp;";Volume",#REF!,U$1-2020,FALSE)))/
VLOOKUP($H17&amp;";Volume",#REF!,U$1-2019,FALSE)</f>
        <v>#REF!</v>
      </c>
      <c r="V21" t="e">
        <f>(6*VLOOKUP($H17&amp;";TauxRenouvellement",#REF!,V$1-2020,FALSE)*VLOOKUP($H17&amp;";Volume",#REF!,V$1-2020,FALSE)+
U21*(VLOOKUP($H17&amp;";Volume",#REF!,V$1-2019,FALSE)-VLOOKUP($H17&amp;";TauxRenouvellement",#REF!,V$1-2020,FALSE)*VLOOKUP($H17&amp;";Volume",#REF!,V$1-2020,FALSE)))/
VLOOKUP($H17&amp;";Volume",#REF!,V$1-2019,FALSE)</f>
        <v>#REF!</v>
      </c>
      <c r="W21" t="e">
        <f>(6*VLOOKUP($H17&amp;";TauxRenouvellement",#REF!,W$1-2020,FALSE)*VLOOKUP($H17&amp;";Volume",#REF!,W$1-2020,FALSE)+
V21*(VLOOKUP($H17&amp;";Volume",#REF!,W$1-2019,FALSE)-VLOOKUP($H17&amp;";TauxRenouvellement",#REF!,W$1-2020,FALSE)*VLOOKUP($H17&amp;";Volume",#REF!,W$1-2020,FALSE)))/
VLOOKUP($H17&amp;";Volume",#REF!,W$1-2019,FALSE)</f>
        <v>#REF!</v>
      </c>
      <c r="X21" t="e">
        <f>(6*VLOOKUP($H17&amp;";TauxRenouvellement",#REF!,X$1-2020,FALSE)*VLOOKUP($H17&amp;";Volume",#REF!,X$1-2020,FALSE)+
W21*(VLOOKUP($H17&amp;";Volume",#REF!,X$1-2019,FALSE)-VLOOKUP($H17&amp;";TauxRenouvellement",#REF!,X$1-2020,FALSE)*VLOOKUP($H17&amp;";Volume",#REF!,X$1-2020,FALSE)))/
VLOOKUP($H17&amp;";Volume",#REF!,X$1-2019,FALSE)</f>
        <v>#REF!</v>
      </c>
      <c r="Y21" t="e">
        <f>(6*VLOOKUP($H17&amp;";TauxRenouvellement",#REF!,Y$1-2020,FALSE)*VLOOKUP($H17&amp;";Volume",#REF!,Y$1-2020,FALSE)+
X21*(VLOOKUP($H17&amp;";Volume",#REF!,Y$1-2019,FALSE)-VLOOKUP($H17&amp;";TauxRenouvellement",#REF!,Y$1-2020,FALSE)*VLOOKUP($H17&amp;";Volume",#REF!,Y$1-2020,FALSE)))/
VLOOKUP($H17&amp;";Volume",#REF!,Y$1-2019,FALSE)</f>
        <v>#REF!</v>
      </c>
      <c r="Z21" t="e">
        <f>(6*VLOOKUP($H17&amp;";TauxRenouvellement",#REF!,Z$1-2020,FALSE)*VLOOKUP($H17&amp;";Volume",#REF!,Z$1-2020,FALSE)+
Y21*(VLOOKUP($H17&amp;";Volume",#REF!,Z$1-2019,FALSE)-VLOOKUP($H17&amp;";TauxRenouvellement",#REF!,Z$1-2020,FALSE)*VLOOKUP($H17&amp;";Volume",#REF!,Z$1-2020,FALSE)))/
VLOOKUP($H17&amp;";Volume",#REF!,Z$1-2019,FALSE)</f>
        <v>#REF!</v>
      </c>
      <c r="AA21" t="e">
        <f>(6*VLOOKUP($H17&amp;";TauxRenouvellement",#REF!,AA$1-2020,FALSE)*VLOOKUP($H17&amp;";Volume",#REF!,AA$1-2020,FALSE)+
Z21*(VLOOKUP($H17&amp;";Volume",#REF!,AA$1-2019,FALSE)-VLOOKUP($H17&amp;";TauxRenouvellement",#REF!,AA$1-2020,FALSE)*VLOOKUP($H17&amp;";Volume",#REF!,AA$1-2020,FALSE)))/
VLOOKUP($H17&amp;";Volume",#REF!,AA$1-2019,FALSE)</f>
        <v>#REF!</v>
      </c>
      <c r="AB21" t="e">
        <f>(6*VLOOKUP($H17&amp;";TauxRenouvellement",#REF!,AB$1-2020,FALSE)*VLOOKUP($H17&amp;";Volume",#REF!,AB$1-2020,FALSE)+
AA21*(VLOOKUP($H17&amp;";Volume",#REF!,AB$1-2019,FALSE)-VLOOKUP($H17&amp;";TauxRenouvellement",#REF!,AB$1-2020,FALSE)*VLOOKUP($H17&amp;";Volume",#REF!,AB$1-2020,FALSE)))/
VLOOKUP($H17&amp;";Volume",#REF!,AB$1-2019,FALSE)</f>
        <v>#REF!</v>
      </c>
      <c r="AC21" t="e">
        <f>(6*VLOOKUP($H17&amp;";TauxRenouvellement",#REF!,AC$1-2020,FALSE)*VLOOKUP($H17&amp;";Volume",#REF!,AC$1-2020,FALSE)+
AB21*(VLOOKUP($H17&amp;";Volume",#REF!,AC$1-2019,FALSE)-VLOOKUP($H17&amp;";TauxRenouvellement",#REF!,AC$1-2020,FALSE)*VLOOKUP($H17&amp;";Volume",#REF!,AC$1-2020,FALSE)))/
VLOOKUP($H17&amp;";Volume",#REF!,AC$1-2019,FALSE)</f>
        <v>#REF!</v>
      </c>
      <c r="AD21" t="e">
        <f>(6*VLOOKUP($H17&amp;";TauxRenouvellement",#REF!,AD$1-2020,FALSE)*VLOOKUP($H17&amp;";Volume",#REF!,AD$1-2020,FALSE)+
AC21*(VLOOKUP($H17&amp;";Volume",#REF!,AD$1-2019,FALSE)-VLOOKUP($H17&amp;";TauxRenouvellement",#REF!,AD$1-2020,FALSE)*VLOOKUP($H17&amp;";Volume",#REF!,AD$1-2020,FALSE)))/
VLOOKUP($H17&amp;";Volume",#REF!,AD$1-2019,FALSE)</f>
        <v>#REF!</v>
      </c>
      <c r="AE21" t="e">
        <f>(6*VLOOKUP($H17&amp;";TauxRenouvellement",#REF!,AE$1-2020,FALSE)*VLOOKUP($H17&amp;";Volume",#REF!,AE$1-2020,FALSE)+
AD21*(VLOOKUP($H17&amp;";Volume",#REF!,AE$1-2019,FALSE)-VLOOKUP($H17&amp;";TauxRenouvellement",#REF!,AE$1-2020,FALSE)*VLOOKUP($H17&amp;";Volume",#REF!,AE$1-2020,FALSE)))/
VLOOKUP($H17&amp;";Volume",#REF!,AE$1-2019,FALSE)</f>
        <v>#REF!</v>
      </c>
      <c r="AF21" t="e">
        <f>(6*VLOOKUP($H17&amp;";TauxRenouvellement",#REF!,AF$1-2020,FALSE)*VLOOKUP($H17&amp;";Volume",#REF!,AF$1-2020,FALSE)+
AE21*(VLOOKUP($H17&amp;";Volume",#REF!,AF$1-2019,FALSE)-VLOOKUP($H17&amp;";TauxRenouvellement",#REF!,AF$1-2020,FALSE)*VLOOKUP($H17&amp;";Volume",#REF!,AF$1-2020,FALSE)))/
VLOOKUP($H17&amp;";Volume",#REF!,AF$1-2019,FALSE)</f>
        <v>#REF!</v>
      </c>
      <c r="AG21" t="e">
        <f>(6*VLOOKUP($H17&amp;";TauxRenouvellement",#REF!,AG$1-2020,FALSE)*VLOOKUP($H17&amp;";Volume",#REF!,AG$1-2020,FALSE)+
AF21*(VLOOKUP($H17&amp;";Volume",#REF!,AG$1-2019,FALSE)-VLOOKUP($H17&amp;";TauxRenouvellement",#REF!,AG$1-2020,FALSE)*VLOOKUP($H17&amp;";Volume",#REF!,AG$1-2020,FALSE)))/
VLOOKUP($H17&amp;";Volume",#REF!,AG$1-2019,FALSE)</f>
        <v>#REF!</v>
      </c>
      <c r="AH21" t="e">
        <f>(6*VLOOKUP($H17&amp;";TauxRenouvellement",#REF!,AH$1-2020,FALSE)*VLOOKUP($H17&amp;";Volume",#REF!,AH$1-2020,FALSE)+
AG21*(VLOOKUP($H17&amp;";Volume",#REF!,AH$1-2019,FALSE)-VLOOKUP($H17&amp;";TauxRenouvellement",#REF!,AH$1-2020,FALSE)*VLOOKUP($H17&amp;";Volume",#REF!,AH$1-2020,FALSE)))/
VLOOKUP($H17&amp;";Volume",#REF!,AH$1-2019,FALSE)</f>
        <v>#REF!</v>
      </c>
      <c r="AI21" t="e">
        <f>(6*VLOOKUP($H17&amp;";TauxRenouvellement",#REF!,AI$1-2020,FALSE)*VLOOKUP($H17&amp;";Volume",#REF!,AI$1-2020,FALSE)+
AH21*(VLOOKUP($H17&amp;";Volume",#REF!,AI$1-2019,FALSE)-VLOOKUP($H17&amp;";TauxRenouvellement",#REF!,AI$1-2020,FALSE)*VLOOKUP($H17&amp;";Volume",#REF!,AI$1-2020,FALSE)))/
VLOOKUP($H17&amp;";Volume",#REF!,AI$1-2019,FALSE)</f>
        <v>#REF!</v>
      </c>
      <c r="AJ21" t="e">
        <f>(6*VLOOKUP($H17&amp;";TauxRenouvellement",#REF!,AJ$1-2020,FALSE)*VLOOKUP($H17&amp;";Volume",#REF!,AJ$1-2020,FALSE)+
AI21*(VLOOKUP($H17&amp;";Volume",#REF!,AJ$1-2019,FALSE)-VLOOKUP($H17&amp;";TauxRenouvellement",#REF!,AJ$1-2020,FALSE)*VLOOKUP($H17&amp;";Volume",#REF!,AJ$1-2020,FALSE)))/
VLOOKUP($H17&amp;";Volume",#REF!,AJ$1-2019,FALSE)</f>
        <v>#REF!</v>
      </c>
      <c r="AK21" t="e">
        <f>(6*VLOOKUP($H17&amp;";TauxRenouvellement",#REF!,AK$1-2020,FALSE)*VLOOKUP($H17&amp;";Volume",#REF!,AK$1-2020,FALSE)+
AJ21*(VLOOKUP($H17&amp;";Volume",#REF!,AK$1-2019,FALSE)-VLOOKUP($H17&amp;";TauxRenouvellement",#REF!,AK$1-2020,FALSE)*VLOOKUP($H17&amp;";Volume",#REF!,AK$1-2020,FALSE)))/
VLOOKUP($H17&amp;";Volume",#REF!,AK$1-2019,FALSE)</f>
        <v>#REF!</v>
      </c>
      <c r="AL21" t="e">
        <f>(6*VLOOKUP($H17&amp;";TauxRenouvellement",#REF!,AL$1-2020,FALSE)*VLOOKUP($H17&amp;";Volume",#REF!,AL$1-2020,FALSE)+
AK21*(VLOOKUP($H17&amp;";Volume",#REF!,AL$1-2019,FALSE)-VLOOKUP($H17&amp;";TauxRenouvellement",#REF!,AL$1-2020,FALSE)*VLOOKUP($H17&amp;";Volume",#REF!,AL$1-2020,FALSE)))/
VLOOKUP($H17&amp;";Volume",#REF!,AL$1-2019,FALSE)</f>
        <v>#REF!</v>
      </c>
      <c r="AM21" t="e">
        <f>(6*VLOOKUP($H17&amp;";TauxRenouvellement",#REF!,AM$1-2020,FALSE)*VLOOKUP($H17&amp;";Volume",#REF!,AM$1-2020,FALSE)+
AL21*(VLOOKUP($H17&amp;";Volume",#REF!,AM$1-2019,FALSE)-VLOOKUP($H17&amp;";TauxRenouvellement",#REF!,AM$1-2020,FALSE)*VLOOKUP($H17&amp;";Volume",#REF!,AM$1-2020,FALSE)))/
VLOOKUP($H17&amp;";Volume",#REF!,AM$1-2019,FALSE)</f>
        <v>#REF!</v>
      </c>
      <c r="AN21" t="e">
        <f>(6*VLOOKUP($H17&amp;";TauxRenouvellement",#REF!,AN$1-2020,FALSE)*VLOOKUP($H17&amp;";Volume",#REF!,AN$1-2020,FALSE)+
AM21*(VLOOKUP($H17&amp;";Volume",#REF!,AN$1-2019,FALSE)-VLOOKUP($H17&amp;";TauxRenouvellement",#REF!,AN$1-2020,FALSE)*VLOOKUP($H17&amp;";Volume",#REF!,AN$1-2020,FALSE)))/
VLOOKUP($H17&amp;";Volume",#REF!,AN$1-2019,FALSE)</f>
        <v>#REF!</v>
      </c>
      <c r="AO21" t="e">
        <f>(6*VLOOKUP($H17&amp;";TauxRenouvellement",#REF!,AO$1-2020,FALSE)*VLOOKUP($H17&amp;";Volume",#REF!,AO$1-2020,FALSE)+
AN21*(VLOOKUP($H17&amp;";Volume",#REF!,AO$1-2019,FALSE)-VLOOKUP($H17&amp;";TauxRenouvellement",#REF!,AO$1-2020,FALSE)*VLOOKUP($H17&amp;";Volume",#REF!,AO$1-2020,FALSE)))/
VLOOKUP($H17&amp;";Volume",#REF!,AO$1-2019,FALSE)</f>
        <v>#REF!</v>
      </c>
      <c r="AP21" t="e">
        <f>(6*VLOOKUP($H17&amp;";TauxRenouvellement",#REF!,AP$1-2020,FALSE)*VLOOKUP($H17&amp;";Volume",#REF!,AP$1-2020,FALSE)+
AO21*(VLOOKUP($H17&amp;";Volume",#REF!,AP$1-2019,FALSE)-VLOOKUP($H17&amp;";TauxRenouvellement",#REF!,AP$1-2020,FALSE)*VLOOKUP($H17&amp;";Volume",#REF!,AP$1-2020,FALSE)))/
VLOOKUP($H17&amp;";Volume",#REF!,AP$1-2019,FALSE)</f>
        <v>#REF!</v>
      </c>
    </row>
    <row r="22" spans="1:42" outlineLevel="1" x14ac:dyDescent="0.25">
      <c r="A22" t="s">
        <v>76</v>
      </c>
      <c r="B22" s="2" t="s">
        <v>90</v>
      </c>
      <c r="C22" t="s">
        <v>84</v>
      </c>
      <c r="E22" t="str">
        <f>_xlfn.CONCAT("FretRout",LEFT(B22,3),RIGHT(B22,1),"CritAir")</f>
        <v>FretRoutCat2CritAir</v>
      </c>
      <c r="F22" t="s">
        <v>36</v>
      </c>
      <c r="G22">
        <v>1</v>
      </c>
      <c r="H22" s="2"/>
      <c r="I22">
        <v>2</v>
      </c>
      <c r="K22" s="4">
        <f t="shared" si="1"/>
        <v>2</v>
      </c>
      <c r="Q22" t="e">
        <v>#REF!</v>
      </c>
      <c r="R22" t="e">
        <f>(VLOOKUP($H17&amp;";TauxRenouvellement",#REF!,R$1-2020,FALSE)*VLOOKUP($H17&amp;";Volume",#REF!,R$1-2020,FALSE)+
Q22*(VLOOKUP($H17&amp;";Volume",#REF!,R$1-2019,FALSE)-VLOOKUP($H17&amp;";TauxRenouvellement",#REF!,R$1-2020,FALSE)*VLOOKUP($H17&amp;";Volume",#REF!,R$1-2020,FALSE)))/
VLOOKUP($H17&amp;";Volume",#REF!,R$1-2019,FALSE)</f>
        <v>#REF!</v>
      </c>
      <c r="S22" t="e">
        <f>(VLOOKUP($H17&amp;";TauxRenouvellement",#REF!,S$1-2020,FALSE)*VLOOKUP($H17&amp;";Volume",#REF!,S$1-2020,FALSE)+
R22*(VLOOKUP($H17&amp;";Volume",#REF!,S$1-2019,FALSE)-VLOOKUP($H17&amp;";TauxRenouvellement",#REF!,S$1-2020,FALSE)*VLOOKUP($H17&amp;";Volume",#REF!,S$1-2020,FALSE)))/
VLOOKUP($H17&amp;";Volume",#REF!,S$1-2019,FALSE)</f>
        <v>#REF!</v>
      </c>
      <c r="T22" t="e">
        <f>(VLOOKUP($H17&amp;";TauxRenouvellement",#REF!,T$1-2020,FALSE)*VLOOKUP($H17&amp;";Volume",#REF!,T$1-2020,FALSE)+
S22*(VLOOKUP($H17&amp;";Volume",#REF!,T$1-2019,FALSE)-VLOOKUP($H17&amp;";TauxRenouvellement",#REF!,T$1-2020,FALSE)*VLOOKUP($H17&amp;";Volume",#REF!,T$1-2020,FALSE)))/
VLOOKUP($H17&amp;";Volume",#REF!,T$1-2019,FALSE)</f>
        <v>#REF!</v>
      </c>
      <c r="U22" t="e">
        <f>(VLOOKUP($H17&amp;";TauxRenouvellement",#REF!,U$1-2020,FALSE)*VLOOKUP($H17&amp;";Volume",#REF!,U$1-2020,FALSE)+
T22*(VLOOKUP($H17&amp;";Volume",#REF!,U$1-2019,FALSE)-VLOOKUP($H17&amp;";TauxRenouvellement",#REF!,U$1-2020,FALSE)*VLOOKUP($H17&amp;";Volume",#REF!,U$1-2020,FALSE)))/
VLOOKUP($H17&amp;";Volume",#REF!,U$1-2019,FALSE)</f>
        <v>#REF!</v>
      </c>
      <c r="V22" t="e">
        <f>(VLOOKUP($H17&amp;";TauxRenouvellement",#REF!,V$1-2020,FALSE)*VLOOKUP($H17&amp;";Volume",#REF!,V$1-2020,FALSE)+
U22*(VLOOKUP($H17&amp;";Volume",#REF!,V$1-2019,FALSE)-VLOOKUP($H17&amp;";TauxRenouvellement",#REF!,V$1-2020,FALSE)*VLOOKUP($H17&amp;";Volume",#REF!,V$1-2020,FALSE)))/
VLOOKUP($H17&amp;";Volume",#REF!,V$1-2019,FALSE)</f>
        <v>#REF!</v>
      </c>
      <c r="W22" t="e">
        <f>(VLOOKUP($H17&amp;";TauxRenouvellement",#REF!,W$1-2020,FALSE)*VLOOKUP($H17&amp;";Volume",#REF!,W$1-2020,FALSE)+
V22*(VLOOKUP($H17&amp;";Volume",#REF!,W$1-2019,FALSE)-VLOOKUP($H17&amp;";TauxRenouvellement",#REF!,W$1-2020,FALSE)*VLOOKUP($H17&amp;";Volume",#REF!,W$1-2020,FALSE)))/
VLOOKUP($H17&amp;";Volume",#REF!,W$1-2019,FALSE)</f>
        <v>#REF!</v>
      </c>
      <c r="X22" t="e">
        <f>(VLOOKUP($H17&amp;";TauxRenouvellement",#REF!,X$1-2020,FALSE)*VLOOKUP($H17&amp;";Volume",#REF!,X$1-2020,FALSE)+
W22*(VLOOKUP($H17&amp;";Volume",#REF!,X$1-2019,FALSE)-VLOOKUP($H17&amp;";TauxRenouvellement",#REF!,X$1-2020,FALSE)*VLOOKUP($H17&amp;";Volume",#REF!,X$1-2020,FALSE)))/
VLOOKUP($H17&amp;";Volume",#REF!,X$1-2019,FALSE)</f>
        <v>#REF!</v>
      </c>
      <c r="Y22" t="e">
        <f>(VLOOKUP($H17&amp;";TauxRenouvellement",#REF!,Y$1-2020,FALSE)*VLOOKUP($H17&amp;";Volume",#REF!,Y$1-2020,FALSE)+
X22*(VLOOKUP($H17&amp;";Volume",#REF!,Y$1-2019,FALSE)-VLOOKUP($H17&amp;";TauxRenouvellement",#REF!,Y$1-2020,FALSE)*VLOOKUP($H17&amp;";Volume",#REF!,Y$1-2020,FALSE)))/
VLOOKUP($H17&amp;";Volume",#REF!,Y$1-2019,FALSE)</f>
        <v>#REF!</v>
      </c>
      <c r="Z22" t="e">
        <f>(VLOOKUP($H17&amp;";TauxRenouvellement",#REF!,Z$1-2020,FALSE)*VLOOKUP($H17&amp;";Volume",#REF!,Z$1-2020,FALSE)+
Y22*(VLOOKUP($H17&amp;";Volume",#REF!,Z$1-2019,FALSE)-VLOOKUP($H17&amp;";TauxRenouvellement",#REF!,Z$1-2020,FALSE)*VLOOKUP($H17&amp;";Volume",#REF!,Z$1-2020,FALSE)))/
VLOOKUP($H17&amp;";Volume",#REF!,Z$1-2019,FALSE)</f>
        <v>#REF!</v>
      </c>
      <c r="AA22" t="e">
        <f>(VLOOKUP($H17&amp;";TauxRenouvellement",#REF!,AA$1-2020,FALSE)*VLOOKUP($H17&amp;";Volume",#REF!,AA$1-2020,FALSE)+
Z22*(VLOOKUP($H17&amp;";Volume",#REF!,AA$1-2019,FALSE)-VLOOKUP($H17&amp;";TauxRenouvellement",#REF!,AA$1-2020,FALSE)*VLOOKUP($H17&amp;";Volume",#REF!,AA$1-2020,FALSE)))/
VLOOKUP($H17&amp;";Volume",#REF!,AA$1-2019,FALSE)</f>
        <v>#REF!</v>
      </c>
      <c r="AB22" t="e">
        <f>(VLOOKUP($H17&amp;";TauxRenouvellement",#REF!,AB$1-2020,FALSE)*VLOOKUP($H17&amp;";Volume",#REF!,AB$1-2020,FALSE)+
AA22*(VLOOKUP($H17&amp;";Volume",#REF!,AB$1-2019,FALSE)-VLOOKUP($H17&amp;";TauxRenouvellement",#REF!,AB$1-2020,FALSE)*VLOOKUP($H17&amp;";Volume",#REF!,AB$1-2020,FALSE)))/
VLOOKUP($H17&amp;";Volume",#REF!,AB$1-2019,FALSE)</f>
        <v>#REF!</v>
      </c>
      <c r="AC22" t="e">
        <f>(VLOOKUP($H17&amp;";TauxRenouvellement",#REF!,AC$1-2020,FALSE)*VLOOKUP($H17&amp;";Volume",#REF!,AC$1-2020,FALSE)+
AB22*(VLOOKUP($H17&amp;";Volume",#REF!,AC$1-2019,FALSE)-VLOOKUP($H17&amp;";TauxRenouvellement",#REF!,AC$1-2020,FALSE)*VLOOKUP($H17&amp;";Volume",#REF!,AC$1-2020,FALSE)))/
VLOOKUP($H17&amp;";Volume",#REF!,AC$1-2019,FALSE)</f>
        <v>#REF!</v>
      </c>
      <c r="AD22" t="e">
        <f>(VLOOKUP($H17&amp;";TauxRenouvellement",#REF!,AD$1-2020,FALSE)*VLOOKUP($H17&amp;";Volume",#REF!,AD$1-2020,FALSE)+
AC22*(VLOOKUP($H17&amp;";Volume",#REF!,AD$1-2019,FALSE)-VLOOKUP($H17&amp;";TauxRenouvellement",#REF!,AD$1-2020,FALSE)*VLOOKUP($H17&amp;";Volume",#REF!,AD$1-2020,FALSE)))/
VLOOKUP($H17&amp;";Volume",#REF!,AD$1-2019,FALSE)</f>
        <v>#REF!</v>
      </c>
      <c r="AE22" t="e">
        <f>(VLOOKUP($H17&amp;";TauxRenouvellement",#REF!,AE$1-2020,FALSE)*VLOOKUP($H17&amp;";Volume",#REF!,AE$1-2020,FALSE)+
AD22*(VLOOKUP($H17&amp;";Volume",#REF!,AE$1-2019,FALSE)-VLOOKUP($H17&amp;";TauxRenouvellement",#REF!,AE$1-2020,FALSE)*VLOOKUP($H17&amp;";Volume",#REF!,AE$1-2020,FALSE)))/
VLOOKUP($H17&amp;";Volume",#REF!,AE$1-2019,FALSE)</f>
        <v>#REF!</v>
      </c>
      <c r="AF22" t="e">
        <f>(VLOOKUP($H17&amp;";TauxRenouvellement",#REF!,AF$1-2020,FALSE)*VLOOKUP($H17&amp;";Volume",#REF!,AF$1-2020,FALSE)+
AE22*(VLOOKUP($H17&amp;";Volume",#REF!,AF$1-2019,FALSE)-VLOOKUP($H17&amp;";TauxRenouvellement",#REF!,AF$1-2020,FALSE)*VLOOKUP($H17&amp;";Volume",#REF!,AF$1-2020,FALSE)))/
VLOOKUP($H17&amp;";Volume",#REF!,AF$1-2019,FALSE)</f>
        <v>#REF!</v>
      </c>
      <c r="AG22" t="e">
        <f>(VLOOKUP($H17&amp;";TauxRenouvellement",#REF!,AG$1-2020,FALSE)*VLOOKUP($H17&amp;";Volume",#REF!,AG$1-2020,FALSE)+
AF22*(VLOOKUP($H17&amp;";Volume",#REF!,AG$1-2019,FALSE)-VLOOKUP($H17&amp;";TauxRenouvellement",#REF!,AG$1-2020,FALSE)*VLOOKUP($H17&amp;";Volume",#REF!,AG$1-2020,FALSE)))/
VLOOKUP($H17&amp;";Volume",#REF!,AG$1-2019,FALSE)</f>
        <v>#REF!</v>
      </c>
      <c r="AH22" t="e">
        <f>(VLOOKUP($H17&amp;";TauxRenouvellement",#REF!,AH$1-2020,FALSE)*VLOOKUP($H17&amp;";Volume",#REF!,AH$1-2020,FALSE)+
AG22*(VLOOKUP($H17&amp;";Volume",#REF!,AH$1-2019,FALSE)-VLOOKUP($H17&amp;";TauxRenouvellement",#REF!,AH$1-2020,FALSE)*VLOOKUP($H17&amp;";Volume",#REF!,AH$1-2020,FALSE)))/
VLOOKUP($H17&amp;";Volume",#REF!,AH$1-2019,FALSE)</f>
        <v>#REF!</v>
      </c>
      <c r="AI22" t="e">
        <f>(VLOOKUP($H17&amp;";TauxRenouvellement",#REF!,AI$1-2020,FALSE)*VLOOKUP($H17&amp;";Volume",#REF!,AI$1-2020,FALSE)+
AH22*(VLOOKUP($H17&amp;";Volume",#REF!,AI$1-2019,FALSE)-VLOOKUP($H17&amp;";TauxRenouvellement",#REF!,AI$1-2020,FALSE)*VLOOKUP($H17&amp;";Volume",#REF!,AI$1-2020,FALSE)))/
VLOOKUP($H17&amp;";Volume",#REF!,AI$1-2019,FALSE)</f>
        <v>#REF!</v>
      </c>
      <c r="AJ22" t="e">
        <f>(VLOOKUP($H17&amp;";TauxRenouvellement",#REF!,AJ$1-2020,FALSE)*VLOOKUP($H17&amp;";Volume",#REF!,AJ$1-2020,FALSE)+
AI22*(VLOOKUP($H17&amp;";Volume",#REF!,AJ$1-2019,FALSE)-VLOOKUP($H17&amp;";TauxRenouvellement",#REF!,AJ$1-2020,FALSE)*VLOOKUP($H17&amp;";Volume",#REF!,AJ$1-2020,FALSE)))/
VLOOKUP($H17&amp;";Volume",#REF!,AJ$1-2019,FALSE)</f>
        <v>#REF!</v>
      </c>
      <c r="AK22" t="e">
        <f>(VLOOKUP($H17&amp;";TauxRenouvellement",#REF!,AK$1-2020,FALSE)*VLOOKUP($H17&amp;";Volume",#REF!,AK$1-2020,FALSE)+
AJ22*(VLOOKUP($H17&amp;";Volume",#REF!,AK$1-2019,FALSE)-VLOOKUP($H17&amp;";TauxRenouvellement",#REF!,AK$1-2020,FALSE)*VLOOKUP($H17&amp;";Volume",#REF!,AK$1-2020,FALSE)))/
VLOOKUP($H17&amp;";Volume",#REF!,AK$1-2019,FALSE)</f>
        <v>#REF!</v>
      </c>
      <c r="AL22" t="e">
        <f>(VLOOKUP($H17&amp;";TauxRenouvellement",#REF!,AL$1-2020,FALSE)*VLOOKUP($H17&amp;";Volume",#REF!,AL$1-2020,FALSE)+
AK22*(VLOOKUP($H17&amp;";Volume",#REF!,AL$1-2019,FALSE)-VLOOKUP($H17&amp;";TauxRenouvellement",#REF!,AL$1-2020,FALSE)*VLOOKUP($H17&amp;";Volume",#REF!,AL$1-2020,FALSE)))/
VLOOKUP($H17&amp;";Volume",#REF!,AL$1-2019,FALSE)</f>
        <v>#REF!</v>
      </c>
      <c r="AM22" t="e">
        <f>(VLOOKUP($H17&amp;";TauxRenouvellement",#REF!,AM$1-2020,FALSE)*VLOOKUP($H17&amp;";Volume",#REF!,AM$1-2020,FALSE)+
AL22*(VLOOKUP($H17&amp;";Volume",#REF!,AM$1-2019,FALSE)-VLOOKUP($H17&amp;";TauxRenouvellement",#REF!,AM$1-2020,FALSE)*VLOOKUP($H17&amp;";Volume",#REF!,AM$1-2020,FALSE)))/
VLOOKUP($H17&amp;";Volume",#REF!,AM$1-2019,FALSE)</f>
        <v>#REF!</v>
      </c>
      <c r="AN22" t="e">
        <f>(VLOOKUP($H17&amp;";TauxRenouvellement",#REF!,AN$1-2020,FALSE)*VLOOKUP($H17&amp;";Volume",#REF!,AN$1-2020,FALSE)+
AM22*(VLOOKUP($H17&amp;";Volume",#REF!,AN$1-2019,FALSE)-VLOOKUP($H17&amp;";TauxRenouvellement",#REF!,AN$1-2020,FALSE)*VLOOKUP($H17&amp;";Volume",#REF!,AN$1-2020,FALSE)))/
VLOOKUP($H17&amp;";Volume",#REF!,AN$1-2019,FALSE)</f>
        <v>#REF!</v>
      </c>
      <c r="AO22" t="e">
        <f>(VLOOKUP($H17&amp;";TauxRenouvellement",#REF!,AO$1-2020,FALSE)*VLOOKUP($H17&amp;";Volume",#REF!,AO$1-2020,FALSE)+
AN22*(VLOOKUP($H17&amp;";Volume",#REF!,AO$1-2019,FALSE)-VLOOKUP($H17&amp;";TauxRenouvellement",#REF!,AO$1-2020,FALSE)*VLOOKUP($H17&amp;";Volume",#REF!,AO$1-2020,FALSE)))/
VLOOKUP($H17&amp;";Volume",#REF!,AO$1-2019,FALSE)</f>
        <v>#REF!</v>
      </c>
      <c r="AP22" t="e">
        <f>(VLOOKUP($H17&amp;";TauxRenouvellement",#REF!,AP$1-2020,FALSE)*VLOOKUP($H17&amp;";Volume",#REF!,AP$1-2020,FALSE)+
AO22*(VLOOKUP($H17&amp;";Volume",#REF!,AP$1-2019,FALSE)-VLOOKUP($H17&amp;";TauxRenouvellement",#REF!,AP$1-2020,FALSE)*VLOOKUP($H17&amp;";Volume",#REF!,AP$1-2020,FALSE)))/
VLOOKUP($H17&amp;";Volume",#REF!,AP$1-2019,FALSE)</f>
        <v>#REF!</v>
      </c>
    </row>
    <row r="23" spans="1:42" outlineLevel="1" x14ac:dyDescent="0.25">
      <c r="A23" t="s">
        <v>76</v>
      </c>
      <c r="B23" s="2" t="s">
        <v>90</v>
      </c>
      <c r="C23" t="s">
        <v>85</v>
      </c>
      <c r="E23" t="str">
        <f>_xlfn.CONCAT("FretRout",LEFT(B23,3),RIGHT(B23,1),"Nb")</f>
        <v>FretRoutCat2Nb</v>
      </c>
      <c r="F23" t="s">
        <v>17</v>
      </c>
      <c r="G23">
        <v>1</v>
      </c>
      <c r="J23" t="s">
        <v>86</v>
      </c>
      <c r="K23">
        <v>0</v>
      </c>
    </row>
    <row r="24" spans="1:42" outlineLevel="1" x14ac:dyDescent="0.25">
      <c r="A24" t="s">
        <v>76</v>
      </c>
      <c r="B24" s="2" t="s">
        <v>90</v>
      </c>
      <c r="C24" t="s">
        <v>87</v>
      </c>
      <c r="E24" t="str">
        <f>_xlfn.CONCAT("FretRout",LEFT(B24,3),RIGHT(B24,1),"Dist")</f>
        <v>FretRoutCat2Dist</v>
      </c>
      <c r="F24" t="s">
        <v>17</v>
      </c>
      <c r="G24">
        <v>1</v>
      </c>
      <c r="H24" s="2"/>
      <c r="J24" t="s">
        <v>88</v>
      </c>
      <c r="K24">
        <v>17855</v>
      </c>
    </row>
    <row r="25" spans="1:42" outlineLevel="1" x14ac:dyDescent="0.25">
      <c r="A25" t="s">
        <v>76</v>
      </c>
      <c r="B25" s="2" t="s">
        <v>90</v>
      </c>
      <c r="C25" s="2" t="s">
        <v>89</v>
      </c>
      <c r="E25" t="str">
        <f>_xlfn.CONCAT("FretRout",LEFT(B25,3),RIGHT(B25,1),"Rempl")</f>
        <v>FretRoutCat2Rempl</v>
      </c>
      <c r="F25" t="s">
        <v>17</v>
      </c>
      <c r="G25">
        <v>1</v>
      </c>
      <c r="H25" s="3">
        <v>0.87</v>
      </c>
      <c r="J25" t="s">
        <v>70</v>
      </c>
      <c r="K25">
        <v>0</v>
      </c>
    </row>
    <row r="26" spans="1:42" outlineLevel="1" x14ac:dyDescent="0.25">
      <c r="A26" t="s">
        <v>76</v>
      </c>
      <c r="B26" s="2" t="s">
        <v>91</v>
      </c>
      <c r="C26" t="s">
        <v>78</v>
      </c>
      <c r="E26" t="str">
        <f>_xlfn.CONCAT("FretRout",LEFT(B26,3),RIGHT(B26,1),"Nom")</f>
        <v>FretRoutCat3Nom</v>
      </c>
      <c r="F26" t="s">
        <v>20</v>
      </c>
      <c r="G26">
        <v>1</v>
      </c>
      <c r="H26" s="4"/>
      <c r="I26" s="4" t="s">
        <v>388</v>
      </c>
      <c r="K26" s="4" t="str">
        <f t="shared" ref="K26:K32" si="2">I26</f>
        <v>VUL Diesel (Crit'Air 3)</v>
      </c>
    </row>
    <row r="27" spans="1:42" outlineLevel="1" x14ac:dyDescent="0.25">
      <c r="A27" t="s">
        <v>76</v>
      </c>
      <c r="B27" s="2" t="s">
        <v>91</v>
      </c>
      <c r="C27" t="s">
        <v>79</v>
      </c>
      <c r="E27" t="str">
        <f>_xlfn.CONCAT("FretRout",LEFT(B27,3),RIGHT(B27,1),"Type")</f>
        <v>FretRoutCat3Type</v>
      </c>
      <c r="F27" t="s">
        <v>20</v>
      </c>
      <c r="G27">
        <v>1</v>
      </c>
      <c r="I27" t="s">
        <v>1770</v>
      </c>
      <c r="K27" s="4" t="str">
        <f t="shared" si="2"/>
        <v>VUL</v>
      </c>
    </row>
    <row r="28" spans="1:42" outlineLevel="1" x14ac:dyDescent="0.25">
      <c r="A28" t="s">
        <v>76</v>
      </c>
      <c r="B28" s="2" t="s">
        <v>91</v>
      </c>
      <c r="C28" t="s">
        <v>80</v>
      </c>
      <c r="E28" t="str">
        <f>_xlfn.CONCAT("FretRout",LEFT(B28,3),RIGHT(B28,1),"PTAC")</f>
        <v>FretRoutCat3PTAC</v>
      </c>
      <c r="F28" t="s">
        <v>36</v>
      </c>
      <c r="G28">
        <v>1</v>
      </c>
      <c r="I28" t="s">
        <v>1451</v>
      </c>
      <c r="K28" s="4" t="str">
        <f t="shared" si="2"/>
        <v>&lt;=3,5t</v>
      </c>
    </row>
    <row r="29" spans="1:42" outlineLevel="1" x14ac:dyDescent="0.25">
      <c r="A29" t="s">
        <v>76</v>
      </c>
      <c r="B29" s="2" t="s">
        <v>91</v>
      </c>
      <c r="C29" t="s">
        <v>81</v>
      </c>
      <c r="E29" t="str">
        <f>_xlfn.CONCAT("FretRout",LEFT(B29,3),RIGHT(B29,1),"Mot")</f>
        <v>FretRoutCat3Mot</v>
      </c>
      <c r="F29" t="s">
        <v>36</v>
      </c>
      <c r="G29">
        <v>1</v>
      </c>
      <c r="H29" s="2"/>
      <c r="I29" t="s">
        <v>138</v>
      </c>
      <c r="K29" s="4" t="str">
        <f t="shared" si="2"/>
        <v>Diesel</v>
      </c>
    </row>
    <row r="30" spans="1:42" outlineLevel="1" x14ac:dyDescent="0.25">
      <c r="A30" t="s">
        <v>76</v>
      </c>
      <c r="B30" s="2" t="s">
        <v>91</v>
      </c>
      <c r="C30" t="s">
        <v>82</v>
      </c>
      <c r="E30" t="str">
        <f>_xlfn.CONCAT("FretRout",LEFT(B30,3),RIGHT(B30,1),"Carb")</f>
        <v>FretRoutCat3Carb</v>
      </c>
      <c r="F30" t="s">
        <v>36</v>
      </c>
      <c r="G30">
        <v>1</v>
      </c>
      <c r="I30" t="s">
        <v>1449</v>
      </c>
      <c r="K30" s="4" t="str">
        <f t="shared" si="2"/>
        <v>Gazole à la pompe</v>
      </c>
    </row>
    <row r="31" spans="1:42" outlineLevel="1" x14ac:dyDescent="0.25">
      <c r="A31" t="s">
        <v>76</v>
      </c>
      <c r="B31" s="2" t="s">
        <v>91</v>
      </c>
      <c r="C31" t="s">
        <v>83</v>
      </c>
      <c r="E31" t="str">
        <f>_xlfn.CONCAT("FretRout",LEFT(B31,3),RIGHT(B31,1),"Euro")</f>
        <v>FretRoutCat3Euro</v>
      </c>
      <c r="F31" t="s">
        <v>36</v>
      </c>
      <c r="G31">
        <v>1</v>
      </c>
      <c r="I31">
        <v>0</v>
      </c>
      <c r="K31" s="4">
        <f t="shared" si="2"/>
        <v>0</v>
      </c>
      <c r="Q31" t="e">
        <v>#REF!</v>
      </c>
      <c r="R31" t="e">
        <f>(6*VLOOKUP($H27&amp;";TauxRenouvellement",#REF!,R$1-2020,FALSE)*VLOOKUP($H27&amp;";Volume",#REF!,R$1-2020,FALSE)+
Q31*(VLOOKUP($H27&amp;";Volume",#REF!,R$1-2019,FALSE)-VLOOKUP($H27&amp;";TauxRenouvellement",#REF!,R$1-2020,FALSE)*VLOOKUP($H27&amp;";Volume",#REF!,R$1-2020,FALSE)))/
VLOOKUP($H27&amp;";Volume",#REF!,R$1-2019,FALSE)</f>
        <v>#REF!</v>
      </c>
      <c r="S31" t="e">
        <f>(6*VLOOKUP($H27&amp;";TauxRenouvellement",#REF!,S$1-2020,FALSE)*VLOOKUP($H27&amp;";Volume",#REF!,S$1-2020,FALSE)+
R31*(VLOOKUP($H27&amp;";Volume",#REF!,S$1-2019,FALSE)-VLOOKUP($H27&amp;";TauxRenouvellement",#REF!,S$1-2020,FALSE)*VLOOKUP($H27&amp;";Volume",#REF!,S$1-2020,FALSE)))/
VLOOKUP($H27&amp;";Volume",#REF!,S$1-2019,FALSE)</f>
        <v>#REF!</v>
      </c>
      <c r="T31" t="e">
        <f>(6*VLOOKUP($H27&amp;";TauxRenouvellement",#REF!,T$1-2020,FALSE)*VLOOKUP($H27&amp;";Volume",#REF!,T$1-2020,FALSE)+
S31*(VLOOKUP($H27&amp;";Volume",#REF!,T$1-2019,FALSE)-VLOOKUP($H27&amp;";TauxRenouvellement",#REF!,T$1-2020,FALSE)*VLOOKUP($H27&amp;";Volume",#REF!,T$1-2020,FALSE)))/
VLOOKUP($H27&amp;";Volume",#REF!,T$1-2019,FALSE)</f>
        <v>#REF!</v>
      </c>
      <c r="U31" t="e">
        <f>(6*VLOOKUP($H27&amp;";TauxRenouvellement",#REF!,U$1-2020,FALSE)*VLOOKUP($H27&amp;";Volume",#REF!,U$1-2020,FALSE)+
T31*(VLOOKUP($H27&amp;";Volume",#REF!,U$1-2019,FALSE)-VLOOKUP($H27&amp;";TauxRenouvellement",#REF!,U$1-2020,FALSE)*VLOOKUP($H27&amp;";Volume",#REF!,U$1-2020,FALSE)))/
VLOOKUP($H27&amp;";Volume",#REF!,U$1-2019,FALSE)</f>
        <v>#REF!</v>
      </c>
      <c r="V31" t="e">
        <f>(6*VLOOKUP($H27&amp;";TauxRenouvellement",#REF!,V$1-2020,FALSE)*VLOOKUP($H27&amp;";Volume",#REF!,V$1-2020,FALSE)+
U31*(VLOOKUP($H27&amp;";Volume",#REF!,V$1-2019,FALSE)-VLOOKUP($H27&amp;";TauxRenouvellement",#REF!,V$1-2020,FALSE)*VLOOKUP($H27&amp;";Volume",#REF!,V$1-2020,FALSE)))/
VLOOKUP($H27&amp;";Volume",#REF!,V$1-2019,FALSE)</f>
        <v>#REF!</v>
      </c>
      <c r="W31" t="e">
        <f>(6*VLOOKUP($H27&amp;";TauxRenouvellement",#REF!,W$1-2020,FALSE)*VLOOKUP($H27&amp;";Volume",#REF!,W$1-2020,FALSE)+
V31*(VLOOKUP($H27&amp;";Volume",#REF!,W$1-2019,FALSE)-VLOOKUP($H27&amp;";TauxRenouvellement",#REF!,W$1-2020,FALSE)*VLOOKUP($H27&amp;";Volume",#REF!,W$1-2020,FALSE)))/
VLOOKUP($H27&amp;";Volume",#REF!,W$1-2019,FALSE)</f>
        <v>#REF!</v>
      </c>
      <c r="X31" t="e">
        <f>(6*VLOOKUP($H27&amp;";TauxRenouvellement",#REF!,X$1-2020,FALSE)*VLOOKUP($H27&amp;";Volume",#REF!,X$1-2020,FALSE)+
W31*(VLOOKUP($H27&amp;";Volume",#REF!,X$1-2019,FALSE)-VLOOKUP($H27&amp;";TauxRenouvellement",#REF!,X$1-2020,FALSE)*VLOOKUP($H27&amp;";Volume",#REF!,X$1-2020,FALSE)))/
VLOOKUP($H27&amp;";Volume",#REF!,X$1-2019,FALSE)</f>
        <v>#REF!</v>
      </c>
      <c r="Y31" t="e">
        <f>(6*VLOOKUP($H27&amp;";TauxRenouvellement",#REF!,Y$1-2020,FALSE)*VLOOKUP($H27&amp;";Volume",#REF!,Y$1-2020,FALSE)+
X31*(VLOOKUP($H27&amp;";Volume",#REF!,Y$1-2019,FALSE)-VLOOKUP($H27&amp;";TauxRenouvellement",#REF!,Y$1-2020,FALSE)*VLOOKUP($H27&amp;";Volume",#REF!,Y$1-2020,FALSE)))/
VLOOKUP($H27&amp;";Volume",#REF!,Y$1-2019,FALSE)</f>
        <v>#REF!</v>
      </c>
      <c r="Z31" t="e">
        <f>(6*VLOOKUP($H27&amp;";TauxRenouvellement",#REF!,Z$1-2020,FALSE)*VLOOKUP($H27&amp;";Volume",#REF!,Z$1-2020,FALSE)+
Y31*(VLOOKUP($H27&amp;";Volume",#REF!,Z$1-2019,FALSE)-VLOOKUP($H27&amp;";TauxRenouvellement",#REF!,Z$1-2020,FALSE)*VLOOKUP($H27&amp;";Volume",#REF!,Z$1-2020,FALSE)))/
VLOOKUP($H27&amp;";Volume",#REF!,Z$1-2019,FALSE)</f>
        <v>#REF!</v>
      </c>
      <c r="AA31" t="e">
        <f>(6*VLOOKUP($H27&amp;";TauxRenouvellement",#REF!,AA$1-2020,FALSE)*VLOOKUP($H27&amp;";Volume",#REF!,AA$1-2020,FALSE)+
Z31*(VLOOKUP($H27&amp;";Volume",#REF!,AA$1-2019,FALSE)-VLOOKUP($H27&amp;";TauxRenouvellement",#REF!,AA$1-2020,FALSE)*VLOOKUP($H27&amp;";Volume",#REF!,AA$1-2020,FALSE)))/
VLOOKUP($H27&amp;";Volume",#REF!,AA$1-2019,FALSE)</f>
        <v>#REF!</v>
      </c>
      <c r="AB31" t="e">
        <f>(6*VLOOKUP($H27&amp;";TauxRenouvellement",#REF!,AB$1-2020,FALSE)*VLOOKUP($H27&amp;";Volume",#REF!,AB$1-2020,FALSE)+
AA31*(VLOOKUP($H27&amp;";Volume",#REF!,AB$1-2019,FALSE)-VLOOKUP($H27&amp;";TauxRenouvellement",#REF!,AB$1-2020,FALSE)*VLOOKUP($H27&amp;";Volume",#REF!,AB$1-2020,FALSE)))/
VLOOKUP($H27&amp;";Volume",#REF!,AB$1-2019,FALSE)</f>
        <v>#REF!</v>
      </c>
      <c r="AC31" t="e">
        <f>(6*VLOOKUP($H27&amp;";TauxRenouvellement",#REF!,AC$1-2020,FALSE)*VLOOKUP($H27&amp;";Volume",#REF!,AC$1-2020,FALSE)+
AB31*(VLOOKUP($H27&amp;";Volume",#REF!,AC$1-2019,FALSE)-VLOOKUP($H27&amp;";TauxRenouvellement",#REF!,AC$1-2020,FALSE)*VLOOKUP($H27&amp;";Volume",#REF!,AC$1-2020,FALSE)))/
VLOOKUP($H27&amp;";Volume",#REF!,AC$1-2019,FALSE)</f>
        <v>#REF!</v>
      </c>
      <c r="AD31" t="e">
        <f>(6*VLOOKUP($H27&amp;";TauxRenouvellement",#REF!,AD$1-2020,FALSE)*VLOOKUP($H27&amp;";Volume",#REF!,AD$1-2020,FALSE)+
AC31*(VLOOKUP($H27&amp;";Volume",#REF!,AD$1-2019,FALSE)-VLOOKUP($H27&amp;";TauxRenouvellement",#REF!,AD$1-2020,FALSE)*VLOOKUP($H27&amp;";Volume",#REF!,AD$1-2020,FALSE)))/
VLOOKUP($H27&amp;";Volume",#REF!,AD$1-2019,FALSE)</f>
        <v>#REF!</v>
      </c>
      <c r="AE31" t="e">
        <f>(6*VLOOKUP($H27&amp;";TauxRenouvellement",#REF!,AE$1-2020,FALSE)*VLOOKUP($H27&amp;";Volume",#REF!,AE$1-2020,FALSE)+
AD31*(VLOOKUP($H27&amp;";Volume",#REF!,AE$1-2019,FALSE)-VLOOKUP($H27&amp;";TauxRenouvellement",#REF!,AE$1-2020,FALSE)*VLOOKUP($H27&amp;";Volume",#REF!,AE$1-2020,FALSE)))/
VLOOKUP($H27&amp;";Volume",#REF!,AE$1-2019,FALSE)</f>
        <v>#REF!</v>
      </c>
      <c r="AF31" t="e">
        <f>(6*VLOOKUP($H27&amp;";TauxRenouvellement",#REF!,AF$1-2020,FALSE)*VLOOKUP($H27&amp;";Volume",#REF!,AF$1-2020,FALSE)+
AE31*(VLOOKUP($H27&amp;";Volume",#REF!,AF$1-2019,FALSE)-VLOOKUP($H27&amp;";TauxRenouvellement",#REF!,AF$1-2020,FALSE)*VLOOKUP($H27&amp;";Volume",#REF!,AF$1-2020,FALSE)))/
VLOOKUP($H27&amp;";Volume",#REF!,AF$1-2019,FALSE)</f>
        <v>#REF!</v>
      </c>
      <c r="AG31" t="e">
        <f>(6*VLOOKUP($H27&amp;";TauxRenouvellement",#REF!,AG$1-2020,FALSE)*VLOOKUP($H27&amp;";Volume",#REF!,AG$1-2020,FALSE)+
AF31*(VLOOKUP($H27&amp;";Volume",#REF!,AG$1-2019,FALSE)-VLOOKUP($H27&amp;";TauxRenouvellement",#REF!,AG$1-2020,FALSE)*VLOOKUP($H27&amp;";Volume",#REF!,AG$1-2020,FALSE)))/
VLOOKUP($H27&amp;";Volume",#REF!,AG$1-2019,FALSE)</f>
        <v>#REF!</v>
      </c>
      <c r="AH31" t="e">
        <f>(6*VLOOKUP($H27&amp;";TauxRenouvellement",#REF!,AH$1-2020,FALSE)*VLOOKUP($H27&amp;";Volume",#REF!,AH$1-2020,FALSE)+
AG31*(VLOOKUP($H27&amp;";Volume",#REF!,AH$1-2019,FALSE)-VLOOKUP($H27&amp;";TauxRenouvellement",#REF!,AH$1-2020,FALSE)*VLOOKUP($H27&amp;";Volume",#REF!,AH$1-2020,FALSE)))/
VLOOKUP($H27&amp;";Volume",#REF!,AH$1-2019,FALSE)</f>
        <v>#REF!</v>
      </c>
      <c r="AI31" t="e">
        <f>(6*VLOOKUP($H27&amp;";TauxRenouvellement",#REF!,AI$1-2020,FALSE)*VLOOKUP($H27&amp;";Volume",#REF!,AI$1-2020,FALSE)+
AH31*(VLOOKUP($H27&amp;";Volume",#REF!,AI$1-2019,FALSE)-VLOOKUP($H27&amp;";TauxRenouvellement",#REF!,AI$1-2020,FALSE)*VLOOKUP($H27&amp;";Volume",#REF!,AI$1-2020,FALSE)))/
VLOOKUP($H27&amp;";Volume",#REF!,AI$1-2019,FALSE)</f>
        <v>#REF!</v>
      </c>
      <c r="AJ31" t="e">
        <f>(6*VLOOKUP($H27&amp;";TauxRenouvellement",#REF!,AJ$1-2020,FALSE)*VLOOKUP($H27&amp;";Volume",#REF!,AJ$1-2020,FALSE)+
AI31*(VLOOKUP($H27&amp;";Volume",#REF!,AJ$1-2019,FALSE)-VLOOKUP($H27&amp;";TauxRenouvellement",#REF!,AJ$1-2020,FALSE)*VLOOKUP($H27&amp;";Volume",#REF!,AJ$1-2020,FALSE)))/
VLOOKUP($H27&amp;";Volume",#REF!,AJ$1-2019,FALSE)</f>
        <v>#REF!</v>
      </c>
      <c r="AK31" t="e">
        <f>(6*VLOOKUP($H27&amp;";TauxRenouvellement",#REF!,AK$1-2020,FALSE)*VLOOKUP($H27&amp;";Volume",#REF!,AK$1-2020,FALSE)+
AJ31*(VLOOKUP($H27&amp;";Volume",#REF!,AK$1-2019,FALSE)-VLOOKUP($H27&amp;";TauxRenouvellement",#REF!,AK$1-2020,FALSE)*VLOOKUP($H27&amp;";Volume",#REF!,AK$1-2020,FALSE)))/
VLOOKUP($H27&amp;";Volume",#REF!,AK$1-2019,FALSE)</f>
        <v>#REF!</v>
      </c>
      <c r="AL31" t="e">
        <f>(6*VLOOKUP($H27&amp;";TauxRenouvellement",#REF!,AL$1-2020,FALSE)*VLOOKUP($H27&amp;";Volume",#REF!,AL$1-2020,FALSE)+
AK31*(VLOOKUP($H27&amp;";Volume",#REF!,AL$1-2019,FALSE)-VLOOKUP($H27&amp;";TauxRenouvellement",#REF!,AL$1-2020,FALSE)*VLOOKUP($H27&amp;";Volume",#REF!,AL$1-2020,FALSE)))/
VLOOKUP($H27&amp;";Volume",#REF!,AL$1-2019,FALSE)</f>
        <v>#REF!</v>
      </c>
      <c r="AM31" t="e">
        <f>(6*VLOOKUP($H27&amp;";TauxRenouvellement",#REF!,AM$1-2020,FALSE)*VLOOKUP($H27&amp;";Volume",#REF!,AM$1-2020,FALSE)+
AL31*(VLOOKUP($H27&amp;";Volume",#REF!,AM$1-2019,FALSE)-VLOOKUP($H27&amp;";TauxRenouvellement",#REF!,AM$1-2020,FALSE)*VLOOKUP($H27&amp;";Volume",#REF!,AM$1-2020,FALSE)))/
VLOOKUP($H27&amp;";Volume",#REF!,AM$1-2019,FALSE)</f>
        <v>#REF!</v>
      </c>
      <c r="AN31" t="e">
        <f>(6*VLOOKUP($H27&amp;";TauxRenouvellement",#REF!,AN$1-2020,FALSE)*VLOOKUP($H27&amp;";Volume",#REF!,AN$1-2020,FALSE)+
AM31*(VLOOKUP($H27&amp;";Volume",#REF!,AN$1-2019,FALSE)-VLOOKUP($H27&amp;";TauxRenouvellement",#REF!,AN$1-2020,FALSE)*VLOOKUP($H27&amp;";Volume",#REF!,AN$1-2020,FALSE)))/
VLOOKUP($H27&amp;";Volume",#REF!,AN$1-2019,FALSE)</f>
        <v>#REF!</v>
      </c>
      <c r="AO31" t="e">
        <f>(6*VLOOKUP($H27&amp;";TauxRenouvellement",#REF!,AO$1-2020,FALSE)*VLOOKUP($H27&amp;";Volume",#REF!,AO$1-2020,FALSE)+
AN31*(VLOOKUP($H27&amp;";Volume",#REF!,AO$1-2019,FALSE)-VLOOKUP($H27&amp;";TauxRenouvellement",#REF!,AO$1-2020,FALSE)*VLOOKUP($H27&amp;";Volume",#REF!,AO$1-2020,FALSE)))/
VLOOKUP($H27&amp;";Volume",#REF!,AO$1-2019,FALSE)</f>
        <v>#REF!</v>
      </c>
      <c r="AP31" t="e">
        <f>(6*VLOOKUP($H27&amp;";TauxRenouvellement",#REF!,AP$1-2020,FALSE)*VLOOKUP($H27&amp;";Volume",#REF!,AP$1-2020,FALSE)+
AO31*(VLOOKUP($H27&amp;";Volume",#REF!,AP$1-2019,FALSE)-VLOOKUP($H27&amp;";TauxRenouvellement",#REF!,AP$1-2020,FALSE)*VLOOKUP($H27&amp;";Volume",#REF!,AP$1-2020,FALSE)))/
VLOOKUP($H27&amp;";Volume",#REF!,AP$1-2019,FALSE)</f>
        <v>#REF!</v>
      </c>
    </row>
    <row r="32" spans="1:42" outlineLevel="1" x14ac:dyDescent="0.25">
      <c r="A32" t="s">
        <v>76</v>
      </c>
      <c r="B32" s="2" t="s">
        <v>91</v>
      </c>
      <c r="C32" t="s">
        <v>84</v>
      </c>
      <c r="E32" t="str">
        <f>_xlfn.CONCAT("FretRout",LEFT(B32,3),RIGHT(B32,1),"CritAir")</f>
        <v>FretRoutCat3CritAir</v>
      </c>
      <c r="F32" t="s">
        <v>36</v>
      </c>
      <c r="G32">
        <v>1</v>
      </c>
      <c r="H32" s="2"/>
      <c r="I32">
        <v>3</v>
      </c>
      <c r="K32" s="4">
        <f t="shared" si="2"/>
        <v>3</v>
      </c>
      <c r="Q32" t="e">
        <v>#REF!</v>
      </c>
      <c r="R32" t="e">
        <f>(VLOOKUP($H27&amp;";TauxRenouvellement",#REF!,R$1-2020,FALSE)*VLOOKUP($H27&amp;";Volume",#REF!,R$1-2020,FALSE)+
Q32*(VLOOKUP($H27&amp;";Volume",#REF!,R$1-2019,FALSE)-VLOOKUP($H27&amp;";TauxRenouvellement",#REF!,R$1-2020,FALSE)*VLOOKUP($H27&amp;";Volume",#REF!,R$1-2020,FALSE)))/
VLOOKUP($H27&amp;";Volume",#REF!,R$1-2019,FALSE)</f>
        <v>#REF!</v>
      </c>
      <c r="S32" t="e">
        <f>(VLOOKUP($H27&amp;";TauxRenouvellement",#REF!,S$1-2020,FALSE)*VLOOKUP($H27&amp;";Volume",#REF!,S$1-2020,FALSE)+
R32*(VLOOKUP($H27&amp;";Volume",#REF!,S$1-2019,FALSE)-VLOOKUP($H27&amp;";TauxRenouvellement",#REF!,S$1-2020,FALSE)*VLOOKUP($H27&amp;";Volume",#REF!,S$1-2020,FALSE)))/
VLOOKUP($H27&amp;";Volume",#REF!,S$1-2019,FALSE)</f>
        <v>#REF!</v>
      </c>
      <c r="T32" t="e">
        <f>(VLOOKUP($H27&amp;";TauxRenouvellement",#REF!,T$1-2020,FALSE)*VLOOKUP($H27&amp;";Volume",#REF!,T$1-2020,FALSE)+
S32*(VLOOKUP($H27&amp;";Volume",#REF!,T$1-2019,FALSE)-VLOOKUP($H27&amp;";TauxRenouvellement",#REF!,T$1-2020,FALSE)*VLOOKUP($H27&amp;";Volume",#REF!,T$1-2020,FALSE)))/
VLOOKUP($H27&amp;";Volume",#REF!,T$1-2019,FALSE)</f>
        <v>#REF!</v>
      </c>
      <c r="U32" t="e">
        <f>(VLOOKUP($H27&amp;";TauxRenouvellement",#REF!,U$1-2020,FALSE)*VLOOKUP($H27&amp;";Volume",#REF!,U$1-2020,FALSE)+
T32*(VLOOKUP($H27&amp;";Volume",#REF!,U$1-2019,FALSE)-VLOOKUP($H27&amp;";TauxRenouvellement",#REF!,U$1-2020,FALSE)*VLOOKUP($H27&amp;";Volume",#REF!,U$1-2020,FALSE)))/
VLOOKUP($H27&amp;";Volume",#REF!,U$1-2019,FALSE)</f>
        <v>#REF!</v>
      </c>
      <c r="V32" t="e">
        <f>(VLOOKUP($H27&amp;";TauxRenouvellement",#REF!,V$1-2020,FALSE)*VLOOKUP($H27&amp;";Volume",#REF!,V$1-2020,FALSE)+
U32*(VLOOKUP($H27&amp;";Volume",#REF!,V$1-2019,FALSE)-VLOOKUP($H27&amp;";TauxRenouvellement",#REF!,V$1-2020,FALSE)*VLOOKUP($H27&amp;";Volume",#REF!,V$1-2020,FALSE)))/
VLOOKUP($H27&amp;";Volume",#REF!,V$1-2019,FALSE)</f>
        <v>#REF!</v>
      </c>
      <c r="W32" t="e">
        <f>(VLOOKUP($H27&amp;";TauxRenouvellement",#REF!,W$1-2020,FALSE)*VLOOKUP($H27&amp;";Volume",#REF!,W$1-2020,FALSE)+
V32*(VLOOKUP($H27&amp;";Volume",#REF!,W$1-2019,FALSE)-VLOOKUP($H27&amp;";TauxRenouvellement",#REF!,W$1-2020,FALSE)*VLOOKUP($H27&amp;";Volume",#REF!,W$1-2020,FALSE)))/
VLOOKUP($H27&amp;";Volume",#REF!,W$1-2019,FALSE)</f>
        <v>#REF!</v>
      </c>
      <c r="X32" t="e">
        <f>(VLOOKUP($H27&amp;";TauxRenouvellement",#REF!,X$1-2020,FALSE)*VLOOKUP($H27&amp;";Volume",#REF!,X$1-2020,FALSE)+
W32*(VLOOKUP($H27&amp;";Volume",#REF!,X$1-2019,FALSE)-VLOOKUP($H27&amp;";TauxRenouvellement",#REF!,X$1-2020,FALSE)*VLOOKUP($H27&amp;";Volume",#REF!,X$1-2020,FALSE)))/
VLOOKUP($H27&amp;";Volume",#REF!,X$1-2019,FALSE)</f>
        <v>#REF!</v>
      </c>
      <c r="Y32" t="e">
        <f>(VLOOKUP($H27&amp;";TauxRenouvellement",#REF!,Y$1-2020,FALSE)*VLOOKUP($H27&amp;";Volume",#REF!,Y$1-2020,FALSE)+
X32*(VLOOKUP($H27&amp;";Volume",#REF!,Y$1-2019,FALSE)-VLOOKUP($H27&amp;";TauxRenouvellement",#REF!,Y$1-2020,FALSE)*VLOOKUP($H27&amp;";Volume",#REF!,Y$1-2020,FALSE)))/
VLOOKUP($H27&amp;";Volume",#REF!,Y$1-2019,FALSE)</f>
        <v>#REF!</v>
      </c>
      <c r="Z32" t="e">
        <f>(VLOOKUP($H27&amp;";TauxRenouvellement",#REF!,Z$1-2020,FALSE)*VLOOKUP($H27&amp;";Volume",#REF!,Z$1-2020,FALSE)+
Y32*(VLOOKUP($H27&amp;";Volume",#REF!,Z$1-2019,FALSE)-VLOOKUP($H27&amp;";TauxRenouvellement",#REF!,Z$1-2020,FALSE)*VLOOKUP($H27&amp;";Volume",#REF!,Z$1-2020,FALSE)))/
VLOOKUP($H27&amp;";Volume",#REF!,Z$1-2019,FALSE)</f>
        <v>#REF!</v>
      </c>
      <c r="AA32" t="e">
        <f>(VLOOKUP($H27&amp;";TauxRenouvellement",#REF!,AA$1-2020,FALSE)*VLOOKUP($H27&amp;";Volume",#REF!,AA$1-2020,FALSE)+
Z32*(VLOOKUP($H27&amp;";Volume",#REF!,AA$1-2019,FALSE)-VLOOKUP($H27&amp;";TauxRenouvellement",#REF!,AA$1-2020,FALSE)*VLOOKUP($H27&amp;";Volume",#REF!,AA$1-2020,FALSE)))/
VLOOKUP($H27&amp;";Volume",#REF!,AA$1-2019,FALSE)</f>
        <v>#REF!</v>
      </c>
      <c r="AB32" t="e">
        <f>(VLOOKUP($H27&amp;";TauxRenouvellement",#REF!,AB$1-2020,FALSE)*VLOOKUP($H27&amp;";Volume",#REF!,AB$1-2020,FALSE)+
AA32*(VLOOKUP($H27&amp;";Volume",#REF!,AB$1-2019,FALSE)-VLOOKUP($H27&amp;";TauxRenouvellement",#REF!,AB$1-2020,FALSE)*VLOOKUP($H27&amp;";Volume",#REF!,AB$1-2020,FALSE)))/
VLOOKUP($H27&amp;";Volume",#REF!,AB$1-2019,FALSE)</f>
        <v>#REF!</v>
      </c>
      <c r="AC32" t="e">
        <f>(VLOOKUP($H27&amp;";TauxRenouvellement",#REF!,AC$1-2020,FALSE)*VLOOKUP($H27&amp;";Volume",#REF!,AC$1-2020,FALSE)+
AB32*(VLOOKUP($H27&amp;";Volume",#REF!,AC$1-2019,FALSE)-VLOOKUP($H27&amp;";TauxRenouvellement",#REF!,AC$1-2020,FALSE)*VLOOKUP($H27&amp;";Volume",#REF!,AC$1-2020,FALSE)))/
VLOOKUP($H27&amp;";Volume",#REF!,AC$1-2019,FALSE)</f>
        <v>#REF!</v>
      </c>
      <c r="AD32" t="e">
        <f>(VLOOKUP($H27&amp;";TauxRenouvellement",#REF!,AD$1-2020,FALSE)*VLOOKUP($H27&amp;";Volume",#REF!,AD$1-2020,FALSE)+
AC32*(VLOOKUP($H27&amp;";Volume",#REF!,AD$1-2019,FALSE)-VLOOKUP($H27&amp;";TauxRenouvellement",#REF!,AD$1-2020,FALSE)*VLOOKUP($H27&amp;";Volume",#REF!,AD$1-2020,FALSE)))/
VLOOKUP($H27&amp;";Volume",#REF!,AD$1-2019,FALSE)</f>
        <v>#REF!</v>
      </c>
      <c r="AE32" t="e">
        <f>(VLOOKUP($H27&amp;";TauxRenouvellement",#REF!,AE$1-2020,FALSE)*VLOOKUP($H27&amp;";Volume",#REF!,AE$1-2020,FALSE)+
AD32*(VLOOKUP($H27&amp;";Volume",#REF!,AE$1-2019,FALSE)-VLOOKUP($H27&amp;";TauxRenouvellement",#REF!,AE$1-2020,FALSE)*VLOOKUP($H27&amp;";Volume",#REF!,AE$1-2020,FALSE)))/
VLOOKUP($H27&amp;";Volume",#REF!,AE$1-2019,FALSE)</f>
        <v>#REF!</v>
      </c>
      <c r="AF32" t="e">
        <f>(VLOOKUP($H27&amp;";TauxRenouvellement",#REF!,AF$1-2020,FALSE)*VLOOKUP($H27&amp;";Volume",#REF!,AF$1-2020,FALSE)+
AE32*(VLOOKUP($H27&amp;";Volume",#REF!,AF$1-2019,FALSE)-VLOOKUP($H27&amp;";TauxRenouvellement",#REF!,AF$1-2020,FALSE)*VLOOKUP($H27&amp;";Volume",#REF!,AF$1-2020,FALSE)))/
VLOOKUP($H27&amp;";Volume",#REF!,AF$1-2019,FALSE)</f>
        <v>#REF!</v>
      </c>
      <c r="AG32" t="e">
        <f>(VLOOKUP($H27&amp;";TauxRenouvellement",#REF!,AG$1-2020,FALSE)*VLOOKUP($H27&amp;";Volume",#REF!,AG$1-2020,FALSE)+
AF32*(VLOOKUP($H27&amp;";Volume",#REF!,AG$1-2019,FALSE)-VLOOKUP($H27&amp;";TauxRenouvellement",#REF!,AG$1-2020,FALSE)*VLOOKUP($H27&amp;";Volume",#REF!,AG$1-2020,FALSE)))/
VLOOKUP($H27&amp;";Volume",#REF!,AG$1-2019,FALSE)</f>
        <v>#REF!</v>
      </c>
      <c r="AH32" t="e">
        <f>(VLOOKUP($H27&amp;";TauxRenouvellement",#REF!,AH$1-2020,FALSE)*VLOOKUP($H27&amp;";Volume",#REF!,AH$1-2020,FALSE)+
AG32*(VLOOKUP($H27&amp;";Volume",#REF!,AH$1-2019,FALSE)-VLOOKUP($H27&amp;";TauxRenouvellement",#REF!,AH$1-2020,FALSE)*VLOOKUP($H27&amp;";Volume",#REF!,AH$1-2020,FALSE)))/
VLOOKUP($H27&amp;";Volume",#REF!,AH$1-2019,FALSE)</f>
        <v>#REF!</v>
      </c>
      <c r="AI32" t="e">
        <f>(VLOOKUP($H27&amp;";TauxRenouvellement",#REF!,AI$1-2020,FALSE)*VLOOKUP($H27&amp;";Volume",#REF!,AI$1-2020,FALSE)+
AH32*(VLOOKUP($H27&amp;";Volume",#REF!,AI$1-2019,FALSE)-VLOOKUP($H27&amp;";TauxRenouvellement",#REF!,AI$1-2020,FALSE)*VLOOKUP($H27&amp;";Volume",#REF!,AI$1-2020,FALSE)))/
VLOOKUP($H27&amp;";Volume",#REF!,AI$1-2019,FALSE)</f>
        <v>#REF!</v>
      </c>
      <c r="AJ32" t="e">
        <f>(VLOOKUP($H27&amp;";TauxRenouvellement",#REF!,AJ$1-2020,FALSE)*VLOOKUP($H27&amp;";Volume",#REF!,AJ$1-2020,FALSE)+
AI32*(VLOOKUP($H27&amp;";Volume",#REF!,AJ$1-2019,FALSE)-VLOOKUP($H27&amp;";TauxRenouvellement",#REF!,AJ$1-2020,FALSE)*VLOOKUP($H27&amp;";Volume",#REF!,AJ$1-2020,FALSE)))/
VLOOKUP($H27&amp;";Volume",#REF!,AJ$1-2019,FALSE)</f>
        <v>#REF!</v>
      </c>
      <c r="AK32" t="e">
        <f>(VLOOKUP($H27&amp;";TauxRenouvellement",#REF!,AK$1-2020,FALSE)*VLOOKUP($H27&amp;";Volume",#REF!,AK$1-2020,FALSE)+
AJ32*(VLOOKUP($H27&amp;";Volume",#REF!,AK$1-2019,FALSE)-VLOOKUP($H27&amp;";TauxRenouvellement",#REF!,AK$1-2020,FALSE)*VLOOKUP($H27&amp;";Volume",#REF!,AK$1-2020,FALSE)))/
VLOOKUP($H27&amp;";Volume",#REF!,AK$1-2019,FALSE)</f>
        <v>#REF!</v>
      </c>
      <c r="AL32" t="e">
        <f>(VLOOKUP($H27&amp;";TauxRenouvellement",#REF!,AL$1-2020,FALSE)*VLOOKUP($H27&amp;";Volume",#REF!,AL$1-2020,FALSE)+
AK32*(VLOOKUP($H27&amp;";Volume",#REF!,AL$1-2019,FALSE)-VLOOKUP($H27&amp;";TauxRenouvellement",#REF!,AL$1-2020,FALSE)*VLOOKUP($H27&amp;";Volume",#REF!,AL$1-2020,FALSE)))/
VLOOKUP($H27&amp;";Volume",#REF!,AL$1-2019,FALSE)</f>
        <v>#REF!</v>
      </c>
      <c r="AM32" t="e">
        <f>(VLOOKUP($H27&amp;";TauxRenouvellement",#REF!,AM$1-2020,FALSE)*VLOOKUP($H27&amp;";Volume",#REF!,AM$1-2020,FALSE)+
AL32*(VLOOKUP($H27&amp;";Volume",#REF!,AM$1-2019,FALSE)-VLOOKUP($H27&amp;";TauxRenouvellement",#REF!,AM$1-2020,FALSE)*VLOOKUP($H27&amp;";Volume",#REF!,AM$1-2020,FALSE)))/
VLOOKUP($H27&amp;";Volume",#REF!,AM$1-2019,FALSE)</f>
        <v>#REF!</v>
      </c>
      <c r="AN32" t="e">
        <f>(VLOOKUP($H27&amp;";TauxRenouvellement",#REF!,AN$1-2020,FALSE)*VLOOKUP($H27&amp;";Volume",#REF!,AN$1-2020,FALSE)+
AM32*(VLOOKUP($H27&amp;";Volume",#REF!,AN$1-2019,FALSE)-VLOOKUP($H27&amp;";TauxRenouvellement",#REF!,AN$1-2020,FALSE)*VLOOKUP($H27&amp;";Volume",#REF!,AN$1-2020,FALSE)))/
VLOOKUP($H27&amp;";Volume",#REF!,AN$1-2019,FALSE)</f>
        <v>#REF!</v>
      </c>
      <c r="AO32" t="e">
        <f>(VLOOKUP($H27&amp;";TauxRenouvellement",#REF!,AO$1-2020,FALSE)*VLOOKUP($H27&amp;";Volume",#REF!,AO$1-2020,FALSE)+
AN32*(VLOOKUP($H27&amp;";Volume",#REF!,AO$1-2019,FALSE)-VLOOKUP($H27&amp;";TauxRenouvellement",#REF!,AO$1-2020,FALSE)*VLOOKUP($H27&amp;";Volume",#REF!,AO$1-2020,FALSE)))/
VLOOKUP($H27&amp;";Volume",#REF!,AO$1-2019,FALSE)</f>
        <v>#REF!</v>
      </c>
      <c r="AP32" t="e">
        <f>(VLOOKUP($H27&amp;";TauxRenouvellement",#REF!,AP$1-2020,FALSE)*VLOOKUP($H27&amp;";Volume",#REF!,AP$1-2020,FALSE)+
AO32*(VLOOKUP($H27&amp;";Volume",#REF!,AP$1-2019,FALSE)-VLOOKUP($H27&amp;";TauxRenouvellement",#REF!,AP$1-2020,FALSE)*VLOOKUP($H27&amp;";Volume",#REF!,AP$1-2020,FALSE)))/
VLOOKUP($H27&amp;";Volume",#REF!,AP$1-2019,FALSE)</f>
        <v>#REF!</v>
      </c>
    </row>
    <row r="33" spans="1:42" outlineLevel="1" x14ac:dyDescent="0.25">
      <c r="A33" t="s">
        <v>76</v>
      </c>
      <c r="B33" s="2" t="s">
        <v>91</v>
      </c>
      <c r="C33" t="s">
        <v>85</v>
      </c>
      <c r="E33" t="str">
        <f>_xlfn.CONCAT("FretRout",LEFT(B33,3),RIGHT(B33,1),"Nb")</f>
        <v>FretRoutCat3Nb</v>
      </c>
      <c r="F33" t="s">
        <v>17</v>
      </c>
      <c r="G33">
        <v>1</v>
      </c>
      <c r="J33" t="s">
        <v>86</v>
      </c>
      <c r="K33">
        <v>0</v>
      </c>
    </row>
    <row r="34" spans="1:42" outlineLevel="1" x14ac:dyDescent="0.25">
      <c r="A34" t="s">
        <v>76</v>
      </c>
      <c r="B34" s="2" t="s">
        <v>91</v>
      </c>
      <c r="C34" t="s">
        <v>87</v>
      </c>
      <c r="E34" t="str">
        <f>_xlfn.CONCAT("FretRout",LEFT(B34,3),RIGHT(B34,1),"Dist")</f>
        <v>FretRoutCat3Dist</v>
      </c>
      <c r="F34" t="s">
        <v>17</v>
      </c>
      <c r="G34">
        <v>1</v>
      </c>
      <c r="H34" s="2"/>
      <c r="J34" t="s">
        <v>88</v>
      </c>
      <c r="K34">
        <v>17855</v>
      </c>
    </row>
    <row r="35" spans="1:42" outlineLevel="1" x14ac:dyDescent="0.25">
      <c r="A35" t="s">
        <v>76</v>
      </c>
      <c r="B35" s="2" t="s">
        <v>91</v>
      </c>
      <c r="C35" s="2" t="s">
        <v>89</v>
      </c>
      <c r="E35" t="str">
        <f>_xlfn.CONCAT("FretRout",LEFT(B35,3),RIGHT(B35,1),"Rempl")</f>
        <v>FretRoutCat3Rempl</v>
      </c>
      <c r="F35" t="s">
        <v>17</v>
      </c>
      <c r="G35">
        <v>1</v>
      </c>
      <c r="H35" s="3"/>
      <c r="J35" t="s">
        <v>70</v>
      </c>
      <c r="K35">
        <v>0</v>
      </c>
    </row>
    <row r="36" spans="1:42" outlineLevel="1" x14ac:dyDescent="0.25">
      <c r="A36" t="s">
        <v>76</v>
      </c>
      <c r="B36" s="2" t="s">
        <v>92</v>
      </c>
      <c r="C36" t="s">
        <v>78</v>
      </c>
      <c r="E36" t="str">
        <f>_xlfn.CONCAT("FretRout",LEFT(B36,3),RIGHT(B36,1),"Nom")</f>
        <v>FretRoutCat4Nom</v>
      </c>
      <c r="F36" t="s">
        <v>20</v>
      </c>
      <c r="G36">
        <v>1</v>
      </c>
      <c r="H36" s="4"/>
      <c r="I36" s="4" t="s">
        <v>389</v>
      </c>
      <c r="K36" s="4" t="str">
        <f t="shared" ref="K36:K42" si="3">I36</f>
        <v>VUL Diesel (Crit'Air 4)</v>
      </c>
    </row>
    <row r="37" spans="1:42" outlineLevel="1" x14ac:dyDescent="0.25">
      <c r="A37" t="s">
        <v>76</v>
      </c>
      <c r="B37" s="2" t="s">
        <v>92</v>
      </c>
      <c r="C37" t="s">
        <v>79</v>
      </c>
      <c r="E37" t="str">
        <f>_xlfn.CONCAT("FretRout",LEFT(B37,3),RIGHT(B37,1),"Type")</f>
        <v>FretRoutCat4Type</v>
      </c>
      <c r="F37" t="s">
        <v>20</v>
      </c>
      <c r="G37">
        <v>1</v>
      </c>
      <c r="I37" t="s">
        <v>1770</v>
      </c>
      <c r="K37" s="4" t="str">
        <f t="shared" si="3"/>
        <v>VUL</v>
      </c>
    </row>
    <row r="38" spans="1:42" outlineLevel="1" x14ac:dyDescent="0.25">
      <c r="A38" t="s">
        <v>76</v>
      </c>
      <c r="B38" s="2" t="s">
        <v>92</v>
      </c>
      <c r="C38" t="s">
        <v>80</v>
      </c>
      <c r="E38" t="str">
        <f>_xlfn.CONCAT("FretRout",LEFT(B38,3),RIGHT(B38,1),"PTAC")</f>
        <v>FretRoutCat4PTAC</v>
      </c>
      <c r="F38" t="s">
        <v>36</v>
      </c>
      <c r="G38">
        <v>1</v>
      </c>
      <c r="I38" t="s">
        <v>1451</v>
      </c>
      <c r="K38" s="4" t="str">
        <f t="shared" si="3"/>
        <v>&lt;=3,5t</v>
      </c>
    </row>
    <row r="39" spans="1:42" outlineLevel="1" x14ac:dyDescent="0.25">
      <c r="A39" t="s">
        <v>76</v>
      </c>
      <c r="B39" s="2" t="s">
        <v>92</v>
      </c>
      <c r="C39" t="s">
        <v>81</v>
      </c>
      <c r="E39" t="str">
        <f>_xlfn.CONCAT("FretRout",LEFT(B39,3),RIGHT(B39,1),"Mot")</f>
        <v>FretRoutCat4Mot</v>
      </c>
      <c r="F39" t="s">
        <v>36</v>
      </c>
      <c r="G39">
        <v>1</v>
      </c>
      <c r="H39" s="2"/>
      <c r="I39" t="s">
        <v>138</v>
      </c>
      <c r="K39" s="4" t="str">
        <f t="shared" si="3"/>
        <v>Diesel</v>
      </c>
    </row>
    <row r="40" spans="1:42" outlineLevel="1" x14ac:dyDescent="0.25">
      <c r="A40" t="s">
        <v>76</v>
      </c>
      <c r="B40" s="2" t="s">
        <v>92</v>
      </c>
      <c r="C40" t="s">
        <v>82</v>
      </c>
      <c r="E40" t="str">
        <f>_xlfn.CONCAT("FretRout",LEFT(B40,3),RIGHT(B40,1),"Carb")</f>
        <v>FretRoutCat4Carb</v>
      </c>
      <c r="F40" t="s">
        <v>36</v>
      </c>
      <c r="G40">
        <v>1</v>
      </c>
      <c r="I40" t="s">
        <v>1449</v>
      </c>
      <c r="K40" s="4" t="str">
        <f t="shared" si="3"/>
        <v>Gazole à la pompe</v>
      </c>
    </row>
    <row r="41" spans="1:42" outlineLevel="1" x14ac:dyDescent="0.25">
      <c r="A41" t="s">
        <v>76</v>
      </c>
      <c r="B41" s="2" t="s">
        <v>92</v>
      </c>
      <c r="C41" t="s">
        <v>83</v>
      </c>
      <c r="E41" t="str">
        <f>_xlfn.CONCAT("FretRout",LEFT(B41,3),RIGHT(B41,1),"Euro")</f>
        <v>FretRoutCat4Euro</v>
      </c>
      <c r="F41" t="s">
        <v>36</v>
      </c>
      <c r="G41">
        <v>1</v>
      </c>
      <c r="I41">
        <v>0</v>
      </c>
      <c r="K41" s="4">
        <f t="shared" si="3"/>
        <v>0</v>
      </c>
      <c r="Q41" t="e">
        <v>#REF!</v>
      </c>
      <c r="R41" t="e">
        <f>(6*VLOOKUP($H37&amp;";TauxRenouvellement",#REF!,R$1-2020,FALSE)*VLOOKUP($H37&amp;";Volume",#REF!,R$1-2020,FALSE)+
Q41*(VLOOKUP($H37&amp;";Volume",#REF!,R$1-2019,FALSE)-VLOOKUP($H37&amp;";TauxRenouvellement",#REF!,R$1-2020,FALSE)*VLOOKUP($H37&amp;";Volume",#REF!,R$1-2020,FALSE)))/
VLOOKUP($H37&amp;";Volume",#REF!,R$1-2019,FALSE)</f>
        <v>#REF!</v>
      </c>
      <c r="S41" t="e">
        <f>(6*VLOOKUP($H37&amp;";TauxRenouvellement",#REF!,S$1-2020,FALSE)*VLOOKUP($H37&amp;";Volume",#REF!,S$1-2020,FALSE)+
R41*(VLOOKUP($H37&amp;";Volume",#REF!,S$1-2019,FALSE)-VLOOKUP($H37&amp;";TauxRenouvellement",#REF!,S$1-2020,FALSE)*VLOOKUP($H37&amp;";Volume",#REF!,S$1-2020,FALSE)))/
VLOOKUP($H37&amp;";Volume",#REF!,S$1-2019,FALSE)</f>
        <v>#REF!</v>
      </c>
      <c r="T41" t="e">
        <f>(6*VLOOKUP($H37&amp;";TauxRenouvellement",#REF!,T$1-2020,FALSE)*VLOOKUP($H37&amp;";Volume",#REF!,T$1-2020,FALSE)+
S41*(VLOOKUP($H37&amp;";Volume",#REF!,T$1-2019,FALSE)-VLOOKUP($H37&amp;";TauxRenouvellement",#REF!,T$1-2020,FALSE)*VLOOKUP($H37&amp;";Volume",#REF!,T$1-2020,FALSE)))/
VLOOKUP($H37&amp;";Volume",#REF!,T$1-2019,FALSE)</f>
        <v>#REF!</v>
      </c>
      <c r="U41" t="e">
        <f>(6*VLOOKUP($H37&amp;";TauxRenouvellement",#REF!,U$1-2020,FALSE)*VLOOKUP($H37&amp;";Volume",#REF!,U$1-2020,FALSE)+
T41*(VLOOKUP($H37&amp;";Volume",#REF!,U$1-2019,FALSE)-VLOOKUP($H37&amp;";TauxRenouvellement",#REF!,U$1-2020,FALSE)*VLOOKUP($H37&amp;";Volume",#REF!,U$1-2020,FALSE)))/
VLOOKUP($H37&amp;";Volume",#REF!,U$1-2019,FALSE)</f>
        <v>#REF!</v>
      </c>
      <c r="V41" t="e">
        <f>(6*VLOOKUP($H37&amp;";TauxRenouvellement",#REF!,V$1-2020,FALSE)*VLOOKUP($H37&amp;";Volume",#REF!,V$1-2020,FALSE)+
U41*(VLOOKUP($H37&amp;";Volume",#REF!,V$1-2019,FALSE)-VLOOKUP($H37&amp;";TauxRenouvellement",#REF!,V$1-2020,FALSE)*VLOOKUP($H37&amp;";Volume",#REF!,V$1-2020,FALSE)))/
VLOOKUP($H37&amp;";Volume",#REF!,V$1-2019,FALSE)</f>
        <v>#REF!</v>
      </c>
      <c r="W41" t="e">
        <f>(6*VLOOKUP($H37&amp;";TauxRenouvellement",#REF!,W$1-2020,FALSE)*VLOOKUP($H37&amp;";Volume",#REF!,W$1-2020,FALSE)+
V41*(VLOOKUP($H37&amp;";Volume",#REF!,W$1-2019,FALSE)-VLOOKUP($H37&amp;";TauxRenouvellement",#REF!,W$1-2020,FALSE)*VLOOKUP($H37&amp;";Volume",#REF!,W$1-2020,FALSE)))/
VLOOKUP($H37&amp;";Volume",#REF!,W$1-2019,FALSE)</f>
        <v>#REF!</v>
      </c>
      <c r="X41" t="e">
        <f>(6*VLOOKUP($H37&amp;";TauxRenouvellement",#REF!,X$1-2020,FALSE)*VLOOKUP($H37&amp;";Volume",#REF!,X$1-2020,FALSE)+
W41*(VLOOKUP($H37&amp;";Volume",#REF!,X$1-2019,FALSE)-VLOOKUP($H37&amp;";TauxRenouvellement",#REF!,X$1-2020,FALSE)*VLOOKUP($H37&amp;";Volume",#REF!,X$1-2020,FALSE)))/
VLOOKUP($H37&amp;";Volume",#REF!,X$1-2019,FALSE)</f>
        <v>#REF!</v>
      </c>
      <c r="Y41" t="e">
        <f>(6*VLOOKUP($H37&amp;";TauxRenouvellement",#REF!,Y$1-2020,FALSE)*VLOOKUP($H37&amp;";Volume",#REF!,Y$1-2020,FALSE)+
X41*(VLOOKUP($H37&amp;";Volume",#REF!,Y$1-2019,FALSE)-VLOOKUP($H37&amp;";TauxRenouvellement",#REF!,Y$1-2020,FALSE)*VLOOKUP($H37&amp;";Volume",#REF!,Y$1-2020,FALSE)))/
VLOOKUP($H37&amp;";Volume",#REF!,Y$1-2019,FALSE)</f>
        <v>#REF!</v>
      </c>
      <c r="Z41" t="e">
        <f>(6*VLOOKUP($H37&amp;";TauxRenouvellement",#REF!,Z$1-2020,FALSE)*VLOOKUP($H37&amp;";Volume",#REF!,Z$1-2020,FALSE)+
Y41*(VLOOKUP($H37&amp;";Volume",#REF!,Z$1-2019,FALSE)-VLOOKUP($H37&amp;";TauxRenouvellement",#REF!,Z$1-2020,FALSE)*VLOOKUP($H37&amp;";Volume",#REF!,Z$1-2020,FALSE)))/
VLOOKUP($H37&amp;";Volume",#REF!,Z$1-2019,FALSE)</f>
        <v>#REF!</v>
      </c>
      <c r="AA41" t="e">
        <f>(6*VLOOKUP($H37&amp;";TauxRenouvellement",#REF!,AA$1-2020,FALSE)*VLOOKUP($H37&amp;";Volume",#REF!,AA$1-2020,FALSE)+
Z41*(VLOOKUP($H37&amp;";Volume",#REF!,AA$1-2019,FALSE)-VLOOKUP($H37&amp;";TauxRenouvellement",#REF!,AA$1-2020,FALSE)*VLOOKUP($H37&amp;";Volume",#REF!,AA$1-2020,FALSE)))/
VLOOKUP($H37&amp;";Volume",#REF!,AA$1-2019,FALSE)</f>
        <v>#REF!</v>
      </c>
      <c r="AB41" t="e">
        <f>(6*VLOOKUP($H37&amp;";TauxRenouvellement",#REF!,AB$1-2020,FALSE)*VLOOKUP($H37&amp;";Volume",#REF!,AB$1-2020,FALSE)+
AA41*(VLOOKUP($H37&amp;";Volume",#REF!,AB$1-2019,FALSE)-VLOOKUP($H37&amp;";TauxRenouvellement",#REF!,AB$1-2020,FALSE)*VLOOKUP($H37&amp;";Volume",#REF!,AB$1-2020,FALSE)))/
VLOOKUP($H37&amp;";Volume",#REF!,AB$1-2019,FALSE)</f>
        <v>#REF!</v>
      </c>
      <c r="AC41" t="e">
        <f>(6*VLOOKUP($H37&amp;";TauxRenouvellement",#REF!,AC$1-2020,FALSE)*VLOOKUP($H37&amp;";Volume",#REF!,AC$1-2020,FALSE)+
AB41*(VLOOKUP($H37&amp;";Volume",#REF!,AC$1-2019,FALSE)-VLOOKUP($H37&amp;";TauxRenouvellement",#REF!,AC$1-2020,FALSE)*VLOOKUP($H37&amp;";Volume",#REF!,AC$1-2020,FALSE)))/
VLOOKUP($H37&amp;";Volume",#REF!,AC$1-2019,FALSE)</f>
        <v>#REF!</v>
      </c>
      <c r="AD41" t="e">
        <f>(6*VLOOKUP($H37&amp;";TauxRenouvellement",#REF!,AD$1-2020,FALSE)*VLOOKUP($H37&amp;";Volume",#REF!,AD$1-2020,FALSE)+
AC41*(VLOOKUP($H37&amp;";Volume",#REF!,AD$1-2019,FALSE)-VLOOKUP($H37&amp;";TauxRenouvellement",#REF!,AD$1-2020,FALSE)*VLOOKUP($H37&amp;";Volume",#REF!,AD$1-2020,FALSE)))/
VLOOKUP($H37&amp;";Volume",#REF!,AD$1-2019,FALSE)</f>
        <v>#REF!</v>
      </c>
      <c r="AE41" t="e">
        <f>(6*VLOOKUP($H37&amp;";TauxRenouvellement",#REF!,AE$1-2020,FALSE)*VLOOKUP($H37&amp;";Volume",#REF!,AE$1-2020,FALSE)+
AD41*(VLOOKUP($H37&amp;";Volume",#REF!,AE$1-2019,FALSE)-VLOOKUP($H37&amp;";TauxRenouvellement",#REF!,AE$1-2020,FALSE)*VLOOKUP($H37&amp;";Volume",#REF!,AE$1-2020,FALSE)))/
VLOOKUP($H37&amp;";Volume",#REF!,AE$1-2019,FALSE)</f>
        <v>#REF!</v>
      </c>
      <c r="AF41" t="e">
        <f>(6*VLOOKUP($H37&amp;";TauxRenouvellement",#REF!,AF$1-2020,FALSE)*VLOOKUP($H37&amp;";Volume",#REF!,AF$1-2020,FALSE)+
AE41*(VLOOKUP($H37&amp;";Volume",#REF!,AF$1-2019,FALSE)-VLOOKUP($H37&amp;";TauxRenouvellement",#REF!,AF$1-2020,FALSE)*VLOOKUP($H37&amp;";Volume",#REF!,AF$1-2020,FALSE)))/
VLOOKUP($H37&amp;";Volume",#REF!,AF$1-2019,FALSE)</f>
        <v>#REF!</v>
      </c>
      <c r="AG41" t="e">
        <f>(6*VLOOKUP($H37&amp;";TauxRenouvellement",#REF!,AG$1-2020,FALSE)*VLOOKUP($H37&amp;";Volume",#REF!,AG$1-2020,FALSE)+
AF41*(VLOOKUP($H37&amp;";Volume",#REF!,AG$1-2019,FALSE)-VLOOKUP($H37&amp;";TauxRenouvellement",#REF!,AG$1-2020,FALSE)*VLOOKUP($H37&amp;";Volume",#REF!,AG$1-2020,FALSE)))/
VLOOKUP($H37&amp;";Volume",#REF!,AG$1-2019,FALSE)</f>
        <v>#REF!</v>
      </c>
      <c r="AH41" t="e">
        <f>(6*VLOOKUP($H37&amp;";TauxRenouvellement",#REF!,AH$1-2020,FALSE)*VLOOKUP($H37&amp;";Volume",#REF!,AH$1-2020,FALSE)+
AG41*(VLOOKUP($H37&amp;";Volume",#REF!,AH$1-2019,FALSE)-VLOOKUP($H37&amp;";TauxRenouvellement",#REF!,AH$1-2020,FALSE)*VLOOKUP($H37&amp;";Volume",#REF!,AH$1-2020,FALSE)))/
VLOOKUP($H37&amp;";Volume",#REF!,AH$1-2019,FALSE)</f>
        <v>#REF!</v>
      </c>
      <c r="AI41" t="e">
        <f>(6*VLOOKUP($H37&amp;";TauxRenouvellement",#REF!,AI$1-2020,FALSE)*VLOOKUP($H37&amp;";Volume",#REF!,AI$1-2020,FALSE)+
AH41*(VLOOKUP($H37&amp;";Volume",#REF!,AI$1-2019,FALSE)-VLOOKUP($H37&amp;";TauxRenouvellement",#REF!,AI$1-2020,FALSE)*VLOOKUP($H37&amp;";Volume",#REF!,AI$1-2020,FALSE)))/
VLOOKUP($H37&amp;";Volume",#REF!,AI$1-2019,FALSE)</f>
        <v>#REF!</v>
      </c>
      <c r="AJ41" t="e">
        <f>(6*VLOOKUP($H37&amp;";TauxRenouvellement",#REF!,AJ$1-2020,FALSE)*VLOOKUP($H37&amp;";Volume",#REF!,AJ$1-2020,FALSE)+
AI41*(VLOOKUP($H37&amp;";Volume",#REF!,AJ$1-2019,FALSE)-VLOOKUP($H37&amp;";TauxRenouvellement",#REF!,AJ$1-2020,FALSE)*VLOOKUP($H37&amp;";Volume",#REF!,AJ$1-2020,FALSE)))/
VLOOKUP($H37&amp;";Volume",#REF!,AJ$1-2019,FALSE)</f>
        <v>#REF!</v>
      </c>
      <c r="AK41" t="e">
        <f>(6*VLOOKUP($H37&amp;";TauxRenouvellement",#REF!,AK$1-2020,FALSE)*VLOOKUP($H37&amp;";Volume",#REF!,AK$1-2020,FALSE)+
AJ41*(VLOOKUP($H37&amp;";Volume",#REF!,AK$1-2019,FALSE)-VLOOKUP($H37&amp;";TauxRenouvellement",#REF!,AK$1-2020,FALSE)*VLOOKUP($H37&amp;";Volume",#REF!,AK$1-2020,FALSE)))/
VLOOKUP($H37&amp;";Volume",#REF!,AK$1-2019,FALSE)</f>
        <v>#REF!</v>
      </c>
      <c r="AL41" t="e">
        <f>(6*VLOOKUP($H37&amp;";TauxRenouvellement",#REF!,AL$1-2020,FALSE)*VLOOKUP($H37&amp;";Volume",#REF!,AL$1-2020,FALSE)+
AK41*(VLOOKUP($H37&amp;";Volume",#REF!,AL$1-2019,FALSE)-VLOOKUP($H37&amp;";TauxRenouvellement",#REF!,AL$1-2020,FALSE)*VLOOKUP($H37&amp;";Volume",#REF!,AL$1-2020,FALSE)))/
VLOOKUP($H37&amp;";Volume",#REF!,AL$1-2019,FALSE)</f>
        <v>#REF!</v>
      </c>
      <c r="AM41" t="e">
        <f>(6*VLOOKUP($H37&amp;";TauxRenouvellement",#REF!,AM$1-2020,FALSE)*VLOOKUP($H37&amp;";Volume",#REF!,AM$1-2020,FALSE)+
AL41*(VLOOKUP($H37&amp;";Volume",#REF!,AM$1-2019,FALSE)-VLOOKUP($H37&amp;";TauxRenouvellement",#REF!,AM$1-2020,FALSE)*VLOOKUP($H37&amp;";Volume",#REF!,AM$1-2020,FALSE)))/
VLOOKUP($H37&amp;";Volume",#REF!,AM$1-2019,FALSE)</f>
        <v>#REF!</v>
      </c>
      <c r="AN41" t="e">
        <f>(6*VLOOKUP($H37&amp;";TauxRenouvellement",#REF!,AN$1-2020,FALSE)*VLOOKUP($H37&amp;";Volume",#REF!,AN$1-2020,FALSE)+
AM41*(VLOOKUP($H37&amp;";Volume",#REF!,AN$1-2019,FALSE)-VLOOKUP($H37&amp;";TauxRenouvellement",#REF!,AN$1-2020,FALSE)*VLOOKUP($H37&amp;";Volume",#REF!,AN$1-2020,FALSE)))/
VLOOKUP($H37&amp;";Volume",#REF!,AN$1-2019,FALSE)</f>
        <v>#REF!</v>
      </c>
      <c r="AO41" t="e">
        <f>(6*VLOOKUP($H37&amp;";TauxRenouvellement",#REF!,AO$1-2020,FALSE)*VLOOKUP($H37&amp;";Volume",#REF!,AO$1-2020,FALSE)+
AN41*(VLOOKUP($H37&amp;";Volume",#REF!,AO$1-2019,FALSE)-VLOOKUP($H37&amp;";TauxRenouvellement",#REF!,AO$1-2020,FALSE)*VLOOKUP($H37&amp;";Volume",#REF!,AO$1-2020,FALSE)))/
VLOOKUP($H37&amp;";Volume",#REF!,AO$1-2019,FALSE)</f>
        <v>#REF!</v>
      </c>
      <c r="AP41" t="e">
        <f>(6*VLOOKUP($H37&amp;";TauxRenouvellement",#REF!,AP$1-2020,FALSE)*VLOOKUP($H37&amp;";Volume",#REF!,AP$1-2020,FALSE)+
AO41*(VLOOKUP($H37&amp;";Volume",#REF!,AP$1-2019,FALSE)-VLOOKUP($H37&amp;";TauxRenouvellement",#REF!,AP$1-2020,FALSE)*VLOOKUP($H37&amp;";Volume",#REF!,AP$1-2020,FALSE)))/
VLOOKUP($H37&amp;";Volume",#REF!,AP$1-2019,FALSE)</f>
        <v>#REF!</v>
      </c>
    </row>
    <row r="42" spans="1:42" outlineLevel="1" x14ac:dyDescent="0.25">
      <c r="A42" t="s">
        <v>76</v>
      </c>
      <c r="B42" s="2" t="s">
        <v>92</v>
      </c>
      <c r="C42" t="s">
        <v>84</v>
      </c>
      <c r="E42" t="str">
        <f>_xlfn.CONCAT("FretRout",LEFT(B42,3),RIGHT(B42,1),"CritAir")</f>
        <v>FretRoutCat4CritAir</v>
      </c>
      <c r="F42" t="s">
        <v>36</v>
      </c>
      <c r="G42">
        <v>1</v>
      </c>
      <c r="H42" s="2"/>
      <c r="I42">
        <v>4</v>
      </c>
      <c r="K42" s="4">
        <f t="shared" si="3"/>
        <v>4</v>
      </c>
      <c r="Q42" t="e">
        <v>#REF!</v>
      </c>
      <c r="R42" t="e">
        <f>(VLOOKUP($H37&amp;";TauxRenouvellement",#REF!,R$1-2020,FALSE)*VLOOKUP($H37&amp;";Volume",#REF!,R$1-2020,FALSE)+
Q42*(VLOOKUP($H37&amp;";Volume",#REF!,R$1-2019,FALSE)-VLOOKUP($H37&amp;";TauxRenouvellement",#REF!,R$1-2020,FALSE)*VLOOKUP($H37&amp;";Volume",#REF!,R$1-2020,FALSE)))/
VLOOKUP($H37&amp;";Volume",#REF!,R$1-2019,FALSE)</f>
        <v>#REF!</v>
      </c>
      <c r="S42" t="e">
        <f>(VLOOKUP($H37&amp;";TauxRenouvellement",#REF!,S$1-2020,FALSE)*VLOOKUP($H37&amp;";Volume",#REF!,S$1-2020,FALSE)+
R42*(VLOOKUP($H37&amp;";Volume",#REF!,S$1-2019,FALSE)-VLOOKUP($H37&amp;";TauxRenouvellement",#REF!,S$1-2020,FALSE)*VLOOKUP($H37&amp;";Volume",#REF!,S$1-2020,FALSE)))/
VLOOKUP($H37&amp;";Volume",#REF!,S$1-2019,FALSE)</f>
        <v>#REF!</v>
      </c>
      <c r="T42" t="e">
        <f>(VLOOKUP($H37&amp;";TauxRenouvellement",#REF!,T$1-2020,FALSE)*VLOOKUP($H37&amp;";Volume",#REF!,T$1-2020,FALSE)+
S42*(VLOOKUP($H37&amp;";Volume",#REF!,T$1-2019,FALSE)-VLOOKUP($H37&amp;";TauxRenouvellement",#REF!,T$1-2020,FALSE)*VLOOKUP($H37&amp;";Volume",#REF!,T$1-2020,FALSE)))/
VLOOKUP($H37&amp;";Volume",#REF!,T$1-2019,FALSE)</f>
        <v>#REF!</v>
      </c>
      <c r="U42" t="e">
        <f>(VLOOKUP($H37&amp;";TauxRenouvellement",#REF!,U$1-2020,FALSE)*VLOOKUP($H37&amp;";Volume",#REF!,U$1-2020,FALSE)+
T42*(VLOOKUP($H37&amp;";Volume",#REF!,U$1-2019,FALSE)-VLOOKUP($H37&amp;";TauxRenouvellement",#REF!,U$1-2020,FALSE)*VLOOKUP($H37&amp;";Volume",#REF!,U$1-2020,FALSE)))/
VLOOKUP($H37&amp;";Volume",#REF!,U$1-2019,FALSE)</f>
        <v>#REF!</v>
      </c>
      <c r="V42" t="e">
        <f>(VLOOKUP($H37&amp;";TauxRenouvellement",#REF!,V$1-2020,FALSE)*VLOOKUP($H37&amp;";Volume",#REF!,V$1-2020,FALSE)+
U42*(VLOOKUP($H37&amp;";Volume",#REF!,V$1-2019,FALSE)-VLOOKUP($H37&amp;";TauxRenouvellement",#REF!,V$1-2020,FALSE)*VLOOKUP($H37&amp;";Volume",#REF!,V$1-2020,FALSE)))/
VLOOKUP($H37&amp;";Volume",#REF!,V$1-2019,FALSE)</f>
        <v>#REF!</v>
      </c>
      <c r="W42" t="e">
        <f>(VLOOKUP($H37&amp;";TauxRenouvellement",#REF!,W$1-2020,FALSE)*VLOOKUP($H37&amp;";Volume",#REF!,W$1-2020,FALSE)+
V42*(VLOOKUP($H37&amp;";Volume",#REF!,W$1-2019,FALSE)-VLOOKUP($H37&amp;";TauxRenouvellement",#REF!,W$1-2020,FALSE)*VLOOKUP($H37&amp;";Volume",#REF!,W$1-2020,FALSE)))/
VLOOKUP($H37&amp;";Volume",#REF!,W$1-2019,FALSE)</f>
        <v>#REF!</v>
      </c>
      <c r="X42" t="e">
        <f>(VLOOKUP($H37&amp;";TauxRenouvellement",#REF!,X$1-2020,FALSE)*VLOOKUP($H37&amp;";Volume",#REF!,X$1-2020,FALSE)+
W42*(VLOOKUP($H37&amp;";Volume",#REF!,X$1-2019,FALSE)-VLOOKUP($H37&amp;";TauxRenouvellement",#REF!,X$1-2020,FALSE)*VLOOKUP($H37&amp;";Volume",#REF!,X$1-2020,FALSE)))/
VLOOKUP($H37&amp;";Volume",#REF!,X$1-2019,FALSE)</f>
        <v>#REF!</v>
      </c>
      <c r="Y42" t="e">
        <f>(VLOOKUP($H37&amp;";TauxRenouvellement",#REF!,Y$1-2020,FALSE)*VLOOKUP($H37&amp;";Volume",#REF!,Y$1-2020,FALSE)+
X42*(VLOOKUP($H37&amp;";Volume",#REF!,Y$1-2019,FALSE)-VLOOKUP($H37&amp;";TauxRenouvellement",#REF!,Y$1-2020,FALSE)*VLOOKUP($H37&amp;";Volume",#REF!,Y$1-2020,FALSE)))/
VLOOKUP($H37&amp;";Volume",#REF!,Y$1-2019,FALSE)</f>
        <v>#REF!</v>
      </c>
      <c r="Z42" t="e">
        <f>(VLOOKUP($H37&amp;";TauxRenouvellement",#REF!,Z$1-2020,FALSE)*VLOOKUP($H37&amp;";Volume",#REF!,Z$1-2020,FALSE)+
Y42*(VLOOKUP($H37&amp;";Volume",#REF!,Z$1-2019,FALSE)-VLOOKUP($H37&amp;";TauxRenouvellement",#REF!,Z$1-2020,FALSE)*VLOOKUP($H37&amp;";Volume",#REF!,Z$1-2020,FALSE)))/
VLOOKUP($H37&amp;";Volume",#REF!,Z$1-2019,FALSE)</f>
        <v>#REF!</v>
      </c>
      <c r="AA42" t="e">
        <f>(VLOOKUP($H37&amp;";TauxRenouvellement",#REF!,AA$1-2020,FALSE)*VLOOKUP($H37&amp;";Volume",#REF!,AA$1-2020,FALSE)+
Z42*(VLOOKUP($H37&amp;";Volume",#REF!,AA$1-2019,FALSE)-VLOOKUP($H37&amp;";TauxRenouvellement",#REF!,AA$1-2020,FALSE)*VLOOKUP($H37&amp;";Volume",#REF!,AA$1-2020,FALSE)))/
VLOOKUP($H37&amp;";Volume",#REF!,AA$1-2019,FALSE)</f>
        <v>#REF!</v>
      </c>
      <c r="AB42" t="e">
        <f>(VLOOKUP($H37&amp;";TauxRenouvellement",#REF!,AB$1-2020,FALSE)*VLOOKUP($H37&amp;";Volume",#REF!,AB$1-2020,FALSE)+
AA42*(VLOOKUP($H37&amp;";Volume",#REF!,AB$1-2019,FALSE)-VLOOKUP($H37&amp;";TauxRenouvellement",#REF!,AB$1-2020,FALSE)*VLOOKUP($H37&amp;";Volume",#REF!,AB$1-2020,FALSE)))/
VLOOKUP($H37&amp;";Volume",#REF!,AB$1-2019,FALSE)</f>
        <v>#REF!</v>
      </c>
      <c r="AC42" t="e">
        <f>(VLOOKUP($H37&amp;";TauxRenouvellement",#REF!,AC$1-2020,FALSE)*VLOOKUP($H37&amp;";Volume",#REF!,AC$1-2020,FALSE)+
AB42*(VLOOKUP($H37&amp;";Volume",#REF!,AC$1-2019,FALSE)-VLOOKUP($H37&amp;";TauxRenouvellement",#REF!,AC$1-2020,FALSE)*VLOOKUP($H37&amp;";Volume",#REF!,AC$1-2020,FALSE)))/
VLOOKUP($H37&amp;";Volume",#REF!,AC$1-2019,FALSE)</f>
        <v>#REF!</v>
      </c>
      <c r="AD42" t="e">
        <f>(VLOOKUP($H37&amp;";TauxRenouvellement",#REF!,AD$1-2020,FALSE)*VLOOKUP($H37&amp;";Volume",#REF!,AD$1-2020,FALSE)+
AC42*(VLOOKUP($H37&amp;";Volume",#REF!,AD$1-2019,FALSE)-VLOOKUP($H37&amp;";TauxRenouvellement",#REF!,AD$1-2020,FALSE)*VLOOKUP($H37&amp;";Volume",#REF!,AD$1-2020,FALSE)))/
VLOOKUP($H37&amp;";Volume",#REF!,AD$1-2019,FALSE)</f>
        <v>#REF!</v>
      </c>
      <c r="AE42" t="e">
        <f>(VLOOKUP($H37&amp;";TauxRenouvellement",#REF!,AE$1-2020,FALSE)*VLOOKUP($H37&amp;";Volume",#REF!,AE$1-2020,FALSE)+
AD42*(VLOOKUP($H37&amp;";Volume",#REF!,AE$1-2019,FALSE)-VLOOKUP($H37&amp;";TauxRenouvellement",#REF!,AE$1-2020,FALSE)*VLOOKUP($H37&amp;";Volume",#REF!,AE$1-2020,FALSE)))/
VLOOKUP($H37&amp;";Volume",#REF!,AE$1-2019,FALSE)</f>
        <v>#REF!</v>
      </c>
      <c r="AF42" t="e">
        <f>(VLOOKUP($H37&amp;";TauxRenouvellement",#REF!,AF$1-2020,FALSE)*VLOOKUP($H37&amp;";Volume",#REF!,AF$1-2020,FALSE)+
AE42*(VLOOKUP($H37&amp;";Volume",#REF!,AF$1-2019,FALSE)-VLOOKUP($H37&amp;";TauxRenouvellement",#REF!,AF$1-2020,FALSE)*VLOOKUP($H37&amp;";Volume",#REF!,AF$1-2020,FALSE)))/
VLOOKUP($H37&amp;";Volume",#REF!,AF$1-2019,FALSE)</f>
        <v>#REF!</v>
      </c>
      <c r="AG42" t="e">
        <f>(VLOOKUP($H37&amp;";TauxRenouvellement",#REF!,AG$1-2020,FALSE)*VLOOKUP($H37&amp;";Volume",#REF!,AG$1-2020,FALSE)+
AF42*(VLOOKUP($H37&amp;";Volume",#REF!,AG$1-2019,FALSE)-VLOOKUP($H37&amp;";TauxRenouvellement",#REF!,AG$1-2020,FALSE)*VLOOKUP($H37&amp;";Volume",#REF!,AG$1-2020,FALSE)))/
VLOOKUP($H37&amp;";Volume",#REF!,AG$1-2019,FALSE)</f>
        <v>#REF!</v>
      </c>
      <c r="AH42" t="e">
        <f>(VLOOKUP($H37&amp;";TauxRenouvellement",#REF!,AH$1-2020,FALSE)*VLOOKUP($H37&amp;";Volume",#REF!,AH$1-2020,FALSE)+
AG42*(VLOOKUP($H37&amp;";Volume",#REF!,AH$1-2019,FALSE)-VLOOKUP($H37&amp;";TauxRenouvellement",#REF!,AH$1-2020,FALSE)*VLOOKUP($H37&amp;";Volume",#REF!,AH$1-2020,FALSE)))/
VLOOKUP($H37&amp;";Volume",#REF!,AH$1-2019,FALSE)</f>
        <v>#REF!</v>
      </c>
      <c r="AI42" t="e">
        <f>(VLOOKUP($H37&amp;";TauxRenouvellement",#REF!,AI$1-2020,FALSE)*VLOOKUP($H37&amp;";Volume",#REF!,AI$1-2020,FALSE)+
AH42*(VLOOKUP($H37&amp;";Volume",#REF!,AI$1-2019,FALSE)-VLOOKUP($H37&amp;";TauxRenouvellement",#REF!,AI$1-2020,FALSE)*VLOOKUP($H37&amp;";Volume",#REF!,AI$1-2020,FALSE)))/
VLOOKUP($H37&amp;";Volume",#REF!,AI$1-2019,FALSE)</f>
        <v>#REF!</v>
      </c>
      <c r="AJ42" t="e">
        <f>(VLOOKUP($H37&amp;";TauxRenouvellement",#REF!,AJ$1-2020,FALSE)*VLOOKUP($H37&amp;";Volume",#REF!,AJ$1-2020,FALSE)+
AI42*(VLOOKUP($H37&amp;";Volume",#REF!,AJ$1-2019,FALSE)-VLOOKUP($H37&amp;";TauxRenouvellement",#REF!,AJ$1-2020,FALSE)*VLOOKUP($H37&amp;";Volume",#REF!,AJ$1-2020,FALSE)))/
VLOOKUP($H37&amp;";Volume",#REF!,AJ$1-2019,FALSE)</f>
        <v>#REF!</v>
      </c>
      <c r="AK42" t="e">
        <f>(VLOOKUP($H37&amp;";TauxRenouvellement",#REF!,AK$1-2020,FALSE)*VLOOKUP($H37&amp;";Volume",#REF!,AK$1-2020,FALSE)+
AJ42*(VLOOKUP($H37&amp;";Volume",#REF!,AK$1-2019,FALSE)-VLOOKUP($H37&amp;";TauxRenouvellement",#REF!,AK$1-2020,FALSE)*VLOOKUP($H37&amp;";Volume",#REF!,AK$1-2020,FALSE)))/
VLOOKUP($H37&amp;";Volume",#REF!,AK$1-2019,FALSE)</f>
        <v>#REF!</v>
      </c>
      <c r="AL42" t="e">
        <f>(VLOOKUP($H37&amp;";TauxRenouvellement",#REF!,AL$1-2020,FALSE)*VLOOKUP($H37&amp;";Volume",#REF!,AL$1-2020,FALSE)+
AK42*(VLOOKUP($H37&amp;";Volume",#REF!,AL$1-2019,FALSE)-VLOOKUP($H37&amp;";TauxRenouvellement",#REF!,AL$1-2020,FALSE)*VLOOKUP($H37&amp;";Volume",#REF!,AL$1-2020,FALSE)))/
VLOOKUP($H37&amp;";Volume",#REF!,AL$1-2019,FALSE)</f>
        <v>#REF!</v>
      </c>
      <c r="AM42" t="e">
        <f>(VLOOKUP($H37&amp;";TauxRenouvellement",#REF!,AM$1-2020,FALSE)*VLOOKUP($H37&amp;";Volume",#REF!,AM$1-2020,FALSE)+
AL42*(VLOOKUP($H37&amp;";Volume",#REF!,AM$1-2019,FALSE)-VLOOKUP($H37&amp;";TauxRenouvellement",#REF!,AM$1-2020,FALSE)*VLOOKUP($H37&amp;";Volume",#REF!,AM$1-2020,FALSE)))/
VLOOKUP($H37&amp;";Volume",#REF!,AM$1-2019,FALSE)</f>
        <v>#REF!</v>
      </c>
      <c r="AN42" t="e">
        <f>(VLOOKUP($H37&amp;";TauxRenouvellement",#REF!,AN$1-2020,FALSE)*VLOOKUP($H37&amp;";Volume",#REF!,AN$1-2020,FALSE)+
AM42*(VLOOKUP($H37&amp;";Volume",#REF!,AN$1-2019,FALSE)-VLOOKUP($H37&amp;";TauxRenouvellement",#REF!,AN$1-2020,FALSE)*VLOOKUP($H37&amp;";Volume",#REF!,AN$1-2020,FALSE)))/
VLOOKUP($H37&amp;";Volume",#REF!,AN$1-2019,FALSE)</f>
        <v>#REF!</v>
      </c>
      <c r="AO42" t="e">
        <f>(VLOOKUP($H37&amp;";TauxRenouvellement",#REF!,AO$1-2020,FALSE)*VLOOKUP($H37&amp;";Volume",#REF!,AO$1-2020,FALSE)+
AN42*(VLOOKUP($H37&amp;";Volume",#REF!,AO$1-2019,FALSE)-VLOOKUP($H37&amp;";TauxRenouvellement",#REF!,AO$1-2020,FALSE)*VLOOKUP($H37&amp;";Volume",#REF!,AO$1-2020,FALSE)))/
VLOOKUP($H37&amp;";Volume",#REF!,AO$1-2019,FALSE)</f>
        <v>#REF!</v>
      </c>
      <c r="AP42" t="e">
        <f>(VLOOKUP($H37&amp;";TauxRenouvellement",#REF!,AP$1-2020,FALSE)*VLOOKUP($H37&amp;";Volume",#REF!,AP$1-2020,FALSE)+
AO42*(VLOOKUP($H37&amp;";Volume",#REF!,AP$1-2019,FALSE)-VLOOKUP($H37&amp;";TauxRenouvellement",#REF!,AP$1-2020,FALSE)*VLOOKUP($H37&amp;";Volume",#REF!,AP$1-2020,FALSE)))/
VLOOKUP($H37&amp;";Volume",#REF!,AP$1-2019,FALSE)</f>
        <v>#REF!</v>
      </c>
    </row>
    <row r="43" spans="1:42" outlineLevel="1" x14ac:dyDescent="0.25">
      <c r="A43" t="s">
        <v>76</v>
      </c>
      <c r="B43" s="2" t="s">
        <v>92</v>
      </c>
      <c r="C43" t="s">
        <v>85</v>
      </c>
      <c r="E43" t="str">
        <f>_xlfn.CONCAT("FretRout",LEFT(B43,3),RIGHT(B43,1),"Nb")</f>
        <v>FretRoutCat4Nb</v>
      </c>
      <c r="F43" t="s">
        <v>17</v>
      </c>
      <c r="G43">
        <v>1</v>
      </c>
      <c r="J43" t="s">
        <v>86</v>
      </c>
      <c r="K43">
        <v>0</v>
      </c>
    </row>
    <row r="44" spans="1:42" outlineLevel="1" x14ac:dyDescent="0.25">
      <c r="A44" t="s">
        <v>76</v>
      </c>
      <c r="B44" s="2" t="s">
        <v>92</v>
      </c>
      <c r="C44" t="s">
        <v>87</v>
      </c>
      <c r="E44" t="str">
        <f>_xlfn.CONCAT("FretRout",LEFT(B44,3),RIGHT(B44,1),"Dist")</f>
        <v>FretRoutCat4Dist</v>
      </c>
      <c r="F44" t="s">
        <v>17</v>
      </c>
      <c r="G44">
        <v>1</v>
      </c>
      <c r="H44" s="2"/>
      <c r="J44" t="s">
        <v>88</v>
      </c>
      <c r="K44">
        <v>17855</v>
      </c>
    </row>
    <row r="45" spans="1:42" outlineLevel="1" x14ac:dyDescent="0.25">
      <c r="A45" t="s">
        <v>76</v>
      </c>
      <c r="B45" s="2" t="s">
        <v>92</v>
      </c>
      <c r="C45" s="2" t="s">
        <v>89</v>
      </c>
      <c r="E45" t="str">
        <f>_xlfn.CONCAT("FretRout",LEFT(B45,3),RIGHT(B45,1),"Rempl")</f>
        <v>FretRoutCat4Rempl</v>
      </c>
      <c r="F45" t="s">
        <v>17</v>
      </c>
      <c r="G45">
        <v>1</v>
      </c>
      <c r="H45" s="3"/>
      <c r="J45" t="s">
        <v>70</v>
      </c>
      <c r="K45">
        <v>0</v>
      </c>
    </row>
    <row r="46" spans="1:42" outlineLevel="1" x14ac:dyDescent="0.25">
      <c r="A46" t="s">
        <v>76</v>
      </c>
      <c r="B46" s="2" t="s">
        <v>93</v>
      </c>
      <c r="C46" t="s">
        <v>78</v>
      </c>
      <c r="E46" t="str">
        <f>_xlfn.CONCAT("FretRout",LEFT(B46,3),RIGHT(B46,1),"Nom")</f>
        <v>FretRoutCat5Nom</v>
      </c>
      <c r="F46" t="s">
        <v>20</v>
      </c>
      <c r="G46">
        <v>1</v>
      </c>
      <c r="H46" s="4"/>
      <c r="I46" s="4" t="s">
        <v>390</v>
      </c>
      <c r="K46" s="4" t="str">
        <f t="shared" ref="K46:K52" si="4">I46</f>
        <v>VUL Diesel (Crit'Air 5)</v>
      </c>
    </row>
    <row r="47" spans="1:42" outlineLevel="1" x14ac:dyDescent="0.25">
      <c r="A47" t="s">
        <v>76</v>
      </c>
      <c r="B47" s="2" t="s">
        <v>93</v>
      </c>
      <c r="C47" t="s">
        <v>79</v>
      </c>
      <c r="E47" t="str">
        <f>_xlfn.CONCAT("FretRout",LEFT(B47,3),RIGHT(B47,1),"Type")</f>
        <v>FretRoutCat5Type</v>
      </c>
      <c r="F47" t="s">
        <v>20</v>
      </c>
      <c r="G47">
        <v>1</v>
      </c>
      <c r="I47" t="s">
        <v>1770</v>
      </c>
      <c r="K47" s="4" t="str">
        <f t="shared" si="4"/>
        <v>VUL</v>
      </c>
    </row>
    <row r="48" spans="1:42" outlineLevel="1" x14ac:dyDescent="0.25">
      <c r="A48" t="s">
        <v>76</v>
      </c>
      <c r="B48" s="2" t="s">
        <v>93</v>
      </c>
      <c r="C48" t="s">
        <v>80</v>
      </c>
      <c r="E48" t="str">
        <f>_xlfn.CONCAT("FretRout",LEFT(B48,3),RIGHT(B48,1),"PTAC")</f>
        <v>FretRoutCat5PTAC</v>
      </c>
      <c r="F48" t="s">
        <v>36</v>
      </c>
      <c r="G48">
        <v>1</v>
      </c>
      <c r="I48" t="s">
        <v>1451</v>
      </c>
      <c r="K48" s="4" t="str">
        <f t="shared" si="4"/>
        <v>&lt;=3,5t</v>
      </c>
    </row>
    <row r="49" spans="1:42" outlineLevel="1" x14ac:dyDescent="0.25">
      <c r="A49" t="s">
        <v>76</v>
      </c>
      <c r="B49" s="2" t="s">
        <v>93</v>
      </c>
      <c r="C49" t="s">
        <v>81</v>
      </c>
      <c r="E49" t="str">
        <f>_xlfn.CONCAT("FretRout",LEFT(B49,3),RIGHT(B49,1),"Mot")</f>
        <v>FretRoutCat5Mot</v>
      </c>
      <c r="F49" t="s">
        <v>36</v>
      </c>
      <c r="G49">
        <v>1</v>
      </c>
      <c r="H49" s="2"/>
      <c r="I49" t="s">
        <v>138</v>
      </c>
      <c r="K49" s="4" t="str">
        <f t="shared" si="4"/>
        <v>Diesel</v>
      </c>
    </row>
    <row r="50" spans="1:42" outlineLevel="1" x14ac:dyDescent="0.25">
      <c r="A50" t="s">
        <v>76</v>
      </c>
      <c r="B50" s="2" t="s">
        <v>93</v>
      </c>
      <c r="C50" t="s">
        <v>82</v>
      </c>
      <c r="E50" t="str">
        <f>_xlfn.CONCAT("FretRout",LEFT(B50,3),RIGHT(B50,1),"Carb")</f>
        <v>FretRoutCat5Carb</v>
      </c>
      <c r="F50" t="s">
        <v>36</v>
      </c>
      <c r="G50">
        <v>1</v>
      </c>
      <c r="I50" t="s">
        <v>1449</v>
      </c>
      <c r="K50" s="4" t="str">
        <f t="shared" si="4"/>
        <v>Gazole à la pompe</v>
      </c>
    </row>
    <row r="51" spans="1:42" outlineLevel="1" x14ac:dyDescent="0.25">
      <c r="A51" t="s">
        <v>76</v>
      </c>
      <c r="B51" s="2" t="s">
        <v>93</v>
      </c>
      <c r="C51" t="s">
        <v>83</v>
      </c>
      <c r="E51" t="str">
        <f>_xlfn.CONCAT("FretRout",LEFT(B51,3),RIGHT(B51,1),"Euro")</f>
        <v>FretRoutCat5Euro</v>
      </c>
      <c r="F51" t="s">
        <v>36</v>
      </c>
      <c r="G51">
        <v>1</v>
      </c>
      <c r="I51">
        <v>0</v>
      </c>
      <c r="K51" s="4">
        <f t="shared" si="4"/>
        <v>0</v>
      </c>
      <c r="Q51" t="e">
        <v>#REF!</v>
      </c>
      <c r="R51" t="e">
        <f>(6*VLOOKUP($H47&amp;";TauxRenouvellement",#REF!,R$1-2020,FALSE)*VLOOKUP($H47&amp;";Volume",#REF!,R$1-2020,FALSE)+
Q51*(VLOOKUP($H47&amp;";Volume",#REF!,R$1-2019,FALSE)-VLOOKUP($H47&amp;";TauxRenouvellement",#REF!,R$1-2020,FALSE)*VLOOKUP($H47&amp;";Volume",#REF!,R$1-2020,FALSE)))/
VLOOKUP($H47&amp;";Volume",#REF!,R$1-2019,FALSE)</f>
        <v>#REF!</v>
      </c>
      <c r="S51" t="e">
        <f>(6*VLOOKUP($H47&amp;";TauxRenouvellement",#REF!,S$1-2020,FALSE)*VLOOKUP($H47&amp;";Volume",#REF!,S$1-2020,FALSE)+
R51*(VLOOKUP($H47&amp;";Volume",#REF!,S$1-2019,FALSE)-VLOOKUP($H47&amp;";TauxRenouvellement",#REF!,S$1-2020,FALSE)*VLOOKUP($H47&amp;";Volume",#REF!,S$1-2020,FALSE)))/
VLOOKUP($H47&amp;";Volume",#REF!,S$1-2019,FALSE)</f>
        <v>#REF!</v>
      </c>
      <c r="T51" t="e">
        <f>(6*VLOOKUP($H47&amp;";TauxRenouvellement",#REF!,T$1-2020,FALSE)*VLOOKUP($H47&amp;";Volume",#REF!,T$1-2020,FALSE)+
S51*(VLOOKUP($H47&amp;";Volume",#REF!,T$1-2019,FALSE)-VLOOKUP($H47&amp;";TauxRenouvellement",#REF!,T$1-2020,FALSE)*VLOOKUP($H47&amp;";Volume",#REF!,T$1-2020,FALSE)))/
VLOOKUP($H47&amp;";Volume",#REF!,T$1-2019,FALSE)</f>
        <v>#REF!</v>
      </c>
      <c r="U51" t="e">
        <f>(6*VLOOKUP($H47&amp;";TauxRenouvellement",#REF!,U$1-2020,FALSE)*VLOOKUP($H47&amp;";Volume",#REF!,U$1-2020,FALSE)+
T51*(VLOOKUP($H47&amp;";Volume",#REF!,U$1-2019,FALSE)-VLOOKUP($H47&amp;";TauxRenouvellement",#REF!,U$1-2020,FALSE)*VLOOKUP($H47&amp;";Volume",#REF!,U$1-2020,FALSE)))/
VLOOKUP($H47&amp;";Volume",#REF!,U$1-2019,FALSE)</f>
        <v>#REF!</v>
      </c>
      <c r="V51" t="e">
        <f>(6*VLOOKUP($H47&amp;";TauxRenouvellement",#REF!,V$1-2020,FALSE)*VLOOKUP($H47&amp;";Volume",#REF!,V$1-2020,FALSE)+
U51*(VLOOKUP($H47&amp;";Volume",#REF!,V$1-2019,FALSE)-VLOOKUP($H47&amp;";TauxRenouvellement",#REF!,V$1-2020,FALSE)*VLOOKUP($H47&amp;";Volume",#REF!,V$1-2020,FALSE)))/
VLOOKUP($H47&amp;";Volume",#REF!,V$1-2019,FALSE)</f>
        <v>#REF!</v>
      </c>
      <c r="W51" t="e">
        <f>(6*VLOOKUP($H47&amp;";TauxRenouvellement",#REF!,W$1-2020,FALSE)*VLOOKUP($H47&amp;";Volume",#REF!,W$1-2020,FALSE)+
V51*(VLOOKUP($H47&amp;";Volume",#REF!,W$1-2019,FALSE)-VLOOKUP($H47&amp;";TauxRenouvellement",#REF!,W$1-2020,FALSE)*VLOOKUP($H47&amp;";Volume",#REF!,W$1-2020,FALSE)))/
VLOOKUP($H47&amp;";Volume",#REF!,W$1-2019,FALSE)</f>
        <v>#REF!</v>
      </c>
      <c r="X51" t="e">
        <f>(6*VLOOKUP($H47&amp;";TauxRenouvellement",#REF!,X$1-2020,FALSE)*VLOOKUP($H47&amp;";Volume",#REF!,X$1-2020,FALSE)+
W51*(VLOOKUP($H47&amp;";Volume",#REF!,X$1-2019,FALSE)-VLOOKUP($H47&amp;";TauxRenouvellement",#REF!,X$1-2020,FALSE)*VLOOKUP($H47&amp;";Volume",#REF!,X$1-2020,FALSE)))/
VLOOKUP($H47&amp;";Volume",#REF!,X$1-2019,FALSE)</f>
        <v>#REF!</v>
      </c>
      <c r="Y51" t="e">
        <f>(6*VLOOKUP($H47&amp;";TauxRenouvellement",#REF!,Y$1-2020,FALSE)*VLOOKUP($H47&amp;";Volume",#REF!,Y$1-2020,FALSE)+
X51*(VLOOKUP($H47&amp;";Volume",#REF!,Y$1-2019,FALSE)-VLOOKUP($H47&amp;";TauxRenouvellement",#REF!,Y$1-2020,FALSE)*VLOOKUP($H47&amp;";Volume",#REF!,Y$1-2020,FALSE)))/
VLOOKUP($H47&amp;";Volume",#REF!,Y$1-2019,FALSE)</f>
        <v>#REF!</v>
      </c>
      <c r="Z51" t="e">
        <f>(6*VLOOKUP($H47&amp;";TauxRenouvellement",#REF!,Z$1-2020,FALSE)*VLOOKUP($H47&amp;";Volume",#REF!,Z$1-2020,FALSE)+
Y51*(VLOOKUP($H47&amp;";Volume",#REF!,Z$1-2019,FALSE)-VLOOKUP($H47&amp;";TauxRenouvellement",#REF!,Z$1-2020,FALSE)*VLOOKUP($H47&amp;";Volume",#REF!,Z$1-2020,FALSE)))/
VLOOKUP($H47&amp;";Volume",#REF!,Z$1-2019,FALSE)</f>
        <v>#REF!</v>
      </c>
      <c r="AA51" t="e">
        <f>(6*VLOOKUP($H47&amp;";TauxRenouvellement",#REF!,AA$1-2020,FALSE)*VLOOKUP($H47&amp;";Volume",#REF!,AA$1-2020,FALSE)+
Z51*(VLOOKUP($H47&amp;";Volume",#REF!,AA$1-2019,FALSE)-VLOOKUP($H47&amp;";TauxRenouvellement",#REF!,AA$1-2020,FALSE)*VLOOKUP($H47&amp;";Volume",#REF!,AA$1-2020,FALSE)))/
VLOOKUP($H47&amp;";Volume",#REF!,AA$1-2019,FALSE)</f>
        <v>#REF!</v>
      </c>
      <c r="AB51" t="e">
        <f>(6*VLOOKUP($H47&amp;";TauxRenouvellement",#REF!,AB$1-2020,FALSE)*VLOOKUP($H47&amp;";Volume",#REF!,AB$1-2020,FALSE)+
AA51*(VLOOKUP($H47&amp;";Volume",#REF!,AB$1-2019,FALSE)-VLOOKUP($H47&amp;";TauxRenouvellement",#REF!,AB$1-2020,FALSE)*VLOOKUP($H47&amp;";Volume",#REF!,AB$1-2020,FALSE)))/
VLOOKUP($H47&amp;";Volume",#REF!,AB$1-2019,FALSE)</f>
        <v>#REF!</v>
      </c>
      <c r="AC51" t="e">
        <f>(6*VLOOKUP($H47&amp;";TauxRenouvellement",#REF!,AC$1-2020,FALSE)*VLOOKUP($H47&amp;";Volume",#REF!,AC$1-2020,FALSE)+
AB51*(VLOOKUP($H47&amp;";Volume",#REF!,AC$1-2019,FALSE)-VLOOKUP($H47&amp;";TauxRenouvellement",#REF!,AC$1-2020,FALSE)*VLOOKUP($H47&amp;";Volume",#REF!,AC$1-2020,FALSE)))/
VLOOKUP($H47&amp;";Volume",#REF!,AC$1-2019,FALSE)</f>
        <v>#REF!</v>
      </c>
      <c r="AD51" t="e">
        <f>(6*VLOOKUP($H47&amp;";TauxRenouvellement",#REF!,AD$1-2020,FALSE)*VLOOKUP($H47&amp;";Volume",#REF!,AD$1-2020,FALSE)+
AC51*(VLOOKUP($H47&amp;";Volume",#REF!,AD$1-2019,FALSE)-VLOOKUP($H47&amp;";TauxRenouvellement",#REF!,AD$1-2020,FALSE)*VLOOKUP($H47&amp;";Volume",#REF!,AD$1-2020,FALSE)))/
VLOOKUP($H47&amp;";Volume",#REF!,AD$1-2019,FALSE)</f>
        <v>#REF!</v>
      </c>
      <c r="AE51" t="e">
        <f>(6*VLOOKUP($H47&amp;";TauxRenouvellement",#REF!,AE$1-2020,FALSE)*VLOOKUP($H47&amp;";Volume",#REF!,AE$1-2020,FALSE)+
AD51*(VLOOKUP($H47&amp;";Volume",#REF!,AE$1-2019,FALSE)-VLOOKUP($H47&amp;";TauxRenouvellement",#REF!,AE$1-2020,FALSE)*VLOOKUP($H47&amp;";Volume",#REF!,AE$1-2020,FALSE)))/
VLOOKUP($H47&amp;";Volume",#REF!,AE$1-2019,FALSE)</f>
        <v>#REF!</v>
      </c>
      <c r="AF51" t="e">
        <f>(6*VLOOKUP($H47&amp;";TauxRenouvellement",#REF!,AF$1-2020,FALSE)*VLOOKUP($H47&amp;";Volume",#REF!,AF$1-2020,FALSE)+
AE51*(VLOOKUP($H47&amp;";Volume",#REF!,AF$1-2019,FALSE)-VLOOKUP($H47&amp;";TauxRenouvellement",#REF!,AF$1-2020,FALSE)*VLOOKUP($H47&amp;";Volume",#REF!,AF$1-2020,FALSE)))/
VLOOKUP($H47&amp;";Volume",#REF!,AF$1-2019,FALSE)</f>
        <v>#REF!</v>
      </c>
      <c r="AG51" t="e">
        <f>(6*VLOOKUP($H47&amp;";TauxRenouvellement",#REF!,AG$1-2020,FALSE)*VLOOKUP($H47&amp;";Volume",#REF!,AG$1-2020,FALSE)+
AF51*(VLOOKUP($H47&amp;";Volume",#REF!,AG$1-2019,FALSE)-VLOOKUP($H47&amp;";TauxRenouvellement",#REF!,AG$1-2020,FALSE)*VLOOKUP($H47&amp;";Volume",#REF!,AG$1-2020,FALSE)))/
VLOOKUP($H47&amp;";Volume",#REF!,AG$1-2019,FALSE)</f>
        <v>#REF!</v>
      </c>
      <c r="AH51" t="e">
        <f>(6*VLOOKUP($H47&amp;";TauxRenouvellement",#REF!,AH$1-2020,FALSE)*VLOOKUP($H47&amp;";Volume",#REF!,AH$1-2020,FALSE)+
AG51*(VLOOKUP($H47&amp;";Volume",#REF!,AH$1-2019,FALSE)-VLOOKUP($H47&amp;";TauxRenouvellement",#REF!,AH$1-2020,FALSE)*VLOOKUP($H47&amp;";Volume",#REF!,AH$1-2020,FALSE)))/
VLOOKUP($H47&amp;";Volume",#REF!,AH$1-2019,FALSE)</f>
        <v>#REF!</v>
      </c>
      <c r="AI51" t="e">
        <f>(6*VLOOKUP($H47&amp;";TauxRenouvellement",#REF!,AI$1-2020,FALSE)*VLOOKUP($H47&amp;";Volume",#REF!,AI$1-2020,FALSE)+
AH51*(VLOOKUP($H47&amp;";Volume",#REF!,AI$1-2019,FALSE)-VLOOKUP($H47&amp;";TauxRenouvellement",#REF!,AI$1-2020,FALSE)*VLOOKUP($H47&amp;";Volume",#REF!,AI$1-2020,FALSE)))/
VLOOKUP($H47&amp;";Volume",#REF!,AI$1-2019,FALSE)</f>
        <v>#REF!</v>
      </c>
      <c r="AJ51" t="e">
        <f>(6*VLOOKUP($H47&amp;";TauxRenouvellement",#REF!,AJ$1-2020,FALSE)*VLOOKUP($H47&amp;";Volume",#REF!,AJ$1-2020,FALSE)+
AI51*(VLOOKUP($H47&amp;";Volume",#REF!,AJ$1-2019,FALSE)-VLOOKUP($H47&amp;";TauxRenouvellement",#REF!,AJ$1-2020,FALSE)*VLOOKUP($H47&amp;";Volume",#REF!,AJ$1-2020,FALSE)))/
VLOOKUP($H47&amp;";Volume",#REF!,AJ$1-2019,FALSE)</f>
        <v>#REF!</v>
      </c>
      <c r="AK51" t="e">
        <f>(6*VLOOKUP($H47&amp;";TauxRenouvellement",#REF!,AK$1-2020,FALSE)*VLOOKUP($H47&amp;";Volume",#REF!,AK$1-2020,FALSE)+
AJ51*(VLOOKUP($H47&amp;";Volume",#REF!,AK$1-2019,FALSE)-VLOOKUP($H47&amp;";TauxRenouvellement",#REF!,AK$1-2020,FALSE)*VLOOKUP($H47&amp;";Volume",#REF!,AK$1-2020,FALSE)))/
VLOOKUP($H47&amp;";Volume",#REF!,AK$1-2019,FALSE)</f>
        <v>#REF!</v>
      </c>
      <c r="AL51" t="e">
        <f>(6*VLOOKUP($H47&amp;";TauxRenouvellement",#REF!,AL$1-2020,FALSE)*VLOOKUP($H47&amp;";Volume",#REF!,AL$1-2020,FALSE)+
AK51*(VLOOKUP($H47&amp;";Volume",#REF!,AL$1-2019,FALSE)-VLOOKUP($H47&amp;";TauxRenouvellement",#REF!,AL$1-2020,FALSE)*VLOOKUP($H47&amp;";Volume",#REF!,AL$1-2020,FALSE)))/
VLOOKUP($H47&amp;";Volume",#REF!,AL$1-2019,FALSE)</f>
        <v>#REF!</v>
      </c>
      <c r="AM51" t="e">
        <f>(6*VLOOKUP($H47&amp;";TauxRenouvellement",#REF!,AM$1-2020,FALSE)*VLOOKUP($H47&amp;";Volume",#REF!,AM$1-2020,FALSE)+
AL51*(VLOOKUP($H47&amp;";Volume",#REF!,AM$1-2019,FALSE)-VLOOKUP($H47&amp;";TauxRenouvellement",#REF!,AM$1-2020,FALSE)*VLOOKUP($H47&amp;";Volume",#REF!,AM$1-2020,FALSE)))/
VLOOKUP($H47&amp;";Volume",#REF!,AM$1-2019,FALSE)</f>
        <v>#REF!</v>
      </c>
      <c r="AN51" t="e">
        <f>(6*VLOOKUP($H47&amp;";TauxRenouvellement",#REF!,AN$1-2020,FALSE)*VLOOKUP($H47&amp;";Volume",#REF!,AN$1-2020,FALSE)+
AM51*(VLOOKUP($H47&amp;";Volume",#REF!,AN$1-2019,FALSE)-VLOOKUP($H47&amp;";TauxRenouvellement",#REF!,AN$1-2020,FALSE)*VLOOKUP($H47&amp;";Volume",#REF!,AN$1-2020,FALSE)))/
VLOOKUP($H47&amp;";Volume",#REF!,AN$1-2019,FALSE)</f>
        <v>#REF!</v>
      </c>
      <c r="AO51" t="e">
        <f>(6*VLOOKUP($H47&amp;";TauxRenouvellement",#REF!,AO$1-2020,FALSE)*VLOOKUP($H47&amp;";Volume",#REF!,AO$1-2020,FALSE)+
AN51*(VLOOKUP($H47&amp;";Volume",#REF!,AO$1-2019,FALSE)-VLOOKUP($H47&amp;";TauxRenouvellement",#REF!,AO$1-2020,FALSE)*VLOOKUP($H47&amp;";Volume",#REF!,AO$1-2020,FALSE)))/
VLOOKUP($H47&amp;";Volume",#REF!,AO$1-2019,FALSE)</f>
        <v>#REF!</v>
      </c>
      <c r="AP51" t="e">
        <f>(6*VLOOKUP($H47&amp;";TauxRenouvellement",#REF!,AP$1-2020,FALSE)*VLOOKUP($H47&amp;";Volume",#REF!,AP$1-2020,FALSE)+
AO51*(VLOOKUP($H47&amp;";Volume",#REF!,AP$1-2019,FALSE)-VLOOKUP($H47&amp;";TauxRenouvellement",#REF!,AP$1-2020,FALSE)*VLOOKUP($H47&amp;";Volume",#REF!,AP$1-2020,FALSE)))/
VLOOKUP($H47&amp;";Volume",#REF!,AP$1-2019,FALSE)</f>
        <v>#REF!</v>
      </c>
    </row>
    <row r="52" spans="1:42" outlineLevel="1" x14ac:dyDescent="0.25">
      <c r="A52" t="s">
        <v>76</v>
      </c>
      <c r="B52" s="2" t="s">
        <v>93</v>
      </c>
      <c r="C52" t="s">
        <v>84</v>
      </c>
      <c r="E52" t="str">
        <f>_xlfn.CONCAT("FretRout",LEFT(B52,3),RIGHT(B52,1),"CritAir")</f>
        <v>FretRoutCat5CritAir</v>
      </c>
      <c r="F52" t="s">
        <v>36</v>
      </c>
      <c r="G52">
        <v>1</v>
      </c>
      <c r="H52" s="2"/>
      <c r="I52">
        <v>5</v>
      </c>
      <c r="K52" s="4">
        <f t="shared" si="4"/>
        <v>5</v>
      </c>
      <c r="Q52" t="e">
        <v>#REF!</v>
      </c>
      <c r="R52" t="e">
        <f>(VLOOKUP($H47&amp;";TauxRenouvellement",#REF!,R$1-2020,FALSE)*VLOOKUP($H47&amp;";Volume",#REF!,R$1-2020,FALSE)+
Q52*(VLOOKUP($H47&amp;";Volume",#REF!,R$1-2019,FALSE)-VLOOKUP($H47&amp;";TauxRenouvellement",#REF!,R$1-2020,FALSE)*VLOOKUP($H47&amp;";Volume",#REF!,R$1-2020,FALSE)))/
VLOOKUP($H47&amp;";Volume",#REF!,R$1-2019,FALSE)</f>
        <v>#REF!</v>
      </c>
      <c r="S52" t="e">
        <f>(VLOOKUP($H47&amp;";TauxRenouvellement",#REF!,S$1-2020,FALSE)*VLOOKUP($H47&amp;";Volume",#REF!,S$1-2020,FALSE)+
R52*(VLOOKUP($H47&amp;";Volume",#REF!,S$1-2019,FALSE)-VLOOKUP($H47&amp;";TauxRenouvellement",#REF!,S$1-2020,FALSE)*VLOOKUP($H47&amp;";Volume",#REF!,S$1-2020,FALSE)))/
VLOOKUP($H47&amp;";Volume",#REF!,S$1-2019,FALSE)</f>
        <v>#REF!</v>
      </c>
      <c r="T52" t="e">
        <f>(VLOOKUP($H47&amp;";TauxRenouvellement",#REF!,T$1-2020,FALSE)*VLOOKUP($H47&amp;";Volume",#REF!,T$1-2020,FALSE)+
S52*(VLOOKUP($H47&amp;";Volume",#REF!,T$1-2019,FALSE)-VLOOKUP($H47&amp;";TauxRenouvellement",#REF!,T$1-2020,FALSE)*VLOOKUP($H47&amp;";Volume",#REF!,T$1-2020,FALSE)))/
VLOOKUP($H47&amp;";Volume",#REF!,T$1-2019,FALSE)</f>
        <v>#REF!</v>
      </c>
      <c r="U52" t="e">
        <f>(VLOOKUP($H47&amp;";TauxRenouvellement",#REF!,U$1-2020,FALSE)*VLOOKUP($H47&amp;";Volume",#REF!,U$1-2020,FALSE)+
T52*(VLOOKUP($H47&amp;";Volume",#REF!,U$1-2019,FALSE)-VLOOKUP($H47&amp;";TauxRenouvellement",#REF!,U$1-2020,FALSE)*VLOOKUP($H47&amp;";Volume",#REF!,U$1-2020,FALSE)))/
VLOOKUP($H47&amp;";Volume",#REF!,U$1-2019,FALSE)</f>
        <v>#REF!</v>
      </c>
      <c r="V52" t="e">
        <f>(VLOOKUP($H47&amp;";TauxRenouvellement",#REF!,V$1-2020,FALSE)*VLOOKUP($H47&amp;";Volume",#REF!,V$1-2020,FALSE)+
U52*(VLOOKUP($H47&amp;";Volume",#REF!,V$1-2019,FALSE)-VLOOKUP($H47&amp;";TauxRenouvellement",#REF!,V$1-2020,FALSE)*VLOOKUP($H47&amp;";Volume",#REF!,V$1-2020,FALSE)))/
VLOOKUP($H47&amp;";Volume",#REF!,V$1-2019,FALSE)</f>
        <v>#REF!</v>
      </c>
      <c r="W52" t="e">
        <f>(VLOOKUP($H47&amp;";TauxRenouvellement",#REF!,W$1-2020,FALSE)*VLOOKUP($H47&amp;";Volume",#REF!,W$1-2020,FALSE)+
V52*(VLOOKUP($H47&amp;";Volume",#REF!,W$1-2019,FALSE)-VLOOKUP($H47&amp;";TauxRenouvellement",#REF!,W$1-2020,FALSE)*VLOOKUP($H47&amp;";Volume",#REF!,W$1-2020,FALSE)))/
VLOOKUP($H47&amp;";Volume",#REF!,W$1-2019,FALSE)</f>
        <v>#REF!</v>
      </c>
      <c r="X52" t="e">
        <f>(VLOOKUP($H47&amp;";TauxRenouvellement",#REF!,X$1-2020,FALSE)*VLOOKUP($H47&amp;";Volume",#REF!,X$1-2020,FALSE)+
W52*(VLOOKUP($H47&amp;";Volume",#REF!,X$1-2019,FALSE)-VLOOKUP($H47&amp;";TauxRenouvellement",#REF!,X$1-2020,FALSE)*VLOOKUP($H47&amp;";Volume",#REF!,X$1-2020,FALSE)))/
VLOOKUP($H47&amp;";Volume",#REF!,X$1-2019,FALSE)</f>
        <v>#REF!</v>
      </c>
      <c r="Y52" t="e">
        <f>(VLOOKUP($H47&amp;";TauxRenouvellement",#REF!,Y$1-2020,FALSE)*VLOOKUP($H47&amp;";Volume",#REF!,Y$1-2020,FALSE)+
X52*(VLOOKUP($H47&amp;";Volume",#REF!,Y$1-2019,FALSE)-VLOOKUP($H47&amp;";TauxRenouvellement",#REF!,Y$1-2020,FALSE)*VLOOKUP($H47&amp;";Volume",#REF!,Y$1-2020,FALSE)))/
VLOOKUP($H47&amp;";Volume",#REF!,Y$1-2019,FALSE)</f>
        <v>#REF!</v>
      </c>
      <c r="Z52" t="e">
        <f>(VLOOKUP($H47&amp;";TauxRenouvellement",#REF!,Z$1-2020,FALSE)*VLOOKUP($H47&amp;";Volume",#REF!,Z$1-2020,FALSE)+
Y52*(VLOOKUP($H47&amp;";Volume",#REF!,Z$1-2019,FALSE)-VLOOKUP($H47&amp;";TauxRenouvellement",#REF!,Z$1-2020,FALSE)*VLOOKUP($H47&amp;";Volume",#REF!,Z$1-2020,FALSE)))/
VLOOKUP($H47&amp;";Volume",#REF!,Z$1-2019,FALSE)</f>
        <v>#REF!</v>
      </c>
      <c r="AA52" t="e">
        <f>(VLOOKUP($H47&amp;";TauxRenouvellement",#REF!,AA$1-2020,FALSE)*VLOOKUP($H47&amp;";Volume",#REF!,AA$1-2020,FALSE)+
Z52*(VLOOKUP($H47&amp;";Volume",#REF!,AA$1-2019,FALSE)-VLOOKUP($H47&amp;";TauxRenouvellement",#REF!,AA$1-2020,FALSE)*VLOOKUP($H47&amp;";Volume",#REF!,AA$1-2020,FALSE)))/
VLOOKUP($H47&amp;";Volume",#REF!,AA$1-2019,FALSE)</f>
        <v>#REF!</v>
      </c>
      <c r="AB52" t="e">
        <f>(VLOOKUP($H47&amp;";TauxRenouvellement",#REF!,AB$1-2020,FALSE)*VLOOKUP($H47&amp;";Volume",#REF!,AB$1-2020,FALSE)+
AA52*(VLOOKUP($H47&amp;";Volume",#REF!,AB$1-2019,FALSE)-VLOOKUP($H47&amp;";TauxRenouvellement",#REF!,AB$1-2020,FALSE)*VLOOKUP($H47&amp;";Volume",#REF!,AB$1-2020,FALSE)))/
VLOOKUP($H47&amp;";Volume",#REF!,AB$1-2019,FALSE)</f>
        <v>#REF!</v>
      </c>
      <c r="AC52" t="e">
        <f>(VLOOKUP($H47&amp;";TauxRenouvellement",#REF!,AC$1-2020,FALSE)*VLOOKUP($H47&amp;";Volume",#REF!,AC$1-2020,FALSE)+
AB52*(VLOOKUP($H47&amp;";Volume",#REF!,AC$1-2019,FALSE)-VLOOKUP($H47&amp;";TauxRenouvellement",#REF!,AC$1-2020,FALSE)*VLOOKUP($H47&amp;";Volume",#REF!,AC$1-2020,FALSE)))/
VLOOKUP($H47&amp;";Volume",#REF!,AC$1-2019,FALSE)</f>
        <v>#REF!</v>
      </c>
      <c r="AD52" t="e">
        <f>(VLOOKUP($H47&amp;";TauxRenouvellement",#REF!,AD$1-2020,FALSE)*VLOOKUP($H47&amp;";Volume",#REF!,AD$1-2020,FALSE)+
AC52*(VLOOKUP($H47&amp;";Volume",#REF!,AD$1-2019,FALSE)-VLOOKUP($H47&amp;";TauxRenouvellement",#REF!,AD$1-2020,FALSE)*VLOOKUP($H47&amp;";Volume",#REF!,AD$1-2020,FALSE)))/
VLOOKUP($H47&amp;";Volume",#REF!,AD$1-2019,FALSE)</f>
        <v>#REF!</v>
      </c>
      <c r="AE52" t="e">
        <f>(VLOOKUP($H47&amp;";TauxRenouvellement",#REF!,AE$1-2020,FALSE)*VLOOKUP($H47&amp;";Volume",#REF!,AE$1-2020,FALSE)+
AD52*(VLOOKUP($H47&amp;";Volume",#REF!,AE$1-2019,FALSE)-VLOOKUP($H47&amp;";TauxRenouvellement",#REF!,AE$1-2020,FALSE)*VLOOKUP($H47&amp;";Volume",#REF!,AE$1-2020,FALSE)))/
VLOOKUP($H47&amp;";Volume",#REF!,AE$1-2019,FALSE)</f>
        <v>#REF!</v>
      </c>
      <c r="AF52" t="e">
        <f>(VLOOKUP($H47&amp;";TauxRenouvellement",#REF!,AF$1-2020,FALSE)*VLOOKUP($H47&amp;";Volume",#REF!,AF$1-2020,FALSE)+
AE52*(VLOOKUP($H47&amp;";Volume",#REF!,AF$1-2019,FALSE)-VLOOKUP($H47&amp;";TauxRenouvellement",#REF!,AF$1-2020,FALSE)*VLOOKUP($H47&amp;";Volume",#REF!,AF$1-2020,FALSE)))/
VLOOKUP($H47&amp;";Volume",#REF!,AF$1-2019,FALSE)</f>
        <v>#REF!</v>
      </c>
      <c r="AG52" t="e">
        <f>(VLOOKUP($H47&amp;";TauxRenouvellement",#REF!,AG$1-2020,FALSE)*VLOOKUP($H47&amp;";Volume",#REF!,AG$1-2020,FALSE)+
AF52*(VLOOKUP($H47&amp;";Volume",#REF!,AG$1-2019,FALSE)-VLOOKUP($H47&amp;";TauxRenouvellement",#REF!,AG$1-2020,FALSE)*VLOOKUP($H47&amp;";Volume",#REF!,AG$1-2020,FALSE)))/
VLOOKUP($H47&amp;";Volume",#REF!,AG$1-2019,FALSE)</f>
        <v>#REF!</v>
      </c>
      <c r="AH52" t="e">
        <f>(VLOOKUP($H47&amp;";TauxRenouvellement",#REF!,AH$1-2020,FALSE)*VLOOKUP($H47&amp;";Volume",#REF!,AH$1-2020,FALSE)+
AG52*(VLOOKUP($H47&amp;";Volume",#REF!,AH$1-2019,FALSE)-VLOOKUP($H47&amp;";TauxRenouvellement",#REF!,AH$1-2020,FALSE)*VLOOKUP($H47&amp;";Volume",#REF!,AH$1-2020,FALSE)))/
VLOOKUP($H47&amp;";Volume",#REF!,AH$1-2019,FALSE)</f>
        <v>#REF!</v>
      </c>
      <c r="AI52" t="e">
        <f>(VLOOKUP($H47&amp;";TauxRenouvellement",#REF!,AI$1-2020,FALSE)*VLOOKUP($H47&amp;";Volume",#REF!,AI$1-2020,FALSE)+
AH52*(VLOOKUP($H47&amp;";Volume",#REF!,AI$1-2019,FALSE)-VLOOKUP($H47&amp;";TauxRenouvellement",#REF!,AI$1-2020,FALSE)*VLOOKUP($H47&amp;";Volume",#REF!,AI$1-2020,FALSE)))/
VLOOKUP($H47&amp;";Volume",#REF!,AI$1-2019,FALSE)</f>
        <v>#REF!</v>
      </c>
      <c r="AJ52" t="e">
        <f>(VLOOKUP($H47&amp;";TauxRenouvellement",#REF!,AJ$1-2020,FALSE)*VLOOKUP($H47&amp;";Volume",#REF!,AJ$1-2020,FALSE)+
AI52*(VLOOKUP($H47&amp;";Volume",#REF!,AJ$1-2019,FALSE)-VLOOKUP($H47&amp;";TauxRenouvellement",#REF!,AJ$1-2020,FALSE)*VLOOKUP($H47&amp;";Volume",#REF!,AJ$1-2020,FALSE)))/
VLOOKUP($H47&amp;";Volume",#REF!,AJ$1-2019,FALSE)</f>
        <v>#REF!</v>
      </c>
      <c r="AK52" t="e">
        <f>(VLOOKUP($H47&amp;";TauxRenouvellement",#REF!,AK$1-2020,FALSE)*VLOOKUP($H47&amp;";Volume",#REF!,AK$1-2020,FALSE)+
AJ52*(VLOOKUP($H47&amp;";Volume",#REF!,AK$1-2019,FALSE)-VLOOKUP($H47&amp;";TauxRenouvellement",#REF!,AK$1-2020,FALSE)*VLOOKUP($H47&amp;";Volume",#REF!,AK$1-2020,FALSE)))/
VLOOKUP($H47&amp;";Volume",#REF!,AK$1-2019,FALSE)</f>
        <v>#REF!</v>
      </c>
      <c r="AL52" t="e">
        <f>(VLOOKUP($H47&amp;";TauxRenouvellement",#REF!,AL$1-2020,FALSE)*VLOOKUP($H47&amp;";Volume",#REF!,AL$1-2020,FALSE)+
AK52*(VLOOKUP($H47&amp;";Volume",#REF!,AL$1-2019,FALSE)-VLOOKUP($H47&amp;";TauxRenouvellement",#REF!,AL$1-2020,FALSE)*VLOOKUP($H47&amp;";Volume",#REF!,AL$1-2020,FALSE)))/
VLOOKUP($H47&amp;";Volume",#REF!,AL$1-2019,FALSE)</f>
        <v>#REF!</v>
      </c>
      <c r="AM52" t="e">
        <f>(VLOOKUP($H47&amp;";TauxRenouvellement",#REF!,AM$1-2020,FALSE)*VLOOKUP($H47&amp;";Volume",#REF!,AM$1-2020,FALSE)+
AL52*(VLOOKUP($H47&amp;";Volume",#REF!,AM$1-2019,FALSE)-VLOOKUP($H47&amp;";TauxRenouvellement",#REF!,AM$1-2020,FALSE)*VLOOKUP($H47&amp;";Volume",#REF!,AM$1-2020,FALSE)))/
VLOOKUP($H47&amp;";Volume",#REF!,AM$1-2019,FALSE)</f>
        <v>#REF!</v>
      </c>
      <c r="AN52" t="e">
        <f>(VLOOKUP($H47&amp;";TauxRenouvellement",#REF!,AN$1-2020,FALSE)*VLOOKUP($H47&amp;";Volume",#REF!,AN$1-2020,FALSE)+
AM52*(VLOOKUP($H47&amp;";Volume",#REF!,AN$1-2019,FALSE)-VLOOKUP($H47&amp;";TauxRenouvellement",#REF!,AN$1-2020,FALSE)*VLOOKUP($H47&amp;";Volume",#REF!,AN$1-2020,FALSE)))/
VLOOKUP($H47&amp;";Volume",#REF!,AN$1-2019,FALSE)</f>
        <v>#REF!</v>
      </c>
      <c r="AO52" t="e">
        <f>(VLOOKUP($H47&amp;";TauxRenouvellement",#REF!,AO$1-2020,FALSE)*VLOOKUP($H47&amp;";Volume",#REF!,AO$1-2020,FALSE)+
AN52*(VLOOKUP($H47&amp;";Volume",#REF!,AO$1-2019,FALSE)-VLOOKUP($H47&amp;";TauxRenouvellement",#REF!,AO$1-2020,FALSE)*VLOOKUP($H47&amp;";Volume",#REF!,AO$1-2020,FALSE)))/
VLOOKUP($H47&amp;";Volume",#REF!,AO$1-2019,FALSE)</f>
        <v>#REF!</v>
      </c>
      <c r="AP52" t="e">
        <f>(VLOOKUP($H47&amp;";TauxRenouvellement",#REF!,AP$1-2020,FALSE)*VLOOKUP($H47&amp;";Volume",#REF!,AP$1-2020,FALSE)+
AO52*(VLOOKUP($H47&amp;";Volume",#REF!,AP$1-2019,FALSE)-VLOOKUP($H47&amp;";TauxRenouvellement",#REF!,AP$1-2020,FALSE)*VLOOKUP($H47&amp;";Volume",#REF!,AP$1-2020,FALSE)))/
VLOOKUP($H47&amp;";Volume",#REF!,AP$1-2019,FALSE)</f>
        <v>#REF!</v>
      </c>
    </row>
    <row r="53" spans="1:42" outlineLevel="1" x14ac:dyDescent="0.25">
      <c r="A53" t="s">
        <v>76</v>
      </c>
      <c r="B53" s="2" t="s">
        <v>93</v>
      </c>
      <c r="C53" t="s">
        <v>85</v>
      </c>
      <c r="E53" t="str">
        <f>_xlfn.CONCAT("FretRout",LEFT(B53,3),RIGHT(B53,1),"Nb")</f>
        <v>FretRoutCat5Nb</v>
      </c>
      <c r="F53" t="s">
        <v>17</v>
      </c>
      <c r="G53">
        <v>1</v>
      </c>
      <c r="J53" t="s">
        <v>86</v>
      </c>
      <c r="K53">
        <v>0</v>
      </c>
    </row>
    <row r="54" spans="1:42" outlineLevel="1" x14ac:dyDescent="0.25">
      <c r="A54" t="s">
        <v>76</v>
      </c>
      <c r="B54" s="2" t="s">
        <v>93</v>
      </c>
      <c r="C54" t="s">
        <v>87</v>
      </c>
      <c r="E54" t="str">
        <f>_xlfn.CONCAT("FretRout",LEFT(B54,3),RIGHT(B54,1),"Dist")</f>
        <v>FretRoutCat5Dist</v>
      </c>
      <c r="F54" t="s">
        <v>17</v>
      </c>
      <c r="G54">
        <v>1</v>
      </c>
      <c r="H54" s="2"/>
      <c r="J54" t="s">
        <v>88</v>
      </c>
      <c r="K54">
        <v>17855</v>
      </c>
    </row>
    <row r="55" spans="1:42" outlineLevel="1" x14ac:dyDescent="0.25">
      <c r="A55" t="s">
        <v>76</v>
      </c>
      <c r="B55" s="2" t="s">
        <v>93</v>
      </c>
      <c r="C55" s="2" t="s">
        <v>89</v>
      </c>
      <c r="E55" t="str">
        <f>_xlfn.CONCAT("FretRout",LEFT(B55,3),RIGHT(B55,1),"Rempl")</f>
        <v>FretRoutCat5Rempl</v>
      </c>
      <c r="F55" t="s">
        <v>17</v>
      </c>
      <c r="G55">
        <v>1</v>
      </c>
      <c r="H55" s="3"/>
      <c r="J55" t="s">
        <v>70</v>
      </c>
      <c r="K55">
        <v>0</v>
      </c>
    </row>
    <row r="56" spans="1:42" outlineLevel="1" x14ac:dyDescent="0.25">
      <c r="A56" t="s">
        <v>76</v>
      </c>
      <c r="B56" s="2" t="s">
        <v>94</v>
      </c>
      <c r="C56" t="s">
        <v>78</v>
      </c>
      <c r="E56" t="str">
        <f>_xlfn.CONCAT("FretRout",LEFT(B56,3),RIGHT(B56,1),"Nom")</f>
        <v>FretRoutCat6Nom</v>
      </c>
      <c r="F56" t="s">
        <v>20</v>
      </c>
      <c r="G56">
        <v>1</v>
      </c>
      <c r="H56" s="4"/>
      <c r="I56" s="4" t="s">
        <v>391</v>
      </c>
      <c r="K56" s="4" t="str">
        <f t="shared" ref="K56:K62" si="5">I56</f>
        <v>VUL Essence (Crit'Air 1)</v>
      </c>
    </row>
    <row r="57" spans="1:42" outlineLevel="1" x14ac:dyDescent="0.25">
      <c r="A57" t="s">
        <v>76</v>
      </c>
      <c r="B57" s="2" t="s">
        <v>94</v>
      </c>
      <c r="C57" t="s">
        <v>79</v>
      </c>
      <c r="E57" t="str">
        <f>_xlfn.CONCAT("FretRout",LEFT(B57,3),RIGHT(B57,1),"Type")</f>
        <v>FretRoutCat6Type</v>
      </c>
      <c r="F57" t="s">
        <v>20</v>
      </c>
      <c r="G57">
        <v>1</v>
      </c>
      <c r="I57" t="s">
        <v>1770</v>
      </c>
      <c r="K57" s="4" t="str">
        <f t="shared" si="5"/>
        <v>VUL</v>
      </c>
    </row>
    <row r="58" spans="1:42" outlineLevel="1" x14ac:dyDescent="0.25">
      <c r="A58" t="s">
        <v>76</v>
      </c>
      <c r="B58" s="2" t="s">
        <v>94</v>
      </c>
      <c r="C58" t="s">
        <v>80</v>
      </c>
      <c r="E58" t="str">
        <f>_xlfn.CONCAT("FretRout",LEFT(B58,3),RIGHT(B58,1),"PTAC")</f>
        <v>FretRoutCat6PTAC</v>
      </c>
      <c r="F58" t="s">
        <v>36</v>
      </c>
      <c r="G58">
        <v>1</v>
      </c>
      <c r="I58" t="s">
        <v>1451</v>
      </c>
      <c r="K58" s="4" t="str">
        <f t="shared" si="5"/>
        <v>&lt;=3,5t</v>
      </c>
    </row>
    <row r="59" spans="1:42" outlineLevel="1" x14ac:dyDescent="0.25">
      <c r="A59" t="s">
        <v>76</v>
      </c>
      <c r="B59" s="2" t="s">
        <v>94</v>
      </c>
      <c r="C59" t="s">
        <v>81</v>
      </c>
      <c r="E59" t="str">
        <f>_xlfn.CONCAT("FretRout",LEFT(B59,3),RIGHT(B59,1),"Mot")</f>
        <v>FretRoutCat6Mot</v>
      </c>
      <c r="F59" t="s">
        <v>36</v>
      </c>
      <c r="G59">
        <v>1</v>
      </c>
      <c r="H59" s="2"/>
      <c r="I59" t="s">
        <v>1454</v>
      </c>
      <c r="K59" s="4" t="str">
        <f t="shared" si="5"/>
        <v>Essence</v>
      </c>
    </row>
    <row r="60" spans="1:42" outlineLevel="1" x14ac:dyDescent="0.25">
      <c r="A60" t="s">
        <v>76</v>
      </c>
      <c r="B60" s="2" t="s">
        <v>94</v>
      </c>
      <c r="C60" t="s">
        <v>82</v>
      </c>
      <c r="E60" t="str">
        <f>_xlfn.CONCAT("FretRout",LEFT(B60,3),RIGHT(B60,1),"Carb")</f>
        <v>FretRoutCat6Carb</v>
      </c>
      <c r="F60" t="s">
        <v>36</v>
      </c>
      <c r="G60">
        <v>1</v>
      </c>
      <c r="I60" t="s">
        <v>1455</v>
      </c>
      <c r="K60" s="4" t="str">
        <f t="shared" si="5"/>
        <v>Essence à la pompe</v>
      </c>
    </row>
    <row r="61" spans="1:42" outlineLevel="1" x14ac:dyDescent="0.25">
      <c r="A61" t="s">
        <v>76</v>
      </c>
      <c r="B61" s="2" t="s">
        <v>94</v>
      </c>
      <c r="C61" t="s">
        <v>83</v>
      </c>
      <c r="E61" t="str">
        <f>_xlfn.CONCAT("FretRout",LEFT(B61,3),RIGHT(B61,1),"Euro")</f>
        <v>FretRoutCat6Euro</v>
      </c>
      <c r="F61" t="s">
        <v>36</v>
      </c>
      <c r="G61">
        <v>1</v>
      </c>
      <c r="I61">
        <v>0</v>
      </c>
      <c r="K61" s="4">
        <f t="shared" si="5"/>
        <v>0</v>
      </c>
      <c r="Q61" t="e">
        <v>#REF!</v>
      </c>
      <c r="R61" t="e">
        <f>(6*VLOOKUP($H57&amp;";TauxRenouvellement",#REF!,R$1-2020,FALSE)*VLOOKUP($H57&amp;";Volume",#REF!,R$1-2020,FALSE)+
Q61*(VLOOKUP($H57&amp;";Volume",#REF!,R$1-2019,FALSE)-VLOOKUP($H57&amp;";TauxRenouvellement",#REF!,R$1-2020,FALSE)*VLOOKUP($H57&amp;";Volume",#REF!,R$1-2020,FALSE)))/
VLOOKUP($H57&amp;";Volume",#REF!,R$1-2019,FALSE)</f>
        <v>#REF!</v>
      </c>
      <c r="S61" t="e">
        <f>(6*VLOOKUP($H57&amp;";TauxRenouvellement",#REF!,S$1-2020,FALSE)*VLOOKUP($H57&amp;";Volume",#REF!,S$1-2020,FALSE)+
R61*(VLOOKUP($H57&amp;";Volume",#REF!,S$1-2019,FALSE)-VLOOKUP($H57&amp;";TauxRenouvellement",#REF!,S$1-2020,FALSE)*VLOOKUP($H57&amp;";Volume",#REF!,S$1-2020,FALSE)))/
VLOOKUP($H57&amp;";Volume",#REF!,S$1-2019,FALSE)</f>
        <v>#REF!</v>
      </c>
      <c r="T61" t="e">
        <f>(6*VLOOKUP($H57&amp;";TauxRenouvellement",#REF!,T$1-2020,FALSE)*VLOOKUP($H57&amp;";Volume",#REF!,T$1-2020,FALSE)+
S61*(VLOOKUP($H57&amp;";Volume",#REF!,T$1-2019,FALSE)-VLOOKUP($H57&amp;";TauxRenouvellement",#REF!,T$1-2020,FALSE)*VLOOKUP($H57&amp;";Volume",#REF!,T$1-2020,FALSE)))/
VLOOKUP($H57&amp;";Volume",#REF!,T$1-2019,FALSE)</f>
        <v>#REF!</v>
      </c>
      <c r="U61" t="e">
        <f>(6*VLOOKUP($H57&amp;";TauxRenouvellement",#REF!,U$1-2020,FALSE)*VLOOKUP($H57&amp;";Volume",#REF!,U$1-2020,FALSE)+
T61*(VLOOKUP($H57&amp;";Volume",#REF!,U$1-2019,FALSE)-VLOOKUP($H57&amp;";TauxRenouvellement",#REF!,U$1-2020,FALSE)*VLOOKUP($H57&amp;";Volume",#REF!,U$1-2020,FALSE)))/
VLOOKUP($H57&amp;";Volume",#REF!,U$1-2019,FALSE)</f>
        <v>#REF!</v>
      </c>
      <c r="V61" t="e">
        <f>(6*VLOOKUP($H57&amp;";TauxRenouvellement",#REF!,V$1-2020,FALSE)*VLOOKUP($H57&amp;";Volume",#REF!,V$1-2020,FALSE)+
U61*(VLOOKUP($H57&amp;";Volume",#REF!,V$1-2019,FALSE)-VLOOKUP($H57&amp;";TauxRenouvellement",#REF!,V$1-2020,FALSE)*VLOOKUP($H57&amp;";Volume",#REF!,V$1-2020,FALSE)))/
VLOOKUP($H57&amp;";Volume",#REF!,V$1-2019,FALSE)</f>
        <v>#REF!</v>
      </c>
      <c r="W61" t="e">
        <f>(6*VLOOKUP($H57&amp;";TauxRenouvellement",#REF!,W$1-2020,FALSE)*VLOOKUP($H57&amp;";Volume",#REF!,W$1-2020,FALSE)+
V61*(VLOOKUP($H57&amp;";Volume",#REF!,W$1-2019,FALSE)-VLOOKUP($H57&amp;";TauxRenouvellement",#REF!,W$1-2020,FALSE)*VLOOKUP($H57&amp;";Volume",#REF!,W$1-2020,FALSE)))/
VLOOKUP($H57&amp;";Volume",#REF!,W$1-2019,FALSE)</f>
        <v>#REF!</v>
      </c>
      <c r="X61" t="e">
        <f>(6*VLOOKUP($H57&amp;";TauxRenouvellement",#REF!,X$1-2020,FALSE)*VLOOKUP($H57&amp;";Volume",#REF!,X$1-2020,FALSE)+
W61*(VLOOKUP($H57&amp;";Volume",#REF!,X$1-2019,FALSE)-VLOOKUP($H57&amp;";TauxRenouvellement",#REF!,X$1-2020,FALSE)*VLOOKUP($H57&amp;";Volume",#REF!,X$1-2020,FALSE)))/
VLOOKUP($H57&amp;";Volume",#REF!,X$1-2019,FALSE)</f>
        <v>#REF!</v>
      </c>
      <c r="Y61" t="e">
        <f>(6*VLOOKUP($H57&amp;";TauxRenouvellement",#REF!,Y$1-2020,FALSE)*VLOOKUP($H57&amp;";Volume",#REF!,Y$1-2020,FALSE)+
X61*(VLOOKUP($H57&amp;";Volume",#REF!,Y$1-2019,FALSE)-VLOOKUP($H57&amp;";TauxRenouvellement",#REF!,Y$1-2020,FALSE)*VLOOKUP($H57&amp;";Volume",#REF!,Y$1-2020,FALSE)))/
VLOOKUP($H57&amp;";Volume",#REF!,Y$1-2019,FALSE)</f>
        <v>#REF!</v>
      </c>
      <c r="Z61" t="e">
        <f>(6*VLOOKUP($H57&amp;";TauxRenouvellement",#REF!,Z$1-2020,FALSE)*VLOOKUP($H57&amp;";Volume",#REF!,Z$1-2020,FALSE)+
Y61*(VLOOKUP($H57&amp;";Volume",#REF!,Z$1-2019,FALSE)-VLOOKUP($H57&amp;";TauxRenouvellement",#REF!,Z$1-2020,FALSE)*VLOOKUP($H57&amp;";Volume",#REF!,Z$1-2020,FALSE)))/
VLOOKUP($H57&amp;";Volume",#REF!,Z$1-2019,FALSE)</f>
        <v>#REF!</v>
      </c>
      <c r="AA61" t="e">
        <f>(6*VLOOKUP($H57&amp;";TauxRenouvellement",#REF!,AA$1-2020,FALSE)*VLOOKUP($H57&amp;";Volume",#REF!,AA$1-2020,FALSE)+
Z61*(VLOOKUP($H57&amp;";Volume",#REF!,AA$1-2019,FALSE)-VLOOKUP($H57&amp;";TauxRenouvellement",#REF!,AA$1-2020,FALSE)*VLOOKUP($H57&amp;";Volume",#REF!,AA$1-2020,FALSE)))/
VLOOKUP($H57&amp;";Volume",#REF!,AA$1-2019,FALSE)</f>
        <v>#REF!</v>
      </c>
      <c r="AB61" t="e">
        <f>(6*VLOOKUP($H57&amp;";TauxRenouvellement",#REF!,AB$1-2020,FALSE)*VLOOKUP($H57&amp;";Volume",#REF!,AB$1-2020,FALSE)+
AA61*(VLOOKUP($H57&amp;";Volume",#REF!,AB$1-2019,FALSE)-VLOOKUP($H57&amp;";TauxRenouvellement",#REF!,AB$1-2020,FALSE)*VLOOKUP($H57&amp;";Volume",#REF!,AB$1-2020,FALSE)))/
VLOOKUP($H57&amp;";Volume",#REF!,AB$1-2019,FALSE)</f>
        <v>#REF!</v>
      </c>
      <c r="AC61" t="e">
        <f>(6*VLOOKUP($H57&amp;";TauxRenouvellement",#REF!,AC$1-2020,FALSE)*VLOOKUP($H57&amp;";Volume",#REF!,AC$1-2020,FALSE)+
AB61*(VLOOKUP($H57&amp;";Volume",#REF!,AC$1-2019,FALSE)-VLOOKUP($H57&amp;";TauxRenouvellement",#REF!,AC$1-2020,FALSE)*VLOOKUP($H57&amp;";Volume",#REF!,AC$1-2020,FALSE)))/
VLOOKUP($H57&amp;";Volume",#REF!,AC$1-2019,FALSE)</f>
        <v>#REF!</v>
      </c>
      <c r="AD61" t="e">
        <f>(6*VLOOKUP($H57&amp;";TauxRenouvellement",#REF!,AD$1-2020,FALSE)*VLOOKUP($H57&amp;";Volume",#REF!,AD$1-2020,FALSE)+
AC61*(VLOOKUP($H57&amp;";Volume",#REF!,AD$1-2019,FALSE)-VLOOKUP($H57&amp;";TauxRenouvellement",#REF!,AD$1-2020,FALSE)*VLOOKUP($H57&amp;";Volume",#REF!,AD$1-2020,FALSE)))/
VLOOKUP($H57&amp;";Volume",#REF!,AD$1-2019,FALSE)</f>
        <v>#REF!</v>
      </c>
      <c r="AE61" t="e">
        <f>(6*VLOOKUP($H57&amp;";TauxRenouvellement",#REF!,AE$1-2020,FALSE)*VLOOKUP($H57&amp;";Volume",#REF!,AE$1-2020,FALSE)+
AD61*(VLOOKUP($H57&amp;";Volume",#REF!,AE$1-2019,FALSE)-VLOOKUP($H57&amp;";TauxRenouvellement",#REF!,AE$1-2020,FALSE)*VLOOKUP($H57&amp;";Volume",#REF!,AE$1-2020,FALSE)))/
VLOOKUP($H57&amp;";Volume",#REF!,AE$1-2019,FALSE)</f>
        <v>#REF!</v>
      </c>
      <c r="AF61" t="e">
        <f>(6*VLOOKUP($H57&amp;";TauxRenouvellement",#REF!,AF$1-2020,FALSE)*VLOOKUP($H57&amp;";Volume",#REF!,AF$1-2020,FALSE)+
AE61*(VLOOKUP($H57&amp;";Volume",#REF!,AF$1-2019,FALSE)-VLOOKUP($H57&amp;";TauxRenouvellement",#REF!,AF$1-2020,FALSE)*VLOOKUP($H57&amp;";Volume",#REF!,AF$1-2020,FALSE)))/
VLOOKUP($H57&amp;";Volume",#REF!,AF$1-2019,FALSE)</f>
        <v>#REF!</v>
      </c>
      <c r="AG61" t="e">
        <f>(6*VLOOKUP($H57&amp;";TauxRenouvellement",#REF!,AG$1-2020,FALSE)*VLOOKUP($H57&amp;";Volume",#REF!,AG$1-2020,FALSE)+
AF61*(VLOOKUP($H57&amp;";Volume",#REF!,AG$1-2019,FALSE)-VLOOKUP($H57&amp;";TauxRenouvellement",#REF!,AG$1-2020,FALSE)*VLOOKUP($H57&amp;";Volume",#REF!,AG$1-2020,FALSE)))/
VLOOKUP($H57&amp;";Volume",#REF!,AG$1-2019,FALSE)</f>
        <v>#REF!</v>
      </c>
      <c r="AH61" t="e">
        <f>(6*VLOOKUP($H57&amp;";TauxRenouvellement",#REF!,AH$1-2020,FALSE)*VLOOKUP($H57&amp;";Volume",#REF!,AH$1-2020,FALSE)+
AG61*(VLOOKUP($H57&amp;";Volume",#REF!,AH$1-2019,FALSE)-VLOOKUP($H57&amp;";TauxRenouvellement",#REF!,AH$1-2020,FALSE)*VLOOKUP($H57&amp;";Volume",#REF!,AH$1-2020,FALSE)))/
VLOOKUP($H57&amp;";Volume",#REF!,AH$1-2019,FALSE)</f>
        <v>#REF!</v>
      </c>
      <c r="AI61" t="e">
        <f>(6*VLOOKUP($H57&amp;";TauxRenouvellement",#REF!,AI$1-2020,FALSE)*VLOOKUP($H57&amp;";Volume",#REF!,AI$1-2020,FALSE)+
AH61*(VLOOKUP($H57&amp;";Volume",#REF!,AI$1-2019,FALSE)-VLOOKUP($H57&amp;";TauxRenouvellement",#REF!,AI$1-2020,FALSE)*VLOOKUP($H57&amp;";Volume",#REF!,AI$1-2020,FALSE)))/
VLOOKUP($H57&amp;";Volume",#REF!,AI$1-2019,FALSE)</f>
        <v>#REF!</v>
      </c>
      <c r="AJ61" t="e">
        <f>(6*VLOOKUP($H57&amp;";TauxRenouvellement",#REF!,AJ$1-2020,FALSE)*VLOOKUP($H57&amp;";Volume",#REF!,AJ$1-2020,FALSE)+
AI61*(VLOOKUP($H57&amp;";Volume",#REF!,AJ$1-2019,FALSE)-VLOOKUP($H57&amp;";TauxRenouvellement",#REF!,AJ$1-2020,FALSE)*VLOOKUP($H57&amp;";Volume",#REF!,AJ$1-2020,FALSE)))/
VLOOKUP($H57&amp;";Volume",#REF!,AJ$1-2019,FALSE)</f>
        <v>#REF!</v>
      </c>
      <c r="AK61" t="e">
        <f>(6*VLOOKUP($H57&amp;";TauxRenouvellement",#REF!,AK$1-2020,FALSE)*VLOOKUP($H57&amp;";Volume",#REF!,AK$1-2020,FALSE)+
AJ61*(VLOOKUP($H57&amp;";Volume",#REF!,AK$1-2019,FALSE)-VLOOKUP($H57&amp;";TauxRenouvellement",#REF!,AK$1-2020,FALSE)*VLOOKUP($H57&amp;";Volume",#REF!,AK$1-2020,FALSE)))/
VLOOKUP($H57&amp;";Volume",#REF!,AK$1-2019,FALSE)</f>
        <v>#REF!</v>
      </c>
      <c r="AL61" t="e">
        <f>(6*VLOOKUP($H57&amp;";TauxRenouvellement",#REF!,AL$1-2020,FALSE)*VLOOKUP($H57&amp;";Volume",#REF!,AL$1-2020,FALSE)+
AK61*(VLOOKUP($H57&amp;";Volume",#REF!,AL$1-2019,FALSE)-VLOOKUP($H57&amp;";TauxRenouvellement",#REF!,AL$1-2020,FALSE)*VLOOKUP($H57&amp;";Volume",#REF!,AL$1-2020,FALSE)))/
VLOOKUP($H57&amp;";Volume",#REF!,AL$1-2019,FALSE)</f>
        <v>#REF!</v>
      </c>
      <c r="AM61" t="e">
        <f>(6*VLOOKUP($H57&amp;";TauxRenouvellement",#REF!,AM$1-2020,FALSE)*VLOOKUP($H57&amp;";Volume",#REF!,AM$1-2020,FALSE)+
AL61*(VLOOKUP($H57&amp;";Volume",#REF!,AM$1-2019,FALSE)-VLOOKUP($H57&amp;";TauxRenouvellement",#REF!,AM$1-2020,FALSE)*VLOOKUP($H57&amp;";Volume",#REF!,AM$1-2020,FALSE)))/
VLOOKUP($H57&amp;";Volume",#REF!,AM$1-2019,FALSE)</f>
        <v>#REF!</v>
      </c>
      <c r="AN61" t="e">
        <f>(6*VLOOKUP($H57&amp;";TauxRenouvellement",#REF!,AN$1-2020,FALSE)*VLOOKUP($H57&amp;";Volume",#REF!,AN$1-2020,FALSE)+
AM61*(VLOOKUP($H57&amp;";Volume",#REF!,AN$1-2019,FALSE)-VLOOKUP($H57&amp;";TauxRenouvellement",#REF!,AN$1-2020,FALSE)*VLOOKUP($H57&amp;";Volume",#REF!,AN$1-2020,FALSE)))/
VLOOKUP($H57&amp;";Volume",#REF!,AN$1-2019,FALSE)</f>
        <v>#REF!</v>
      </c>
      <c r="AO61" t="e">
        <f>(6*VLOOKUP($H57&amp;";TauxRenouvellement",#REF!,AO$1-2020,FALSE)*VLOOKUP($H57&amp;";Volume",#REF!,AO$1-2020,FALSE)+
AN61*(VLOOKUP($H57&amp;";Volume",#REF!,AO$1-2019,FALSE)-VLOOKUP($H57&amp;";TauxRenouvellement",#REF!,AO$1-2020,FALSE)*VLOOKUP($H57&amp;";Volume",#REF!,AO$1-2020,FALSE)))/
VLOOKUP($H57&amp;";Volume",#REF!,AO$1-2019,FALSE)</f>
        <v>#REF!</v>
      </c>
      <c r="AP61" t="e">
        <f>(6*VLOOKUP($H57&amp;";TauxRenouvellement",#REF!,AP$1-2020,FALSE)*VLOOKUP($H57&amp;";Volume",#REF!,AP$1-2020,FALSE)+
AO61*(VLOOKUP($H57&amp;";Volume",#REF!,AP$1-2019,FALSE)-VLOOKUP($H57&amp;";TauxRenouvellement",#REF!,AP$1-2020,FALSE)*VLOOKUP($H57&amp;";Volume",#REF!,AP$1-2020,FALSE)))/
VLOOKUP($H57&amp;";Volume",#REF!,AP$1-2019,FALSE)</f>
        <v>#REF!</v>
      </c>
    </row>
    <row r="62" spans="1:42" outlineLevel="1" x14ac:dyDescent="0.25">
      <c r="A62" t="s">
        <v>76</v>
      </c>
      <c r="B62" s="2" t="s">
        <v>94</v>
      </c>
      <c r="C62" t="s">
        <v>84</v>
      </c>
      <c r="E62" t="str">
        <f>_xlfn.CONCAT("FretRout",LEFT(B62,3),RIGHT(B62,1),"CritAir")</f>
        <v>FretRoutCat6CritAir</v>
      </c>
      <c r="F62" t="s">
        <v>36</v>
      </c>
      <c r="G62">
        <v>1</v>
      </c>
      <c r="H62" s="2"/>
      <c r="I62">
        <v>1</v>
      </c>
      <c r="K62" s="4">
        <f t="shared" si="5"/>
        <v>1</v>
      </c>
      <c r="Q62" t="e">
        <v>#REF!</v>
      </c>
      <c r="R62" t="e">
        <f>(VLOOKUP($H57&amp;";TauxRenouvellement",#REF!,R$1-2020,FALSE)*VLOOKUP($H57&amp;";Volume",#REF!,R$1-2020,FALSE)+
Q62*(VLOOKUP($H57&amp;";Volume",#REF!,R$1-2019,FALSE)-VLOOKUP($H57&amp;";TauxRenouvellement",#REF!,R$1-2020,FALSE)*VLOOKUP($H57&amp;";Volume",#REF!,R$1-2020,FALSE)))/
VLOOKUP($H57&amp;";Volume",#REF!,R$1-2019,FALSE)</f>
        <v>#REF!</v>
      </c>
      <c r="S62" t="e">
        <f>(VLOOKUP($H57&amp;";TauxRenouvellement",#REF!,S$1-2020,FALSE)*VLOOKUP($H57&amp;";Volume",#REF!,S$1-2020,FALSE)+
R62*(VLOOKUP($H57&amp;";Volume",#REF!,S$1-2019,FALSE)-VLOOKUP($H57&amp;";TauxRenouvellement",#REF!,S$1-2020,FALSE)*VLOOKUP($H57&amp;";Volume",#REF!,S$1-2020,FALSE)))/
VLOOKUP($H57&amp;";Volume",#REF!,S$1-2019,FALSE)</f>
        <v>#REF!</v>
      </c>
      <c r="T62" t="e">
        <f>(VLOOKUP($H57&amp;";TauxRenouvellement",#REF!,T$1-2020,FALSE)*VLOOKUP($H57&amp;";Volume",#REF!,T$1-2020,FALSE)+
S62*(VLOOKUP($H57&amp;";Volume",#REF!,T$1-2019,FALSE)-VLOOKUP($H57&amp;";TauxRenouvellement",#REF!,T$1-2020,FALSE)*VLOOKUP($H57&amp;";Volume",#REF!,T$1-2020,FALSE)))/
VLOOKUP($H57&amp;";Volume",#REF!,T$1-2019,FALSE)</f>
        <v>#REF!</v>
      </c>
      <c r="U62" t="e">
        <f>(VLOOKUP($H57&amp;";TauxRenouvellement",#REF!,U$1-2020,FALSE)*VLOOKUP($H57&amp;";Volume",#REF!,U$1-2020,FALSE)+
T62*(VLOOKUP($H57&amp;";Volume",#REF!,U$1-2019,FALSE)-VLOOKUP($H57&amp;";TauxRenouvellement",#REF!,U$1-2020,FALSE)*VLOOKUP($H57&amp;";Volume",#REF!,U$1-2020,FALSE)))/
VLOOKUP($H57&amp;";Volume",#REF!,U$1-2019,FALSE)</f>
        <v>#REF!</v>
      </c>
      <c r="V62" t="e">
        <f>(VLOOKUP($H57&amp;";TauxRenouvellement",#REF!,V$1-2020,FALSE)*VLOOKUP($H57&amp;";Volume",#REF!,V$1-2020,FALSE)+
U62*(VLOOKUP($H57&amp;";Volume",#REF!,V$1-2019,FALSE)-VLOOKUP($H57&amp;";TauxRenouvellement",#REF!,V$1-2020,FALSE)*VLOOKUP($H57&amp;";Volume",#REF!,V$1-2020,FALSE)))/
VLOOKUP($H57&amp;";Volume",#REF!,V$1-2019,FALSE)</f>
        <v>#REF!</v>
      </c>
      <c r="W62" t="e">
        <f>(VLOOKUP($H57&amp;";TauxRenouvellement",#REF!,W$1-2020,FALSE)*VLOOKUP($H57&amp;";Volume",#REF!,W$1-2020,FALSE)+
V62*(VLOOKUP($H57&amp;";Volume",#REF!,W$1-2019,FALSE)-VLOOKUP($H57&amp;";TauxRenouvellement",#REF!,W$1-2020,FALSE)*VLOOKUP($H57&amp;";Volume",#REF!,W$1-2020,FALSE)))/
VLOOKUP($H57&amp;";Volume",#REF!,W$1-2019,FALSE)</f>
        <v>#REF!</v>
      </c>
      <c r="X62" t="e">
        <f>(VLOOKUP($H57&amp;";TauxRenouvellement",#REF!,X$1-2020,FALSE)*VLOOKUP($H57&amp;";Volume",#REF!,X$1-2020,FALSE)+
W62*(VLOOKUP($H57&amp;";Volume",#REF!,X$1-2019,FALSE)-VLOOKUP($H57&amp;";TauxRenouvellement",#REF!,X$1-2020,FALSE)*VLOOKUP($H57&amp;";Volume",#REF!,X$1-2020,FALSE)))/
VLOOKUP($H57&amp;";Volume",#REF!,X$1-2019,FALSE)</f>
        <v>#REF!</v>
      </c>
      <c r="Y62" t="e">
        <f>(VLOOKUP($H57&amp;";TauxRenouvellement",#REF!,Y$1-2020,FALSE)*VLOOKUP($H57&amp;";Volume",#REF!,Y$1-2020,FALSE)+
X62*(VLOOKUP($H57&amp;";Volume",#REF!,Y$1-2019,FALSE)-VLOOKUP($H57&amp;";TauxRenouvellement",#REF!,Y$1-2020,FALSE)*VLOOKUP($H57&amp;";Volume",#REF!,Y$1-2020,FALSE)))/
VLOOKUP($H57&amp;";Volume",#REF!,Y$1-2019,FALSE)</f>
        <v>#REF!</v>
      </c>
      <c r="Z62" t="e">
        <f>(VLOOKUP($H57&amp;";TauxRenouvellement",#REF!,Z$1-2020,FALSE)*VLOOKUP($H57&amp;";Volume",#REF!,Z$1-2020,FALSE)+
Y62*(VLOOKUP($H57&amp;";Volume",#REF!,Z$1-2019,FALSE)-VLOOKUP($H57&amp;";TauxRenouvellement",#REF!,Z$1-2020,FALSE)*VLOOKUP($H57&amp;";Volume",#REF!,Z$1-2020,FALSE)))/
VLOOKUP($H57&amp;";Volume",#REF!,Z$1-2019,FALSE)</f>
        <v>#REF!</v>
      </c>
      <c r="AA62" t="e">
        <f>(VLOOKUP($H57&amp;";TauxRenouvellement",#REF!,AA$1-2020,FALSE)*VLOOKUP($H57&amp;";Volume",#REF!,AA$1-2020,FALSE)+
Z62*(VLOOKUP($H57&amp;";Volume",#REF!,AA$1-2019,FALSE)-VLOOKUP($H57&amp;";TauxRenouvellement",#REF!,AA$1-2020,FALSE)*VLOOKUP($H57&amp;";Volume",#REF!,AA$1-2020,FALSE)))/
VLOOKUP($H57&amp;";Volume",#REF!,AA$1-2019,FALSE)</f>
        <v>#REF!</v>
      </c>
      <c r="AB62" t="e">
        <f>(VLOOKUP($H57&amp;";TauxRenouvellement",#REF!,AB$1-2020,FALSE)*VLOOKUP($H57&amp;";Volume",#REF!,AB$1-2020,FALSE)+
AA62*(VLOOKUP($H57&amp;";Volume",#REF!,AB$1-2019,FALSE)-VLOOKUP($H57&amp;";TauxRenouvellement",#REF!,AB$1-2020,FALSE)*VLOOKUP($H57&amp;";Volume",#REF!,AB$1-2020,FALSE)))/
VLOOKUP($H57&amp;";Volume",#REF!,AB$1-2019,FALSE)</f>
        <v>#REF!</v>
      </c>
      <c r="AC62" t="e">
        <f>(VLOOKUP($H57&amp;";TauxRenouvellement",#REF!,AC$1-2020,FALSE)*VLOOKUP($H57&amp;";Volume",#REF!,AC$1-2020,FALSE)+
AB62*(VLOOKUP($H57&amp;";Volume",#REF!,AC$1-2019,FALSE)-VLOOKUP($H57&amp;";TauxRenouvellement",#REF!,AC$1-2020,FALSE)*VLOOKUP($H57&amp;";Volume",#REF!,AC$1-2020,FALSE)))/
VLOOKUP($H57&amp;";Volume",#REF!,AC$1-2019,FALSE)</f>
        <v>#REF!</v>
      </c>
      <c r="AD62" t="e">
        <f>(VLOOKUP($H57&amp;";TauxRenouvellement",#REF!,AD$1-2020,FALSE)*VLOOKUP($H57&amp;";Volume",#REF!,AD$1-2020,FALSE)+
AC62*(VLOOKUP($H57&amp;";Volume",#REF!,AD$1-2019,FALSE)-VLOOKUP($H57&amp;";TauxRenouvellement",#REF!,AD$1-2020,FALSE)*VLOOKUP($H57&amp;";Volume",#REF!,AD$1-2020,FALSE)))/
VLOOKUP($H57&amp;";Volume",#REF!,AD$1-2019,FALSE)</f>
        <v>#REF!</v>
      </c>
      <c r="AE62" t="e">
        <f>(VLOOKUP($H57&amp;";TauxRenouvellement",#REF!,AE$1-2020,FALSE)*VLOOKUP($H57&amp;";Volume",#REF!,AE$1-2020,FALSE)+
AD62*(VLOOKUP($H57&amp;";Volume",#REF!,AE$1-2019,FALSE)-VLOOKUP($H57&amp;";TauxRenouvellement",#REF!,AE$1-2020,FALSE)*VLOOKUP($H57&amp;";Volume",#REF!,AE$1-2020,FALSE)))/
VLOOKUP($H57&amp;";Volume",#REF!,AE$1-2019,FALSE)</f>
        <v>#REF!</v>
      </c>
      <c r="AF62" t="e">
        <f>(VLOOKUP($H57&amp;";TauxRenouvellement",#REF!,AF$1-2020,FALSE)*VLOOKUP($H57&amp;";Volume",#REF!,AF$1-2020,FALSE)+
AE62*(VLOOKUP($H57&amp;";Volume",#REF!,AF$1-2019,FALSE)-VLOOKUP($H57&amp;";TauxRenouvellement",#REF!,AF$1-2020,FALSE)*VLOOKUP($H57&amp;";Volume",#REF!,AF$1-2020,FALSE)))/
VLOOKUP($H57&amp;";Volume",#REF!,AF$1-2019,FALSE)</f>
        <v>#REF!</v>
      </c>
      <c r="AG62" t="e">
        <f>(VLOOKUP($H57&amp;";TauxRenouvellement",#REF!,AG$1-2020,FALSE)*VLOOKUP($H57&amp;";Volume",#REF!,AG$1-2020,FALSE)+
AF62*(VLOOKUP($H57&amp;";Volume",#REF!,AG$1-2019,FALSE)-VLOOKUP($H57&amp;";TauxRenouvellement",#REF!,AG$1-2020,FALSE)*VLOOKUP($H57&amp;";Volume",#REF!,AG$1-2020,FALSE)))/
VLOOKUP($H57&amp;";Volume",#REF!,AG$1-2019,FALSE)</f>
        <v>#REF!</v>
      </c>
      <c r="AH62" t="e">
        <f>(VLOOKUP($H57&amp;";TauxRenouvellement",#REF!,AH$1-2020,FALSE)*VLOOKUP($H57&amp;";Volume",#REF!,AH$1-2020,FALSE)+
AG62*(VLOOKUP($H57&amp;";Volume",#REF!,AH$1-2019,FALSE)-VLOOKUP($H57&amp;";TauxRenouvellement",#REF!,AH$1-2020,FALSE)*VLOOKUP($H57&amp;";Volume",#REF!,AH$1-2020,FALSE)))/
VLOOKUP($H57&amp;";Volume",#REF!,AH$1-2019,FALSE)</f>
        <v>#REF!</v>
      </c>
      <c r="AI62" t="e">
        <f>(VLOOKUP($H57&amp;";TauxRenouvellement",#REF!,AI$1-2020,FALSE)*VLOOKUP($H57&amp;";Volume",#REF!,AI$1-2020,FALSE)+
AH62*(VLOOKUP($H57&amp;";Volume",#REF!,AI$1-2019,FALSE)-VLOOKUP($H57&amp;";TauxRenouvellement",#REF!,AI$1-2020,FALSE)*VLOOKUP($H57&amp;";Volume",#REF!,AI$1-2020,FALSE)))/
VLOOKUP($H57&amp;";Volume",#REF!,AI$1-2019,FALSE)</f>
        <v>#REF!</v>
      </c>
      <c r="AJ62" t="e">
        <f>(VLOOKUP($H57&amp;";TauxRenouvellement",#REF!,AJ$1-2020,FALSE)*VLOOKUP($H57&amp;";Volume",#REF!,AJ$1-2020,FALSE)+
AI62*(VLOOKUP($H57&amp;";Volume",#REF!,AJ$1-2019,FALSE)-VLOOKUP($H57&amp;";TauxRenouvellement",#REF!,AJ$1-2020,FALSE)*VLOOKUP($H57&amp;";Volume",#REF!,AJ$1-2020,FALSE)))/
VLOOKUP($H57&amp;";Volume",#REF!,AJ$1-2019,FALSE)</f>
        <v>#REF!</v>
      </c>
      <c r="AK62" t="e">
        <f>(VLOOKUP($H57&amp;";TauxRenouvellement",#REF!,AK$1-2020,FALSE)*VLOOKUP($H57&amp;";Volume",#REF!,AK$1-2020,FALSE)+
AJ62*(VLOOKUP($H57&amp;";Volume",#REF!,AK$1-2019,FALSE)-VLOOKUP($H57&amp;";TauxRenouvellement",#REF!,AK$1-2020,FALSE)*VLOOKUP($H57&amp;";Volume",#REF!,AK$1-2020,FALSE)))/
VLOOKUP($H57&amp;";Volume",#REF!,AK$1-2019,FALSE)</f>
        <v>#REF!</v>
      </c>
      <c r="AL62" t="e">
        <f>(VLOOKUP($H57&amp;";TauxRenouvellement",#REF!,AL$1-2020,FALSE)*VLOOKUP($H57&amp;";Volume",#REF!,AL$1-2020,FALSE)+
AK62*(VLOOKUP($H57&amp;";Volume",#REF!,AL$1-2019,FALSE)-VLOOKUP($H57&amp;";TauxRenouvellement",#REF!,AL$1-2020,FALSE)*VLOOKUP($H57&amp;";Volume",#REF!,AL$1-2020,FALSE)))/
VLOOKUP($H57&amp;";Volume",#REF!,AL$1-2019,FALSE)</f>
        <v>#REF!</v>
      </c>
      <c r="AM62" t="e">
        <f>(VLOOKUP($H57&amp;";TauxRenouvellement",#REF!,AM$1-2020,FALSE)*VLOOKUP($H57&amp;";Volume",#REF!,AM$1-2020,FALSE)+
AL62*(VLOOKUP($H57&amp;";Volume",#REF!,AM$1-2019,FALSE)-VLOOKUP($H57&amp;";TauxRenouvellement",#REF!,AM$1-2020,FALSE)*VLOOKUP($H57&amp;";Volume",#REF!,AM$1-2020,FALSE)))/
VLOOKUP($H57&amp;";Volume",#REF!,AM$1-2019,FALSE)</f>
        <v>#REF!</v>
      </c>
      <c r="AN62" t="e">
        <f>(VLOOKUP($H57&amp;";TauxRenouvellement",#REF!,AN$1-2020,FALSE)*VLOOKUP($H57&amp;";Volume",#REF!,AN$1-2020,FALSE)+
AM62*(VLOOKUP($H57&amp;";Volume",#REF!,AN$1-2019,FALSE)-VLOOKUP($H57&amp;";TauxRenouvellement",#REF!,AN$1-2020,FALSE)*VLOOKUP($H57&amp;";Volume",#REF!,AN$1-2020,FALSE)))/
VLOOKUP($H57&amp;";Volume",#REF!,AN$1-2019,FALSE)</f>
        <v>#REF!</v>
      </c>
      <c r="AO62" t="e">
        <f>(VLOOKUP($H57&amp;";TauxRenouvellement",#REF!,AO$1-2020,FALSE)*VLOOKUP($H57&amp;";Volume",#REF!,AO$1-2020,FALSE)+
AN62*(VLOOKUP($H57&amp;";Volume",#REF!,AO$1-2019,FALSE)-VLOOKUP($H57&amp;";TauxRenouvellement",#REF!,AO$1-2020,FALSE)*VLOOKUP($H57&amp;";Volume",#REF!,AO$1-2020,FALSE)))/
VLOOKUP($H57&amp;";Volume",#REF!,AO$1-2019,FALSE)</f>
        <v>#REF!</v>
      </c>
      <c r="AP62" t="e">
        <f>(VLOOKUP($H57&amp;";TauxRenouvellement",#REF!,AP$1-2020,FALSE)*VLOOKUP($H57&amp;";Volume",#REF!,AP$1-2020,FALSE)+
AO62*(VLOOKUP($H57&amp;";Volume",#REF!,AP$1-2019,FALSE)-VLOOKUP($H57&amp;";TauxRenouvellement",#REF!,AP$1-2020,FALSE)*VLOOKUP($H57&amp;";Volume",#REF!,AP$1-2020,FALSE)))/
VLOOKUP($H57&amp;";Volume",#REF!,AP$1-2019,FALSE)</f>
        <v>#REF!</v>
      </c>
    </row>
    <row r="63" spans="1:42" outlineLevel="1" x14ac:dyDescent="0.25">
      <c r="A63" t="s">
        <v>76</v>
      </c>
      <c r="B63" s="2" t="s">
        <v>94</v>
      </c>
      <c r="C63" t="s">
        <v>85</v>
      </c>
      <c r="E63" t="str">
        <f>_xlfn.CONCAT("FretRout",LEFT(B63,3),RIGHT(B63,1),"Nb")</f>
        <v>FretRoutCat6Nb</v>
      </c>
      <c r="F63" t="s">
        <v>17</v>
      </c>
      <c r="G63">
        <v>1</v>
      </c>
      <c r="J63" t="s">
        <v>86</v>
      </c>
      <c r="K63">
        <v>0</v>
      </c>
    </row>
    <row r="64" spans="1:42" outlineLevel="1" x14ac:dyDescent="0.25">
      <c r="A64" t="s">
        <v>76</v>
      </c>
      <c r="B64" s="2" t="s">
        <v>94</v>
      </c>
      <c r="C64" t="s">
        <v>87</v>
      </c>
      <c r="E64" t="str">
        <f>_xlfn.CONCAT("FretRout",LEFT(B64,3),RIGHT(B64,1),"Dist")</f>
        <v>FretRoutCat6Dist</v>
      </c>
      <c r="F64" t="s">
        <v>17</v>
      </c>
      <c r="G64">
        <v>1</v>
      </c>
      <c r="H64" s="2"/>
      <c r="J64" t="s">
        <v>88</v>
      </c>
      <c r="K64">
        <v>11201</v>
      </c>
    </row>
    <row r="65" spans="1:42" outlineLevel="1" x14ac:dyDescent="0.25">
      <c r="A65" t="s">
        <v>76</v>
      </c>
      <c r="B65" s="2" t="s">
        <v>94</v>
      </c>
      <c r="C65" s="2" t="s">
        <v>89</v>
      </c>
      <c r="E65" t="str">
        <f>_xlfn.CONCAT("FretRout",LEFT(B65,3),RIGHT(B65,1),"Rempl")</f>
        <v>FretRoutCat6Rempl</v>
      </c>
      <c r="F65" t="s">
        <v>17</v>
      </c>
      <c r="G65">
        <v>1</v>
      </c>
      <c r="H65" s="3"/>
      <c r="J65" t="s">
        <v>70</v>
      </c>
      <c r="K65">
        <v>0</v>
      </c>
    </row>
    <row r="66" spans="1:42" outlineLevel="1" x14ac:dyDescent="0.25">
      <c r="A66" t="s">
        <v>76</v>
      </c>
      <c r="B66" s="2" t="s">
        <v>95</v>
      </c>
      <c r="C66" t="s">
        <v>78</v>
      </c>
      <c r="E66" t="str">
        <f>_xlfn.CONCAT("FretRout",LEFT(B66,3),RIGHT(B66,1),"Nom")</f>
        <v>FretRoutCat7Nom</v>
      </c>
      <c r="F66" t="s">
        <v>20</v>
      </c>
      <c r="G66">
        <v>1</v>
      </c>
      <c r="H66" s="4"/>
      <c r="I66" s="4" t="s">
        <v>392</v>
      </c>
      <c r="K66" s="4" t="str">
        <f t="shared" ref="K66:K72" si="6">I66</f>
        <v>VUL Essence &lt;=3,5t (Crit'Air 2)</v>
      </c>
    </row>
    <row r="67" spans="1:42" outlineLevel="1" x14ac:dyDescent="0.25">
      <c r="A67" t="s">
        <v>76</v>
      </c>
      <c r="B67" s="2" t="s">
        <v>95</v>
      </c>
      <c r="C67" t="s">
        <v>79</v>
      </c>
      <c r="E67" t="str">
        <f>_xlfn.CONCAT("FretRout",LEFT(B67,3),RIGHT(B67,1),"Type")</f>
        <v>FretRoutCat7Type</v>
      </c>
      <c r="F67" t="s">
        <v>20</v>
      </c>
      <c r="G67">
        <v>1</v>
      </c>
      <c r="I67" t="s">
        <v>1770</v>
      </c>
      <c r="K67" s="4" t="str">
        <f t="shared" si="6"/>
        <v>VUL</v>
      </c>
    </row>
    <row r="68" spans="1:42" outlineLevel="1" x14ac:dyDescent="0.25">
      <c r="A68" t="s">
        <v>76</v>
      </c>
      <c r="B68" s="2" t="s">
        <v>95</v>
      </c>
      <c r="C68" t="s">
        <v>80</v>
      </c>
      <c r="E68" t="str">
        <f>_xlfn.CONCAT("FretRout",LEFT(B68,3),RIGHT(B68,1),"PTAC")</f>
        <v>FretRoutCat7PTAC</v>
      </c>
      <c r="F68" t="s">
        <v>36</v>
      </c>
      <c r="G68">
        <v>1</v>
      </c>
      <c r="I68" t="s">
        <v>1451</v>
      </c>
      <c r="K68" s="4" t="str">
        <f t="shared" si="6"/>
        <v>&lt;=3,5t</v>
      </c>
    </row>
    <row r="69" spans="1:42" x14ac:dyDescent="0.25">
      <c r="A69" t="s">
        <v>76</v>
      </c>
      <c r="B69" s="2" t="s">
        <v>95</v>
      </c>
      <c r="C69" t="s">
        <v>81</v>
      </c>
      <c r="E69" t="str">
        <f>_xlfn.CONCAT("FretRout",LEFT(B69,3),RIGHT(B69,1),"Mot")</f>
        <v>FretRoutCat7Mot</v>
      </c>
      <c r="F69" t="s">
        <v>36</v>
      </c>
      <c r="G69">
        <v>1</v>
      </c>
      <c r="H69" s="2"/>
      <c r="I69" t="s">
        <v>1454</v>
      </c>
      <c r="K69" s="4" t="str">
        <f t="shared" si="6"/>
        <v>Essence</v>
      </c>
    </row>
    <row r="70" spans="1:42" x14ac:dyDescent="0.25">
      <c r="A70" t="s">
        <v>76</v>
      </c>
      <c r="B70" s="2" t="s">
        <v>95</v>
      </c>
      <c r="C70" t="s">
        <v>82</v>
      </c>
      <c r="E70" t="str">
        <f>_xlfn.CONCAT("FretRout",LEFT(B70,3),RIGHT(B70,1),"Carb")</f>
        <v>FretRoutCat7Carb</v>
      </c>
      <c r="F70" t="s">
        <v>36</v>
      </c>
      <c r="G70">
        <v>1</v>
      </c>
      <c r="I70" t="s">
        <v>1455</v>
      </c>
      <c r="K70" s="4" t="str">
        <f t="shared" si="6"/>
        <v>Essence à la pompe</v>
      </c>
    </row>
    <row r="71" spans="1:42" outlineLevel="1" x14ac:dyDescent="0.25">
      <c r="A71" t="s">
        <v>76</v>
      </c>
      <c r="B71" s="2" t="s">
        <v>95</v>
      </c>
      <c r="C71" t="s">
        <v>83</v>
      </c>
      <c r="E71" t="str">
        <f>_xlfn.CONCAT("FretRout",LEFT(B71,3),RIGHT(B71,1),"Euro")</f>
        <v>FretRoutCat7Euro</v>
      </c>
      <c r="F71" t="s">
        <v>36</v>
      </c>
      <c r="G71">
        <v>1</v>
      </c>
      <c r="I71">
        <v>0</v>
      </c>
      <c r="K71" s="4">
        <f t="shared" si="6"/>
        <v>0</v>
      </c>
      <c r="Q71" t="e">
        <v>#REF!</v>
      </c>
      <c r="R71" t="e">
        <f>(6*VLOOKUP($H67&amp;";TauxRenouvellement",#REF!,R$1-2020,FALSE)*VLOOKUP($H67&amp;";Volume",#REF!,R$1-2020,FALSE)+
Q71*(VLOOKUP($H67&amp;";Volume",#REF!,R$1-2019,FALSE)-VLOOKUP($H67&amp;";TauxRenouvellement",#REF!,R$1-2020,FALSE)*VLOOKUP($H67&amp;";Volume",#REF!,R$1-2020,FALSE)))/
VLOOKUP($H67&amp;";Volume",#REF!,R$1-2019,FALSE)</f>
        <v>#REF!</v>
      </c>
      <c r="S71" t="e">
        <f>(6*VLOOKUP($H67&amp;";TauxRenouvellement",#REF!,S$1-2020,FALSE)*VLOOKUP($H67&amp;";Volume",#REF!,S$1-2020,FALSE)+
R71*(VLOOKUP($H67&amp;";Volume",#REF!,S$1-2019,FALSE)-VLOOKUP($H67&amp;";TauxRenouvellement",#REF!,S$1-2020,FALSE)*VLOOKUP($H67&amp;";Volume",#REF!,S$1-2020,FALSE)))/
VLOOKUP($H67&amp;";Volume",#REF!,S$1-2019,FALSE)</f>
        <v>#REF!</v>
      </c>
      <c r="T71" t="e">
        <f>(6*VLOOKUP($H67&amp;";TauxRenouvellement",#REF!,T$1-2020,FALSE)*VLOOKUP($H67&amp;";Volume",#REF!,T$1-2020,FALSE)+
S71*(VLOOKUP($H67&amp;";Volume",#REF!,T$1-2019,FALSE)-VLOOKUP($H67&amp;";TauxRenouvellement",#REF!,T$1-2020,FALSE)*VLOOKUP($H67&amp;";Volume",#REF!,T$1-2020,FALSE)))/
VLOOKUP($H67&amp;";Volume",#REF!,T$1-2019,FALSE)</f>
        <v>#REF!</v>
      </c>
      <c r="U71" t="e">
        <f>(6*VLOOKUP($H67&amp;";TauxRenouvellement",#REF!,U$1-2020,FALSE)*VLOOKUP($H67&amp;";Volume",#REF!,U$1-2020,FALSE)+
T71*(VLOOKUP($H67&amp;";Volume",#REF!,U$1-2019,FALSE)-VLOOKUP($H67&amp;";TauxRenouvellement",#REF!,U$1-2020,FALSE)*VLOOKUP($H67&amp;";Volume",#REF!,U$1-2020,FALSE)))/
VLOOKUP($H67&amp;";Volume",#REF!,U$1-2019,FALSE)</f>
        <v>#REF!</v>
      </c>
      <c r="V71" t="e">
        <f>(6*VLOOKUP($H67&amp;";TauxRenouvellement",#REF!,V$1-2020,FALSE)*VLOOKUP($H67&amp;";Volume",#REF!,V$1-2020,FALSE)+
U71*(VLOOKUP($H67&amp;";Volume",#REF!,V$1-2019,FALSE)-VLOOKUP($H67&amp;";TauxRenouvellement",#REF!,V$1-2020,FALSE)*VLOOKUP($H67&amp;";Volume",#REF!,V$1-2020,FALSE)))/
VLOOKUP($H67&amp;";Volume",#REF!,V$1-2019,FALSE)</f>
        <v>#REF!</v>
      </c>
      <c r="W71" t="e">
        <f>(6*VLOOKUP($H67&amp;";TauxRenouvellement",#REF!,W$1-2020,FALSE)*VLOOKUP($H67&amp;";Volume",#REF!,W$1-2020,FALSE)+
V71*(VLOOKUP($H67&amp;";Volume",#REF!,W$1-2019,FALSE)-VLOOKUP($H67&amp;";TauxRenouvellement",#REF!,W$1-2020,FALSE)*VLOOKUP($H67&amp;";Volume",#REF!,W$1-2020,FALSE)))/
VLOOKUP($H67&amp;";Volume",#REF!,W$1-2019,FALSE)</f>
        <v>#REF!</v>
      </c>
      <c r="X71" t="e">
        <f>(6*VLOOKUP($H67&amp;";TauxRenouvellement",#REF!,X$1-2020,FALSE)*VLOOKUP($H67&amp;";Volume",#REF!,X$1-2020,FALSE)+
W71*(VLOOKUP($H67&amp;";Volume",#REF!,X$1-2019,FALSE)-VLOOKUP($H67&amp;";TauxRenouvellement",#REF!,X$1-2020,FALSE)*VLOOKUP($H67&amp;";Volume",#REF!,X$1-2020,FALSE)))/
VLOOKUP($H67&amp;";Volume",#REF!,X$1-2019,FALSE)</f>
        <v>#REF!</v>
      </c>
      <c r="Y71" t="e">
        <f>(6*VLOOKUP($H67&amp;";TauxRenouvellement",#REF!,Y$1-2020,FALSE)*VLOOKUP($H67&amp;";Volume",#REF!,Y$1-2020,FALSE)+
X71*(VLOOKUP($H67&amp;";Volume",#REF!,Y$1-2019,FALSE)-VLOOKUP($H67&amp;";TauxRenouvellement",#REF!,Y$1-2020,FALSE)*VLOOKUP($H67&amp;";Volume",#REF!,Y$1-2020,FALSE)))/
VLOOKUP($H67&amp;";Volume",#REF!,Y$1-2019,FALSE)</f>
        <v>#REF!</v>
      </c>
      <c r="Z71" t="e">
        <f>(6*VLOOKUP($H67&amp;";TauxRenouvellement",#REF!,Z$1-2020,FALSE)*VLOOKUP($H67&amp;";Volume",#REF!,Z$1-2020,FALSE)+
Y71*(VLOOKUP($H67&amp;";Volume",#REF!,Z$1-2019,FALSE)-VLOOKUP($H67&amp;";TauxRenouvellement",#REF!,Z$1-2020,FALSE)*VLOOKUP($H67&amp;";Volume",#REF!,Z$1-2020,FALSE)))/
VLOOKUP($H67&amp;";Volume",#REF!,Z$1-2019,FALSE)</f>
        <v>#REF!</v>
      </c>
      <c r="AA71" t="e">
        <f>(6*VLOOKUP($H67&amp;";TauxRenouvellement",#REF!,AA$1-2020,FALSE)*VLOOKUP($H67&amp;";Volume",#REF!,AA$1-2020,FALSE)+
Z71*(VLOOKUP($H67&amp;";Volume",#REF!,AA$1-2019,FALSE)-VLOOKUP($H67&amp;";TauxRenouvellement",#REF!,AA$1-2020,FALSE)*VLOOKUP($H67&amp;";Volume",#REF!,AA$1-2020,FALSE)))/
VLOOKUP($H67&amp;";Volume",#REF!,AA$1-2019,FALSE)</f>
        <v>#REF!</v>
      </c>
      <c r="AB71" t="e">
        <f>(6*VLOOKUP($H67&amp;";TauxRenouvellement",#REF!,AB$1-2020,FALSE)*VLOOKUP($H67&amp;";Volume",#REF!,AB$1-2020,FALSE)+
AA71*(VLOOKUP($H67&amp;";Volume",#REF!,AB$1-2019,FALSE)-VLOOKUP($H67&amp;";TauxRenouvellement",#REF!,AB$1-2020,FALSE)*VLOOKUP($H67&amp;";Volume",#REF!,AB$1-2020,FALSE)))/
VLOOKUP($H67&amp;";Volume",#REF!,AB$1-2019,FALSE)</f>
        <v>#REF!</v>
      </c>
      <c r="AC71" t="e">
        <f>(6*VLOOKUP($H67&amp;";TauxRenouvellement",#REF!,AC$1-2020,FALSE)*VLOOKUP($H67&amp;";Volume",#REF!,AC$1-2020,FALSE)+
AB71*(VLOOKUP($H67&amp;";Volume",#REF!,AC$1-2019,FALSE)-VLOOKUP($H67&amp;";TauxRenouvellement",#REF!,AC$1-2020,FALSE)*VLOOKUP($H67&amp;";Volume",#REF!,AC$1-2020,FALSE)))/
VLOOKUP($H67&amp;";Volume",#REF!,AC$1-2019,FALSE)</f>
        <v>#REF!</v>
      </c>
      <c r="AD71" t="e">
        <f>(6*VLOOKUP($H67&amp;";TauxRenouvellement",#REF!,AD$1-2020,FALSE)*VLOOKUP($H67&amp;";Volume",#REF!,AD$1-2020,FALSE)+
AC71*(VLOOKUP($H67&amp;";Volume",#REF!,AD$1-2019,FALSE)-VLOOKUP($H67&amp;";TauxRenouvellement",#REF!,AD$1-2020,FALSE)*VLOOKUP($H67&amp;";Volume",#REF!,AD$1-2020,FALSE)))/
VLOOKUP($H67&amp;";Volume",#REF!,AD$1-2019,FALSE)</f>
        <v>#REF!</v>
      </c>
      <c r="AE71" t="e">
        <f>(6*VLOOKUP($H67&amp;";TauxRenouvellement",#REF!,AE$1-2020,FALSE)*VLOOKUP($H67&amp;";Volume",#REF!,AE$1-2020,FALSE)+
AD71*(VLOOKUP($H67&amp;";Volume",#REF!,AE$1-2019,FALSE)-VLOOKUP($H67&amp;";TauxRenouvellement",#REF!,AE$1-2020,FALSE)*VLOOKUP($H67&amp;";Volume",#REF!,AE$1-2020,FALSE)))/
VLOOKUP($H67&amp;";Volume",#REF!,AE$1-2019,FALSE)</f>
        <v>#REF!</v>
      </c>
      <c r="AF71" t="e">
        <f>(6*VLOOKUP($H67&amp;";TauxRenouvellement",#REF!,AF$1-2020,FALSE)*VLOOKUP($H67&amp;";Volume",#REF!,AF$1-2020,FALSE)+
AE71*(VLOOKUP($H67&amp;";Volume",#REF!,AF$1-2019,FALSE)-VLOOKUP($H67&amp;";TauxRenouvellement",#REF!,AF$1-2020,FALSE)*VLOOKUP($H67&amp;";Volume",#REF!,AF$1-2020,FALSE)))/
VLOOKUP($H67&amp;";Volume",#REF!,AF$1-2019,FALSE)</f>
        <v>#REF!</v>
      </c>
      <c r="AG71" t="e">
        <f>(6*VLOOKUP($H67&amp;";TauxRenouvellement",#REF!,AG$1-2020,FALSE)*VLOOKUP($H67&amp;";Volume",#REF!,AG$1-2020,FALSE)+
AF71*(VLOOKUP($H67&amp;";Volume",#REF!,AG$1-2019,FALSE)-VLOOKUP($H67&amp;";TauxRenouvellement",#REF!,AG$1-2020,FALSE)*VLOOKUP($H67&amp;";Volume",#REF!,AG$1-2020,FALSE)))/
VLOOKUP($H67&amp;";Volume",#REF!,AG$1-2019,FALSE)</f>
        <v>#REF!</v>
      </c>
      <c r="AH71" t="e">
        <f>(6*VLOOKUP($H67&amp;";TauxRenouvellement",#REF!,AH$1-2020,FALSE)*VLOOKUP($H67&amp;";Volume",#REF!,AH$1-2020,FALSE)+
AG71*(VLOOKUP($H67&amp;";Volume",#REF!,AH$1-2019,FALSE)-VLOOKUP($H67&amp;";TauxRenouvellement",#REF!,AH$1-2020,FALSE)*VLOOKUP($H67&amp;";Volume",#REF!,AH$1-2020,FALSE)))/
VLOOKUP($H67&amp;";Volume",#REF!,AH$1-2019,FALSE)</f>
        <v>#REF!</v>
      </c>
      <c r="AI71" t="e">
        <f>(6*VLOOKUP($H67&amp;";TauxRenouvellement",#REF!,AI$1-2020,FALSE)*VLOOKUP($H67&amp;";Volume",#REF!,AI$1-2020,FALSE)+
AH71*(VLOOKUP($H67&amp;";Volume",#REF!,AI$1-2019,FALSE)-VLOOKUP($H67&amp;";TauxRenouvellement",#REF!,AI$1-2020,FALSE)*VLOOKUP($H67&amp;";Volume",#REF!,AI$1-2020,FALSE)))/
VLOOKUP($H67&amp;";Volume",#REF!,AI$1-2019,FALSE)</f>
        <v>#REF!</v>
      </c>
      <c r="AJ71" t="e">
        <f>(6*VLOOKUP($H67&amp;";TauxRenouvellement",#REF!,AJ$1-2020,FALSE)*VLOOKUP($H67&amp;";Volume",#REF!,AJ$1-2020,FALSE)+
AI71*(VLOOKUP($H67&amp;";Volume",#REF!,AJ$1-2019,FALSE)-VLOOKUP($H67&amp;";TauxRenouvellement",#REF!,AJ$1-2020,FALSE)*VLOOKUP($H67&amp;";Volume",#REF!,AJ$1-2020,FALSE)))/
VLOOKUP($H67&amp;";Volume",#REF!,AJ$1-2019,FALSE)</f>
        <v>#REF!</v>
      </c>
      <c r="AK71" t="e">
        <f>(6*VLOOKUP($H67&amp;";TauxRenouvellement",#REF!,AK$1-2020,FALSE)*VLOOKUP($H67&amp;";Volume",#REF!,AK$1-2020,FALSE)+
AJ71*(VLOOKUP($H67&amp;";Volume",#REF!,AK$1-2019,FALSE)-VLOOKUP($H67&amp;";TauxRenouvellement",#REF!,AK$1-2020,FALSE)*VLOOKUP($H67&amp;";Volume",#REF!,AK$1-2020,FALSE)))/
VLOOKUP($H67&amp;";Volume",#REF!,AK$1-2019,FALSE)</f>
        <v>#REF!</v>
      </c>
      <c r="AL71" t="e">
        <f>(6*VLOOKUP($H67&amp;";TauxRenouvellement",#REF!,AL$1-2020,FALSE)*VLOOKUP($H67&amp;";Volume",#REF!,AL$1-2020,FALSE)+
AK71*(VLOOKUP($H67&amp;";Volume",#REF!,AL$1-2019,FALSE)-VLOOKUP($H67&amp;";TauxRenouvellement",#REF!,AL$1-2020,FALSE)*VLOOKUP($H67&amp;";Volume",#REF!,AL$1-2020,FALSE)))/
VLOOKUP($H67&amp;";Volume",#REF!,AL$1-2019,FALSE)</f>
        <v>#REF!</v>
      </c>
      <c r="AM71" t="e">
        <f>(6*VLOOKUP($H67&amp;";TauxRenouvellement",#REF!,AM$1-2020,FALSE)*VLOOKUP($H67&amp;";Volume",#REF!,AM$1-2020,FALSE)+
AL71*(VLOOKUP($H67&amp;";Volume",#REF!,AM$1-2019,FALSE)-VLOOKUP($H67&amp;";TauxRenouvellement",#REF!,AM$1-2020,FALSE)*VLOOKUP($H67&amp;";Volume",#REF!,AM$1-2020,FALSE)))/
VLOOKUP($H67&amp;";Volume",#REF!,AM$1-2019,FALSE)</f>
        <v>#REF!</v>
      </c>
      <c r="AN71" t="e">
        <f>(6*VLOOKUP($H67&amp;";TauxRenouvellement",#REF!,AN$1-2020,FALSE)*VLOOKUP($H67&amp;";Volume",#REF!,AN$1-2020,FALSE)+
AM71*(VLOOKUP($H67&amp;";Volume",#REF!,AN$1-2019,FALSE)-VLOOKUP($H67&amp;";TauxRenouvellement",#REF!,AN$1-2020,FALSE)*VLOOKUP($H67&amp;";Volume",#REF!,AN$1-2020,FALSE)))/
VLOOKUP($H67&amp;";Volume",#REF!,AN$1-2019,FALSE)</f>
        <v>#REF!</v>
      </c>
      <c r="AO71" t="e">
        <f>(6*VLOOKUP($H67&amp;";TauxRenouvellement",#REF!,AO$1-2020,FALSE)*VLOOKUP($H67&amp;";Volume",#REF!,AO$1-2020,FALSE)+
AN71*(VLOOKUP($H67&amp;";Volume",#REF!,AO$1-2019,FALSE)-VLOOKUP($H67&amp;";TauxRenouvellement",#REF!,AO$1-2020,FALSE)*VLOOKUP($H67&amp;";Volume",#REF!,AO$1-2020,FALSE)))/
VLOOKUP($H67&amp;";Volume",#REF!,AO$1-2019,FALSE)</f>
        <v>#REF!</v>
      </c>
      <c r="AP71" t="e">
        <f>(6*VLOOKUP($H67&amp;";TauxRenouvellement",#REF!,AP$1-2020,FALSE)*VLOOKUP($H67&amp;";Volume",#REF!,AP$1-2020,FALSE)+
AO71*(VLOOKUP($H67&amp;";Volume",#REF!,AP$1-2019,FALSE)-VLOOKUP($H67&amp;";TauxRenouvellement",#REF!,AP$1-2020,FALSE)*VLOOKUP($H67&amp;";Volume",#REF!,AP$1-2020,FALSE)))/
VLOOKUP($H67&amp;";Volume",#REF!,AP$1-2019,FALSE)</f>
        <v>#REF!</v>
      </c>
    </row>
    <row r="72" spans="1:42" outlineLevel="1" x14ac:dyDescent="0.25">
      <c r="A72" t="s">
        <v>76</v>
      </c>
      <c r="B72" s="2" t="s">
        <v>95</v>
      </c>
      <c r="C72" t="s">
        <v>84</v>
      </c>
      <c r="E72" t="str">
        <f>_xlfn.CONCAT("FretRout",LEFT(B72,3),RIGHT(B72,1),"CritAir")</f>
        <v>FretRoutCat7CritAir</v>
      </c>
      <c r="F72" t="s">
        <v>36</v>
      </c>
      <c r="G72">
        <v>1</v>
      </c>
      <c r="H72" s="2"/>
      <c r="I72">
        <v>2</v>
      </c>
      <c r="K72" s="4">
        <f t="shared" si="6"/>
        <v>2</v>
      </c>
      <c r="Q72" t="e">
        <v>#REF!</v>
      </c>
      <c r="R72" t="e">
        <f>(VLOOKUP($H67&amp;";TauxRenouvellement",#REF!,R$1-2020,FALSE)*VLOOKUP($H67&amp;";Volume",#REF!,R$1-2020,FALSE)+
Q72*(VLOOKUP($H67&amp;";Volume",#REF!,R$1-2019,FALSE)-VLOOKUP($H67&amp;";TauxRenouvellement",#REF!,R$1-2020,FALSE)*VLOOKUP($H67&amp;";Volume",#REF!,R$1-2020,FALSE)))/
VLOOKUP($H67&amp;";Volume",#REF!,R$1-2019,FALSE)</f>
        <v>#REF!</v>
      </c>
      <c r="S72" t="e">
        <f>(VLOOKUP($H67&amp;";TauxRenouvellement",#REF!,S$1-2020,FALSE)*VLOOKUP($H67&amp;";Volume",#REF!,S$1-2020,FALSE)+
R72*(VLOOKUP($H67&amp;";Volume",#REF!,S$1-2019,FALSE)-VLOOKUP($H67&amp;";TauxRenouvellement",#REF!,S$1-2020,FALSE)*VLOOKUP($H67&amp;";Volume",#REF!,S$1-2020,FALSE)))/
VLOOKUP($H67&amp;";Volume",#REF!,S$1-2019,FALSE)</f>
        <v>#REF!</v>
      </c>
      <c r="T72" t="e">
        <f>(VLOOKUP($H67&amp;";TauxRenouvellement",#REF!,T$1-2020,FALSE)*VLOOKUP($H67&amp;";Volume",#REF!,T$1-2020,FALSE)+
S72*(VLOOKUP($H67&amp;";Volume",#REF!,T$1-2019,FALSE)-VLOOKUP($H67&amp;";TauxRenouvellement",#REF!,T$1-2020,FALSE)*VLOOKUP($H67&amp;";Volume",#REF!,T$1-2020,FALSE)))/
VLOOKUP($H67&amp;";Volume",#REF!,T$1-2019,FALSE)</f>
        <v>#REF!</v>
      </c>
      <c r="U72" t="e">
        <f>(VLOOKUP($H67&amp;";TauxRenouvellement",#REF!,U$1-2020,FALSE)*VLOOKUP($H67&amp;";Volume",#REF!,U$1-2020,FALSE)+
T72*(VLOOKUP($H67&amp;";Volume",#REF!,U$1-2019,FALSE)-VLOOKUP($H67&amp;";TauxRenouvellement",#REF!,U$1-2020,FALSE)*VLOOKUP($H67&amp;";Volume",#REF!,U$1-2020,FALSE)))/
VLOOKUP($H67&amp;";Volume",#REF!,U$1-2019,FALSE)</f>
        <v>#REF!</v>
      </c>
      <c r="V72" t="e">
        <f>(VLOOKUP($H67&amp;";TauxRenouvellement",#REF!,V$1-2020,FALSE)*VLOOKUP($H67&amp;";Volume",#REF!,V$1-2020,FALSE)+
U72*(VLOOKUP($H67&amp;";Volume",#REF!,V$1-2019,FALSE)-VLOOKUP($H67&amp;";TauxRenouvellement",#REF!,V$1-2020,FALSE)*VLOOKUP($H67&amp;";Volume",#REF!,V$1-2020,FALSE)))/
VLOOKUP($H67&amp;";Volume",#REF!,V$1-2019,FALSE)</f>
        <v>#REF!</v>
      </c>
      <c r="W72" t="e">
        <f>(VLOOKUP($H67&amp;";TauxRenouvellement",#REF!,W$1-2020,FALSE)*VLOOKUP($H67&amp;";Volume",#REF!,W$1-2020,FALSE)+
V72*(VLOOKUP($H67&amp;";Volume",#REF!,W$1-2019,FALSE)-VLOOKUP($H67&amp;";TauxRenouvellement",#REF!,W$1-2020,FALSE)*VLOOKUP($H67&amp;";Volume",#REF!,W$1-2020,FALSE)))/
VLOOKUP($H67&amp;";Volume",#REF!,W$1-2019,FALSE)</f>
        <v>#REF!</v>
      </c>
      <c r="X72" t="e">
        <f>(VLOOKUP($H67&amp;";TauxRenouvellement",#REF!,X$1-2020,FALSE)*VLOOKUP($H67&amp;";Volume",#REF!,X$1-2020,FALSE)+
W72*(VLOOKUP($H67&amp;";Volume",#REF!,X$1-2019,FALSE)-VLOOKUP($H67&amp;";TauxRenouvellement",#REF!,X$1-2020,FALSE)*VLOOKUP($H67&amp;";Volume",#REF!,X$1-2020,FALSE)))/
VLOOKUP($H67&amp;";Volume",#REF!,X$1-2019,FALSE)</f>
        <v>#REF!</v>
      </c>
      <c r="Y72" t="e">
        <f>(VLOOKUP($H67&amp;";TauxRenouvellement",#REF!,Y$1-2020,FALSE)*VLOOKUP($H67&amp;";Volume",#REF!,Y$1-2020,FALSE)+
X72*(VLOOKUP($H67&amp;";Volume",#REF!,Y$1-2019,FALSE)-VLOOKUP($H67&amp;";TauxRenouvellement",#REF!,Y$1-2020,FALSE)*VLOOKUP($H67&amp;";Volume",#REF!,Y$1-2020,FALSE)))/
VLOOKUP($H67&amp;";Volume",#REF!,Y$1-2019,FALSE)</f>
        <v>#REF!</v>
      </c>
      <c r="Z72" t="e">
        <f>(VLOOKUP($H67&amp;";TauxRenouvellement",#REF!,Z$1-2020,FALSE)*VLOOKUP($H67&amp;";Volume",#REF!,Z$1-2020,FALSE)+
Y72*(VLOOKUP($H67&amp;";Volume",#REF!,Z$1-2019,FALSE)-VLOOKUP($H67&amp;";TauxRenouvellement",#REF!,Z$1-2020,FALSE)*VLOOKUP($H67&amp;";Volume",#REF!,Z$1-2020,FALSE)))/
VLOOKUP($H67&amp;";Volume",#REF!,Z$1-2019,FALSE)</f>
        <v>#REF!</v>
      </c>
      <c r="AA72" t="e">
        <f>(VLOOKUP($H67&amp;";TauxRenouvellement",#REF!,AA$1-2020,FALSE)*VLOOKUP($H67&amp;";Volume",#REF!,AA$1-2020,FALSE)+
Z72*(VLOOKUP($H67&amp;";Volume",#REF!,AA$1-2019,FALSE)-VLOOKUP($H67&amp;";TauxRenouvellement",#REF!,AA$1-2020,FALSE)*VLOOKUP($H67&amp;";Volume",#REF!,AA$1-2020,FALSE)))/
VLOOKUP($H67&amp;";Volume",#REF!,AA$1-2019,FALSE)</f>
        <v>#REF!</v>
      </c>
      <c r="AB72" t="e">
        <f>(VLOOKUP($H67&amp;";TauxRenouvellement",#REF!,AB$1-2020,FALSE)*VLOOKUP($H67&amp;";Volume",#REF!,AB$1-2020,FALSE)+
AA72*(VLOOKUP($H67&amp;";Volume",#REF!,AB$1-2019,FALSE)-VLOOKUP($H67&amp;";TauxRenouvellement",#REF!,AB$1-2020,FALSE)*VLOOKUP($H67&amp;";Volume",#REF!,AB$1-2020,FALSE)))/
VLOOKUP($H67&amp;";Volume",#REF!,AB$1-2019,FALSE)</f>
        <v>#REF!</v>
      </c>
      <c r="AC72" t="e">
        <f>(VLOOKUP($H67&amp;";TauxRenouvellement",#REF!,AC$1-2020,FALSE)*VLOOKUP($H67&amp;";Volume",#REF!,AC$1-2020,FALSE)+
AB72*(VLOOKUP($H67&amp;";Volume",#REF!,AC$1-2019,FALSE)-VLOOKUP($H67&amp;";TauxRenouvellement",#REF!,AC$1-2020,FALSE)*VLOOKUP($H67&amp;";Volume",#REF!,AC$1-2020,FALSE)))/
VLOOKUP($H67&amp;";Volume",#REF!,AC$1-2019,FALSE)</f>
        <v>#REF!</v>
      </c>
      <c r="AD72" t="e">
        <f>(VLOOKUP($H67&amp;";TauxRenouvellement",#REF!,AD$1-2020,FALSE)*VLOOKUP($H67&amp;";Volume",#REF!,AD$1-2020,FALSE)+
AC72*(VLOOKUP($H67&amp;";Volume",#REF!,AD$1-2019,FALSE)-VLOOKUP($H67&amp;";TauxRenouvellement",#REF!,AD$1-2020,FALSE)*VLOOKUP($H67&amp;";Volume",#REF!,AD$1-2020,FALSE)))/
VLOOKUP($H67&amp;";Volume",#REF!,AD$1-2019,FALSE)</f>
        <v>#REF!</v>
      </c>
      <c r="AE72" t="e">
        <f>(VLOOKUP($H67&amp;";TauxRenouvellement",#REF!,AE$1-2020,FALSE)*VLOOKUP($H67&amp;";Volume",#REF!,AE$1-2020,FALSE)+
AD72*(VLOOKUP($H67&amp;";Volume",#REF!,AE$1-2019,FALSE)-VLOOKUP($H67&amp;";TauxRenouvellement",#REF!,AE$1-2020,FALSE)*VLOOKUP($H67&amp;";Volume",#REF!,AE$1-2020,FALSE)))/
VLOOKUP($H67&amp;";Volume",#REF!,AE$1-2019,FALSE)</f>
        <v>#REF!</v>
      </c>
      <c r="AF72" t="e">
        <f>(VLOOKUP($H67&amp;";TauxRenouvellement",#REF!,AF$1-2020,FALSE)*VLOOKUP($H67&amp;";Volume",#REF!,AF$1-2020,FALSE)+
AE72*(VLOOKUP($H67&amp;";Volume",#REF!,AF$1-2019,FALSE)-VLOOKUP($H67&amp;";TauxRenouvellement",#REF!,AF$1-2020,FALSE)*VLOOKUP($H67&amp;";Volume",#REF!,AF$1-2020,FALSE)))/
VLOOKUP($H67&amp;";Volume",#REF!,AF$1-2019,FALSE)</f>
        <v>#REF!</v>
      </c>
      <c r="AG72" t="e">
        <f>(VLOOKUP($H67&amp;";TauxRenouvellement",#REF!,AG$1-2020,FALSE)*VLOOKUP($H67&amp;";Volume",#REF!,AG$1-2020,FALSE)+
AF72*(VLOOKUP($H67&amp;";Volume",#REF!,AG$1-2019,FALSE)-VLOOKUP($H67&amp;";TauxRenouvellement",#REF!,AG$1-2020,FALSE)*VLOOKUP($H67&amp;";Volume",#REF!,AG$1-2020,FALSE)))/
VLOOKUP($H67&amp;";Volume",#REF!,AG$1-2019,FALSE)</f>
        <v>#REF!</v>
      </c>
      <c r="AH72" t="e">
        <f>(VLOOKUP($H67&amp;";TauxRenouvellement",#REF!,AH$1-2020,FALSE)*VLOOKUP($H67&amp;";Volume",#REF!,AH$1-2020,FALSE)+
AG72*(VLOOKUP($H67&amp;";Volume",#REF!,AH$1-2019,FALSE)-VLOOKUP($H67&amp;";TauxRenouvellement",#REF!,AH$1-2020,FALSE)*VLOOKUP($H67&amp;";Volume",#REF!,AH$1-2020,FALSE)))/
VLOOKUP($H67&amp;";Volume",#REF!,AH$1-2019,FALSE)</f>
        <v>#REF!</v>
      </c>
      <c r="AI72" t="e">
        <f>(VLOOKUP($H67&amp;";TauxRenouvellement",#REF!,AI$1-2020,FALSE)*VLOOKUP($H67&amp;";Volume",#REF!,AI$1-2020,FALSE)+
AH72*(VLOOKUP($H67&amp;";Volume",#REF!,AI$1-2019,FALSE)-VLOOKUP($H67&amp;";TauxRenouvellement",#REF!,AI$1-2020,FALSE)*VLOOKUP($H67&amp;";Volume",#REF!,AI$1-2020,FALSE)))/
VLOOKUP($H67&amp;";Volume",#REF!,AI$1-2019,FALSE)</f>
        <v>#REF!</v>
      </c>
      <c r="AJ72" t="e">
        <f>(VLOOKUP($H67&amp;";TauxRenouvellement",#REF!,AJ$1-2020,FALSE)*VLOOKUP($H67&amp;";Volume",#REF!,AJ$1-2020,FALSE)+
AI72*(VLOOKUP($H67&amp;";Volume",#REF!,AJ$1-2019,FALSE)-VLOOKUP($H67&amp;";TauxRenouvellement",#REF!,AJ$1-2020,FALSE)*VLOOKUP($H67&amp;";Volume",#REF!,AJ$1-2020,FALSE)))/
VLOOKUP($H67&amp;";Volume",#REF!,AJ$1-2019,FALSE)</f>
        <v>#REF!</v>
      </c>
      <c r="AK72" t="e">
        <f>(VLOOKUP($H67&amp;";TauxRenouvellement",#REF!,AK$1-2020,FALSE)*VLOOKUP($H67&amp;";Volume",#REF!,AK$1-2020,FALSE)+
AJ72*(VLOOKUP($H67&amp;";Volume",#REF!,AK$1-2019,FALSE)-VLOOKUP($H67&amp;";TauxRenouvellement",#REF!,AK$1-2020,FALSE)*VLOOKUP($H67&amp;";Volume",#REF!,AK$1-2020,FALSE)))/
VLOOKUP($H67&amp;";Volume",#REF!,AK$1-2019,FALSE)</f>
        <v>#REF!</v>
      </c>
      <c r="AL72" t="e">
        <f>(VLOOKUP($H67&amp;";TauxRenouvellement",#REF!,AL$1-2020,FALSE)*VLOOKUP($H67&amp;";Volume",#REF!,AL$1-2020,FALSE)+
AK72*(VLOOKUP($H67&amp;";Volume",#REF!,AL$1-2019,FALSE)-VLOOKUP($H67&amp;";TauxRenouvellement",#REF!,AL$1-2020,FALSE)*VLOOKUP($H67&amp;";Volume",#REF!,AL$1-2020,FALSE)))/
VLOOKUP($H67&amp;";Volume",#REF!,AL$1-2019,FALSE)</f>
        <v>#REF!</v>
      </c>
      <c r="AM72" t="e">
        <f>(VLOOKUP($H67&amp;";TauxRenouvellement",#REF!,AM$1-2020,FALSE)*VLOOKUP($H67&amp;";Volume",#REF!,AM$1-2020,FALSE)+
AL72*(VLOOKUP($H67&amp;";Volume",#REF!,AM$1-2019,FALSE)-VLOOKUP($H67&amp;";TauxRenouvellement",#REF!,AM$1-2020,FALSE)*VLOOKUP($H67&amp;";Volume",#REF!,AM$1-2020,FALSE)))/
VLOOKUP($H67&amp;";Volume",#REF!,AM$1-2019,FALSE)</f>
        <v>#REF!</v>
      </c>
      <c r="AN72" t="e">
        <f>(VLOOKUP($H67&amp;";TauxRenouvellement",#REF!,AN$1-2020,FALSE)*VLOOKUP($H67&amp;";Volume",#REF!,AN$1-2020,FALSE)+
AM72*(VLOOKUP($H67&amp;";Volume",#REF!,AN$1-2019,FALSE)-VLOOKUP($H67&amp;";TauxRenouvellement",#REF!,AN$1-2020,FALSE)*VLOOKUP($H67&amp;";Volume",#REF!,AN$1-2020,FALSE)))/
VLOOKUP($H67&amp;";Volume",#REF!,AN$1-2019,FALSE)</f>
        <v>#REF!</v>
      </c>
      <c r="AO72" t="e">
        <f>(VLOOKUP($H67&amp;";TauxRenouvellement",#REF!,AO$1-2020,FALSE)*VLOOKUP($H67&amp;";Volume",#REF!,AO$1-2020,FALSE)+
AN72*(VLOOKUP($H67&amp;";Volume",#REF!,AO$1-2019,FALSE)-VLOOKUP($H67&amp;";TauxRenouvellement",#REF!,AO$1-2020,FALSE)*VLOOKUP($H67&amp;";Volume",#REF!,AO$1-2020,FALSE)))/
VLOOKUP($H67&amp;";Volume",#REF!,AO$1-2019,FALSE)</f>
        <v>#REF!</v>
      </c>
      <c r="AP72" t="e">
        <f>(VLOOKUP($H67&amp;";TauxRenouvellement",#REF!,AP$1-2020,FALSE)*VLOOKUP($H67&amp;";Volume",#REF!,AP$1-2020,FALSE)+
AO72*(VLOOKUP($H67&amp;";Volume",#REF!,AP$1-2019,FALSE)-VLOOKUP($H67&amp;";TauxRenouvellement",#REF!,AP$1-2020,FALSE)*VLOOKUP($H67&amp;";Volume",#REF!,AP$1-2020,FALSE)))/
VLOOKUP($H67&amp;";Volume",#REF!,AP$1-2019,FALSE)</f>
        <v>#REF!</v>
      </c>
    </row>
    <row r="73" spans="1:42" outlineLevel="1" x14ac:dyDescent="0.25">
      <c r="A73" t="s">
        <v>76</v>
      </c>
      <c r="B73" s="2" t="s">
        <v>95</v>
      </c>
      <c r="C73" t="s">
        <v>85</v>
      </c>
      <c r="E73" t="str">
        <f>_xlfn.CONCAT("FretRout",LEFT(B73,3),RIGHT(B73,1),"Nb")</f>
        <v>FretRoutCat7Nb</v>
      </c>
      <c r="F73" t="s">
        <v>17</v>
      </c>
      <c r="G73">
        <v>1</v>
      </c>
      <c r="J73" t="s">
        <v>86</v>
      </c>
      <c r="K73">
        <v>0</v>
      </c>
    </row>
    <row r="74" spans="1:42" outlineLevel="1" x14ac:dyDescent="0.25">
      <c r="A74" t="s">
        <v>76</v>
      </c>
      <c r="B74" s="2" t="s">
        <v>95</v>
      </c>
      <c r="C74" t="s">
        <v>87</v>
      </c>
      <c r="E74" t="str">
        <f>_xlfn.CONCAT("FretRout",LEFT(B74,3),RIGHT(B74,1),"Dist")</f>
        <v>FretRoutCat7Dist</v>
      </c>
      <c r="F74" t="s">
        <v>17</v>
      </c>
      <c r="G74">
        <v>1</v>
      </c>
      <c r="H74" s="2"/>
      <c r="J74" t="s">
        <v>88</v>
      </c>
      <c r="K74">
        <v>11201</v>
      </c>
    </row>
    <row r="75" spans="1:42" outlineLevel="1" x14ac:dyDescent="0.25">
      <c r="A75" t="s">
        <v>76</v>
      </c>
      <c r="B75" s="2" t="s">
        <v>95</v>
      </c>
      <c r="C75" s="2" t="s">
        <v>89</v>
      </c>
      <c r="E75" t="str">
        <f>_xlfn.CONCAT("FretRout",LEFT(B75,3),RIGHT(B75,1),"Rempl")</f>
        <v>FretRoutCat7Rempl</v>
      </c>
      <c r="F75" t="s">
        <v>17</v>
      </c>
      <c r="G75">
        <v>1</v>
      </c>
      <c r="H75" s="3"/>
      <c r="J75" t="s">
        <v>70</v>
      </c>
      <c r="K75">
        <v>0</v>
      </c>
    </row>
    <row r="76" spans="1:42" outlineLevel="1" x14ac:dyDescent="0.25">
      <c r="A76" t="s">
        <v>76</v>
      </c>
      <c r="B76" s="2" t="s">
        <v>96</v>
      </c>
      <c r="C76" t="s">
        <v>78</v>
      </c>
      <c r="E76" t="str">
        <f>_xlfn.CONCAT("FretRout",LEFT(B76,3),RIGHT(B76,1),"Nom")</f>
        <v>FretRoutCat8Nom</v>
      </c>
      <c r="F76" t="s">
        <v>20</v>
      </c>
      <c r="G76">
        <v>1</v>
      </c>
      <c r="H76" s="4"/>
      <c r="I76" s="4" t="s">
        <v>393</v>
      </c>
      <c r="K76" s="4" t="str">
        <f t="shared" ref="K76:K82" si="7">I76</f>
        <v>VUL Essence &lt;=3,5t (Crit'Air 3)</v>
      </c>
    </row>
    <row r="77" spans="1:42" outlineLevel="1" x14ac:dyDescent="0.25">
      <c r="A77" t="s">
        <v>76</v>
      </c>
      <c r="B77" s="2" t="s">
        <v>96</v>
      </c>
      <c r="C77" t="s">
        <v>79</v>
      </c>
      <c r="E77" t="str">
        <f>_xlfn.CONCAT("FretRout",LEFT(B77,3),RIGHT(B77,1),"Type")</f>
        <v>FretRoutCat8Type</v>
      </c>
      <c r="F77" t="s">
        <v>20</v>
      </c>
      <c r="G77">
        <v>1</v>
      </c>
      <c r="I77" t="s">
        <v>1770</v>
      </c>
      <c r="K77" s="4" t="str">
        <f t="shared" si="7"/>
        <v>VUL</v>
      </c>
    </row>
    <row r="78" spans="1:42" outlineLevel="1" x14ac:dyDescent="0.25">
      <c r="A78" t="s">
        <v>76</v>
      </c>
      <c r="B78" s="2" t="s">
        <v>96</v>
      </c>
      <c r="C78" t="s">
        <v>80</v>
      </c>
      <c r="E78" t="str">
        <f>_xlfn.CONCAT("FretRout",LEFT(B78,3),RIGHT(B78,1),"PTAC")</f>
        <v>FretRoutCat8PTAC</v>
      </c>
      <c r="F78" t="s">
        <v>36</v>
      </c>
      <c r="G78">
        <v>1</v>
      </c>
      <c r="I78" t="s">
        <v>1451</v>
      </c>
      <c r="K78" s="4" t="str">
        <f t="shared" si="7"/>
        <v>&lt;=3,5t</v>
      </c>
    </row>
    <row r="79" spans="1:42" x14ac:dyDescent="0.25">
      <c r="A79" t="s">
        <v>76</v>
      </c>
      <c r="B79" s="2" t="s">
        <v>96</v>
      </c>
      <c r="C79" t="s">
        <v>81</v>
      </c>
      <c r="E79" t="str">
        <f>_xlfn.CONCAT("FretRout",LEFT(B79,3),RIGHT(B79,1),"Mot")</f>
        <v>FretRoutCat8Mot</v>
      </c>
      <c r="F79" t="s">
        <v>36</v>
      </c>
      <c r="G79">
        <v>1</v>
      </c>
      <c r="H79" s="2"/>
      <c r="I79" t="s">
        <v>1454</v>
      </c>
      <c r="K79" s="4" t="str">
        <f t="shared" si="7"/>
        <v>Essence</v>
      </c>
    </row>
    <row r="80" spans="1:42" x14ac:dyDescent="0.25">
      <c r="A80" t="s">
        <v>76</v>
      </c>
      <c r="B80" s="2" t="s">
        <v>96</v>
      </c>
      <c r="C80" t="s">
        <v>82</v>
      </c>
      <c r="E80" t="str">
        <f>_xlfn.CONCAT("FretRout",LEFT(B80,3),RIGHT(B80,1),"Carb")</f>
        <v>FretRoutCat8Carb</v>
      </c>
      <c r="F80" t="s">
        <v>36</v>
      </c>
      <c r="G80">
        <v>1</v>
      </c>
      <c r="I80" t="s">
        <v>1455</v>
      </c>
      <c r="K80" s="4" t="str">
        <f t="shared" si="7"/>
        <v>Essence à la pompe</v>
      </c>
    </row>
    <row r="81" spans="1:42" x14ac:dyDescent="0.25">
      <c r="A81" t="s">
        <v>76</v>
      </c>
      <c r="B81" s="2" t="s">
        <v>96</v>
      </c>
      <c r="C81" t="s">
        <v>83</v>
      </c>
      <c r="E81" t="str">
        <f>_xlfn.CONCAT("FretRout",LEFT(B81,3),RIGHT(B81,1),"Euro")</f>
        <v>FretRoutCat8Euro</v>
      </c>
      <c r="F81" t="s">
        <v>36</v>
      </c>
      <c r="G81">
        <v>1</v>
      </c>
      <c r="I81">
        <v>0</v>
      </c>
      <c r="K81" s="4">
        <f t="shared" si="7"/>
        <v>0</v>
      </c>
      <c r="Q81" t="e">
        <v>#REF!</v>
      </c>
      <c r="R81" t="e">
        <f>(6*VLOOKUP($H77&amp;";TauxRenouvellement",#REF!,R$1-2020,FALSE)*VLOOKUP($H77&amp;";Volume",#REF!,R$1-2020,FALSE)+
Q81*(VLOOKUP($H77&amp;";Volume",#REF!,R$1-2019,FALSE)-VLOOKUP($H77&amp;";TauxRenouvellement",#REF!,R$1-2020,FALSE)*VLOOKUP($H77&amp;";Volume",#REF!,R$1-2020,FALSE)))/
VLOOKUP($H77&amp;";Volume",#REF!,R$1-2019,FALSE)</f>
        <v>#REF!</v>
      </c>
      <c r="S81" t="e">
        <f>(6*VLOOKUP($H77&amp;";TauxRenouvellement",#REF!,S$1-2020,FALSE)*VLOOKUP($H77&amp;";Volume",#REF!,S$1-2020,FALSE)+
R81*(VLOOKUP($H77&amp;";Volume",#REF!,S$1-2019,FALSE)-VLOOKUP($H77&amp;";TauxRenouvellement",#REF!,S$1-2020,FALSE)*VLOOKUP($H77&amp;";Volume",#REF!,S$1-2020,FALSE)))/
VLOOKUP($H77&amp;";Volume",#REF!,S$1-2019,FALSE)</f>
        <v>#REF!</v>
      </c>
      <c r="T81" t="e">
        <f>(6*VLOOKUP($H77&amp;";TauxRenouvellement",#REF!,T$1-2020,FALSE)*VLOOKUP($H77&amp;";Volume",#REF!,T$1-2020,FALSE)+
S81*(VLOOKUP($H77&amp;";Volume",#REF!,T$1-2019,FALSE)-VLOOKUP($H77&amp;";TauxRenouvellement",#REF!,T$1-2020,FALSE)*VLOOKUP($H77&amp;";Volume",#REF!,T$1-2020,FALSE)))/
VLOOKUP($H77&amp;";Volume",#REF!,T$1-2019,FALSE)</f>
        <v>#REF!</v>
      </c>
      <c r="U81" t="e">
        <f>(6*VLOOKUP($H77&amp;";TauxRenouvellement",#REF!,U$1-2020,FALSE)*VLOOKUP($H77&amp;";Volume",#REF!,U$1-2020,FALSE)+
T81*(VLOOKUP($H77&amp;";Volume",#REF!,U$1-2019,FALSE)-VLOOKUP($H77&amp;";TauxRenouvellement",#REF!,U$1-2020,FALSE)*VLOOKUP($H77&amp;";Volume",#REF!,U$1-2020,FALSE)))/
VLOOKUP($H77&amp;";Volume",#REF!,U$1-2019,FALSE)</f>
        <v>#REF!</v>
      </c>
      <c r="V81" t="e">
        <f>(6*VLOOKUP($H77&amp;";TauxRenouvellement",#REF!,V$1-2020,FALSE)*VLOOKUP($H77&amp;";Volume",#REF!,V$1-2020,FALSE)+
U81*(VLOOKUP($H77&amp;";Volume",#REF!,V$1-2019,FALSE)-VLOOKUP($H77&amp;";TauxRenouvellement",#REF!,V$1-2020,FALSE)*VLOOKUP($H77&amp;";Volume",#REF!,V$1-2020,FALSE)))/
VLOOKUP($H77&amp;";Volume",#REF!,V$1-2019,FALSE)</f>
        <v>#REF!</v>
      </c>
      <c r="W81" t="e">
        <f>(6*VLOOKUP($H77&amp;";TauxRenouvellement",#REF!,W$1-2020,FALSE)*VLOOKUP($H77&amp;";Volume",#REF!,W$1-2020,FALSE)+
V81*(VLOOKUP($H77&amp;";Volume",#REF!,W$1-2019,FALSE)-VLOOKUP($H77&amp;";TauxRenouvellement",#REF!,W$1-2020,FALSE)*VLOOKUP($H77&amp;";Volume",#REF!,W$1-2020,FALSE)))/
VLOOKUP($H77&amp;";Volume",#REF!,W$1-2019,FALSE)</f>
        <v>#REF!</v>
      </c>
      <c r="X81" t="e">
        <f>(6*VLOOKUP($H77&amp;";TauxRenouvellement",#REF!,X$1-2020,FALSE)*VLOOKUP($H77&amp;";Volume",#REF!,X$1-2020,FALSE)+
W81*(VLOOKUP($H77&amp;";Volume",#REF!,X$1-2019,FALSE)-VLOOKUP($H77&amp;";TauxRenouvellement",#REF!,X$1-2020,FALSE)*VLOOKUP($H77&amp;";Volume",#REF!,X$1-2020,FALSE)))/
VLOOKUP($H77&amp;";Volume",#REF!,X$1-2019,FALSE)</f>
        <v>#REF!</v>
      </c>
      <c r="Y81" t="e">
        <f>(6*VLOOKUP($H77&amp;";TauxRenouvellement",#REF!,Y$1-2020,FALSE)*VLOOKUP($H77&amp;";Volume",#REF!,Y$1-2020,FALSE)+
X81*(VLOOKUP($H77&amp;";Volume",#REF!,Y$1-2019,FALSE)-VLOOKUP($H77&amp;";TauxRenouvellement",#REF!,Y$1-2020,FALSE)*VLOOKUP($H77&amp;";Volume",#REF!,Y$1-2020,FALSE)))/
VLOOKUP($H77&amp;";Volume",#REF!,Y$1-2019,FALSE)</f>
        <v>#REF!</v>
      </c>
      <c r="Z81" t="e">
        <f>(6*VLOOKUP($H77&amp;";TauxRenouvellement",#REF!,Z$1-2020,FALSE)*VLOOKUP($H77&amp;";Volume",#REF!,Z$1-2020,FALSE)+
Y81*(VLOOKUP($H77&amp;";Volume",#REF!,Z$1-2019,FALSE)-VLOOKUP($H77&amp;";TauxRenouvellement",#REF!,Z$1-2020,FALSE)*VLOOKUP($H77&amp;";Volume",#REF!,Z$1-2020,FALSE)))/
VLOOKUP($H77&amp;";Volume",#REF!,Z$1-2019,FALSE)</f>
        <v>#REF!</v>
      </c>
      <c r="AA81" t="e">
        <f>(6*VLOOKUP($H77&amp;";TauxRenouvellement",#REF!,AA$1-2020,FALSE)*VLOOKUP($H77&amp;";Volume",#REF!,AA$1-2020,FALSE)+
Z81*(VLOOKUP($H77&amp;";Volume",#REF!,AA$1-2019,FALSE)-VLOOKUP($H77&amp;";TauxRenouvellement",#REF!,AA$1-2020,FALSE)*VLOOKUP($H77&amp;";Volume",#REF!,AA$1-2020,FALSE)))/
VLOOKUP($H77&amp;";Volume",#REF!,AA$1-2019,FALSE)</f>
        <v>#REF!</v>
      </c>
      <c r="AB81" t="e">
        <f>(6*VLOOKUP($H77&amp;";TauxRenouvellement",#REF!,AB$1-2020,FALSE)*VLOOKUP($H77&amp;";Volume",#REF!,AB$1-2020,FALSE)+
AA81*(VLOOKUP($H77&amp;";Volume",#REF!,AB$1-2019,FALSE)-VLOOKUP($H77&amp;";TauxRenouvellement",#REF!,AB$1-2020,FALSE)*VLOOKUP($H77&amp;";Volume",#REF!,AB$1-2020,FALSE)))/
VLOOKUP($H77&amp;";Volume",#REF!,AB$1-2019,FALSE)</f>
        <v>#REF!</v>
      </c>
      <c r="AC81" t="e">
        <f>(6*VLOOKUP($H77&amp;";TauxRenouvellement",#REF!,AC$1-2020,FALSE)*VLOOKUP($H77&amp;";Volume",#REF!,AC$1-2020,FALSE)+
AB81*(VLOOKUP($H77&amp;";Volume",#REF!,AC$1-2019,FALSE)-VLOOKUP($H77&amp;";TauxRenouvellement",#REF!,AC$1-2020,FALSE)*VLOOKUP($H77&amp;";Volume",#REF!,AC$1-2020,FALSE)))/
VLOOKUP($H77&amp;";Volume",#REF!,AC$1-2019,FALSE)</f>
        <v>#REF!</v>
      </c>
      <c r="AD81" t="e">
        <f>(6*VLOOKUP($H77&amp;";TauxRenouvellement",#REF!,AD$1-2020,FALSE)*VLOOKUP($H77&amp;";Volume",#REF!,AD$1-2020,FALSE)+
AC81*(VLOOKUP($H77&amp;";Volume",#REF!,AD$1-2019,FALSE)-VLOOKUP($H77&amp;";TauxRenouvellement",#REF!,AD$1-2020,FALSE)*VLOOKUP($H77&amp;";Volume",#REF!,AD$1-2020,FALSE)))/
VLOOKUP($H77&amp;";Volume",#REF!,AD$1-2019,FALSE)</f>
        <v>#REF!</v>
      </c>
      <c r="AE81" t="e">
        <f>(6*VLOOKUP($H77&amp;";TauxRenouvellement",#REF!,AE$1-2020,FALSE)*VLOOKUP($H77&amp;";Volume",#REF!,AE$1-2020,FALSE)+
AD81*(VLOOKUP($H77&amp;";Volume",#REF!,AE$1-2019,FALSE)-VLOOKUP($H77&amp;";TauxRenouvellement",#REF!,AE$1-2020,FALSE)*VLOOKUP($H77&amp;";Volume",#REF!,AE$1-2020,FALSE)))/
VLOOKUP($H77&amp;";Volume",#REF!,AE$1-2019,FALSE)</f>
        <v>#REF!</v>
      </c>
      <c r="AF81" t="e">
        <f>(6*VLOOKUP($H77&amp;";TauxRenouvellement",#REF!,AF$1-2020,FALSE)*VLOOKUP($H77&amp;";Volume",#REF!,AF$1-2020,FALSE)+
AE81*(VLOOKUP($H77&amp;";Volume",#REF!,AF$1-2019,FALSE)-VLOOKUP($H77&amp;";TauxRenouvellement",#REF!,AF$1-2020,FALSE)*VLOOKUP($H77&amp;";Volume",#REF!,AF$1-2020,FALSE)))/
VLOOKUP($H77&amp;";Volume",#REF!,AF$1-2019,FALSE)</f>
        <v>#REF!</v>
      </c>
      <c r="AG81" t="e">
        <f>(6*VLOOKUP($H77&amp;";TauxRenouvellement",#REF!,AG$1-2020,FALSE)*VLOOKUP($H77&amp;";Volume",#REF!,AG$1-2020,FALSE)+
AF81*(VLOOKUP($H77&amp;";Volume",#REF!,AG$1-2019,FALSE)-VLOOKUP($H77&amp;";TauxRenouvellement",#REF!,AG$1-2020,FALSE)*VLOOKUP($H77&amp;";Volume",#REF!,AG$1-2020,FALSE)))/
VLOOKUP($H77&amp;";Volume",#REF!,AG$1-2019,FALSE)</f>
        <v>#REF!</v>
      </c>
      <c r="AH81" t="e">
        <f>(6*VLOOKUP($H77&amp;";TauxRenouvellement",#REF!,AH$1-2020,FALSE)*VLOOKUP($H77&amp;";Volume",#REF!,AH$1-2020,FALSE)+
AG81*(VLOOKUP($H77&amp;";Volume",#REF!,AH$1-2019,FALSE)-VLOOKUP($H77&amp;";TauxRenouvellement",#REF!,AH$1-2020,FALSE)*VLOOKUP($H77&amp;";Volume",#REF!,AH$1-2020,FALSE)))/
VLOOKUP($H77&amp;";Volume",#REF!,AH$1-2019,FALSE)</f>
        <v>#REF!</v>
      </c>
      <c r="AI81" t="e">
        <f>(6*VLOOKUP($H77&amp;";TauxRenouvellement",#REF!,AI$1-2020,FALSE)*VLOOKUP($H77&amp;";Volume",#REF!,AI$1-2020,FALSE)+
AH81*(VLOOKUP($H77&amp;";Volume",#REF!,AI$1-2019,FALSE)-VLOOKUP($H77&amp;";TauxRenouvellement",#REF!,AI$1-2020,FALSE)*VLOOKUP($H77&amp;";Volume",#REF!,AI$1-2020,FALSE)))/
VLOOKUP($H77&amp;";Volume",#REF!,AI$1-2019,FALSE)</f>
        <v>#REF!</v>
      </c>
      <c r="AJ81" t="e">
        <f>(6*VLOOKUP($H77&amp;";TauxRenouvellement",#REF!,AJ$1-2020,FALSE)*VLOOKUP($H77&amp;";Volume",#REF!,AJ$1-2020,FALSE)+
AI81*(VLOOKUP($H77&amp;";Volume",#REF!,AJ$1-2019,FALSE)-VLOOKUP($H77&amp;";TauxRenouvellement",#REF!,AJ$1-2020,FALSE)*VLOOKUP($H77&amp;";Volume",#REF!,AJ$1-2020,FALSE)))/
VLOOKUP($H77&amp;";Volume",#REF!,AJ$1-2019,FALSE)</f>
        <v>#REF!</v>
      </c>
      <c r="AK81" t="e">
        <f>(6*VLOOKUP($H77&amp;";TauxRenouvellement",#REF!,AK$1-2020,FALSE)*VLOOKUP($H77&amp;";Volume",#REF!,AK$1-2020,FALSE)+
AJ81*(VLOOKUP($H77&amp;";Volume",#REF!,AK$1-2019,FALSE)-VLOOKUP($H77&amp;";TauxRenouvellement",#REF!,AK$1-2020,FALSE)*VLOOKUP($H77&amp;";Volume",#REF!,AK$1-2020,FALSE)))/
VLOOKUP($H77&amp;";Volume",#REF!,AK$1-2019,FALSE)</f>
        <v>#REF!</v>
      </c>
      <c r="AL81" t="e">
        <f>(6*VLOOKUP($H77&amp;";TauxRenouvellement",#REF!,AL$1-2020,FALSE)*VLOOKUP($H77&amp;";Volume",#REF!,AL$1-2020,FALSE)+
AK81*(VLOOKUP($H77&amp;";Volume",#REF!,AL$1-2019,FALSE)-VLOOKUP($H77&amp;";TauxRenouvellement",#REF!,AL$1-2020,FALSE)*VLOOKUP($H77&amp;";Volume",#REF!,AL$1-2020,FALSE)))/
VLOOKUP($H77&amp;";Volume",#REF!,AL$1-2019,FALSE)</f>
        <v>#REF!</v>
      </c>
      <c r="AM81" t="e">
        <f>(6*VLOOKUP($H77&amp;";TauxRenouvellement",#REF!,AM$1-2020,FALSE)*VLOOKUP($H77&amp;";Volume",#REF!,AM$1-2020,FALSE)+
AL81*(VLOOKUP($H77&amp;";Volume",#REF!,AM$1-2019,FALSE)-VLOOKUP($H77&amp;";TauxRenouvellement",#REF!,AM$1-2020,FALSE)*VLOOKUP($H77&amp;";Volume",#REF!,AM$1-2020,FALSE)))/
VLOOKUP($H77&amp;";Volume",#REF!,AM$1-2019,FALSE)</f>
        <v>#REF!</v>
      </c>
      <c r="AN81" t="e">
        <f>(6*VLOOKUP($H77&amp;";TauxRenouvellement",#REF!,AN$1-2020,FALSE)*VLOOKUP($H77&amp;";Volume",#REF!,AN$1-2020,FALSE)+
AM81*(VLOOKUP($H77&amp;";Volume",#REF!,AN$1-2019,FALSE)-VLOOKUP($H77&amp;";TauxRenouvellement",#REF!,AN$1-2020,FALSE)*VLOOKUP($H77&amp;";Volume",#REF!,AN$1-2020,FALSE)))/
VLOOKUP($H77&amp;";Volume",#REF!,AN$1-2019,FALSE)</f>
        <v>#REF!</v>
      </c>
      <c r="AO81" t="e">
        <f>(6*VLOOKUP($H77&amp;";TauxRenouvellement",#REF!,AO$1-2020,FALSE)*VLOOKUP($H77&amp;";Volume",#REF!,AO$1-2020,FALSE)+
AN81*(VLOOKUP($H77&amp;";Volume",#REF!,AO$1-2019,FALSE)-VLOOKUP($H77&amp;";TauxRenouvellement",#REF!,AO$1-2020,FALSE)*VLOOKUP($H77&amp;";Volume",#REF!,AO$1-2020,FALSE)))/
VLOOKUP($H77&amp;";Volume",#REF!,AO$1-2019,FALSE)</f>
        <v>#REF!</v>
      </c>
      <c r="AP81" t="e">
        <f>(6*VLOOKUP($H77&amp;";TauxRenouvellement",#REF!,AP$1-2020,FALSE)*VLOOKUP($H77&amp;";Volume",#REF!,AP$1-2020,FALSE)+
AO81*(VLOOKUP($H77&amp;";Volume",#REF!,AP$1-2019,FALSE)-VLOOKUP($H77&amp;";TauxRenouvellement",#REF!,AP$1-2020,FALSE)*VLOOKUP($H77&amp;";Volume",#REF!,AP$1-2020,FALSE)))/
VLOOKUP($H77&amp;";Volume",#REF!,AP$1-2019,FALSE)</f>
        <v>#REF!</v>
      </c>
    </row>
    <row r="82" spans="1:42" outlineLevel="1" x14ac:dyDescent="0.25">
      <c r="A82" t="s">
        <v>76</v>
      </c>
      <c r="B82" s="2" t="s">
        <v>96</v>
      </c>
      <c r="C82" t="s">
        <v>84</v>
      </c>
      <c r="E82" t="str">
        <f>_xlfn.CONCAT("FretRout",LEFT(B82,3),RIGHT(B82,1),"CritAir")</f>
        <v>FretRoutCat8CritAir</v>
      </c>
      <c r="F82" t="s">
        <v>36</v>
      </c>
      <c r="G82">
        <v>1</v>
      </c>
      <c r="H82" s="2"/>
      <c r="I82">
        <v>3</v>
      </c>
      <c r="K82" s="4">
        <f t="shared" si="7"/>
        <v>3</v>
      </c>
      <c r="Q82" t="e">
        <v>#REF!</v>
      </c>
      <c r="R82" t="e">
        <f>(VLOOKUP($H77&amp;";TauxRenouvellement",#REF!,R$1-2020,FALSE)*VLOOKUP($H77&amp;";Volume",#REF!,R$1-2020,FALSE)+
Q82*(VLOOKUP($H77&amp;";Volume",#REF!,R$1-2019,FALSE)-VLOOKUP($H77&amp;";TauxRenouvellement",#REF!,R$1-2020,FALSE)*VLOOKUP($H77&amp;";Volume",#REF!,R$1-2020,FALSE)))/
VLOOKUP($H77&amp;";Volume",#REF!,R$1-2019,FALSE)</f>
        <v>#REF!</v>
      </c>
      <c r="S82" t="e">
        <f>(VLOOKUP($H77&amp;";TauxRenouvellement",#REF!,S$1-2020,FALSE)*VLOOKUP($H77&amp;";Volume",#REF!,S$1-2020,FALSE)+
R82*(VLOOKUP($H77&amp;";Volume",#REF!,S$1-2019,FALSE)-VLOOKUP($H77&amp;";TauxRenouvellement",#REF!,S$1-2020,FALSE)*VLOOKUP($H77&amp;";Volume",#REF!,S$1-2020,FALSE)))/
VLOOKUP($H77&amp;";Volume",#REF!,S$1-2019,FALSE)</f>
        <v>#REF!</v>
      </c>
      <c r="T82" t="e">
        <f>(VLOOKUP($H77&amp;";TauxRenouvellement",#REF!,T$1-2020,FALSE)*VLOOKUP($H77&amp;";Volume",#REF!,T$1-2020,FALSE)+
S82*(VLOOKUP($H77&amp;";Volume",#REF!,T$1-2019,FALSE)-VLOOKUP($H77&amp;";TauxRenouvellement",#REF!,T$1-2020,FALSE)*VLOOKUP($H77&amp;";Volume",#REF!,T$1-2020,FALSE)))/
VLOOKUP($H77&amp;";Volume",#REF!,T$1-2019,FALSE)</f>
        <v>#REF!</v>
      </c>
      <c r="U82" t="e">
        <f>(VLOOKUP($H77&amp;";TauxRenouvellement",#REF!,U$1-2020,FALSE)*VLOOKUP($H77&amp;";Volume",#REF!,U$1-2020,FALSE)+
T82*(VLOOKUP($H77&amp;";Volume",#REF!,U$1-2019,FALSE)-VLOOKUP($H77&amp;";TauxRenouvellement",#REF!,U$1-2020,FALSE)*VLOOKUP($H77&amp;";Volume",#REF!,U$1-2020,FALSE)))/
VLOOKUP($H77&amp;";Volume",#REF!,U$1-2019,FALSE)</f>
        <v>#REF!</v>
      </c>
      <c r="V82" t="e">
        <f>(VLOOKUP($H77&amp;";TauxRenouvellement",#REF!,V$1-2020,FALSE)*VLOOKUP($H77&amp;";Volume",#REF!,V$1-2020,FALSE)+
U82*(VLOOKUP($H77&amp;";Volume",#REF!,V$1-2019,FALSE)-VLOOKUP($H77&amp;";TauxRenouvellement",#REF!,V$1-2020,FALSE)*VLOOKUP($H77&amp;";Volume",#REF!,V$1-2020,FALSE)))/
VLOOKUP($H77&amp;";Volume",#REF!,V$1-2019,FALSE)</f>
        <v>#REF!</v>
      </c>
      <c r="W82" t="e">
        <f>(VLOOKUP($H77&amp;";TauxRenouvellement",#REF!,W$1-2020,FALSE)*VLOOKUP($H77&amp;";Volume",#REF!,W$1-2020,FALSE)+
V82*(VLOOKUP($H77&amp;";Volume",#REF!,W$1-2019,FALSE)-VLOOKUP($H77&amp;";TauxRenouvellement",#REF!,W$1-2020,FALSE)*VLOOKUP($H77&amp;";Volume",#REF!,W$1-2020,FALSE)))/
VLOOKUP($H77&amp;";Volume",#REF!,W$1-2019,FALSE)</f>
        <v>#REF!</v>
      </c>
      <c r="X82" t="e">
        <f>(VLOOKUP($H77&amp;";TauxRenouvellement",#REF!,X$1-2020,FALSE)*VLOOKUP($H77&amp;";Volume",#REF!,X$1-2020,FALSE)+
W82*(VLOOKUP($H77&amp;";Volume",#REF!,X$1-2019,FALSE)-VLOOKUP($H77&amp;";TauxRenouvellement",#REF!,X$1-2020,FALSE)*VLOOKUP($H77&amp;";Volume",#REF!,X$1-2020,FALSE)))/
VLOOKUP($H77&amp;";Volume",#REF!,X$1-2019,FALSE)</f>
        <v>#REF!</v>
      </c>
      <c r="Y82" t="e">
        <f>(VLOOKUP($H77&amp;";TauxRenouvellement",#REF!,Y$1-2020,FALSE)*VLOOKUP($H77&amp;";Volume",#REF!,Y$1-2020,FALSE)+
X82*(VLOOKUP($H77&amp;";Volume",#REF!,Y$1-2019,FALSE)-VLOOKUP($H77&amp;";TauxRenouvellement",#REF!,Y$1-2020,FALSE)*VLOOKUP($H77&amp;";Volume",#REF!,Y$1-2020,FALSE)))/
VLOOKUP($H77&amp;";Volume",#REF!,Y$1-2019,FALSE)</f>
        <v>#REF!</v>
      </c>
      <c r="Z82" t="e">
        <f>(VLOOKUP($H77&amp;";TauxRenouvellement",#REF!,Z$1-2020,FALSE)*VLOOKUP($H77&amp;";Volume",#REF!,Z$1-2020,FALSE)+
Y82*(VLOOKUP($H77&amp;";Volume",#REF!,Z$1-2019,FALSE)-VLOOKUP($H77&amp;";TauxRenouvellement",#REF!,Z$1-2020,FALSE)*VLOOKUP($H77&amp;";Volume",#REF!,Z$1-2020,FALSE)))/
VLOOKUP($H77&amp;";Volume",#REF!,Z$1-2019,FALSE)</f>
        <v>#REF!</v>
      </c>
      <c r="AA82" t="e">
        <f>(VLOOKUP($H77&amp;";TauxRenouvellement",#REF!,AA$1-2020,FALSE)*VLOOKUP($H77&amp;";Volume",#REF!,AA$1-2020,FALSE)+
Z82*(VLOOKUP($H77&amp;";Volume",#REF!,AA$1-2019,FALSE)-VLOOKUP($H77&amp;";TauxRenouvellement",#REF!,AA$1-2020,FALSE)*VLOOKUP($H77&amp;";Volume",#REF!,AA$1-2020,FALSE)))/
VLOOKUP($H77&amp;";Volume",#REF!,AA$1-2019,FALSE)</f>
        <v>#REF!</v>
      </c>
      <c r="AB82" t="e">
        <f>(VLOOKUP($H77&amp;";TauxRenouvellement",#REF!,AB$1-2020,FALSE)*VLOOKUP($H77&amp;";Volume",#REF!,AB$1-2020,FALSE)+
AA82*(VLOOKUP($H77&amp;";Volume",#REF!,AB$1-2019,FALSE)-VLOOKUP($H77&amp;";TauxRenouvellement",#REF!,AB$1-2020,FALSE)*VLOOKUP($H77&amp;";Volume",#REF!,AB$1-2020,FALSE)))/
VLOOKUP($H77&amp;";Volume",#REF!,AB$1-2019,FALSE)</f>
        <v>#REF!</v>
      </c>
      <c r="AC82" t="e">
        <f>(VLOOKUP($H77&amp;";TauxRenouvellement",#REF!,AC$1-2020,FALSE)*VLOOKUP($H77&amp;";Volume",#REF!,AC$1-2020,FALSE)+
AB82*(VLOOKUP($H77&amp;";Volume",#REF!,AC$1-2019,FALSE)-VLOOKUP($H77&amp;";TauxRenouvellement",#REF!,AC$1-2020,FALSE)*VLOOKUP($H77&amp;";Volume",#REF!,AC$1-2020,FALSE)))/
VLOOKUP($H77&amp;";Volume",#REF!,AC$1-2019,FALSE)</f>
        <v>#REF!</v>
      </c>
      <c r="AD82" t="e">
        <f>(VLOOKUP($H77&amp;";TauxRenouvellement",#REF!,AD$1-2020,FALSE)*VLOOKUP($H77&amp;";Volume",#REF!,AD$1-2020,FALSE)+
AC82*(VLOOKUP($H77&amp;";Volume",#REF!,AD$1-2019,FALSE)-VLOOKUP($H77&amp;";TauxRenouvellement",#REF!,AD$1-2020,FALSE)*VLOOKUP($H77&amp;";Volume",#REF!,AD$1-2020,FALSE)))/
VLOOKUP($H77&amp;";Volume",#REF!,AD$1-2019,FALSE)</f>
        <v>#REF!</v>
      </c>
      <c r="AE82" t="e">
        <f>(VLOOKUP($H77&amp;";TauxRenouvellement",#REF!,AE$1-2020,FALSE)*VLOOKUP($H77&amp;";Volume",#REF!,AE$1-2020,FALSE)+
AD82*(VLOOKUP($H77&amp;";Volume",#REF!,AE$1-2019,FALSE)-VLOOKUP($H77&amp;";TauxRenouvellement",#REF!,AE$1-2020,FALSE)*VLOOKUP($H77&amp;";Volume",#REF!,AE$1-2020,FALSE)))/
VLOOKUP($H77&amp;";Volume",#REF!,AE$1-2019,FALSE)</f>
        <v>#REF!</v>
      </c>
      <c r="AF82" t="e">
        <f>(VLOOKUP($H77&amp;";TauxRenouvellement",#REF!,AF$1-2020,FALSE)*VLOOKUP($H77&amp;";Volume",#REF!,AF$1-2020,FALSE)+
AE82*(VLOOKUP($H77&amp;";Volume",#REF!,AF$1-2019,FALSE)-VLOOKUP($H77&amp;";TauxRenouvellement",#REF!,AF$1-2020,FALSE)*VLOOKUP($H77&amp;";Volume",#REF!,AF$1-2020,FALSE)))/
VLOOKUP($H77&amp;";Volume",#REF!,AF$1-2019,FALSE)</f>
        <v>#REF!</v>
      </c>
      <c r="AG82" t="e">
        <f>(VLOOKUP($H77&amp;";TauxRenouvellement",#REF!,AG$1-2020,FALSE)*VLOOKUP($H77&amp;";Volume",#REF!,AG$1-2020,FALSE)+
AF82*(VLOOKUP($H77&amp;";Volume",#REF!,AG$1-2019,FALSE)-VLOOKUP($H77&amp;";TauxRenouvellement",#REF!,AG$1-2020,FALSE)*VLOOKUP($H77&amp;";Volume",#REF!,AG$1-2020,FALSE)))/
VLOOKUP($H77&amp;";Volume",#REF!,AG$1-2019,FALSE)</f>
        <v>#REF!</v>
      </c>
      <c r="AH82" t="e">
        <f>(VLOOKUP($H77&amp;";TauxRenouvellement",#REF!,AH$1-2020,FALSE)*VLOOKUP($H77&amp;";Volume",#REF!,AH$1-2020,FALSE)+
AG82*(VLOOKUP($H77&amp;";Volume",#REF!,AH$1-2019,FALSE)-VLOOKUP($H77&amp;";TauxRenouvellement",#REF!,AH$1-2020,FALSE)*VLOOKUP($H77&amp;";Volume",#REF!,AH$1-2020,FALSE)))/
VLOOKUP($H77&amp;";Volume",#REF!,AH$1-2019,FALSE)</f>
        <v>#REF!</v>
      </c>
      <c r="AI82" t="e">
        <f>(VLOOKUP($H77&amp;";TauxRenouvellement",#REF!,AI$1-2020,FALSE)*VLOOKUP($H77&amp;";Volume",#REF!,AI$1-2020,FALSE)+
AH82*(VLOOKUP($H77&amp;";Volume",#REF!,AI$1-2019,FALSE)-VLOOKUP($H77&amp;";TauxRenouvellement",#REF!,AI$1-2020,FALSE)*VLOOKUP($H77&amp;";Volume",#REF!,AI$1-2020,FALSE)))/
VLOOKUP($H77&amp;";Volume",#REF!,AI$1-2019,FALSE)</f>
        <v>#REF!</v>
      </c>
      <c r="AJ82" t="e">
        <f>(VLOOKUP($H77&amp;";TauxRenouvellement",#REF!,AJ$1-2020,FALSE)*VLOOKUP($H77&amp;";Volume",#REF!,AJ$1-2020,FALSE)+
AI82*(VLOOKUP($H77&amp;";Volume",#REF!,AJ$1-2019,FALSE)-VLOOKUP($H77&amp;";TauxRenouvellement",#REF!,AJ$1-2020,FALSE)*VLOOKUP($H77&amp;";Volume",#REF!,AJ$1-2020,FALSE)))/
VLOOKUP($H77&amp;";Volume",#REF!,AJ$1-2019,FALSE)</f>
        <v>#REF!</v>
      </c>
      <c r="AK82" t="e">
        <f>(VLOOKUP($H77&amp;";TauxRenouvellement",#REF!,AK$1-2020,FALSE)*VLOOKUP($H77&amp;";Volume",#REF!,AK$1-2020,FALSE)+
AJ82*(VLOOKUP($H77&amp;";Volume",#REF!,AK$1-2019,FALSE)-VLOOKUP($H77&amp;";TauxRenouvellement",#REF!,AK$1-2020,FALSE)*VLOOKUP($H77&amp;";Volume",#REF!,AK$1-2020,FALSE)))/
VLOOKUP($H77&amp;";Volume",#REF!,AK$1-2019,FALSE)</f>
        <v>#REF!</v>
      </c>
      <c r="AL82" t="e">
        <f>(VLOOKUP($H77&amp;";TauxRenouvellement",#REF!,AL$1-2020,FALSE)*VLOOKUP($H77&amp;";Volume",#REF!,AL$1-2020,FALSE)+
AK82*(VLOOKUP($H77&amp;";Volume",#REF!,AL$1-2019,FALSE)-VLOOKUP($H77&amp;";TauxRenouvellement",#REF!,AL$1-2020,FALSE)*VLOOKUP($H77&amp;";Volume",#REF!,AL$1-2020,FALSE)))/
VLOOKUP($H77&amp;";Volume",#REF!,AL$1-2019,FALSE)</f>
        <v>#REF!</v>
      </c>
      <c r="AM82" t="e">
        <f>(VLOOKUP($H77&amp;";TauxRenouvellement",#REF!,AM$1-2020,FALSE)*VLOOKUP($H77&amp;";Volume",#REF!,AM$1-2020,FALSE)+
AL82*(VLOOKUP($H77&amp;";Volume",#REF!,AM$1-2019,FALSE)-VLOOKUP($H77&amp;";TauxRenouvellement",#REF!,AM$1-2020,FALSE)*VLOOKUP($H77&amp;";Volume",#REF!,AM$1-2020,FALSE)))/
VLOOKUP($H77&amp;";Volume",#REF!,AM$1-2019,FALSE)</f>
        <v>#REF!</v>
      </c>
      <c r="AN82" t="e">
        <f>(VLOOKUP($H77&amp;";TauxRenouvellement",#REF!,AN$1-2020,FALSE)*VLOOKUP($H77&amp;";Volume",#REF!,AN$1-2020,FALSE)+
AM82*(VLOOKUP($H77&amp;";Volume",#REF!,AN$1-2019,FALSE)-VLOOKUP($H77&amp;";TauxRenouvellement",#REF!,AN$1-2020,FALSE)*VLOOKUP($H77&amp;";Volume",#REF!,AN$1-2020,FALSE)))/
VLOOKUP($H77&amp;";Volume",#REF!,AN$1-2019,FALSE)</f>
        <v>#REF!</v>
      </c>
      <c r="AO82" t="e">
        <f>(VLOOKUP($H77&amp;";TauxRenouvellement",#REF!,AO$1-2020,FALSE)*VLOOKUP($H77&amp;";Volume",#REF!,AO$1-2020,FALSE)+
AN82*(VLOOKUP($H77&amp;";Volume",#REF!,AO$1-2019,FALSE)-VLOOKUP($H77&amp;";TauxRenouvellement",#REF!,AO$1-2020,FALSE)*VLOOKUP($H77&amp;";Volume",#REF!,AO$1-2020,FALSE)))/
VLOOKUP($H77&amp;";Volume",#REF!,AO$1-2019,FALSE)</f>
        <v>#REF!</v>
      </c>
      <c r="AP82" t="e">
        <f>(VLOOKUP($H77&amp;";TauxRenouvellement",#REF!,AP$1-2020,FALSE)*VLOOKUP($H77&amp;";Volume",#REF!,AP$1-2020,FALSE)+
AO82*(VLOOKUP($H77&amp;";Volume",#REF!,AP$1-2019,FALSE)-VLOOKUP($H77&amp;";TauxRenouvellement",#REF!,AP$1-2020,FALSE)*VLOOKUP($H77&amp;";Volume",#REF!,AP$1-2020,FALSE)))/
VLOOKUP($H77&amp;";Volume",#REF!,AP$1-2019,FALSE)</f>
        <v>#REF!</v>
      </c>
    </row>
    <row r="83" spans="1:42" outlineLevel="1" x14ac:dyDescent="0.25">
      <c r="A83" t="s">
        <v>76</v>
      </c>
      <c r="B83" s="2" t="s">
        <v>96</v>
      </c>
      <c r="C83" t="s">
        <v>85</v>
      </c>
      <c r="E83" t="str">
        <f>_xlfn.CONCAT("FretRout",LEFT(B83,3),RIGHT(B83,1),"Nb")</f>
        <v>FretRoutCat8Nb</v>
      </c>
      <c r="F83" t="s">
        <v>17</v>
      </c>
      <c r="G83">
        <v>1</v>
      </c>
      <c r="J83" t="s">
        <v>86</v>
      </c>
      <c r="K83">
        <v>0</v>
      </c>
    </row>
    <row r="84" spans="1:42" outlineLevel="1" x14ac:dyDescent="0.25">
      <c r="A84" t="s">
        <v>76</v>
      </c>
      <c r="B84" s="2" t="s">
        <v>96</v>
      </c>
      <c r="C84" t="s">
        <v>87</v>
      </c>
      <c r="E84" t="str">
        <f>_xlfn.CONCAT("FretRout",LEFT(B84,3),RIGHT(B84,1),"Dist")</f>
        <v>FretRoutCat8Dist</v>
      </c>
      <c r="F84" t="s">
        <v>17</v>
      </c>
      <c r="G84">
        <v>1</v>
      </c>
      <c r="H84" s="2"/>
      <c r="J84" t="s">
        <v>88</v>
      </c>
      <c r="K84">
        <v>11201</v>
      </c>
    </row>
    <row r="85" spans="1:42" outlineLevel="1" x14ac:dyDescent="0.25">
      <c r="A85" t="s">
        <v>76</v>
      </c>
      <c r="B85" s="2" t="s">
        <v>96</v>
      </c>
      <c r="C85" s="2" t="s">
        <v>89</v>
      </c>
      <c r="E85" t="str">
        <f>_xlfn.CONCAT("FretRout",LEFT(B85,3),RIGHT(B85,1),"Rempl")</f>
        <v>FretRoutCat8Rempl</v>
      </c>
      <c r="F85" t="s">
        <v>17</v>
      </c>
      <c r="G85">
        <v>1</v>
      </c>
      <c r="H85" s="3"/>
      <c r="J85" t="s">
        <v>70</v>
      </c>
      <c r="K85">
        <v>0</v>
      </c>
    </row>
    <row r="86" spans="1:42" outlineLevel="1" x14ac:dyDescent="0.25">
      <c r="A86" t="s">
        <v>76</v>
      </c>
      <c r="B86" s="2" t="s">
        <v>97</v>
      </c>
      <c r="C86" t="s">
        <v>78</v>
      </c>
      <c r="E86" t="str">
        <f>_xlfn.CONCAT("FretRout",LEFT(B86,3),RIGHT(B86,1),"Nom")</f>
        <v>FretRoutCat9Nom</v>
      </c>
      <c r="F86" t="s">
        <v>20</v>
      </c>
      <c r="G86">
        <v>1</v>
      </c>
      <c r="H86" s="4"/>
      <c r="I86" s="4" t="s">
        <v>394</v>
      </c>
      <c r="K86" s="4" t="str">
        <f t="shared" ref="K86:K92" si="8">I86</f>
        <v>VUL Gaz (GNC) (Crit'Air 1)</v>
      </c>
    </row>
    <row r="87" spans="1:42" outlineLevel="1" x14ac:dyDescent="0.25">
      <c r="A87" t="s">
        <v>76</v>
      </c>
      <c r="B87" s="2" t="s">
        <v>97</v>
      </c>
      <c r="C87" t="s">
        <v>79</v>
      </c>
      <c r="E87" t="str">
        <f>_xlfn.CONCAT("FretRout",LEFT(B87,3),RIGHT(B87,1),"Type")</f>
        <v>FretRoutCat9Type</v>
      </c>
      <c r="F87" t="s">
        <v>20</v>
      </c>
      <c r="G87">
        <v>1</v>
      </c>
      <c r="I87" t="s">
        <v>1770</v>
      </c>
      <c r="K87" s="4" t="str">
        <f t="shared" si="8"/>
        <v>VUL</v>
      </c>
    </row>
    <row r="88" spans="1:42" outlineLevel="1" x14ac:dyDescent="0.25">
      <c r="A88" t="s">
        <v>76</v>
      </c>
      <c r="B88" s="2" t="s">
        <v>97</v>
      </c>
      <c r="C88" t="s">
        <v>80</v>
      </c>
      <c r="E88" t="str">
        <f>_xlfn.CONCAT("FretRout",LEFT(B88,3),RIGHT(B88,1),"PTAC")</f>
        <v>FretRoutCat9PTAC</v>
      </c>
      <c r="F88" t="s">
        <v>36</v>
      </c>
      <c r="G88">
        <v>1</v>
      </c>
      <c r="I88" t="s">
        <v>1451</v>
      </c>
      <c r="K88" s="4" t="str">
        <f t="shared" si="8"/>
        <v>&lt;=3,5t</v>
      </c>
    </row>
    <row r="89" spans="1:42" outlineLevel="1" x14ac:dyDescent="0.25">
      <c r="A89" t="s">
        <v>76</v>
      </c>
      <c r="B89" s="2" t="s">
        <v>97</v>
      </c>
      <c r="C89" t="s">
        <v>81</v>
      </c>
      <c r="E89" t="str">
        <f>_xlfn.CONCAT("FretRout",LEFT(B89,3),RIGHT(B89,1),"Mot")</f>
        <v>FretRoutCat9Mot</v>
      </c>
      <c r="F89" t="s">
        <v>36</v>
      </c>
      <c r="G89">
        <v>1</v>
      </c>
      <c r="H89" s="2"/>
      <c r="I89" t="s">
        <v>1456</v>
      </c>
      <c r="K89" s="4" t="str">
        <f t="shared" si="8"/>
        <v>Gaz (GNC)</v>
      </c>
    </row>
    <row r="90" spans="1:42" outlineLevel="1" x14ac:dyDescent="0.25">
      <c r="A90" t="s">
        <v>76</v>
      </c>
      <c r="B90" s="2" t="s">
        <v>97</v>
      </c>
      <c r="C90" t="s">
        <v>82</v>
      </c>
      <c r="E90" t="str">
        <f>_xlfn.CONCAT("FretRout",LEFT(B90,3),RIGHT(B90,1),"Carb")</f>
        <v>FretRoutCat9Carb</v>
      </c>
      <c r="F90" t="s">
        <v>36</v>
      </c>
      <c r="G90">
        <v>1</v>
      </c>
      <c r="I90">
        <v>0</v>
      </c>
      <c r="K90" s="4">
        <f t="shared" si="8"/>
        <v>0</v>
      </c>
    </row>
    <row r="91" spans="1:42" outlineLevel="1" x14ac:dyDescent="0.25">
      <c r="A91" t="s">
        <v>76</v>
      </c>
      <c r="B91" s="2" t="s">
        <v>97</v>
      </c>
      <c r="C91" t="s">
        <v>83</v>
      </c>
      <c r="E91" t="str">
        <f>_xlfn.CONCAT("FretRout",LEFT(B91,3),RIGHT(B91,1),"Euro")</f>
        <v>FretRoutCat9Euro</v>
      </c>
      <c r="F91" t="s">
        <v>36</v>
      </c>
      <c r="G91">
        <v>1</v>
      </c>
      <c r="I91">
        <v>0</v>
      </c>
      <c r="K91" s="4">
        <f t="shared" si="8"/>
        <v>0</v>
      </c>
      <c r="Q91" t="e">
        <v>#REF!</v>
      </c>
      <c r="R91" t="e">
        <f>(6*VLOOKUP($H87&amp;";TauxRenouvellement",#REF!,R$1-2020,FALSE)*VLOOKUP($H87&amp;";Volume",#REF!,R$1-2020,FALSE)+
Q91*(VLOOKUP($H87&amp;";Volume",#REF!,R$1-2019,FALSE)-VLOOKUP($H87&amp;";TauxRenouvellement",#REF!,R$1-2020,FALSE)*VLOOKUP($H87&amp;";Volume",#REF!,R$1-2020,FALSE)))/
VLOOKUP($H87&amp;";Volume",#REF!,R$1-2019,FALSE)</f>
        <v>#REF!</v>
      </c>
      <c r="S91" t="e">
        <f>(6*VLOOKUP($H87&amp;";TauxRenouvellement",#REF!,S$1-2020,FALSE)*VLOOKUP($H87&amp;";Volume",#REF!,S$1-2020,FALSE)+
R91*(VLOOKUP($H87&amp;";Volume",#REF!,S$1-2019,FALSE)-VLOOKUP($H87&amp;";TauxRenouvellement",#REF!,S$1-2020,FALSE)*VLOOKUP($H87&amp;";Volume",#REF!,S$1-2020,FALSE)))/
VLOOKUP($H87&amp;";Volume",#REF!,S$1-2019,FALSE)</f>
        <v>#REF!</v>
      </c>
      <c r="T91" t="e">
        <f>(6*VLOOKUP($H87&amp;";TauxRenouvellement",#REF!,T$1-2020,FALSE)*VLOOKUP($H87&amp;";Volume",#REF!,T$1-2020,FALSE)+
S91*(VLOOKUP($H87&amp;";Volume",#REF!,T$1-2019,FALSE)-VLOOKUP($H87&amp;";TauxRenouvellement",#REF!,T$1-2020,FALSE)*VLOOKUP($H87&amp;";Volume",#REF!,T$1-2020,FALSE)))/
VLOOKUP($H87&amp;";Volume",#REF!,T$1-2019,FALSE)</f>
        <v>#REF!</v>
      </c>
      <c r="U91" t="e">
        <f>(6*VLOOKUP($H87&amp;";TauxRenouvellement",#REF!,U$1-2020,FALSE)*VLOOKUP($H87&amp;";Volume",#REF!,U$1-2020,FALSE)+
T91*(VLOOKUP($H87&amp;";Volume",#REF!,U$1-2019,FALSE)-VLOOKUP($H87&amp;";TauxRenouvellement",#REF!,U$1-2020,FALSE)*VLOOKUP($H87&amp;";Volume",#REF!,U$1-2020,FALSE)))/
VLOOKUP($H87&amp;";Volume",#REF!,U$1-2019,FALSE)</f>
        <v>#REF!</v>
      </c>
      <c r="V91" t="e">
        <f>(6*VLOOKUP($H87&amp;";TauxRenouvellement",#REF!,V$1-2020,FALSE)*VLOOKUP($H87&amp;";Volume",#REF!,V$1-2020,FALSE)+
U91*(VLOOKUP($H87&amp;";Volume",#REF!,V$1-2019,FALSE)-VLOOKUP($H87&amp;";TauxRenouvellement",#REF!,V$1-2020,FALSE)*VLOOKUP($H87&amp;";Volume",#REF!,V$1-2020,FALSE)))/
VLOOKUP($H87&amp;";Volume",#REF!,V$1-2019,FALSE)</f>
        <v>#REF!</v>
      </c>
      <c r="W91" t="e">
        <f>(6*VLOOKUP($H87&amp;";TauxRenouvellement",#REF!,W$1-2020,FALSE)*VLOOKUP($H87&amp;";Volume",#REF!,W$1-2020,FALSE)+
V91*(VLOOKUP($H87&amp;";Volume",#REF!,W$1-2019,FALSE)-VLOOKUP($H87&amp;";TauxRenouvellement",#REF!,W$1-2020,FALSE)*VLOOKUP($H87&amp;";Volume",#REF!,W$1-2020,FALSE)))/
VLOOKUP($H87&amp;";Volume",#REF!,W$1-2019,FALSE)</f>
        <v>#REF!</v>
      </c>
      <c r="X91" t="e">
        <f>(6*VLOOKUP($H87&amp;";TauxRenouvellement",#REF!,X$1-2020,FALSE)*VLOOKUP($H87&amp;";Volume",#REF!,X$1-2020,FALSE)+
W91*(VLOOKUP($H87&amp;";Volume",#REF!,X$1-2019,FALSE)-VLOOKUP($H87&amp;";TauxRenouvellement",#REF!,X$1-2020,FALSE)*VLOOKUP($H87&amp;";Volume",#REF!,X$1-2020,FALSE)))/
VLOOKUP($H87&amp;";Volume",#REF!,X$1-2019,FALSE)</f>
        <v>#REF!</v>
      </c>
      <c r="Y91" t="e">
        <f>(6*VLOOKUP($H87&amp;";TauxRenouvellement",#REF!,Y$1-2020,FALSE)*VLOOKUP($H87&amp;";Volume",#REF!,Y$1-2020,FALSE)+
X91*(VLOOKUP($H87&amp;";Volume",#REF!,Y$1-2019,FALSE)-VLOOKUP($H87&amp;";TauxRenouvellement",#REF!,Y$1-2020,FALSE)*VLOOKUP($H87&amp;";Volume",#REF!,Y$1-2020,FALSE)))/
VLOOKUP($H87&amp;";Volume",#REF!,Y$1-2019,FALSE)</f>
        <v>#REF!</v>
      </c>
      <c r="Z91" t="e">
        <f>(6*VLOOKUP($H87&amp;";TauxRenouvellement",#REF!,Z$1-2020,FALSE)*VLOOKUP($H87&amp;";Volume",#REF!,Z$1-2020,FALSE)+
Y91*(VLOOKUP($H87&amp;";Volume",#REF!,Z$1-2019,FALSE)-VLOOKUP($H87&amp;";TauxRenouvellement",#REF!,Z$1-2020,FALSE)*VLOOKUP($H87&amp;";Volume",#REF!,Z$1-2020,FALSE)))/
VLOOKUP($H87&amp;";Volume",#REF!,Z$1-2019,FALSE)</f>
        <v>#REF!</v>
      </c>
      <c r="AA91" t="e">
        <f>(6*VLOOKUP($H87&amp;";TauxRenouvellement",#REF!,AA$1-2020,FALSE)*VLOOKUP($H87&amp;";Volume",#REF!,AA$1-2020,FALSE)+
Z91*(VLOOKUP($H87&amp;";Volume",#REF!,AA$1-2019,FALSE)-VLOOKUP($H87&amp;";TauxRenouvellement",#REF!,AA$1-2020,FALSE)*VLOOKUP($H87&amp;";Volume",#REF!,AA$1-2020,FALSE)))/
VLOOKUP($H87&amp;";Volume",#REF!,AA$1-2019,FALSE)</f>
        <v>#REF!</v>
      </c>
      <c r="AB91" t="e">
        <f>(6*VLOOKUP($H87&amp;";TauxRenouvellement",#REF!,AB$1-2020,FALSE)*VLOOKUP($H87&amp;";Volume",#REF!,AB$1-2020,FALSE)+
AA91*(VLOOKUP($H87&amp;";Volume",#REF!,AB$1-2019,FALSE)-VLOOKUP($H87&amp;";TauxRenouvellement",#REF!,AB$1-2020,FALSE)*VLOOKUP($H87&amp;";Volume",#REF!,AB$1-2020,FALSE)))/
VLOOKUP($H87&amp;";Volume",#REF!,AB$1-2019,FALSE)</f>
        <v>#REF!</v>
      </c>
      <c r="AC91" t="e">
        <f>(6*VLOOKUP($H87&amp;";TauxRenouvellement",#REF!,AC$1-2020,FALSE)*VLOOKUP($H87&amp;";Volume",#REF!,AC$1-2020,FALSE)+
AB91*(VLOOKUP($H87&amp;";Volume",#REF!,AC$1-2019,FALSE)-VLOOKUP($H87&amp;";TauxRenouvellement",#REF!,AC$1-2020,FALSE)*VLOOKUP($H87&amp;";Volume",#REF!,AC$1-2020,FALSE)))/
VLOOKUP($H87&amp;";Volume",#REF!,AC$1-2019,FALSE)</f>
        <v>#REF!</v>
      </c>
      <c r="AD91" t="e">
        <f>(6*VLOOKUP($H87&amp;";TauxRenouvellement",#REF!,AD$1-2020,FALSE)*VLOOKUP($H87&amp;";Volume",#REF!,AD$1-2020,FALSE)+
AC91*(VLOOKUP($H87&amp;";Volume",#REF!,AD$1-2019,FALSE)-VLOOKUP($H87&amp;";TauxRenouvellement",#REF!,AD$1-2020,FALSE)*VLOOKUP($H87&amp;";Volume",#REF!,AD$1-2020,FALSE)))/
VLOOKUP($H87&amp;";Volume",#REF!,AD$1-2019,FALSE)</f>
        <v>#REF!</v>
      </c>
      <c r="AE91" t="e">
        <f>(6*VLOOKUP($H87&amp;";TauxRenouvellement",#REF!,AE$1-2020,FALSE)*VLOOKUP($H87&amp;";Volume",#REF!,AE$1-2020,FALSE)+
AD91*(VLOOKUP($H87&amp;";Volume",#REF!,AE$1-2019,FALSE)-VLOOKUP($H87&amp;";TauxRenouvellement",#REF!,AE$1-2020,FALSE)*VLOOKUP($H87&amp;";Volume",#REF!,AE$1-2020,FALSE)))/
VLOOKUP($H87&amp;";Volume",#REF!,AE$1-2019,FALSE)</f>
        <v>#REF!</v>
      </c>
      <c r="AF91" t="e">
        <f>(6*VLOOKUP($H87&amp;";TauxRenouvellement",#REF!,AF$1-2020,FALSE)*VLOOKUP($H87&amp;";Volume",#REF!,AF$1-2020,FALSE)+
AE91*(VLOOKUP($H87&amp;";Volume",#REF!,AF$1-2019,FALSE)-VLOOKUP($H87&amp;";TauxRenouvellement",#REF!,AF$1-2020,FALSE)*VLOOKUP($H87&amp;";Volume",#REF!,AF$1-2020,FALSE)))/
VLOOKUP($H87&amp;";Volume",#REF!,AF$1-2019,FALSE)</f>
        <v>#REF!</v>
      </c>
      <c r="AG91" t="e">
        <f>(6*VLOOKUP($H87&amp;";TauxRenouvellement",#REF!,AG$1-2020,FALSE)*VLOOKUP($H87&amp;";Volume",#REF!,AG$1-2020,FALSE)+
AF91*(VLOOKUP($H87&amp;";Volume",#REF!,AG$1-2019,FALSE)-VLOOKUP($H87&amp;";TauxRenouvellement",#REF!,AG$1-2020,FALSE)*VLOOKUP($H87&amp;";Volume",#REF!,AG$1-2020,FALSE)))/
VLOOKUP($H87&amp;";Volume",#REF!,AG$1-2019,FALSE)</f>
        <v>#REF!</v>
      </c>
      <c r="AH91" t="e">
        <f>(6*VLOOKUP($H87&amp;";TauxRenouvellement",#REF!,AH$1-2020,FALSE)*VLOOKUP($H87&amp;";Volume",#REF!,AH$1-2020,FALSE)+
AG91*(VLOOKUP($H87&amp;";Volume",#REF!,AH$1-2019,FALSE)-VLOOKUP($H87&amp;";TauxRenouvellement",#REF!,AH$1-2020,FALSE)*VLOOKUP($H87&amp;";Volume",#REF!,AH$1-2020,FALSE)))/
VLOOKUP($H87&amp;";Volume",#REF!,AH$1-2019,FALSE)</f>
        <v>#REF!</v>
      </c>
      <c r="AI91" t="e">
        <f>(6*VLOOKUP($H87&amp;";TauxRenouvellement",#REF!,AI$1-2020,FALSE)*VLOOKUP($H87&amp;";Volume",#REF!,AI$1-2020,FALSE)+
AH91*(VLOOKUP($H87&amp;";Volume",#REF!,AI$1-2019,FALSE)-VLOOKUP($H87&amp;";TauxRenouvellement",#REF!,AI$1-2020,FALSE)*VLOOKUP($H87&amp;";Volume",#REF!,AI$1-2020,FALSE)))/
VLOOKUP($H87&amp;";Volume",#REF!,AI$1-2019,FALSE)</f>
        <v>#REF!</v>
      </c>
      <c r="AJ91" t="e">
        <f>(6*VLOOKUP($H87&amp;";TauxRenouvellement",#REF!,AJ$1-2020,FALSE)*VLOOKUP($H87&amp;";Volume",#REF!,AJ$1-2020,FALSE)+
AI91*(VLOOKUP($H87&amp;";Volume",#REF!,AJ$1-2019,FALSE)-VLOOKUP($H87&amp;";TauxRenouvellement",#REF!,AJ$1-2020,FALSE)*VLOOKUP($H87&amp;";Volume",#REF!,AJ$1-2020,FALSE)))/
VLOOKUP($H87&amp;";Volume",#REF!,AJ$1-2019,FALSE)</f>
        <v>#REF!</v>
      </c>
      <c r="AK91" t="e">
        <f>(6*VLOOKUP($H87&amp;";TauxRenouvellement",#REF!,AK$1-2020,FALSE)*VLOOKUP($H87&amp;";Volume",#REF!,AK$1-2020,FALSE)+
AJ91*(VLOOKUP($H87&amp;";Volume",#REF!,AK$1-2019,FALSE)-VLOOKUP($H87&amp;";TauxRenouvellement",#REF!,AK$1-2020,FALSE)*VLOOKUP($H87&amp;";Volume",#REF!,AK$1-2020,FALSE)))/
VLOOKUP($H87&amp;";Volume",#REF!,AK$1-2019,FALSE)</f>
        <v>#REF!</v>
      </c>
      <c r="AL91" t="e">
        <f>(6*VLOOKUP($H87&amp;";TauxRenouvellement",#REF!,AL$1-2020,FALSE)*VLOOKUP($H87&amp;";Volume",#REF!,AL$1-2020,FALSE)+
AK91*(VLOOKUP($H87&amp;";Volume",#REF!,AL$1-2019,FALSE)-VLOOKUP($H87&amp;";TauxRenouvellement",#REF!,AL$1-2020,FALSE)*VLOOKUP($H87&amp;";Volume",#REF!,AL$1-2020,FALSE)))/
VLOOKUP($H87&amp;";Volume",#REF!,AL$1-2019,FALSE)</f>
        <v>#REF!</v>
      </c>
      <c r="AM91" t="e">
        <f>(6*VLOOKUP($H87&amp;";TauxRenouvellement",#REF!,AM$1-2020,FALSE)*VLOOKUP($H87&amp;";Volume",#REF!,AM$1-2020,FALSE)+
AL91*(VLOOKUP($H87&amp;";Volume",#REF!,AM$1-2019,FALSE)-VLOOKUP($H87&amp;";TauxRenouvellement",#REF!,AM$1-2020,FALSE)*VLOOKUP($H87&amp;";Volume",#REF!,AM$1-2020,FALSE)))/
VLOOKUP($H87&amp;";Volume",#REF!,AM$1-2019,FALSE)</f>
        <v>#REF!</v>
      </c>
      <c r="AN91" t="e">
        <f>(6*VLOOKUP($H87&amp;";TauxRenouvellement",#REF!,AN$1-2020,FALSE)*VLOOKUP($H87&amp;";Volume",#REF!,AN$1-2020,FALSE)+
AM91*(VLOOKUP($H87&amp;";Volume",#REF!,AN$1-2019,FALSE)-VLOOKUP($H87&amp;";TauxRenouvellement",#REF!,AN$1-2020,FALSE)*VLOOKUP($H87&amp;";Volume",#REF!,AN$1-2020,FALSE)))/
VLOOKUP($H87&amp;";Volume",#REF!,AN$1-2019,FALSE)</f>
        <v>#REF!</v>
      </c>
      <c r="AO91" t="e">
        <f>(6*VLOOKUP($H87&amp;";TauxRenouvellement",#REF!,AO$1-2020,FALSE)*VLOOKUP($H87&amp;";Volume",#REF!,AO$1-2020,FALSE)+
AN91*(VLOOKUP($H87&amp;";Volume",#REF!,AO$1-2019,FALSE)-VLOOKUP($H87&amp;";TauxRenouvellement",#REF!,AO$1-2020,FALSE)*VLOOKUP($H87&amp;";Volume",#REF!,AO$1-2020,FALSE)))/
VLOOKUP($H87&amp;";Volume",#REF!,AO$1-2019,FALSE)</f>
        <v>#REF!</v>
      </c>
      <c r="AP91" t="e">
        <f>(6*VLOOKUP($H87&amp;";TauxRenouvellement",#REF!,AP$1-2020,FALSE)*VLOOKUP($H87&amp;";Volume",#REF!,AP$1-2020,FALSE)+
AO91*(VLOOKUP($H87&amp;";Volume",#REF!,AP$1-2019,FALSE)-VLOOKUP($H87&amp;";TauxRenouvellement",#REF!,AP$1-2020,FALSE)*VLOOKUP($H87&amp;";Volume",#REF!,AP$1-2020,FALSE)))/
VLOOKUP($H87&amp;";Volume",#REF!,AP$1-2019,FALSE)</f>
        <v>#REF!</v>
      </c>
    </row>
    <row r="92" spans="1:42" outlineLevel="1" x14ac:dyDescent="0.25">
      <c r="A92" t="s">
        <v>76</v>
      </c>
      <c r="B92" s="2" t="s">
        <v>97</v>
      </c>
      <c r="C92" t="s">
        <v>84</v>
      </c>
      <c r="E92" t="str">
        <f>_xlfn.CONCAT("FretRout",LEFT(B92,3),RIGHT(B92,1),"CritAir")</f>
        <v>FretRoutCat9CritAir</v>
      </c>
      <c r="F92" t="s">
        <v>36</v>
      </c>
      <c r="G92">
        <v>1</v>
      </c>
      <c r="H92" s="2"/>
      <c r="I92">
        <v>1</v>
      </c>
      <c r="K92" s="4">
        <f t="shared" si="8"/>
        <v>1</v>
      </c>
      <c r="Q92" t="e">
        <v>#REF!</v>
      </c>
      <c r="R92" t="e">
        <f>(VLOOKUP($H87&amp;";TauxRenouvellement",#REF!,R$1-2020,FALSE)*VLOOKUP($H87&amp;";Volume",#REF!,R$1-2020,FALSE)+
Q92*(VLOOKUP($H87&amp;";Volume",#REF!,R$1-2019,FALSE)-VLOOKUP($H87&amp;";TauxRenouvellement",#REF!,R$1-2020,FALSE)*VLOOKUP($H87&amp;";Volume",#REF!,R$1-2020,FALSE)))/
VLOOKUP($H87&amp;";Volume",#REF!,R$1-2019,FALSE)</f>
        <v>#REF!</v>
      </c>
      <c r="S92" t="e">
        <f>(VLOOKUP($H87&amp;";TauxRenouvellement",#REF!,S$1-2020,FALSE)*VLOOKUP($H87&amp;";Volume",#REF!,S$1-2020,FALSE)+
R92*(VLOOKUP($H87&amp;";Volume",#REF!,S$1-2019,FALSE)-VLOOKUP($H87&amp;";TauxRenouvellement",#REF!,S$1-2020,FALSE)*VLOOKUP($H87&amp;";Volume",#REF!,S$1-2020,FALSE)))/
VLOOKUP($H87&amp;";Volume",#REF!,S$1-2019,FALSE)</f>
        <v>#REF!</v>
      </c>
      <c r="T92" t="e">
        <f>(VLOOKUP($H87&amp;";TauxRenouvellement",#REF!,T$1-2020,FALSE)*VLOOKUP($H87&amp;";Volume",#REF!,T$1-2020,FALSE)+
S92*(VLOOKUP($H87&amp;";Volume",#REF!,T$1-2019,FALSE)-VLOOKUP($H87&amp;";TauxRenouvellement",#REF!,T$1-2020,FALSE)*VLOOKUP($H87&amp;";Volume",#REF!,T$1-2020,FALSE)))/
VLOOKUP($H87&amp;";Volume",#REF!,T$1-2019,FALSE)</f>
        <v>#REF!</v>
      </c>
      <c r="U92" t="e">
        <f>(VLOOKUP($H87&amp;";TauxRenouvellement",#REF!,U$1-2020,FALSE)*VLOOKUP($H87&amp;";Volume",#REF!,U$1-2020,FALSE)+
T92*(VLOOKUP($H87&amp;";Volume",#REF!,U$1-2019,FALSE)-VLOOKUP($H87&amp;";TauxRenouvellement",#REF!,U$1-2020,FALSE)*VLOOKUP($H87&amp;";Volume",#REF!,U$1-2020,FALSE)))/
VLOOKUP($H87&amp;";Volume",#REF!,U$1-2019,FALSE)</f>
        <v>#REF!</v>
      </c>
      <c r="V92" t="e">
        <f>(VLOOKUP($H87&amp;";TauxRenouvellement",#REF!,V$1-2020,FALSE)*VLOOKUP($H87&amp;";Volume",#REF!,V$1-2020,FALSE)+
U92*(VLOOKUP($H87&amp;";Volume",#REF!,V$1-2019,FALSE)-VLOOKUP($H87&amp;";TauxRenouvellement",#REF!,V$1-2020,FALSE)*VLOOKUP($H87&amp;";Volume",#REF!,V$1-2020,FALSE)))/
VLOOKUP($H87&amp;";Volume",#REF!,V$1-2019,FALSE)</f>
        <v>#REF!</v>
      </c>
      <c r="W92" t="e">
        <f>(VLOOKUP($H87&amp;";TauxRenouvellement",#REF!,W$1-2020,FALSE)*VLOOKUP($H87&amp;";Volume",#REF!,W$1-2020,FALSE)+
V92*(VLOOKUP($H87&amp;";Volume",#REF!,W$1-2019,FALSE)-VLOOKUP($H87&amp;";TauxRenouvellement",#REF!,W$1-2020,FALSE)*VLOOKUP($H87&amp;";Volume",#REF!,W$1-2020,FALSE)))/
VLOOKUP($H87&amp;";Volume",#REF!,W$1-2019,FALSE)</f>
        <v>#REF!</v>
      </c>
      <c r="X92" t="e">
        <f>(VLOOKUP($H87&amp;";TauxRenouvellement",#REF!,X$1-2020,FALSE)*VLOOKUP($H87&amp;";Volume",#REF!,X$1-2020,FALSE)+
W92*(VLOOKUP($H87&amp;";Volume",#REF!,X$1-2019,FALSE)-VLOOKUP($H87&amp;";TauxRenouvellement",#REF!,X$1-2020,FALSE)*VLOOKUP($H87&amp;";Volume",#REF!,X$1-2020,FALSE)))/
VLOOKUP($H87&amp;";Volume",#REF!,X$1-2019,FALSE)</f>
        <v>#REF!</v>
      </c>
      <c r="Y92" t="e">
        <f>(VLOOKUP($H87&amp;";TauxRenouvellement",#REF!,Y$1-2020,FALSE)*VLOOKUP($H87&amp;";Volume",#REF!,Y$1-2020,FALSE)+
X92*(VLOOKUP($H87&amp;";Volume",#REF!,Y$1-2019,FALSE)-VLOOKUP($H87&amp;";TauxRenouvellement",#REF!,Y$1-2020,FALSE)*VLOOKUP($H87&amp;";Volume",#REF!,Y$1-2020,FALSE)))/
VLOOKUP($H87&amp;";Volume",#REF!,Y$1-2019,FALSE)</f>
        <v>#REF!</v>
      </c>
      <c r="Z92" t="e">
        <f>(VLOOKUP($H87&amp;";TauxRenouvellement",#REF!,Z$1-2020,FALSE)*VLOOKUP($H87&amp;";Volume",#REF!,Z$1-2020,FALSE)+
Y92*(VLOOKUP($H87&amp;";Volume",#REF!,Z$1-2019,FALSE)-VLOOKUP($H87&amp;";TauxRenouvellement",#REF!,Z$1-2020,FALSE)*VLOOKUP($H87&amp;";Volume",#REF!,Z$1-2020,FALSE)))/
VLOOKUP($H87&amp;";Volume",#REF!,Z$1-2019,FALSE)</f>
        <v>#REF!</v>
      </c>
      <c r="AA92" t="e">
        <f>(VLOOKUP($H87&amp;";TauxRenouvellement",#REF!,AA$1-2020,FALSE)*VLOOKUP($H87&amp;";Volume",#REF!,AA$1-2020,FALSE)+
Z92*(VLOOKUP($H87&amp;";Volume",#REF!,AA$1-2019,FALSE)-VLOOKUP($H87&amp;";TauxRenouvellement",#REF!,AA$1-2020,FALSE)*VLOOKUP($H87&amp;";Volume",#REF!,AA$1-2020,FALSE)))/
VLOOKUP($H87&amp;";Volume",#REF!,AA$1-2019,FALSE)</f>
        <v>#REF!</v>
      </c>
      <c r="AB92" t="e">
        <f>(VLOOKUP($H87&amp;";TauxRenouvellement",#REF!,AB$1-2020,FALSE)*VLOOKUP($H87&amp;";Volume",#REF!,AB$1-2020,FALSE)+
AA92*(VLOOKUP($H87&amp;";Volume",#REF!,AB$1-2019,FALSE)-VLOOKUP($H87&amp;";TauxRenouvellement",#REF!,AB$1-2020,FALSE)*VLOOKUP($H87&amp;";Volume",#REF!,AB$1-2020,FALSE)))/
VLOOKUP($H87&amp;";Volume",#REF!,AB$1-2019,FALSE)</f>
        <v>#REF!</v>
      </c>
      <c r="AC92" t="e">
        <f>(VLOOKUP($H87&amp;";TauxRenouvellement",#REF!,AC$1-2020,FALSE)*VLOOKUP($H87&amp;";Volume",#REF!,AC$1-2020,FALSE)+
AB92*(VLOOKUP($H87&amp;";Volume",#REF!,AC$1-2019,FALSE)-VLOOKUP($H87&amp;";TauxRenouvellement",#REF!,AC$1-2020,FALSE)*VLOOKUP($H87&amp;";Volume",#REF!,AC$1-2020,FALSE)))/
VLOOKUP($H87&amp;";Volume",#REF!,AC$1-2019,FALSE)</f>
        <v>#REF!</v>
      </c>
      <c r="AD92" t="e">
        <f>(VLOOKUP($H87&amp;";TauxRenouvellement",#REF!,AD$1-2020,FALSE)*VLOOKUP($H87&amp;";Volume",#REF!,AD$1-2020,FALSE)+
AC92*(VLOOKUP($H87&amp;";Volume",#REF!,AD$1-2019,FALSE)-VLOOKUP($H87&amp;";TauxRenouvellement",#REF!,AD$1-2020,FALSE)*VLOOKUP($H87&amp;";Volume",#REF!,AD$1-2020,FALSE)))/
VLOOKUP($H87&amp;";Volume",#REF!,AD$1-2019,FALSE)</f>
        <v>#REF!</v>
      </c>
      <c r="AE92" t="e">
        <f>(VLOOKUP($H87&amp;";TauxRenouvellement",#REF!,AE$1-2020,FALSE)*VLOOKUP($H87&amp;";Volume",#REF!,AE$1-2020,FALSE)+
AD92*(VLOOKUP($H87&amp;";Volume",#REF!,AE$1-2019,FALSE)-VLOOKUP($H87&amp;";TauxRenouvellement",#REF!,AE$1-2020,FALSE)*VLOOKUP($H87&amp;";Volume",#REF!,AE$1-2020,FALSE)))/
VLOOKUP($H87&amp;";Volume",#REF!,AE$1-2019,FALSE)</f>
        <v>#REF!</v>
      </c>
      <c r="AF92" t="e">
        <f>(VLOOKUP($H87&amp;";TauxRenouvellement",#REF!,AF$1-2020,FALSE)*VLOOKUP($H87&amp;";Volume",#REF!,AF$1-2020,FALSE)+
AE92*(VLOOKUP($H87&amp;";Volume",#REF!,AF$1-2019,FALSE)-VLOOKUP($H87&amp;";TauxRenouvellement",#REF!,AF$1-2020,FALSE)*VLOOKUP($H87&amp;";Volume",#REF!,AF$1-2020,FALSE)))/
VLOOKUP($H87&amp;";Volume",#REF!,AF$1-2019,FALSE)</f>
        <v>#REF!</v>
      </c>
      <c r="AG92" t="e">
        <f>(VLOOKUP($H87&amp;";TauxRenouvellement",#REF!,AG$1-2020,FALSE)*VLOOKUP($H87&amp;";Volume",#REF!,AG$1-2020,FALSE)+
AF92*(VLOOKUP($H87&amp;";Volume",#REF!,AG$1-2019,FALSE)-VLOOKUP($H87&amp;";TauxRenouvellement",#REF!,AG$1-2020,FALSE)*VLOOKUP($H87&amp;";Volume",#REF!,AG$1-2020,FALSE)))/
VLOOKUP($H87&amp;";Volume",#REF!,AG$1-2019,FALSE)</f>
        <v>#REF!</v>
      </c>
      <c r="AH92" t="e">
        <f>(VLOOKUP($H87&amp;";TauxRenouvellement",#REF!,AH$1-2020,FALSE)*VLOOKUP($H87&amp;";Volume",#REF!,AH$1-2020,FALSE)+
AG92*(VLOOKUP($H87&amp;";Volume",#REF!,AH$1-2019,FALSE)-VLOOKUP($H87&amp;";TauxRenouvellement",#REF!,AH$1-2020,FALSE)*VLOOKUP($H87&amp;";Volume",#REF!,AH$1-2020,FALSE)))/
VLOOKUP($H87&amp;";Volume",#REF!,AH$1-2019,FALSE)</f>
        <v>#REF!</v>
      </c>
      <c r="AI92" t="e">
        <f>(VLOOKUP($H87&amp;";TauxRenouvellement",#REF!,AI$1-2020,FALSE)*VLOOKUP($H87&amp;";Volume",#REF!,AI$1-2020,FALSE)+
AH92*(VLOOKUP($H87&amp;";Volume",#REF!,AI$1-2019,FALSE)-VLOOKUP($H87&amp;";TauxRenouvellement",#REF!,AI$1-2020,FALSE)*VLOOKUP($H87&amp;";Volume",#REF!,AI$1-2020,FALSE)))/
VLOOKUP($H87&amp;";Volume",#REF!,AI$1-2019,FALSE)</f>
        <v>#REF!</v>
      </c>
      <c r="AJ92" t="e">
        <f>(VLOOKUP($H87&amp;";TauxRenouvellement",#REF!,AJ$1-2020,FALSE)*VLOOKUP($H87&amp;";Volume",#REF!,AJ$1-2020,FALSE)+
AI92*(VLOOKUP($H87&amp;";Volume",#REF!,AJ$1-2019,FALSE)-VLOOKUP($H87&amp;";TauxRenouvellement",#REF!,AJ$1-2020,FALSE)*VLOOKUP($H87&amp;";Volume",#REF!,AJ$1-2020,FALSE)))/
VLOOKUP($H87&amp;";Volume",#REF!,AJ$1-2019,FALSE)</f>
        <v>#REF!</v>
      </c>
      <c r="AK92" t="e">
        <f>(VLOOKUP($H87&amp;";TauxRenouvellement",#REF!,AK$1-2020,FALSE)*VLOOKUP($H87&amp;";Volume",#REF!,AK$1-2020,FALSE)+
AJ92*(VLOOKUP($H87&amp;";Volume",#REF!,AK$1-2019,FALSE)-VLOOKUP($H87&amp;";TauxRenouvellement",#REF!,AK$1-2020,FALSE)*VLOOKUP($H87&amp;";Volume",#REF!,AK$1-2020,FALSE)))/
VLOOKUP($H87&amp;";Volume",#REF!,AK$1-2019,FALSE)</f>
        <v>#REF!</v>
      </c>
      <c r="AL92" t="e">
        <f>(VLOOKUP($H87&amp;";TauxRenouvellement",#REF!,AL$1-2020,FALSE)*VLOOKUP($H87&amp;";Volume",#REF!,AL$1-2020,FALSE)+
AK92*(VLOOKUP($H87&amp;";Volume",#REF!,AL$1-2019,FALSE)-VLOOKUP($H87&amp;";TauxRenouvellement",#REF!,AL$1-2020,FALSE)*VLOOKUP($H87&amp;";Volume",#REF!,AL$1-2020,FALSE)))/
VLOOKUP($H87&amp;";Volume",#REF!,AL$1-2019,FALSE)</f>
        <v>#REF!</v>
      </c>
      <c r="AM92" t="e">
        <f>(VLOOKUP($H87&amp;";TauxRenouvellement",#REF!,AM$1-2020,FALSE)*VLOOKUP($H87&amp;";Volume",#REF!,AM$1-2020,FALSE)+
AL92*(VLOOKUP($H87&amp;";Volume",#REF!,AM$1-2019,FALSE)-VLOOKUP($H87&amp;";TauxRenouvellement",#REF!,AM$1-2020,FALSE)*VLOOKUP($H87&amp;";Volume",#REF!,AM$1-2020,FALSE)))/
VLOOKUP($H87&amp;";Volume",#REF!,AM$1-2019,FALSE)</f>
        <v>#REF!</v>
      </c>
      <c r="AN92" t="e">
        <f>(VLOOKUP($H87&amp;";TauxRenouvellement",#REF!,AN$1-2020,FALSE)*VLOOKUP($H87&amp;";Volume",#REF!,AN$1-2020,FALSE)+
AM92*(VLOOKUP($H87&amp;";Volume",#REF!,AN$1-2019,FALSE)-VLOOKUP($H87&amp;";TauxRenouvellement",#REF!,AN$1-2020,FALSE)*VLOOKUP($H87&amp;";Volume",#REF!,AN$1-2020,FALSE)))/
VLOOKUP($H87&amp;";Volume",#REF!,AN$1-2019,FALSE)</f>
        <v>#REF!</v>
      </c>
      <c r="AO92" t="e">
        <f>(VLOOKUP($H87&amp;";TauxRenouvellement",#REF!,AO$1-2020,FALSE)*VLOOKUP($H87&amp;";Volume",#REF!,AO$1-2020,FALSE)+
AN92*(VLOOKUP($H87&amp;";Volume",#REF!,AO$1-2019,FALSE)-VLOOKUP($H87&amp;";TauxRenouvellement",#REF!,AO$1-2020,FALSE)*VLOOKUP($H87&amp;";Volume",#REF!,AO$1-2020,FALSE)))/
VLOOKUP($H87&amp;";Volume",#REF!,AO$1-2019,FALSE)</f>
        <v>#REF!</v>
      </c>
      <c r="AP92" t="e">
        <f>(VLOOKUP($H87&amp;";TauxRenouvellement",#REF!,AP$1-2020,FALSE)*VLOOKUP($H87&amp;";Volume",#REF!,AP$1-2020,FALSE)+
AO92*(VLOOKUP($H87&amp;";Volume",#REF!,AP$1-2019,FALSE)-VLOOKUP($H87&amp;";TauxRenouvellement",#REF!,AP$1-2020,FALSE)*VLOOKUP($H87&amp;";Volume",#REF!,AP$1-2020,FALSE)))/
VLOOKUP($H87&amp;";Volume",#REF!,AP$1-2019,FALSE)</f>
        <v>#REF!</v>
      </c>
    </row>
    <row r="93" spans="1:42" outlineLevel="1" x14ac:dyDescent="0.25">
      <c r="A93" t="s">
        <v>76</v>
      </c>
      <c r="B93" s="2" t="s">
        <v>97</v>
      </c>
      <c r="C93" t="s">
        <v>85</v>
      </c>
      <c r="E93" t="str">
        <f>_xlfn.CONCAT("FretRout",LEFT(B93,3),RIGHT(B93,1),"Nb")</f>
        <v>FretRoutCat9Nb</v>
      </c>
      <c r="F93" t="s">
        <v>17</v>
      </c>
      <c r="G93">
        <v>1</v>
      </c>
      <c r="J93" t="s">
        <v>86</v>
      </c>
      <c r="K93">
        <v>0</v>
      </c>
    </row>
    <row r="94" spans="1:42" outlineLevel="1" x14ac:dyDescent="0.25">
      <c r="A94" t="s">
        <v>76</v>
      </c>
      <c r="B94" s="2" t="s">
        <v>97</v>
      </c>
      <c r="C94" t="s">
        <v>87</v>
      </c>
      <c r="E94" t="str">
        <f>_xlfn.CONCAT("FretRout",LEFT(B94,3),RIGHT(B94,1),"Dist")</f>
        <v>FretRoutCat9Dist</v>
      </c>
      <c r="F94" t="s">
        <v>17</v>
      </c>
      <c r="G94">
        <v>1</v>
      </c>
      <c r="H94" s="2"/>
      <c r="J94" t="s">
        <v>88</v>
      </c>
      <c r="K94">
        <v>11205</v>
      </c>
    </row>
    <row r="95" spans="1:42" outlineLevel="1" x14ac:dyDescent="0.25">
      <c r="A95" t="s">
        <v>76</v>
      </c>
      <c r="B95" s="2" t="s">
        <v>97</v>
      </c>
      <c r="C95" s="2" t="s">
        <v>89</v>
      </c>
      <c r="E95" t="str">
        <f>_xlfn.CONCAT("FretRout",LEFT(B95,3),RIGHT(B95,1),"Rempl")</f>
        <v>FretRoutCat9Rempl</v>
      </c>
      <c r="F95" t="s">
        <v>17</v>
      </c>
      <c r="G95">
        <v>1</v>
      </c>
      <c r="H95" s="3"/>
      <c r="J95" t="s">
        <v>70</v>
      </c>
      <c r="K95">
        <v>0</v>
      </c>
    </row>
    <row r="96" spans="1:42" outlineLevel="1" x14ac:dyDescent="0.25">
      <c r="A96" t="s">
        <v>76</v>
      </c>
      <c r="B96" s="2" t="s">
        <v>98</v>
      </c>
      <c r="C96" t="s">
        <v>78</v>
      </c>
      <c r="E96" t="str">
        <f>_xlfn.CONCAT("FretRout",LEFT(B96,3),RIGHT(B96,2),"Nom")</f>
        <v>FretRoutCat10Nom</v>
      </c>
      <c r="F96" t="s">
        <v>20</v>
      </c>
      <c r="G96">
        <v>1</v>
      </c>
      <c r="H96" s="4"/>
      <c r="I96" s="4" t="s">
        <v>395</v>
      </c>
      <c r="K96" s="4" t="str">
        <f t="shared" ref="K96:K102" si="9">I96</f>
        <v>PL Electrique &lt;=7.5t (Crit'Air E)</v>
      </c>
    </row>
    <row r="97" spans="1:42" outlineLevel="1" x14ac:dyDescent="0.25">
      <c r="A97" t="s">
        <v>76</v>
      </c>
      <c r="B97" s="2" t="s">
        <v>98</v>
      </c>
      <c r="C97" t="s">
        <v>79</v>
      </c>
      <c r="E97" t="str">
        <f>_xlfn.CONCAT("FretRout",LEFT(B97,3),RIGHT(B97,2),"Type")</f>
        <v>FretRoutCat10Type</v>
      </c>
      <c r="F97" t="s">
        <v>20</v>
      </c>
      <c r="G97">
        <v>1</v>
      </c>
      <c r="I97" t="s">
        <v>1771</v>
      </c>
      <c r="K97" s="4" t="str">
        <f t="shared" si="9"/>
        <v>PL</v>
      </c>
    </row>
    <row r="98" spans="1:42" outlineLevel="1" x14ac:dyDescent="0.25">
      <c r="A98" t="s">
        <v>76</v>
      </c>
      <c r="B98" s="2" t="s">
        <v>98</v>
      </c>
      <c r="C98" t="s">
        <v>80</v>
      </c>
      <c r="E98" t="str">
        <f>_xlfn.CONCAT("FretRout",LEFT(B98,3),RIGHT(B98,2),"PTAC")</f>
        <v>FretRoutCat10PTAC</v>
      </c>
      <c r="F98" t="s">
        <v>36</v>
      </c>
      <c r="G98">
        <v>1</v>
      </c>
      <c r="I98" t="s">
        <v>1457</v>
      </c>
      <c r="K98" s="4" t="str">
        <f t="shared" si="9"/>
        <v>&lt;=7.5t</v>
      </c>
    </row>
    <row r="99" spans="1:42" outlineLevel="1" x14ac:dyDescent="0.25">
      <c r="A99" t="s">
        <v>76</v>
      </c>
      <c r="B99" s="2" t="s">
        <v>98</v>
      </c>
      <c r="C99" t="s">
        <v>81</v>
      </c>
      <c r="E99" t="str">
        <f>_xlfn.CONCAT("FretRout",LEFT(B99,3),RIGHT(B99,2),"Mot")</f>
        <v>FretRoutCat10Mot</v>
      </c>
      <c r="F99" t="s">
        <v>36</v>
      </c>
      <c r="G99">
        <v>1</v>
      </c>
      <c r="H99" s="2"/>
      <c r="I99" t="s">
        <v>456</v>
      </c>
      <c r="K99" s="4" t="str">
        <f t="shared" si="9"/>
        <v>Electrique</v>
      </c>
    </row>
    <row r="100" spans="1:42" outlineLevel="1" x14ac:dyDescent="0.25">
      <c r="A100" t="s">
        <v>76</v>
      </c>
      <c r="B100" s="2" t="s">
        <v>98</v>
      </c>
      <c r="C100" t="s">
        <v>82</v>
      </c>
      <c r="E100" t="str">
        <f>_xlfn.CONCAT("FretRout",LEFT(B100,3),RIGHT(B100,2),"Carb")</f>
        <v>FretRoutCat10Carb</v>
      </c>
      <c r="F100" t="s">
        <v>36</v>
      </c>
      <c r="G100">
        <v>1</v>
      </c>
      <c r="I100">
        <v>0</v>
      </c>
      <c r="K100" s="4">
        <f t="shared" si="9"/>
        <v>0</v>
      </c>
    </row>
    <row r="101" spans="1:42" outlineLevel="1" x14ac:dyDescent="0.25">
      <c r="A101" t="s">
        <v>76</v>
      </c>
      <c r="B101" s="2" t="s">
        <v>98</v>
      </c>
      <c r="C101" t="s">
        <v>83</v>
      </c>
      <c r="E101" t="str">
        <f>_xlfn.CONCAT("FretRout",LEFT(B101,3),RIGHT(B101,2),"Euro")</f>
        <v>FretRoutCat10Euro</v>
      </c>
      <c r="F101" t="s">
        <v>36</v>
      </c>
      <c r="G101">
        <v>1</v>
      </c>
      <c r="I101">
        <v>0</v>
      </c>
      <c r="K101" s="4">
        <f t="shared" si="9"/>
        <v>0</v>
      </c>
      <c r="Q101" t="e">
        <v>#REF!</v>
      </c>
      <c r="R101" t="e">
        <f>(6*VLOOKUP($H97&amp;";TauxRenouvellement",#REF!,R$1-2020,FALSE)*VLOOKUP($H97&amp;";Volume",#REF!,R$1-2020,FALSE)+
Q101*(VLOOKUP($H97&amp;";Volume",#REF!,R$1-2019,FALSE)-VLOOKUP($H97&amp;";TauxRenouvellement",#REF!,R$1-2020,FALSE)*VLOOKUP($H97&amp;";Volume",#REF!,R$1-2020,FALSE)))/
VLOOKUP($H97&amp;";Volume",#REF!,R$1-2019,FALSE)</f>
        <v>#REF!</v>
      </c>
      <c r="S101" t="e">
        <f>(6*VLOOKUP($H97&amp;";TauxRenouvellement",#REF!,S$1-2020,FALSE)*VLOOKUP($H97&amp;";Volume",#REF!,S$1-2020,FALSE)+
R101*(VLOOKUP($H97&amp;";Volume",#REF!,S$1-2019,FALSE)-VLOOKUP($H97&amp;";TauxRenouvellement",#REF!,S$1-2020,FALSE)*VLOOKUP($H97&amp;";Volume",#REF!,S$1-2020,FALSE)))/
VLOOKUP($H97&amp;";Volume",#REF!,S$1-2019,FALSE)</f>
        <v>#REF!</v>
      </c>
      <c r="T101" t="e">
        <f>(6*VLOOKUP($H97&amp;";TauxRenouvellement",#REF!,T$1-2020,FALSE)*VLOOKUP($H97&amp;";Volume",#REF!,T$1-2020,FALSE)+
S101*(VLOOKUP($H97&amp;";Volume",#REF!,T$1-2019,FALSE)-VLOOKUP($H97&amp;";TauxRenouvellement",#REF!,T$1-2020,FALSE)*VLOOKUP($H97&amp;";Volume",#REF!,T$1-2020,FALSE)))/
VLOOKUP($H97&amp;";Volume",#REF!,T$1-2019,FALSE)</f>
        <v>#REF!</v>
      </c>
      <c r="U101" t="e">
        <f>(6*VLOOKUP($H97&amp;";TauxRenouvellement",#REF!,U$1-2020,FALSE)*VLOOKUP($H97&amp;";Volume",#REF!,U$1-2020,FALSE)+
T101*(VLOOKUP($H97&amp;";Volume",#REF!,U$1-2019,FALSE)-VLOOKUP($H97&amp;";TauxRenouvellement",#REF!,U$1-2020,FALSE)*VLOOKUP($H97&amp;";Volume",#REF!,U$1-2020,FALSE)))/
VLOOKUP($H97&amp;";Volume",#REF!,U$1-2019,FALSE)</f>
        <v>#REF!</v>
      </c>
      <c r="V101" t="e">
        <f>(6*VLOOKUP($H97&amp;";TauxRenouvellement",#REF!,V$1-2020,FALSE)*VLOOKUP($H97&amp;";Volume",#REF!,V$1-2020,FALSE)+
U101*(VLOOKUP($H97&amp;";Volume",#REF!,V$1-2019,FALSE)-VLOOKUP($H97&amp;";TauxRenouvellement",#REF!,V$1-2020,FALSE)*VLOOKUP($H97&amp;";Volume",#REF!,V$1-2020,FALSE)))/
VLOOKUP($H97&amp;";Volume",#REF!,V$1-2019,FALSE)</f>
        <v>#REF!</v>
      </c>
      <c r="W101" t="e">
        <f>(6*VLOOKUP($H97&amp;";TauxRenouvellement",#REF!,W$1-2020,FALSE)*VLOOKUP($H97&amp;";Volume",#REF!,W$1-2020,FALSE)+
V101*(VLOOKUP($H97&amp;";Volume",#REF!,W$1-2019,FALSE)-VLOOKUP($H97&amp;";TauxRenouvellement",#REF!,W$1-2020,FALSE)*VLOOKUP($H97&amp;";Volume",#REF!,W$1-2020,FALSE)))/
VLOOKUP($H97&amp;";Volume",#REF!,W$1-2019,FALSE)</f>
        <v>#REF!</v>
      </c>
      <c r="X101" t="e">
        <f>(6*VLOOKUP($H97&amp;";TauxRenouvellement",#REF!,X$1-2020,FALSE)*VLOOKUP($H97&amp;";Volume",#REF!,X$1-2020,FALSE)+
W101*(VLOOKUP($H97&amp;";Volume",#REF!,X$1-2019,FALSE)-VLOOKUP($H97&amp;";TauxRenouvellement",#REF!,X$1-2020,FALSE)*VLOOKUP($H97&amp;";Volume",#REF!,X$1-2020,FALSE)))/
VLOOKUP($H97&amp;";Volume",#REF!,X$1-2019,FALSE)</f>
        <v>#REF!</v>
      </c>
      <c r="Y101" t="e">
        <f>(6*VLOOKUP($H97&amp;";TauxRenouvellement",#REF!,Y$1-2020,FALSE)*VLOOKUP($H97&amp;";Volume",#REF!,Y$1-2020,FALSE)+
X101*(VLOOKUP($H97&amp;";Volume",#REF!,Y$1-2019,FALSE)-VLOOKUP($H97&amp;";TauxRenouvellement",#REF!,Y$1-2020,FALSE)*VLOOKUP($H97&amp;";Volume",#REF!,Y$1-2020,FALSE)))/
VLOOKUP($H97&amp;";Volume",#REF!,Y$1-2019,FALSE)</f>
        <v>#REF!</v>
      </c>
      <c r="Z101" t="e">
        <f>(6*VLOOKUP($H97&amp;";TauxRenouvellement",#REF!,Z$1-2020,FALSE)*VLOOKUP($H97&amp;";Volume",#REF!,Z$1-2020,FALSE)+
Y101*(VLOOKUP($H97&amp;";Volume",#REF!,Z$1-2019,FALSE)-VLOOKUP($H97&amp;";TauxRenouvellement",#REF!,Z$1-2020,FALSE)*VLOOKUP($H97&amp;";Volume",#REF!,Z$1-2020,FALSE)))/
VLOOKUP($H97&amp;";Volume",#REF!,Z$1-2019,FALSE)</f>
        <v>#REF!</v>
      </c>
      <c r="AA101" t="e">
        <f>(6*VLOOKUP($H97&amp;";TauxRenouvellement",#REF!,AA$1-2020,FALSE)*VLOOKUP($H97&amp;";Volume",#REF!,AA$1-2020,FALSE)+
Z101*(VLOOKUP($H97&amp;";Volume",#REF!,AA$1-2019,FALSE)-VLOOKUP($H97&amp;";TauxRenouvellement",#REF!,AA$1-2020,FALSE)*VLOOKUP($H97&amp;";Volume",#REF!,AA$1-2020,FALSE)))/
VLOOKUP($H97&amp;";Volume",#REF!,AA$1-2019,FALSE)</f>
        <v>#REF!</v>
      </c>
      <c r="AB101" t="e">
        <f>(6*VLOOKUP($H97&amp;";TauxRenouvellement",#REF!,AB$1-2020,FALSE)*VLOOKUP($H97&amp;";Volume",#REF!,AB$1-2020,FALSE)+
AA101*(VLOOKUP($H97&amp;";Volume",#REF!,AB$1-2019,FALSE)-VLOOKUP($H97&amp;";TauxRenouvellement",#REF!,AB$1-2020,FALSE)*VLOOKUP($H97&amp;";Volume",#REF!,AB$1-2020,FALSE)))/
VLOOKUP($H97&amp;";Volume",#REF!,AB$1-2019,FALSE)</f>
        <v>#REF!</v>
      </c>
      <c r="AC101" t="e">
        <f>(6*VLOOKUP($H97&amp;";TauxRenouvellement",#REF!,AC$1-2020,FALSE)*VLOOKUP($H97&amp;";Volume",#REF!,AC$1-2020,FALSE)+
AB101*(VLOOKUP($H97&amp;";Volume",#REF!,AC$1-2019,FALSE)-VLOOKUP($H97&amp;";TauxRenouvellement",#REF!,AC$1-2020,FALSE)*VLOOKUP($H97&amp;";Volume",#REF!,AC$1-2020,FALSE)))/
VLOOKUP($H97&amp;";Volume",#REF!,AC$1-2019,FALSE)</f>
        <v>#REF!</v>
      </c>
      <c r="AD101" t="e">
        <f>(6*VLOOKUP($H97&amp;";TauxRenouvellement",#REF!,AD$1-2020,FALSE)*VLOOKUP($H97&amp;";Volume",#REF!,AD$1-2020,FALSE)+
AC101*(VLOOKUP($H97&amp;";Volume",#REF!,AD$1-2019,FALSE)-VLOOKUP($H97&amp;";TauxRenouvellement",#REF!,AD$1-2020,FALSE)*VLOOKUP($H97&amp;";Volume",#REF!,AD$1-2020,FALSE)))/
VLOOKUP($H97&amp;";Volume",#REF!,AD$1-2019,FALSE)</f>
        <v>#REF!</v>
      </c>
      <c r="AE101" t="e">
        <f>(6*VLOOKUP($H97&amp;";TauxRenouvellement",#REF!,AE$1-2020,FALSE)*VLOOKUP($H97&amp;";Volume",#REF!,AE$1-2020,FALSE)+
AD101*(VLOOKUP($H97&amp;";Volume",#REF!,AE$1-2019,FALSE)-VLOOKUP($H97&amp;";TauxRenouvellement",#REF!,AE$1-2020,FALSE)*VLOOKUP($H97&amp;";Volume",#REF!,AE$1-2020,FALSE)))/
VLOOKUP($H97&amp;";Volume",#REF!,AE$1-2019,FALSE)</f>
        <v>#REF!</v>
      </c>
      <c r="AF101" t="e">
        <f>(6*VLOOKUP($H97&amp;";TauxRenouvellement",#REF!,AF$1-2020,FALSE)*VLOOKUP($H97&amp;";Volume",#REF!,AF$1-2020,FALSE)+
AE101*(VLOOKUP($H97&amp;";Volume",#REF!,AF$1-2019,FALSE)-VLOOKUP($H97&amp;";TauxRenouvellement",#REF!,AF$1-2020,FALSE)*VLOOKUP($H97&amp;";Volume",#REF!,AF$1-2020,FALSE)))/
VLOOKUP($H97&amp;";Volume",#REF!,AF$1-2019,FALSE)</f>
        <v>#REF!</v>
      </c>
      <c r="AG101" t="e">
        <f>(6*VLOOKUP($H97&amp;";TauxRenouvellement",#REF!,AG$1-2020,FALSE)*VLOOKUP($H97&amp;";Volume",#REF!,AG$1-2020,FALSE)+
AF101*(VLOOKUP($H97&amp;";Volume",#REF!,AG$1-2019,FALSE)-VLOOKUP($H97&amp;";TauxRenouvellement",#REF!,AG$1-2020,FALSE)*VLOOKUP($H97&amp;";Volume",#REF!,AG$1-2020,FALSE)))/
VLOOKUP($H97&amp;";Volume",#REF!,AG$1-2019,FALSE)</f>
        <v>#REF!</v>
      </c>
      <c r="AH101" t="e">
        <f>(6*VLOOKUP($H97&amp;";TauxRenouvellement",#REF!,AH$1-2020,FALSE)*VLOOKUP($H97&amp;";Volume",#REF!,AH$1-2020,FALSE)+
AG101*(VLOOKUP($H97&amp;";Volume",#REF!,AH$1-2019,FALSE)-VLOOKUP($H97&amp;";TauxRenouvellement",#REF!,AH$1-2020,FALSE)*VLOOKUP($H97&amp;";Volume",#REF!,AH$1-2020,FALSE)))/
VLOOKUP($H97&amp;";Volume",#REF!,AH$1-2019,FALSE)</f>
        <v>#REF!</v>
      </c>
      <c r="AI101" t="e">
        <f>(6*VLOOKUP($H97&amp;";TauxRenouvellement",#REF!,AI$1-2020,FALSE)*VLOOKUP($H97&amp;";Volume",#REF!,AI$1-2020,FALSE)+
AH101*(VLOOKUP($H97&amp;";Volume",#REF!,AI$1-2019,FALSE)-VLOOKUP($H97&amp;";TauxRenouvellement",#REF!,AI$1-2020,FALSE)*VLOOKUP($H97&amp;";Volume",#REF!,AI$1-2020,FALSE)))/
VLOOKUP($H97&amp;";Volume",#REF!,AI$1-2019,FALSE)</f>
        <v>#REF!</v>
      </c>
      <c r="AJ101" t="e">
        <f>(6*VLOOKUP($H97&amp;";TauxRenouvellement",#REF!,AJ$1-2020,FALSE)*VLOOKUP($H97&amp;";Volume",#REF!,AJ$1-2020,FALSE)+
AI101*(VLOOKUP($H97&amp;";Volume",#REF!,AJ$1-2019,FALSE)-VLOOKUP($H97&amp;";TauxRenouvellement",#REF!,AJ$1-2020,FALSE)*VLOOKUP($H97&amp;";Volume",#REF!,AJ$1-2020,FALSE)))/
VLOOKUP($H97&amp;";Volume",#REF!,AJ$1-2019,FALSE)</f>
        <v>#REF!</v>
      </c>
      <c r="AK101" t="e">
        <f>(6*VLOOKUP($H97&amp;";TauxRenouvellement",#REF!,AK$1-2020,FALSE)*VLOOKUP($H97&amp;";Volume",#REF!,AK$1-2020,FALSE)+
AJ101*(VLOOKUP($H97&amp;";Volume",#REF!,AK$1-2019,FALSE)-VLOOKUP($H97&amp;";TauxRenouvellement",#REF!,AK$1-2020,FALSE)*VLOOKUP($H97&amp;";Volume",#REF!,AK$1-2020,FALSE)))/
VLOOKUP($H97&amp;";Volume",#REF!,AK$1-2019,FALSE)</f>
        <v>#REF!</v>
      </c>
      <c r="AL101" t="e">
        <f>(6*VLOOKUP($H97&amp;";TauxRenouvellement",#REF!,AL$1-2020,FALSE)*VLOOKUP($H97&amp;";Volume",#REF!,AL$1-2020,FALSE)+
AK101*(VLOOKUP($H97&amp;";Volume",#REF!,AL$1-2019,FALSE)-VLOOKUP($H97&amp;";TauxRenouvellement",#REF!,AL$1-2020,FALSE)*VLOOKUP($H97&amp;";Volume",#REF!,AL$1-2020,FALSE)))/
VLOOKUP($H97&amp;";Volume",#REF!,AL$1-2019,FALSE)</f>
        <v>#REF!</v>
      </c>
      <c r="AM101" t="e">
        <f>(6*VLOOKUP($H97&amp;";TauxRenouvellement",#REF!,AM$1-2020,FALSE)*VLOOKUP($H97&amp;";Volume",#REF!,AM$1-2020,FALSE)+
AL101*(VLOOKUP($H97&amp;";Volume",#REF!,AM$1-2019,FALSE)-VLOOKUP($H97&amp;";TauxRenouvellement",#REF!,AM$1-2020,FALSE)*VLOOKUP($H97&amp;";Volume",#REF!,AM$1-2020,FALSE)))/
VLOOKUP($H97&amp;";Volume",#REF!,AM$1-2019,FALSE)</f>
        <v>#REF!</v>
      </c>
      <c r="AN101" t="e">
        <f>(6*VLOOKUP($H97&amp;";TauxRenouvellement",#REF!,AN$1-2020,FALSE)*VLOOKUP($H97&amp;";Volume",#REF!,AN$1-2020,FALSE)+
AM101*(VLOOKUP($H97&amp;";Volume",#REF!,AN$1-2019,FALSE)-VLOOKUP($H97&amp;";TauxRenouvellement",#REF!,AN$1-2020,FALSE)*VLOOKUP($H97&amp;";Volume",#REF!,AN$1-2020,FALSE)))/
VLOOKUP($H97&amp;";Volume",#REF!,AN$1-2019,FALSE)</f>
        <v>#REF!</v>
      </c>
      <c r="AO101" t="e">
        <f>(6*VLOOKUP($H97&amp;";TauxRenouvellement",#REF!,AO$1-2020,FALSE)*VLOOKUP($H97&amp;";Volume",#REF!,AO$1-2020,FALSE)+
AN101*(VLOOKUP($H97&amp;";Volume",#REF!,AO$1-2019,FALSE)-VLOOKUP($H97&amp;";TauxRenouvellement",#REF!,AO$1-2020,FALSE)*VLOOKUP($H97&amp;";Volume",#REF!,AO$1-2020,FALSE)))/
VLOOKUP($H97&amp;";Volume",#REF!,AO$1-2019,FALSE)</f>
        <v>#REF!</v>
      </c>
      <c r="AP101" t="e">
        <f>(6*VLOOKUP($H97&amp;";TauxRenouvellement",#REF!,AP$1-2020,FALSE)*VLOOKUP($H97&amp;";Volume",#REF!,AP$1-2020,FALSE)+
AO101*(VLOOKUP($H97&amp;";Volume",#REF!,AP$1-2019,FALSE)-VLOOKUP($H97&amp;";TauxRenouvellement",#REF!,AP$1-2020,FALSE)*VLOOKUP($H97&amp;";Volume",#REF!,AP$1-2020,FALSE)))/
VLOOKUP($H97&amp;";Volume",#REF!,AP$1-2019,FALSE)</f>
        <v>#REF!</v>
      </c>
    </row>
    <row r="102" spans="1:42" outlineLevel="1" x14ac:dyDescent="0.25">
      <c r="A102" t="s">
        <v>76</v>
      </c>
      <c r="B102" s="2" t="s">
        <v>98</v>
      </c>
      <c r="C102" t="s">
        <v>84</v>
      </c>
      <c r="E102" t="str">
        <f>_xlfn.CONCAT("FretRout",LEFT(B102,3),RIGHT(B102,2),"CritAir")</f>
        <v>FretRoutCat10CritAir</v>
      </c>
      <c r="F102" t="s">
        <v>36</v>
      </c>
      <c r="G102">
        <v>1</v>
      </c>
      <c r="H102" s="2"/>
      <c r="I102" t="s">
        <v>1453</v>
      </c>
      <c r="K102" s="4" t="str">
        <f t="shared" si="9"/>
        <v>E</v>
      </c>
      <c r="Q102" t="e">
        <v>#REF!</v>
      </c>
      <c r="R102" t="e">
        <f>(VLOOKUP($H97&amp;";TauxRenouvellement",#REF!,R$1-2020,FALSE)*VLOOKUP($H97&amp;";Volume",#REF!,R$1-2020,FALSE)+
Q102*(VLOOKUP($H97&amp;";Volume",#REF!,R$1-2019,FALSE)-VLOOKUP($H97&amp;";TauxRenouvellement",#REF!,R$1-2020,FALSE)*VLOOKUP($H97&amp;";Volume",#REF!,R$1-2020,FALSE)))/
VLOOKUP($H97&amp;";Volume",#REF!,R$1-2019,FALSE)</f>
        <v>#REF!</v>
      </c>
      <c r="S102" t="e">
        <f>(VLOOKUP($H97&amp;";TauxRenouvellement",#REF!,S$1-2020,FALSE)*VLOOKUP($H97&amp;";Volume",#REF!,S$1-2020,FALSE)+
R102*(VLOOKUP($H97&amp;";Volume",#REF!,S$1-2019,FALSE)-VLOOKUP($H97&amp;";TauxRenouvellement",#REF!,S$1-2020,FALSE)*VLOOKUP($H97&amp;";Volume",#REF!,S$1-2020,FALSE)))/
VLOOKUP($H97&amp;";Volume",#REF!,S$1-2019,FALSE)</f>
        <v>#REF!</v>
      </c>
      <c r="T102" t="e">
        <f>(VLOOKUP($H97&amp;";TauxRenouvellement",#REF!,T$1-2020,FALSE)*VLOOKUP($H97&amp;";Volume",#REF!,T$1-2020,FALSE)+
S102*(VLOOKUP($H97&amp;";Volume",#REF!,T$1-2019,FALSE)-VLOOKUP($H97&amp;";TauxRenouvellement",#REF!,T$1-2020,FALSE)*VLOOKUP($H97&amp;";Volume",#REF!,T$1-2020,FALSE)))/
VLOOKUP($H97&amp;";Volume",#REF!,T$1-2019,FALSE)</f>
        <v>#REF!</v>
      </c>
      <c r="U102" t="e">
        <f>(VLOOKUP($H97&amp;";TauxRenouvellement",#REF!,U$1-2020,FALSE)*VLOOKUP($H97&amp;";Volume",#REF!,U$1-2020,FALSE)+
T102*(VLOOKUP($H97&amp;";Volume",#REF!,U$1-2019,FALSE)-VLOOKUP($H97&amp;";TauxRenouvellement",#REF!,U$1-2020,FALSE)*VLOOKUP($H97&amp;";Volume",#REF!,U$1-2020,FALSE)))/
VLOOKUP($H97&amp;";Volume",#REF!,U$1-2019,FALSE)</f>
        <v>#REF!</v>
      </c>
      <c r="V102" t="e">
        <f>(VLOOKUP($H97&amp;";TauxRenouvellement",#REF!,V$1-2020,FALSE)*VLOOKUP($H97&amp;";Volume",#REF!,V$1-2020,FALSE)+
U102*(VLOOKUP($H97&amp;";Volume",#REF!,V$1-2019,FALSE)-VLOOKUP($H97&amp;";TauxRenouvellement",#REF!,V$1-2020,FALSE)*VLOOKUP($H97&amp;";Volume",#REF!,V$1-2020,FALSE)))/
VLOOKUP($H97&amp;";Volume",#REF!,V$1-2019,FALSE)</f>
        <v>#REF!</v>
      </c>
      <c r="W102" t="e">
        <f>(VLOOKUP($H97&amp;";TauxRenouvellement",#REF!,W$1-2020,FALSE)*VLOOKUP($H97&amp;";Volume",#REF!,W$1-2020,FALSE)+
V102*(VLOOKUP($H97&amp;";Volume",#REF!,W$1-2019,FALSE)-VLOOKUP($H97&amp;";TauxRenouvellement",#REF!,W$1-2020,FALSE)*VLOOKUP($H97&amp;";Volume",#REF!,W$1-2020,FALSE)))/
VLOOKUP($H97&amp;";Volume",#REF!,W$1-2019,FALSE)</f>
        <v>#REF!</v>
      </c>
      <c r="X102" t="e">
        <f>(VLOOKUP($H97&amp;";TauxRenouvellement",#REF!,X$1-2020,FALSE)*VLOOKUP($H97&amp;";Volume",#REF!,X$1-2020,FALSE)+
W102*(VLOOKUP($H97&amp;";Volume",#REF!,X$1-2019,FALSE)-VLOOKUP($H97&amp;";TauxRenouvellement",#REF!,X$1-2020,FALSE)*VLOOKUP($H97&amp;";Volume",#REF!,X$1-2020,FALSE)))/
VLOOKUP($H97&amp;";Volume",#REF!,X$1-2019,FALSE)</f>
        <v>#REF!</v>
      </c>
      <c r="Y102" t="e">
        <f>(VLOOKUP($H97&amp;";TauxRenouvellement",#REF!,Y$1-2020,FALSE)*VLOOKUP($H97&amp;";Volume",#REF!,Y$1-2020,FALSE)+
X102*(VLOOKUP($H97&amp;";Volume",#REF!,Y$1-2019,FALSE)-VLOOKUP($H97&amp;";TauxRenouvellement",#REF!,Y$1-2020,FALSE)*VLOOKUP($H97&amp;";Volume",#REF!,Y$1-2020,FALSE)))/
VLOOKUP($H97&amp;";Volume",#REF!,Y$1-2019,FALSE)</f>
        <v>#REF!</v>
      </c>
      <c r="Z102" t="e">
        <f>(VLOOKUP($H97&amp;";TauxRenouvellement",#REF!,Z$1-2020,FALSE)*VLOOKUP($H97&amp;";Volume",#REF!,Z$1-2020,FALSE)+
Y102*(VLOOKUP($H97&amp;";Volume",#REF!,Z$1-2019,FALSE)-VLOOKUP($H97&amp;";TauxRenouvellement",#REF!,Z$1-2020,FALSE)*VLOOKUP($H97&amp;";Volume",#REF!,Z$1-2020,FALSE)))/
VLOOKUP($H97&amp;";Volume",#REF!,Z$1-2019,FALSE)</f>
        <v>#REF!</v>
      </c>
      <c r="AA102" t="e">
        <f>(VLOOKUP($H97&amp;";TauxRenouvellement",#REF!,AA$1-2020,FALSE)*VLOOKUP($H97&amp;";Volume",#REF!,AA$1-2020,FALSE)+
Z102*(VLOOKUP($H97&amp;";Volume",#REF!,AA$1-2019,FALSE)-VLOOKUP($H97&amp;";TauxRenouvellement",#REF!,AA$1-2020,FALSE)*VLOOKUP($H97&amp;";Volume",#REF!,AA$1-2020,FALSE)))/
VLOOKUP($H97&amp;";Volume",#REF!,AA$1-2019,FALSE)</f>
        <v>#REF!</v>
      </c>
      <c r="AB102" t="e">
        <f>(VLOOKUP($H97&amp;";TauxRenouvellement",#REF!,AB$1-2020,FALSE)*VLOOKUP($H97&amp;";Volume",#REF!,AB$1-2020,FALSE)+
AA102*(VLOOKUP($H97&amp;";Volume",#REF!,AB$1-2019,FALSE)-VLOOKUP($H97&amp;";TauxRenouvellement",#REF!,AB$1-2020,FALSE)*VLOOKUP($H97&amp;";Volume",#REF!,AB$1-2020,FALSE)))/
VLOOKUP($H97&amp;";Volume",#REF!,AB$1-2019,FALSE)</f>
        <v>#REF!</v>
      </c>
      <c r="AC102" t="e">
        <f>(VLOOKUP($H97&amp;";TauxRenouvellement",#REF!,AC$1-2020,FALSE)*VLOOKUP($H97&amp;";Volume",#REF!,AC$1-2020,FALSE)+
AB102*(VLOOKUP($H97&amp;";Volume",#REF!,AC$1-2019,FALSE)-VLOOKUP($H97&amp;";TauxRenouvellement",#REF!,AC$1-2020,FALSE)*VLOOKUP($H97&amp;";Volume",#REF!,AC$1-2020,FALSE)))/
VLOOKUP($H97&amp;";Volume",#REF!,AC$1-2019,FALSE)</f>
        <v>#REF!</v>
      </c>
      <c r="AD102" t="e">
        <f>(VLOOKUP($H97&amp;";TauxRenouvellement",#REF!,AD$1-2020,FALSE)*VLOOKUP($H97&amp;";Volume",#REF!,AD$1-2020,FALSE)+
AC102*(VLOOKUP($H97&amp;";Volume",#REF!,AD$1-2019,FALSE)-VLOOKUP($H97&amp;";TauxRenouvellement",#REF!,AD$1-2020,FALSE)*VLOOKUP($H97&amp;";Volume",#REF!,AD$1-2020,FALSE)))/
VLOOKUP($H97&amp;";Volume",#REF!,AD$1-2019,FALSE)</f>
        <v>#REF!</v>
      </c>
      <c r="AE102" t="e">
        <f>(VLOOKUP($H97&amp;";TauxRenouvellement",#REF!,AE$1-2020,FALSE)*VLOOKUP($H97&amp;";Volume",#REF!,AE$1-2020,FALSE)+
AD102*(VLOOKUP($H97&amp;";Volume",#REF!,AE$1-2019,FALSE)-VLOOKUP($H97&amp;";TauxRenouvellement",#REF!,AE$1-2020,FALSE)*VLOOKUP($H97&amp;";Volume",#REF!,AE$1-2020,FALSE)))/
VLOOKUP($H97&amp;";Volume",#REF!,AE$1-2019,FALSE)</f>
        <v>#REF!</v>
      </c>
      <c r="AF102" t="e">
        <f>(VLOOKUP($H97&amp;";TauxRenouvellement",#REF!,AF$1-2020,FALSE)*VLOOKUP($H97&amp;";Volume",#REF!,AF$1-2020,FALSE)+
AE102*(VLOOKUP($H97&amp;";Volume",#REF!,AF$1-2019,FALSE)-VLOOKUP($H97&amp;";TauxRenouvellement",#REF!,AF$1-2020,FALSE)*VLOOKUP($H97&amp;";Volume",#REF!,AF$1-2020,FALSE)))/
VLOOKUP($H97&amp;";Volume",#REF!,AF$1-2019,FALSE)</f>
        <v>#REF!</v>
      </c>
      <c r="AG102" t="e">
        <f>(VLOOKUP($H97&amp;";TauxRenouvellement",#REF!,AG$1-2020,FALSE)*VLOOKUP($H97&amp;";Volume",#REF!,AG$1-2020,FALSE)+
AF102*(VLOOKUP($H97&amp;";Volume",#REF!,AG$1-2019,FALSE)-VLOOKUP($H97&amp;";TauxRenouvellement",#REF!,AG$1-2020,FALSE)*VLOOKUP($H97&amp;";Volume",#REF!,AG$1-2020,FALSE)))/
VLOOKUP($H97&amp;";Volume",#REF!,AG$1-2019,FALSE)</f>
        <v>#REF!</v>
      </c>
      <c r="AH102" t="e">
        <f>(VLOOKUP($H97&amp;";TauxRenouvellement",#REF!,AH$1-2020,FALSE)*VLOOKUP($H97&amp;";Volume",#REF!,AH$1-2020,FALSE)+
AG102*(VLOOKUP($H97&amp;";Volume",#REF!,AH$1-2019,FALSE)-VLOOKUP($H97&amp;";TauxRenouvellement",#REF!,AH$1-2020,FALSE)*VLOOKUP($H97&amp;";Volume",#REF!,AH$1-2020,FALSE)))/
VLOOKUP($H97&amp;";Volume",#REF!,AH$1-2019,FALSE)</f>
        <v>#REF!</v>
      </c>
      <c r="AI102" t="e">
        <f>(VLOOKUP($H97&amp;";TauxRenouvellement",#REF!,AI$1-2020,FALSE)*VLOOKUP($H97&amp;";Volume",#REF!,AI$1-2020,FALSE)+
AH102*(VLOOKUP($H97&amp;";Volume",#REF!,AI$1-2019,FALSE)-VLOOKUP($H97&amp;";TauxRenouvellement",#REF!,AI$1-2020,FALSE)*VLOOKUP($H97&amp;";Volume",#REF!,AI$1-2020,FALSE)))/
VLOOKUP($H97&amp;";Volume",#REF!,AI$1-2019,FALSE)</f>
        <v>#REF!</v>
      </c>
      <c r="AJ102" t="e">
        <f>(VLOOKUP($H97&amp;";TauxRenouvellement",#REF!,AJ$1-2020,FALSE)*VLOOKUP($H97&amp;";Volume",#REF!,AJ$1-2020,FALSE)+
AI102*(VLOOKUP($H97&amp;";Volume",#REF!,AJ$1-2019,FALSE)-VLOOKUP($H97&amp;";TauxRenouvellement",#REF!,AJ$1-2020,FALSE)*VLOOKUP($H97&amp;";Volume",#REF!,AJ$1-2020,FALSE)))/
VLOOKUP($H97&amp;";Volume",#REF!,AJ$1-2019,FALSE)</f>
        <v>#REF!</v>
      </c>
      <c r="AK102" t="e">
        <f>(VLOOKUP($H97&amp;";TauxRenouvellement",#REF!,AK$1-2020,FALSE)*VLOOKUP($H97&amp;";Volume",#REF!,AK$1-2020,FALSE)+
AJ102*(VLOOKUP($H97&amp;";Volume",#REF!,AK$1-2019,FALSE)-VLOOKUP($H97&amp;";TauxRenouvellement",#REF!,AK$1-2020,FALSE)*VLOOKUP($H97&amp;";Volume",#REF!,AK$1-2020,FALSE)))/
VLOOKUP($H97&amp;";Volume",#REF!,AK$1-2019,FALSE)</f>
        <v>#REF!</v>
      </c>
      <c r="AL102" t="e">
        <f>(VLOOKUP($H97&amp;";TauxRenouvellement",#REF!,AL$1-2020,FALSE)*VLOOKUP($H97&amp;";Volume",#REF!,AL$1-2020,FALSE)+
AK102*(VLOOKUP($H97&amp;";Volume",#REF!,AL$1-2019,FALSE)-VLOOKUP($H97&amp;";TauxRenouvellement",#REF!,AL$1-2020,FALSE)*VLOOKUP($H97&amp;";Volume",#REF!,AL$1-2020,FALSE)))/
VLOOKUP($H97&amp;";Volume",#REF!,AL$1-2019,FALSE)</f>
        <v>#REF!</v>
      </c>
      <c r="AM102" t="e">
        <f>(VLOOKUP($H97&amp;";TauxRenouvellement",#REF!,AM$1-2020,FALSE)*VLOOKUP($H97&amp;";Volume",#REF!,AM$1-2020,FALSE)+
AL102*(VLOOKUP($H97&amp;";Volume",#REF!,AM$1-2019,FALSE)-VLOOKUP($H97&amp;";TauxRenouvellement",#REF!,AM$1-2020,FALSE)*VLOOKUP($H97&amp;";Volume",#REF!,AM$1-2020,FALSE)))/
VLOOKUP($H97&amp;";Volume",#REF!,AM$1-2019,FALSE)</f>
        <v>#REF!</v>
      </c>
      <c r="AN102" t="e">
        <f>(VLOOKUP($H97&amp;";TauxRenouvellement",#REF!,AN$1-2020,FALSE)*VLOOKUP($H97&amp;";Volume",#REF!,AN$1-2020,FALSE)+
AM102*(VLOOKUP($H97&amp;";Volume",#REF!,AN$1-2019,FALSE)-VLOOKUP($H97&amp;";TauxRenouvellement",#REF!,AN$1-2020,FALSE)*VLOOKUP($H97&amp;";Volume",#REF!,AN$1-2020,FALSE)))/
VLOOKUP($H97&amp;";Volume",#REF!,AN$1-2019,FALSE)</f>
        <v>#REF!</v>
      </c>
      <c r="AO102" t="e">
        <f>(VLOOKUP($H97&amp;";TauxRenouvellement",#REF!,AO$1-2020,FALSE)*VLOOKUP($H97&amp;";Volume",#REF!,AO$1-2020,FALSE)+
AN102*(VLOOKUP($H97&amp;";Volume",#REF!,AO$1-2019,FALSE)-VLOOKUP($H97&amp;";TauxRenouvellement",#REF!,AO$1-2020,FALSE)*VLOOKUP($H97&amp;";Volume",#REF!,AO$1-2020,FALSE)))/
VLOOKUP($H97&amp;";Volume",#REF!,AO$1-2019,FALSE)</f>
        <v>#REF!</v>
      </c>
      <c r="AP102" t="e">
        <f>(VLOOKUP($H97&amp;";TauxRenouvellement",#REF!,AP$1-2020,FALSE)*VLOOKUP($H97&amp;";Volume",#REF!,AP$1-2020,FALSE)+
AO102*(VLOOKUP($H97&amp;";Volume",#REF!,AP$1-2019,FALSE)-VLOOKUP($H97&amp;";TauxRenouvellement",#REF!,AP$1-2020,FALSE)*VLOOKUP($H97&amp;";Volume",#REF!,AP$1-2020,FALSE)))/
VLOOKUP($H97&amp;";Volume",#REF!,AP$1-2019,FALSE)</f>
        <v>#REF!</v>
      </c>
    </row>
    <row r="103" spans="1:42" outlineLevel="1" x14ac:dyDescent="0.25">
      <c r="A103" t="s">
        <v>76</v>
      </c>
      <c r="B103" s="2" t="s">
        <v>98</v>
      </c>
      <c r="C103" t="s">
        <v>85</v>
      </c>
      <c r="E103" t="str">
        <f>_xlfn.CONCAT("FretRout",LEFT(B103,3),RIGHT(B103,2),"Nb")</f>
        <v>FretRoutCat10Nb</v>
      </c>
      <c r="F103" t="s">
        <v>17</v>
      </c>
      <c r="G103">
        <v>1</v>
      </c>
      <c r="J103" t="s">
        <v>86</v>
      </c>
      <c r="K103">
        <v>0</v>
      </c>
    </row>
    <row r="104" spans="1:42" outlineLevel="1" x14ac:dyDescent="0.25">
      <c r="A104" t="s">
        <v>76</v>
      </c>
      <c r="B104" s="2" t="s">
        <v>98</v>
      </c>
      <c r="C104" t="s">
        <v>87</v>
      </c>
      <c r="E104" t="str">
        <f>_xlfn.CONCAT("FretRout",LEFT(B104,3),RIGHT(B104,2),"Dist")</f>
        <v>FretRoutCat10Dist</v>
      </c>
      <c r="F104" t="s">
        <v>17</v>
      </c>
      <c r="G104">
        <v>1</v>
      </c>
      <c r="H104" s="2"/>
      <c r="J104" t="s">
        <v>88</v>
      </c>
      <c r="K104">
        <v>12015</v>
      </c>
    </row>
    <row r="105" spans="1:42" outlineLevel="1" x14ac:dyDescent="0.25">
      <c r="A105" t="s">
        <v>76</v>
      </c>
      <c r="B105" s="2" t="s">
        <v>98</v>
      </c>
      <c r="C105" s="2" t="s">
        <v>89</v>
      </c>
      <c r="E105" t="str">
        <f>_xlfn.CONCAT("FretRout",LEFT(B105,3),RIGHT(B105,2),"Rempl")</f>
        <v>FretRoutCat10Rempl</v>
      </c>
      <c r="F105" t="s">
        <v>17</v>
      </c>
      <c r="G105">
        <v>1</v>
      </c>
      <c r="H105" s="3"/>
      <c r="J105" t="s">
        <v>70</v>
      </c>
      <c r="K105">
        <v>0</v>
      </c>
    </row>
    <row r="106" spans="1:42" outlineLevel="1" x14ac:dyDescent="0.25">
      <c r="A106" t="s">
        <v>76</v>
      </c>
      <c r="B106" s="2" t="s">
        <v>99</v>
      </c>
      <c r="C106" t="s">
        <v>78</v>
      </c>
      <c r="E106" t="str">
        <f>_xlfn.CONCAT("FretRout",LEFT(B106,3),RIGHT(B106,2),"Nom")</f>
        <v>FretRoutCat11Nom</v>
      </c>
      <c r="F106" t="s">
        <v>20</v>
      </c>
      <c r="G106">
        <v>1</v>
      </c>
      <c r="H106" s="4"/>
      <c r="I106" s="4" t="s">
        <v>396</v>
      </c>
      <c r="K106" s="4" t="str">
        <f t="shared" ref="K106:K112" si="10">I106</f>
        <v>PL Electrique &gt;7.5-12t (Crit'Air E)</v>
      </c>
    </row>
    <row r="107" spans="1:42" outlineLevel="1" x14ac:dyDescent="0.25">
      <c r="A107" t="s">
        <v>76</v>
      </c>
      <c r="B107" s="2" t="s">
        <v>99</v>
      </c>
      <c r="C107" t="s">
        <v>79</v>
      </c>
      <c r="E107" t="str">
        <f>_xlfn.CONCAT("FretRout",LEFT(B107,3),RIGHT(B107,2),"Type")</f>
        <v>FretRoutCat11Type</v>
      </c>
      <c r="F107" t="s">
        <v>20</v>
      </c>
      <c r="G107">
        <v>1</v>
      </c>
      <c r="I107" t="s">
        <v>1771</v>
      </c>
      <c r="K107" s="4" t="str">
        <f t="shared" si="10"/>
        <v>PL</v>
      </c>
    </row>
    <row r="108" spans="1:42" outlineLevel="1" x14ac:dyDescent="0.25">
      <c r="A108" t="s">
        <v>76</v>
      </c>
      <c r="B108" s="2" t="s">
        <v>99</v>
      </c>
      <c r="C108" t="s">
        <v>80</v>
      </c>
      <c r="E108" t="str">
        <f>_xlfn.CONCAT("FretRout",LEFT(B108,3),RIGHT(B108,2),"PTAC")</f>
        <v>FretRoutCat11PTAC</v>
      </c>
      <c r="F108" t="s">
        <v>36</v>
      </c>
      <c r="G108">
        <v>1</v>
      </c>
      <c r="I108" t="s">
        <v>1458</v>
      </c>
      <c r="K108" s="4" t="str">
        <f t="shared" si="10"/>
        <v>&gt;7.5-12t</v>
      </c>
    </row>
    <row r="109" spans="1:42" outlineLevel="1" x14ac:dyDescent="0.25">
      <c r="A109" t="s">
        <v>76</v>
      </c>
      <c r="B109" s="2" t="s">
        <v>99</v>
      </c>
      <c r="C109" t="s">
        <v>81</v>
      </c>
      <c r="E109" t="str">
        <f>_xlfn.CONCAT("FretRout",LEFT(B109,3),RIGHT(B109,2),"Mot")</f>
        <v>FretRoutCat11Mot</v>
      </c>
      <c r="F109" t="s">
        <v>36</v>
      </c>
      <c r="G109">
        <v>1</v>
      </c>
      <c r="H109" s="2"/>
      <c r="I109" t="s">
        <v>456</v>
      </c>
      <c r="K109" s="4" t="str">
        <f t="shared" si="10"/>
        <v>Electrique</v>
      </c>
    </row>
    <row r="110" spans="1:42" outlineLevel="1" x14ac:dyDescent="0.25">
      <c r="A110" t="s">
        <v>76</v>
      </c>
      <c r="B110" s="2" t="s">
        <v>99</v>
      </c>
      <c r="C110" t="s">
        <v>82</v>
      </c>
      <c r="E110" t="str">
        <f>_xlfn.CONCAT("FretRout",LEFT(B110,3),RIGHT(B110,2),"Carb")</f>
        <v>FretRoutCat11Carb</v>
      </c>
      <c r="F110" t="s">
        <v>36</v>
      </c>
      <c r="G110">
        <v>1</v>
      </c>
      <c r="I110">
        <v>0</v>
      </c>
      <c r="K110" s="4">
        <f t="shared" si="10"/>
        <v>0</v>
      </c>
    </row>
    <row r="111" spans="1:42" outlineLevel="1" x14ac:dyDescent="0.25">
      <c r="A111" t="s">
        <v>76</v>
      </c>
      <c r="B111" s="2" t="s">
        <v>99</v>
      </c>
      <c r="C111" t="s">
        <v>83</v>
      </c>
      <c r="E111" t="str">
        <f>_xlfn.CONCAT("FretRout",LEFT(B111,3),RIGHT(B111,2),"Euro")</f>
        <v>FretRoutCat11Euro</v>
      </c>
      <c r="F111" t="s">
        <v>36</v>
      </c>
      <c r="G111">
        <v>1</v>
      </c>
      <c r="I111">
        <v>0</v>
      </c>
      <c r="K111" s="4">
        <f t="shared" si="10"/>
        <v>0</v>
      </c>
    </row>
    <row r="112" spans="1:42" outlineLevel="1" x14ac:dyDescent="0.25">
      <c r="A112" t="s">
        <v>76</v>
      </c>
      <c r="B112" s="2" t="s">
        <v>99</v>
      </c>
      <c r="C112" t="s">
        <v>84</v>
      </c>
      <c r="E112" t="str">
        <f>_xlfn.CONCAT("FretRout",LEFT(B112,3),RIGHT(B112,2),"CritAir")</f>
        <v>FretRoutCat11CritAir</v>
      </c>
      <c r="F112" t="s">
        <v>36</v>
      </c>
      <c r="G112">
        <v>1</v>
      </c>
      <c r="H112" s="2"/>
      <c r="I112" t="s">
        <v>1453</v>
      </c>
      <c r="K112" s="4" t="str">
        <f t="shared" si="10"/>
        <v>E</v>
      </c>
    </row>
    <row r="113" spans="1:11" outlineLevel="1" x14ac:dyDescent="0.25">
      <c r="A113" t="s">
        <v>76</v>
      </c>
      <c r="B113" s="2" t="s">
        <v>99</v>
      </c>
      <c r="C113" t="s">
        <v>85</v>
      </c>
      <c r="E113" t="str">
        <f>_xlfn.CONCAT("FretRout",LEFT(B113,3),RIGHT(B113,2),"Nb")</f>
        <v>FretRoutCat11Nb</v>
      </c>
      <c r="F113" t="s">
        <v>17</v>
      </c>
      <c r="G113">
        <v>1</v>
      </c>
      <c r="J113" t="s">
        <v>86</v>
      </c>
      <c r="K113">
        <v>0</v>
      </c>
    </row>
    <row r="114" spans="1:11" outlineLevel="1" x14ac:dyDescent="0.25">
      <c r="A114" t="s">
        <v>76</v>
      </c>
      <c r="B114" s="2" t="s">
        <v>99</v>
      </c>
      <c r="C114" t="s">
        <v>87</v>
      </c>
      <c r="E114" t="str">
        <f>_xlfn.CONCAT("FretRout",LEFT(B114,3),RIGHT(B114,2),"Dist")</f>
        <v>FretRoutCat11Dist</v>
      </c>
      <c r="F114" t="s">
        <v>17</v>
      </c>
      <c r="G114">
        <v>1</v>
      </c>
      <c r="H114" s="2"/>
      <c r="J114" t="s">
        <v>88</v>
      </c>
      <c r="K114">
        <v>12015</v>
      </c>
    </row>
    <row r="115" spans="1:11" outlineLevel="1" x14ac:dyDescent="0.25">
      <c r="A115" t="s">
        <v>76</v>
      </c>
      <c r="B115" s="2" t="s">
        <v>99</v>
      </c>
      <c r="C115" s="2" t="s">
        <v>89</v>
      </c>
      <c r="E115" t="str">
        <f>_xlfn.CONCAT("FretRout",LEFT(B115,3),RIGHT(B115,2),"Rempl")</f>
        <v>FretRoutCat11Rempl</v>
      </c>
      <c r="F115" t="s">
        <v>17</v>
      </c>
      <c r="G115">
        <v>1</v>
      </c>
      <c r="H115" s="3"/>
      <c r="J115" t="s">
        <v>70</v>
      </c>
      <c r="K115">
        <v>0</v>
      </c>
    </row>
    <row r="116" spans="1:11" outlineLevel="1" x14ac:dyDescent="0.25">
      <c r="A116" t="s">
        <v>76</v>
      </c>
      <c r="B116" s="2" t="s">
        <v>100</v>
      </c>
      <c r="C116" t="s">
        <v>78</v>
      </c>
      <c r="E116" t="str">
        <f>_xlfn.CONCAT("FretRout",LEFT(B116,3),RIGHT(B116,2),"Nom")</f>
        <v>FretRoutCat12Nom</v>
      </c>
      <c r="F116" t="s">
        <v>20</v>
      </c>
      <c r="G116">
        <v>1</v>
      </c>
      <c r="H116" s="4"/>
      <c r="I116" s="4" t="s">
        <v>397</v>
      </c>
      <c r="K116" s="4" t="str">
        <f t="shared" ref="K116:K122" si="11">I116</f>
        <v>PL Electrique &gt;14-20t (Crit'Air E)</v>
      </c>
    </row>
    <row r="117" spans="1:11" outlineLevel="1" x14ac:dyDescent="0.25">
      <c r="A117" t="s">
        <v>76</v>
      </c>
      <c r="B117" s="2" t="s">
        <v>100</v>
      </c>
      <c r="C117" t="s">
        <v>79</v>
      </c>
      <c r="E117" t="str">
        <f>_xlfn.CONCAT("FretRout",LEFT(B117,3),RIGHT(B117,2),"Type")</f>
        <v>FretRoutCat12Type</v>
      </c>
      <c r="F117" t="s">
        <v>20</v>
      </c>
      <c r="G117">
        <v>1</v>
      </c>
      <c r="I117" t="s">
        <v>1771</v>
      </c>
      <c r="K117" s="4" t="str">
        <f t="shared" si="11"/>
        <v>PL</v>
      </c>
    </row>
    <row r="118" spans="1:11" outlineLevel="1" x14ac:dyDescent="0.25">
      <c r="A118" t="s">
        <v>76</v>
      </c>
      <c r="B118" s="2" t="s">
        <v>100</v>
      </c>
      <c r="C118" t="s">
        <v>80</v>
      </c>
      <c r="E118" t="str">
        <f>_xlfn.CONCAT("FretRout",LEFT(B118,3),RIGHT(B118,2),"PTAC")</f>
        <v>FretRoutCat12PTAC</v>
      </c>
      <c r="F118" t="s">
        <v>36</v>
      </c>
      <c r="G118">
        <v>1</v>
      </c>
      <c r="I118" t="s">
        <v>1459</v>
      </c>
      <c r="K118" s="4" t="str">
        <f t="shared" si="11"/>
        <v>&gt;14-20t</v>
      </c>
    </row>
    <row r="119" spans="1:11" outlineLevel="1" x14ac:dyDescent="0.25">
      <c r="A119" t="s">
        <v>76</v>
      </c>
      <c r="B119" s="2" t="s">
        <v>100</v>
      </c>
      <c r="C119" t="s">
        <v>81</v>
      </c>
      <c r="E119" t="str">
        <f>_xlfn.CONCAT("FretRout",LEFT(B119,3),RIGHT(B119,2),"Mot")</f>
        <v>FretRoutCat12Mot</v>
      </c>
      <c r="F119" t="s">
        <v>36</v>
      </c>
      <c r="G119">
        <v>1</v>
      </c>
      <c r="H119" s="2"/>
      <c r="I119" t="s">
        <v>456</v>
      </c>
      <c r="K119" s="4" t="str">
        <f t="shared" si="11"/>
        <v>Electrique</v>
      </c>
    </row>
    <row r="120" spans="1:11" outlineLevel="1" x14ac:dyDescent="0.25">
      <c r="A120" t="s">
        <v>76</v>
      </c>
      <c r="B120" s="2" t="s">
        <v>100</v>
      </c>
      <c r="C120" t="s">
        <v>82</v>
      </c>
      <c r="E120" t="str">
        <f>_xlfn.CONCAT("FretRout",LEFT(B120,3),RIGHT(B120,2),"Carb")</f>
        <v>FretRoutCat12Carb</v>
      </c>
      <c r="F120" t="s">
        <v>36</v>
      </c>
      <c r="G120">
        <v>1</v>
      </c>
      <c r="I120">
        <v>0</v>
      </c>
      <c r="K120" s="4">
        <f t="shared" si="11"/>
        <v>0</v>
      </c>
    </row>
    <row r="121" spans="1:11" outlineLevel="1" x14ac:dyDescent="0.25">
      <c r="A121" t="s">
        <v>76</v>
      </c>
      <c r="B121" s="2" t="s">
        <v>100</v>
      </c>
      <c r="C121" t="s">
        <v>83</v>
      </c>
      <c r="E121" t="str">
        <f>_xlfn.CONCAT("FretRout",LEFT(B121,3),RIGHT(B121,2),"Euro")</f>
        <v>FretRoutCat12Euro</v>
      </c>
      <c r="F121" t="s">
        <v>36</v>
      </c>
      <c r="G121">
        <v>1</v>
      </c>
      <c r="I121">
        <v>0</v>
      </c>
      <c r="K121" s="4">
        <f t="shared" si="11"/>
        <v>0</v>
      </c>
    </row>
    <row r="122" spans="1:11" outlineLevel="1" x14ac:dyDescent="0.25">
      <c r="A122" t="s">
        <v>76</v>
      </c>
      <c r="B122" s="2" t="s">
        <v>100</v>
      </c>
      <c r="C122" t="s">
        <v>84</v>
      </c>
      <c r="E122" t="str">
        <f>_xlfn.CONCAT("FretRout",LEFT(B122,3),RIGHT(B122,2),"CritAir")</f>
        <v>FretRoutCat12CritAir</v>
      </c>
      <c r="F122" t="s">
        <v>36</v>
      </c>
      <c r="G122">
        <v>1</v>
      </c>
      <c r="H122" s="2"/>
      <c r="I122" t="s">
        <v>1453</v>
      </c>
      <c r="K122" s="4" t="str">
        <f t="shared" si="11"/>
        <v>E</v>
      </c>
    </row>
    <row r="123" spans="1:11" outlineLevel="1" x14ac:dyDescent="0.25">
      <c r="A123" t="s">
        <v>76</v>
      </c>
      <c r="B123" s="2" t="s">
        <v>100</v>
      </c>
      <c r="C123" t="s">
        <v>85</v>
      </c>
      <c r="E123" t="str">
        <f>_xlfn.CONCAT("FretRout",LEFT(B123,3),RIGHT(B123,2),"Nb")</f>
        <v>FretRoutCat12Nb</v>
      </c>
      <c r="F123" t="s">
        <v>17</v>
      </c>
      <c r="G123">
        <v>1</v>
      </c>
      <c r="J123" t="s">
        <v>86</v>
      </c>
      <c r="K123">
        <v>0</v>
      </c>
    </row>
    <row r="124" spans="1:11" outlineLevel="1" x14ac:dyDescent="0.25">
      <c r="A124" t="s">
        <v>76</v>
      </c>
      <c r="B124" s="2" t="s">
        <v>100</v>
      </c>
      <c r="C124" t="s">
        <v>87</v>
      </c>
      <c r="E124" t="str">
        <f>_xlfn.CONCAT("FretRout",LEFT(B124,3),RIGHT(B124,2),"Dist")</f>
        <v>FretRoutCat12Dist</v>
      </c>
      <c r="F124" t="s">
        <v>17</v>
      </c>
      <c r="G124">
        <v>1</v>
      </c>
      <c r="H124" s="2"/>
      <c r="J124" t="s">
        <v>88</v>
      </c>
      <c r="K124">
        <v>12015</v>
      </c>
    </row>
    <row r="125" spans="1:11" outlineLevel="1" x14ac:dyDescent="0.25">
      <c r="A125" t="s">
        <v>76</v>
      </c>
      <c r="B125" s="2" t="s">
        <v>100</v>
      </c>
      <c r="C125" s="2" t="s">
        <v>89</v>
      </c>
      <c r="E125" t="str">
        <f>_xlfn.CONCAT("FretRout",LEFT(B125,3),RIGHT(B125,2),"Rempl")</f>
        <v>FretRoutCat12Rempl</v>
      </c>
      <c r="F125" t="s">
        <v>17</v>
      </c>
      <c r="G125">
        <v>1</v>
      </c>
      <c r="H125" s="3"/>
      <c r="J125" t="s">
        <v>70</v>
      </c>
      <c r="K125">
        <v>0</v>
      </c>
    </row>
    <row r="126" spans="1:11" outlineLevel="1" x14ac:dyDescent="0.25">
      <c r="A126" t="s">
        <v>76</v>
      </c>
      <c r="B126" s="2" t="s">
        <v>101</v>
      </c>
      <c r="C126" t="s">
        <v>78</v>
      </c>
      <c r="E126" t="str">
        <f>_xlfn.CONCAT("FretRout",LEFT(B126,3),RIGHT(B126,2),"Nom")</f>
        <v>FretRoutCat13Nom</v>
      </c>
      <c r="F126" t="s">
        <v>20</v>
      </c>
      <c r="G126">
        <v>1</v>
      </c>
      <c r="H126" s="4"/>
      <c r="I126" s="4" t="s">
        <v>398</v>
      </c>
      <c r="K126" s="4" t="str">
        <f t="shared" ref="K126:K132" si="12">I126</f>
        <v>PL Electrique &gt;20-26t (Crit'Air E)</v>
      </c>
    </row>
    <row r="127" spans="1:11" outlineLevel="1" x14ac:dyDescent="0.25">
      <c r="A127" t="s">
        <v>76</v>
      </c>
      <c r="B127" s="2" t="s">
        <v>101</v>
      </c>
      <c r="C127" t="s">
        <v>79</v>
      </c>
      <c r="E127" t="str">
        <f>_xlfn.CONCAT("FretRout",LEFT(B127,3),RIGHT(B127,2),"Type")</f>
        <v>FretRoutCat13Type</v>
      </c>
      <c r="F127" t="s">
        <v>20</v>
      </c>
      <c r="G127">
        <v>1</v>
      </c>
      <c r="I127" t="s">
        <v>1771</v>
      </c>
      <c r="K127" s="4" t="str">
        <f t="shared" si="12"/>
        <v>PL</v>
      </c>
    </row>
    <row r="128" spans="1:11" outlineLevel="1" x14ac:dyDescent="0.25">
      <c r="A128" t="s">
        <v>76</v>
      </c>
      <c r="B128" s="2" t="s">
        <v>101</v>
      </c>
      <c r="C128" t="s">
        <v>80</v>
      </c>
      <c r="E128" t="str">
        <f>_xlfn.CONCAT("FretRout",LEFT(B128,3),RIGHT(B128,2),"PTAC")</f>
        <v>FretRoutCat13PTAC</v>
      </c>
      <c r="F128" t="s">
        <v>36</v>
      </c>
      <c r="G128">
        <v>1</v>
      </c>
      <c r="I128" t="s">
        <v>1460</v>
      </c>
      <c r="K128" s="4" t="str">
        <f t="shared" si="12"/>
        <v>&gt;20-26t</v>
      </c>
    </row>
    <row r="129" spans="1:11" outlineLevel="1" x14ac:dyDescent="0.25">
      <c r="A129" t="s">
        <v>76</v>
      </c>
      <c r="B129" s="2" t="s">
        <v>101</v>
      </c>
      <c r="C129" t="s">
        <v>81</v>
      </c>
      <c r="E129" t="str">
        <f>_xlfn.CONCAT("FretRout",LEFT(B129,3),RIGHT(B129,2),"Mot")</f>
        <v>FretRoutCat13Mot</v>
      </c>
      <c r="F129" t="s">
        <v>36</v>
      </c>
      <c r="G129">
        <v>1</v>
      </c>
      <c r="H129" s="2"/>
      <c r="I129" t="s">
        <v>456</v>
      </c>
      <c r="K129" s="4" t="str">
        <f t="shared" si="12"/>
        <v>Electrique</v>
      </c>
    </row>
    <row r="130" spans="1:11" outlineLevel="1" x14ac:dyDescent="0.25">
      <c r="A130" t="s">
        <v>76</v>
      </c>
      <c r="B130" s="2" t="s">
        <v>101</v>
      </c>
      <c r="C130" t="s">
        <v>82</v>
      </c>
      <c r="E130" t="str">
        <f>_xlfn.CONCAT("FretRout",LEFT(B130,3),RIGHT(B130,2),"Carb")</f>
        <v>FretRoutCat13Carb</v>
      </c>
      <c r="F130" t="s">
        <v>36</v>
      </c>
      <c r="G130">
        <v>1</v>
      </c>
      <c r="I130">
        <v>0</v>
      </c>
      <c r="K130" s="4">
        <f t="shared" si="12"/>
        <v>0</v>
      </c>
    </row>
    <row r="131" spans="1:11" outlineLevel="1" x14ac:dyDescent="0.25">
      <c r="A131" t="s">
        <v>76</v>
      </c>
      <c r="B131" s="2" t="s">
        <v>101</v>
      </c>
      <c r="C131" t="s">
        <v>83</v>
      </c>
      <c r="E131" t="str">
        <f>_xlfn.CONCAT("FretRout",LEFT(B131,3),RIGHT(B131,2),"Euro")</f>
        <v>FretRoutCat13Euro</v>
      </c>
      <c r="F131" t="s">
        <v>36</v>
      </c>
      <c r="G131">
        <v>1</v>
      </c>
      <c r="I131">
        <v>0</v>
      </c>
      <c r="K131" s="4">
        <f t="shared" si="12"/>
        <v>0</v>
      </c>
    </row>
    <row r="132" spans="1:11" outlineLevel="1" x14ac:dyDescent="0.25">
      <c r="A132" t="s">
        <v>76</v>
      </c>
      <c r="B132" s="2" t="s">
        <v>101</v>
      </c>
      <c r="C132" t="s">
        <v>84</v>
      </c>
      <c r="E132" t="str">
        <f>_xlfn.CONCAT("FretRout",LEFT(B132,3),RIGHT(B132,2),"CritAir")</f>
        <v>FretRoutCat13CritAir</v>
      </c>
      <c r="F132" t="s">
        <v>36</v>
      </c>
      <c r="G132">
        <v>1</v>
      </c>
      <c r="H132" s="2"/>
      <c r="I132" t="s">
        <v>1453</v>
      </c>
      <c r="K132" s="4" t="str">
        <f t="shared" si="12"/>
        <v>E</v>
      </c>
    </row>
    <row r="133" spans="1:11" outlineLevel="1" x14ac:dyDescent="0.25">
      <c r="A133" t="s">
        <v>76</v>
      </c>
      <c r="B133" s="2" t="s">
        <v>101</v>
      </c>
      <c r="C133" t="s">
        <v>85</v>
      </c>
      <c r="E133" t="str">
        <f>_xlfn.CONCAT("FretRout",LEFT(B133,3),RIGHT(B133,2),"Nb")</f>
        <v>FretRoutCat13Nb</v>
      </c>
      <c r="F133" t="s">
        <v>17</v>
      </c>
      <c r="G133">
        <v>1</v>
      </c>
      <c r="J133" t="s">
        <v>86</v>
      </c>
      <c r="K133">
        <v>0</v>
      </c>
    </row>
    <row r="134" spans="1:11" outlineLevel="1" x14ac:dyDescent="0.25">
      <c r="A134" t="s">
        <v>76</v>
      </c>
      <c r="B134" s="2" t="s">
        <v>101</v>
      </c>
      <c r="C134" t="s">
        <v>87</v>
      </c>
      <c r="E134" t="str">
        <f>_xlfn.CONCAT("FretRout",LEFT(B134,3),RIGHT(B134,2),"Dist")</f>
        <v>FretRoutCat13Dist</v>
      </c>
      <c r="F134" t="s">
        <v>17</v>
      </c>
      <c r="G134">
        <v>1</v>
      </c>
      <c r="H134" s="2"/>
      <c r="J134" t="s">
        <v>88</v>
      </c>
      <c r="K134">
        <v>12015</v>
      </c>
    </row>
    <row r="135" spans="1:11" outlineLevel="1" x14ac:dyDescent="0.25">
      <c r="A135" t="s">
        <v>76</v>
      </c>
      <c r="B135" s="2" t="s">
        <v>101</v>
      </c>
      <c r="C135" s="2" t="s">
        <v>89</v>
      </c>
      <c r="E135" t="str">
        <f>_xlfn.CONCAT("FretRout",LEFT(B135,3),RIGHT(B135,2),"Rempl")</f>
        <v>FretRoutCat13Rempl</v>
      </c>
      <c r="F135" t="s">
        <v>17</v>
      </c>
      <c r="G135">
        <v>1</v>
      </c>
      <c r="H135" s="3"/>
      <c r="J135" t="s">
        <v>70</v>
      </c>
      <c r="K135">
        <v>0</v>
      </c>
    </row>
    <row r="136" spans="1:11" outlineLevel="1" x14ac:dyDescent="0.25">
      <c r="A136" t="s">
        <v>76</v>
      </c>
      <c r="B136" s="2" t="s">
        <v>102</v>
      </c>
      <c r="C136" t="s">
        <v>78</v>
      </c>
      <c r="E136" t="str">
        <f>_xlfn.CONCAT("FretRout",LEFT(B136,3),RIGHT(B136,2),"Nom")</f>
        <v>FretRoutCat14Nom</v>
      </c>
      <c r="F136" t="s">
        <v>20</v>
      </c>
      <c r="G136">
        <v>1</v>
      </c>
      <c r="H136" s="4"/>
      <c r="I136" s="4" t="s">
        <v>399</v>
      </c>
      <c r="K136" s="4" t="str">
        <f t="shared" ref="K136:K142" si="13">I136</f>
        <v>PL Electrique &gt;28-34t (Crit'Air E)</v>
      </c>
    </row>
    <row r="137" spans="1:11" outlineLevel="1" x14ac:dyDescent="0.25">
      <c r="A137" t="s">
        <v>76</v>
      </c>
      <c r="B137" s="2" t="s">
        <v>102</v>
      </c>
      <c r="C137" t="s">
        <v>79</v>
      </c>
      <c r="E137" t="str">
        <f>_xlfn.CONCAT("FretRout",LEFT(B137,3),RIGHT(B137,2),"Type")</f>
        <v>FretRoutCat14Type</v>
      </c>
      <c r="F137" t="s">
        <v>20</v>
      </c>
      <c r="G137">
        <v>1</v>
      </c>
      <c r="I137" t="s">
        <v>1771</v>
      </c>
      <c r="K137" s="4" t="str">
        <f t="shared" si="13"/>
        <v>PL</v>
      </c>
    </row>
    <row r="138" spans="1:11" outlineLevel="1" x14ac:dyDescent="0.25">
      <c r="A138" t="s">
        <v>76</v>
      </c>
      <c r="B138" s="2" t="s">
        <v>102</v>
      </c>
      <c r="C138" t="s">
        <v>80</v>
      </c>
      <c r="E138" t="str">
        <f>_xlfn.CONCAT("FretRout",LEFT(B138,3),RIGHT(B138,2),"PTAC")</f>
        <v>FretRoutCat14PTAC</v>
      </c>
      <c r="F138" t="s">
        <v>36</v>
      </c>
      <c r="G138">
        <v>1</v>
      </c>
      <c r="I138" t="s">
        <v>1461</v>
      </c>
      <c r="K138" s="4" t="str">
        <f t="shared" si="13"/>
        <v>&gt;28-34t</v>
      </c>
    </row>
    <row r="139" spans="1:11" outlineLevel="1" x14ac:dyDescent="0.25">
      <c r="A139" t="s">
        <v>76</v>
      </c>
      <c r="B139" s="2" t="s">
        <v>102</v>
      </c>
      <c r="C139" t="s">
        <v>81</v>
      </c>
      <c r="E139" t="str">
        <f>_xlfn.CONCAT("FretRout",LEFT(B139,3),RIGHT(B139,2),"Mot")</f>
        <v>FretRoutCat14Mot</v>
      </c>
      <c r="F139" t="s">
        <v>36</v>
      </c>
      <c r="G139">
        <v>1</v>
      </c>
      <c r="H139" s="2"/>
      <c r="I139" t="s">
        <v>456</v>
      </c>
      <c r="K139" s="4" t="str">
        <f t="shared" si="13"/>
        <v>Electrique</v>
      </c>
    </row>
    <row r="140" spans="1:11" outlineLevel="1" x14ac:dyDescent="0.25">
      <c r="A140" t="s">
        <v>76</v>
      </c>
      <c r="B140" s="2" t="s">
        <v>102</v>
      </c>
      <c r="C140" t="s">
        <v>82</v>
      </c>
      <c r="E140" t="str">
        <f>_xlfn.CONCAT("FretRout",LEFT(B140,3),RIGHT(B140,2),"Carb")</f>
        <v>FretRoutCat14Carb</v>
      </c>
      <c r="F140" t="s">
        <v>36</v>
      </c>
      <c r="G140">
        <v>1</v>
      </c>
      <c r="I140">
        <v>0</v>
      </c>
      <c r="K140" s="4">
        <f t="shared" si="13"/>
        <v>0</v>
      </c>
    </row>
    <row r="141" spans="1:11" outlineLevel="1" x14ac:dyDescent="0.25">
      <c r="A141" t="s">
        <v>76</v>
      </c>
      <c r="B141" s="2" t="s">
        <v>102</v>
      </c>
      <c r="C141" t="s">
        <v>83</v>
      </c>
      <c r="E141" t="str">
        <f>_xlfn.CONCAT("FretRout",LEFT(B141,3),RIGHT(B141,2),"Euro")</f>
        <v>FretRoutCat14Euro</v>
      </c>
      <c r="F141" t="s">
        <v>36</v>
      </c>
      <c r="G141">
        <v>1</v>
      </c>
      <c r="I141">
        <v>0</v>
      </c>
      <c r="K141" s="4">
        <f t="shared" si="13"/>
        <v>0</v>
      </c>
    </row>
    <row r="142" spans="1:11" outlineLevel="1" x14ac:dyDescent="0.25">
      <c r="A142" t="s">
        <v>76</v>
      </c>
      <c r="B142" s="2" t="s">
        <v>102</v>
      </c>
      <c r="C142" t="s">
        <v>84</v>
      </c>
      <c r="E142" t="str">
        <f>_xlfn.CONCAT("FretRout",LEFT(B142,3),RIGHT(B142,2),"CritAir")</f>
        <v>FretRoutCat14CritAir</v>
      </c>
      <c r="F142" t="s">
        <v>36</v>
      </c>
      <c r="G142">
        <v>1</v>
      </c>
      <c r="H142" s="2"/>
      <c r="I142" t="s">
        <v>1453</v>
      </c>
      <c r="K142" s="4" t="str">
        <f t="shared" si="13"/>
        <v>E</v>
      </c>
    </row>
    <row r="143" spans="1:11" outlineLevel="1" x14ac:dyDescent="0.25">
      <c r="A143" t="s">
        <v>76</v>
      </c>
      <c r="B143" s="2" t="s">
        <v>102</v>
      </c>
      <c r="C143" t="s">
        <v>85</v>
      </c>
      <c r="E143" t="str">
        <f>_xlfn.CONCAT("FretRout",LEFT(B143,3),RIGHT(B143,2),"Nb")</f>
        <v>FretRoutCat14Nb</v>
      </c>
      <c r="F143" t="s">
        <v>17</v>
      </c>
      <c r="G143">
        <v>1</v>
      </c>
      <c r="J143" t="s">
        <v>86</v>
      </c>
      <c r="K143">
        <v>0</v>
      </c>
    </row>
    <row r="144" spans="1:11" outlineLevel="1" x14ac:dyDescent="0.25">
      <c r="A144" t="s">
        <v>76</v>
      </c>
      <c r="B144" s="2" t="s">
        <v>102</v>
      </c>
      <c r="C144" t="s">
        <v>87</v>
      </c>
      <c r="E144" t="str">
        <f>_xlfn.CONCAT("FretRout",LEFT(B144,3),RIGHT(B144,2),"Dist")</f>
        <v>FretRoutCat14Dist</v>
      </c>
      <c r="F144" t="s">
        <v>17</v>
      </c>
      <c r="G144">
        <v>1</v>
      </c>
      <c r="H144" s="2"/>
      <c r="J144" t="s">
        <v>88</v>
      </c>
      <c r="K144">
        <v>12015</v>
      </c>
    </row>
    <row r="145" spans="1:11" outlineLevel="1" x14ac:dyDescent="0.25">
      <c r="A145" t="s">
        <v>76</v>
      </c>
      <c r="B145" s="2" t="s">
        <v>102</v>
      </c>
      <c r="C145" s="2" t="s">
        <v>89</v>
      </c>
      <c r="E145" t="str">
        <f>_xlfn.CONCAT("FretRout",LEFT(B145,3),RIGHT(B145,2),"Rempl")</f>
        <v>FretRoutCat14Rempl</v>
      </c>
      <c r="F145" t="s">
        <v>17</v>
      </c>
      <c r="G145">
        <v>1</v>
      </c>
      <c r="H145" s="3"/>
      <c r="J145" t="s">
        <v>70</v>
      </c>
      <c r="K145">
        <v>0</v>
      </c>
    </row>
    <row r="146" spans="1:11" outlineLevel="1" x14ac:dyDescent="0.25">
      <c r="A146" t="s">
        <v>76</v>
      </c>
      <c r="B146" s="2" t="s">
        <v>103</v>
      </c>
      <c r="C146" t="s">
        <v>78</v>
      </c>
      <c r="E146" t="str">
        <f>_xlfn.CONCAT("FretRout",LEFT(B146,3),RIGHT(B146,2),"Nom")</f>
        <v>FretRoutCat15Nom</v>
      </c>
      <c r="F146" t="s">
        <v>20</v>
      </c>
      <c r="G146">
        <v>1</v>
      </c>
      <c r="H146" s="4"/>
      <c r="I146" s="4" t="s">
        <v>400</v>
      </c>
      <c r="K146" s="4" t="str">
        <f t="shared" ref="K146:K152" si="14">I146</f>
        <v>PL Electrique &gt;34-40t (Crit'Air E)</v>
      </c>
    </row>
    <row r="147" spans="1:11" outlineLevel="1" x14ac:dyDescent="0.25">
      <c r="A147" t="s">
        <v>76</v>
      </c>
      <c r="B147" s="2" t="s">
        <v>103</v>
      </c>
      <c r="C147" t="s">
        <v>79</v>
      </c>
      <c r="E147" t="str">
        <f>_xlfn.CONCAT("FretRout",LEFT(B147,3),RIGHT(B147,2),"Type")</f>
        <v>FretRoutCat15Type</v>
      </c>
      <c r="F147" t="s">
        <v>20</v>
      </c>
      <c r="G147">
        <v>1</v>
      </c>
      <c r="I147" t="s">
        <v>1771</v>
      </c>
      <c r="K147" s="4" t="str">
        <f t="shared" si="14"/>
        <v>PL</v>
      </c>
    </row>
    <row r="148" spans="1:11" outlineLevel="1" x14ac:dyDescent="0.25">
      <c r="A148" t="s">
        <v>76</v>
      </c>
      <c r="B148" s="2" t="s">
        <v>103</v>
      </c>
      <c r="C148" t="s">
        <v>80</v>
      </c>
      <c r="E148" t="str">
        <f>_xlfn.CONCAT("FretRout",LEFT(B148,3),RIGHT(B148,2),"PTAC")</f>
        <v>FretRoutCat15PTAC</v>
      </c>
      <c r="F148" t="s">
        <v>36</v>
      </c>
      <c r="G148">
        <v>1</v>
      </c>
      <c r="I148" t="s">
        <v>1462</v>
      </c>
      <c r="K148" s="4" t="str">
        <f t="shared" si="14"/>
        <v>&gt;34-40t</v>
      </c>
    </row>
    <row r="149" spans="1:11" outlineLevel="1" x14ac:dyDescent="0.25">
      <c r="A149" t="s">
        <v>76</v>
      </c>
      <c r="B149" s="2" t="s">
        <v>103</v>
      </c>
      <c r="C149" t="s">
        <v>81</v>
      </c>
      <c r="E149" t="str">
        <f>_xlfn.CONCAT("FretRout",LEFT(B149,3),RIGHT(B149,2),"Mot")</f>
        <v>FretRoutCat15Mot</v>
      </c>
      <c r="F149" t="s">
        <v>36</v>
      </c>
      <c r="G149">
        <v>1</v>
      </c>
      <c r="H149" s="2"/>
      <c r="I149" t="s">
        <v>456</v>
      </c>
      <c r="K149" s="4" t="str">
        <f t="shared" si="14"/>
        <v>Electrique</v>
      </c>
    </row>
    <row r="150" spans="1:11" outlineLevel="1" x14ac:dyDescent="0.25">
      <c r="A150" t="s">
        <v>76</v>
      </c>
      <c r="B150" s="2" t="s">
        <v>103</v>
      </c>
      <c r="C150" t="s">
        <v>82</v>
      </c>
      <c r="E150" t="str">
        <f>_xlfn.CONCAT("FretRout",LEFT(B150,3),RIGHT(B150,2),"Carb")</f>
        <v>FretRoutCat15Carb</v>
      </c>
      <c r="F150" t="s">
        <v>36</v>
      </c>
      <c r="G150">
        <v>1</v>
      </c>
      <c r="I150">
        <v>0</v>
      </c>
      <c r="K150" s="4">
        <f t="shared" si="14"/>
        <v>0</v>
      </c>
    </row>
    <row r="151" spans="1:11" outlineLevel="1" x14ac:dyDescent="0.25">
      <c r="A151" t="s">
        <v>76</v>
      </c>
      <c r="B151" s="2" t="s">
        <v>103</v>
      </c>
      <c r="C151" t="s">
        <v>83</v>
      </c>
      <c r="E151" t="str">
        <f>_xlfn.CONCAT("FretRout",LEFT(B151,3),RIGHT(B151,2),"Euro")</f>
        <v>FretRoutCat15Euro</v>
      </c>
      <c r="F151" t="s">
        <v>36</v>
      </c>
      <c r="G151">
        <v>1</v>
      </c>
      <c r="I151">
        <v>0</v>
      </c>
      <c r="K151" s="4">
        <f t="shared" si="14"/>
        <v>0</v>
      </c>
    </row>
    <row r="152" spans="1:11" outlineLevel="1" x14ac:dyDescent="0.25">
      <c r="A152" t="s">
        <v>76</v>
      </c>
      <c r="B152" s="2" t="s">
        <v>103</v>
      </c>
      <c r="C152" t="s">
        <v>84</v>
      </c>
      <c r="E152" t="str">
        <f>_xlfn.CONCAT("FretRout",LEFT(B152,3),RIGHT(B152,2),"CritAir")</f>
        <v>FretRoutCat15CritAir</v>
      </c>
      <c r="F152" t="s">
        <v>36</v>
      </c>
      <c r="G152">
        <v>1</v>
      </c>
      <c r="H152" s="2"/>
      <c r="I152" t="s">
        <v>1453</v>
      </c>
      <c r="K152" s="4" t="str">
        <f t="shared" si="14"/>
        <v>E</v>
      </c>
    </row>
    <row r="153" spans="1:11" outlineLevel="1" x14ac:dyDescent="0.25">
      <c r="A153" t="s">
        <v>76</v>
      </c>
      <c r="B153" s="2" t="s">
        <v>103</v>
      </c>
      <c r="C153" t="s">
        <v>85</v>
      </c>
      <c r="E153" t="str">
        <f>_xlfn.CONCAT("FretRout",LEFT(B153,3),RIGHT(B153,2),"Nb")</f>
        <v>FretRoutCat15Nb</v>
      </c>
      <c r="F153" t="s">
        <v>17</v>
      </c>
      <c r="G153">
        <v>1</v>
      </c>
      <c r="J153" t="s">
        <v>86</v>
      </c>
      <c r="K153">
        <v>0</v>
      </c>
    </row>
    <row r="154" spans="1:11" outlineLevel="1" x14ac:dyDescent="0.25">
      <c r="A154" t="s">
        <v>76</v>
      </c>
      <c r="B154" s="2" t="s">
        <v>103</v>
      </c>
      <c r="C154" t="s">
        <v>87</v>
      </c>
      <c r="E154" t="str">
        <f>_xlfn.CONCAT("FretRout",LEFT(B154,3),RIGHT(B154,2),"Dist")</f>
        <v>FretRoutCat15Dist</v>
      </c>
      <c r="F154" t="s">
        <v>17</v>
      </c>
      <c r="G154">
        <v>1</v>
      </c>
      <c r="H154" s="2"/>
      <c r="J154" t="s">
        <v>88</v>
      </c>
      <c r="K154">
        <v>12015</v>
      </c>
    </row>
    <row r="155" spans="1:11" outlineLevel="1" x14ac:dyDescent="0.25">
      <c r="A155" t="s">
        <v>76</v>
      </c>
      <c r="B155" s="2" t="s">
        <v>103</v>
      </c>
      <c r="C155" s="2" t="s">
        <v>89</v>
      </c>
      <c r="E155" t="str">
        <f>_xlfn.CONCAT("FretRout",LEFT(B155,3),RIGHT(B155,2),"Rempl")</f>
        <v>FretRoutCat15Rempl</v>
      </c>
      <c r="F155" t="s">
        <v>17</v>
      </c>
      <c r="G155">
        <v>1</v>
      </c>
      <c r="H155" s="3"/>
      <c r="J155" t="s">
        <v>70</v>
      </c>
      <c r="K155">
        <v>0</v>
      </c>
    </row>
    <row r="156" spans="1:11" outlineLevel="1" x14ac:dyDescent="0.25">
      <c r="A156" t="s">
        <v>76</v>
      </c>
      <c r="B156" s="2" t="s">
        <v>104</v>
      </c>
      <c r="C156" t="s">
        <v>78</v>
      </c>
      <c r="E156" t="str">
        <f>_xlfn.CONCAT("FretRout",LEFT(B156,3),RIGHT(B156,2),"Nom")</f>
        <v>FretRoutCat16Nom</v>
      </c>
      <c r="F156" t="s">
        <v>20</v>
      </c>
      <c r="G156">
        <v>1</v>
      </c>
      <c r="H156" s="4"/>
      <c r="I156" s="4" t="s">
        <v>401</v>
      </c>
      <c r="K156" s="4" t="str">
        <f t="shared" ref="K156:K162" si="15">I156</f>
        <v>PL Diesel &lt;=7.5t (Crit'Air 2)</v>
      </c>
    </row>
    <row r="157" spans="1:11" outlineLevel="1" x14ac:dyDescent="0.25">
      <c r="A157" t="s">
        <v>76</v>
      </c>
      <c r="B157" s="2" t="s">
        <v>104</v>
      </c>
      <c r="C157" t="s">
        <v>79</v>
      </c>
      <c r="E157" t="str">
        <f>_xlfn.CONCAT("FretRout",LEFT(B157,3),RIGHT(B157,2),"Type")</f>
        <v>FretRoutCat16Type</v>
      </c>
      <c r="F157" t="s">
        <v>20</v>
      </c>
      <c r="G157">
        <v>1</v>
      </c>
      <c r="I157" t="s">
        <v>1771</v>
      </c>
      <c r="K157" s="4" t="str">
        <f t="shared" si="15"/>
        <v>PL</v>
      </c>
    </row>
    <row r="158" spans="1:11" outlineLevel="1" x14ac:dyDescent="0.25">
      <c r="A158" t="s">
        <v>76</v>
      </c>
      <c r="B158" s="2" t="s">
        <v>104</v>
      </c>
      <c r="C158" t="s">
        <v>80</v>
      </c>
      <c r="E158" t="str">
        <f>_xlfn.CONCAT("FretRout",LEFT(B158,3),RIGHT(B158,2),"PTAC")</f>
        <v>FretRoutCat16PTAC</v>
      </c>
      <c r="F158" t="s">
        <v>36</v>
      </c>
      <c r="G158">
        <v>1</v>
      </c>
      <c r="I158" t="s">
        <v>1457</v>
      </c>
      <c r="K158" s="4" t="str">
        <f t="shared" si="15"/>
        <v>&lt;=7.5t</v>
      </c>
    </row>
    <row r="159" spans="1:11" outlineLevel="1" x14ac:dyDescent="0.25">
      <c r="A159" t="s">
        <v>76</v>
      </c>
      <c r="B159" s="2" t="s">
        <v>104</v>
      </c>
      <c r="C159" t="s">
        <v>81</v>
      </c>
      <c r="E159" t="str">
        <f>_xlfn.CONCAT("FretRout",LEFT(B159,3),RIGHT(B159,2),"Mot")</f>
        <v>FretRoutCat16Mot</v>
      </c>
      <c r="F159" t="s">
        <v>36</v>
      </c>
      <c r="G159">
        <v>1</v>
      </c>
      <c r="H159" s="2"/>
      <c r="I159" t="s">
        <v>138</v>
      </c>
      <c r="K159" s="4" t="str">
        <f t="shared" si="15"/>
        <v>Diesel</v>
      </c>
    </row>
    <row r="160" spans="1:11" outlineLevel="1" x14ac:dyDescent="0.25">
      <c r="A160" t="s">
        <v>76</v>
      </c>
      <c r="B160" s="2" t="s">
        <v>104</v>
      </c>
      <c r="C160" t="s">
        <v>82</v>
      </c>
      <c r="E160" t="str">
        <f>_xlfn.CONCAT("FretRout",LEFT(B160,3),RIGHT(B160,2),"Carb")</f>
        <v>FretRoutCat16Carb</v>
      </c>
      <c r="F160" t="s">
        <v>36</v>
      </c>
      <c r="G160">
        <v>1</v>
      </c>
      <c r="I160" t="s">
        <v>1449</v>
      </c>
      <c r="K160" s="4" t="str">
        <f t="shared" si="15"/>
        <v>Gazole à la pompe</v>
      </c>
    </row>
    <row r="161" spans="1:11" outlineLevel="1" x14ac:dyDescent="0.25">
      <c r="A161" t="s">
        <v>76</v>
      </c>
      <c r="B161" s="2" t="s">
        <v>104</v>
      </c>
      <c r="C161" t="s">
        <v>83</v>
      </c>
      <c r="E161" t="str">
        <f>_xlfn.CONCAT("FretRout",LEFT(B161,3),RIGHT(B161,2),"Euro")</f>
        <v>FretRoutCat16Euro</v>
      </c>
      <c r="F161" t="s">
        <v>36</v>
      </c>
      <c r="G161">
        <v>1</v>
      </c>
      <c r="I161">
        <v>0</v>
      </c>
      <c r="K161" s="4">
        <f t="shared" si="15"/>
        <v>0</v>
      </c>
    </row>
    <row r="162" spans="1:11" outlineLevel="1" x14ac:dyDescent="0.25">
      <c r="A162" t="s">
        <v>76</v>
      </c>
      <c r="B162" s="2" t="s">
        <v>104</v>
      </c>
      <c r="C162" t="s">
        <v>84</v>
      </c>
      <c r="E162" t="str">
        <f>_xlfn.CONCAT("FretRout",LEFT(B162,3),RIGHT(B162,2),"CritAir")</f>
        <v>FretRoutCat16CritAir</v>
      </c>
      <c r="F162" t="s">
        <v>36</v>
      </c>
      <c r="G162">
        <v>1</v>
      </c>
      <c r="H162" s="2"/>
      <c r="I162">
        <v>2</v>
      </c>
      <c r="K162" s="4">
        <f t="shared" si="15"/>
        <v>2</v>
      </c>
    </row>
    <row r="163" spans="1:11" outlineLevel="1" x14ac:dyDescent="0.25">
      <c r="A163" t="s">
        <v>76</v>
      </c>
      <c r="B163" s="2" t="s">
        <v>104</v>
      </c>
      <c r="C163" t="s">
        <v>85</v>
      </c>
      <c r="E163" t="str">
        <f>_xlfn.CONCAT("FretRout",LEFT(B163,3),RIGHT(B163,2),"Nb")</f>
        <v>FretRoutCat16Nb</v>
      </c>
      <c r="F163" t="s">
        <v>17</v>
      </c>
      <c r="G163">
        <v>1</v>
      </c>
      <c r="J163" t="s">
        <v>86</v>
      </c>
      <c r="K163">
        <v>0</v>
      </c>
    </row>
    <row r="164" spans="1:11" outlineLevel="1" x14ac:dyDescent="0.25">
      <c r="A164" t="s">
        <v>76</v>
      </c>
      <c r="B164" s="2" t="s">
        <v>104</v>
      </c>
      <c r="C164" t="s">
        <v>87</v>
      </c>
      <c r="E164" t="str">
        <f>_xlfn.CONCAT("FretRout",LEFT(B164,3),RIGHT(B164,2),"Dist")</f>
        <v>FretRoutCat16Dist</v>
      </c>
      <c r="F164" t="s">
        <v>17</v>
      </c>
      <c r="G164">
        <v>1</v>
      </c>
      <c r="H164" s="2"/>
      <c r="J164" t="s">
        <v>88</v>
      </c>
      <c r="K164">
        <v>42385.998762263436</v>
      </c>
    </row>
    <row r="165" spans="1:11" outlineLevel="1" x14ac:dyDescent="0.25">
      <c r="A165" t="s">
        <v>76</v>
      </c>
      <c r="B165" s="2" t="s">
        <v>104</v>
      </c>
      <c r="C165" s="2" t="s">
        <v>89</v>
      </c>
      <c r="E165" t="str">
        <f>_xlfn.CONCAT("FretRout",LEFT(B165,3),RIGHT(B165,2),"Rempl")</f>
        <v>FretRoutCat16Rempl</v>
      </c>
      <c r="F165" t="s">
        <v>17</v>
      </c>
      <c r="G165">
        <v>1</v>
      </c>
      <c r="H165" s="3"/>
      <c r="J165" t="s">
        <v>70</v>
      </c>
      <c r="K165">
        <v>0</v>
      </c>
    </row>
    <row r="166" spans="1:11" outlineLevel="1" x14ac:dyDescent="0.25">
      <c r="A166" t="s">
        <v>76</v>
      </c>
      <c r="B166" s="2" t="s">
        <v>105</v>
      </c>
      <c r="C166" t="s">
        <v>78</v>
      </c>
      <c r="E166" t="str">
        <f>_xlfn.CONCAT("FretRout",LEFT(B166,3),RIGHT(B166,2),"Nom")</f>
        <v>FretRoutCat17Nom</v>
      </c>
      <c r="F166" t="s">
        <v>20</v>
      </c>
      <c r="G166">
        <v>1</v>
      </c>
      <c r="H166" s="4"/>
      <c r="I166" s="4" t="s">
        <v>402</v>
      </c>
      <c r="K166" s="4" t="str">
        <f t="shared" ref="K166:K172" si="16">I166</f>
        <v>PL Diesel &lt;=7.5t (Crit'Air 3)</v>
      </c>
    </row>
    <row r="167" spans="1:11" outlineLevel="1" x14ac:dyDescent="0.25">
      <c r="A167" t="s">
        <v>76</v>
      </c>
      <c r="B167" s="2" t="s">
        <v>105</v>
      </c>
      <c r="C167" t="s">
        <v>79</v>
      </c>
      <c r="E167" t="str">
        <f>_xlfn.CONCAT("FretRout",LEFT(B167,3),RIGHT(B167,2),"Type")</f>
        <v>FretRoutCat17Type</v>
      </c>
      <c r="F167" t="s">
        <v>20</v>
      </c>
      <c r="G167">
        <v>1</v>
      </c>
      <c r="I167" t="s">
        <v>1771</v>
      </c>
      <c r="K167" s="4" t="str">
        <f t="shared" si="16"/>
        <v>PL</v>
      </c>
    </row>
    <row r="168" spans="1:11" outlineLevel="1" x14ac:dyDescent="0.25">
      <c r="A168" t="s">
        <v>76</v>
      </c>
      <c r="B168" s="2" t="s">
        <v>105</v>
      </c>
      <c r="C168" t="s">
        <v>80</v>
      </c>
      <c r="E168" t="str">
        <f>_xlfn.CONCAT("FretRout",LEFT(B168,3),RIGHT(B168,2),"PTAC")</f>
        <v>FretRoutCat17PTAC</v>
      </c>
      <c r="F168" t="s">
        <v>36</v>
      </c>
      <c r="G168">
        <v>1</v>
      </c>
      <c r="I168" t="s">
        <v>1457</v>
      </c>
      <c r="K168" s="4" t="str">
        <f t="shared" si="16"/>
        <v>&lt;=7.5t</v>
      </c>
    </row>
    <row r="169" spans="1:11" outlineLevel="1" x14ac:dyDescent="0.25">
      <c r="A169" t="s">
        <v>76</v>
      </c>
      <c r="B169" s="2" t="s">
        <v>105</v>
      </c>
      <c r="C169" t="s">
        <v>81</v>
      </c>
      <c r="E169" t="str">
        <f>_xlfn.CONCAT("FretRout",LEFT(B169,3),RIGHT(B169,2),"Mot")</f>
        <v>FretRoutCat17Mot</v>
      </c>
      <c r="F169" t="s">
        <v>36</v>
      </c>
      <c r="G169">
        <v>1</v>
      </c>
      <c r="H169" s="2"/>
      <c r="I169" t="s">
        <v>138</v>
      </c>
      <c r="K169" s="4" t="str">
        <f t="shared" si="16"/>
        <v>Diesel</v>
      </c>
    </row>
    <row r="170" spans="1:11" outlineLevel="1" x14ac:dyDescent="0.25">
      <c r="A170" t="s">
        <v>76</v>
      </c>
      <c r="B170" s="2" t="s">
        <v>105</v>
      </c>
      <c r="C170" t="s">
        <v>82</v>
      </c>
      <c r="E170" t="str">
        <f>_xlfn.CONCAT("FretRout",LEFT(B170,3),RIGHT(B170,2),"Carb")</f>
        <v>FretRoutCat17Carb</v>
      </c>
      <c r="F170" t="s">
        <v>36</v>
      </c>
      <c r="G170">
        <v>1</v>
      </c>
      <c r="I170" t="s">
        <v>1449</v>
      </c>
      <c r="K170" s="4" t="str">
        <f t="shared" si="16"/>
        <v>Gazole à la pompe</v>
      </c>
    </row>
    <row r="171" spans="1:11" outlineLevel="1" x14ac:dyDescent="0.25">
      <c r="A171" t="s">
        <v>76</v>
      </c>
      <c r="B171" s="2" t="s">
        <v>105</v>
      </c>
      <c r="C171" t="s">
        <v>83</v>
      </c>
      <c r="E171" t="str">
        <f>_xlfn.CONCAT("FretRout",LEFT(B171,3),RIGHT(B171,2),"Euro")</f>
        <v>FretRoutCat17Euro</v>
      </c>
      <c r="F171" t="s">
        <v>36</v>
      </c>
      <c r="G171">
        <v>1</v>
      </c>
      <c r="I171">
        <v>0</v>
      </c>
      <c r="K171" s="4">
        <f t="shared" si="16"/>
        <v>0</v>
      </c>
    </row>
    <row r="172" spans="1:11" outlineLevel="1" x14ac:dyDescent="0.25">
      <c r="A172" t="s">
        <v>76</v>
      </c>
      <c r="B172" s="2" t="s">
        <v>105</v>
      </c>
      <c r="C172" t="s">
        <v>84</v>
      </c>
      <c r="E172" t="str">
        <f>_xlfn.CONCAT("FretRout",LEFT(B172,3),RIGHT(B172,2),"CritAir")</f>
        <v>FretRoutCat17CritAir</v>
      </c>
      <c r="F172" t="s">
        <v>36</v>
      </c>
      <c r="G172">
        <v>1</v>
      </c>
      <c r="H172" s="2"/>
      <c r="I172">
        <v>3</v>
      </c>
      <c r="K172" s="4">
        <f t="shared" si="16"/>
        <v>3</v>
      </c>
    </row>
    <row r="173" spans="1:11" outlineLevel="1" x14ac:dyDescent="0.25">
      <c r="A173" t="s">
        <v>76</v>
      </c>
      <c r="B173" s="2" t="s">
        <v>105</v>
      </c>
      <c r="C173" t="s">
        <v>85</v>
      </c>
      <c r="E173" t="str">
        <f>_xlfn.CONCAT("FretRout",LEFT(B173,3),RIGHT(B173,2),"Nb")</f>
        <v>FretRoutCat17Nb</v>
      </c>
      <c r="F173" t="s">
        <v>17</v>
      </c>
      <c r="G173">
        <v>1</v>
      </c>
      <c r="J173" t="s">
        <v>86</v>
      </c>
      <c r="K173">
        <v>0</v>
      </c>
    </row>
    <row r="174" spans="1:11" outlineLevel="1" x14ac:dyDescent="0.25">
      <c r="A174" t="s">
        <v>76</v>
      </c>
      <c r="B174" s="2" t="s">
        <v>105</v>
      </c>
      <c r="C174" t="s">
        <v>87</v>
      </c>
      <c r="E174" t="str">
        <f>_xlfn.CONCAT("FretRout",LEFT(B174,3),RIGHT(B174,2),"Dist")</f>
        <v>FretRoutCat17Dist</v>
      </c>
      <c r="F174" t="s">
        <v>17</v>
      </c>
      <c r="G174">
        <v>1</v>
      </c>
      <c r="H174" s="2"/>
      <c r="J174" t="s">
        <v>88</v>
      </c>
      <c r="K174">
        <v>42385.998762263436</v>
      </c>
    </row>
    <row r="175" spans="1:11" outlineLevel="1" x14ac:dyDescent="0.25">
      <c r="A175" t="s">
        <v>76</v>
      </c>
      <c r="B175" s="2" t="s">
        <v>105</v>
      </c>
      <c r="C175" s="2" t="s">
        <v>89</v>
      </c>
      <c r="E175" t="str">
        <f>_xlfn.CONCAT("FretRout",LEFT(B175,3),RIGHT(B175,2),"Rempl")</f>
        <v>FretRoutCat17Rempl</v>
      </c>
      <c r="F175" t="s">
        <v>17</v>
      </c>
      <c r="G175">
        <v>1</v>
      </c>
      <c r="H175" s="3"/>
      <c r="J175" t="s">
        <v>70</v>
      </c>
      <c r="K175">
        <v>0</v>
      </c>
    </row>
    <row r="176" spans="1:11" outlineLevel="1" x14ac:dyDescent="0.25">
      <c r="A176" t="s">
        <v>76</v>
      </c>
      <c r="B176" s="2" t="s">
        <v>106</v>
      </c>
      <c r="C176" t="s">
        <v>78</v>
      </c>
      <c r="E176" t="str">
        <f>_xlfn.CONCAT("FretRout",LEFT(B176,3),RIGHT(B176,2),"Nom")</f>
        <v>FretRoutCat18Nom</v>
      </c>
      <c r="F176" t="s">
        <v>20</v>
      </c>
      <c r="G176">
        <v>1</v>
      </c>
      <c r="H176" s="4"/>
      <c r="I176" s="4" t="s">
        <v>403</v>
      </c>
      <c r="K176" s="4" t="str">
        <f t="shared" ref="K176:K182" si="17">I176</f>
        <v>PL Diesel &lt;=7.5t (Crit'Air 4)</v>
      </c>
    </row>
    <row r="177" spans="1:11" outlineLevel="1" x14ac:dyDescent="0.25">
      <c r="A177" t="s">
        <v>76</v>
      </c>
      <c r="B177" s="2" t="s">
        <v>106</v>
      </c>
      <c r="C177" t="s">
        <v>79</v>
      </c>
      <c r="E177" t="str">
        <f>_xlfn.CONCAT("FretRout",LEFT(B177,3),RIGHT(B177,2),"Type")</f>
        <v>FretRoutCat18Type</v>
      </c>
      <c r="F177" t="s">
        <v>20</v>
      </c>
      <c r="G177">
        <v>1</v>
      </c>
      <c r="I177" t="s">
        <v>1771</v>
      </c>
      <c r="K177" s="4" t="str">
        <f t="shared" si="17"/>
        <v>PL</v>
      </c>
    </row>
    <row r="178" spans="1:11" outlineLevel="1" x14ac:dyDescent="0.25">
      <c r="A178" t="s">
        <v>76</v>
      </c>
      <c r="B178" s="2" t="s">
        <v>106</v>
      </c>
      <c r="C178" t="s">
        <v>80</v>
      </c>
      <c r="E178" t="str">
        <f>_xlfn.CONCAT("FretRout",LEFT(B178,3),RIGHT(B178,2),"PTAC")</f>
        <v>FretRoutCat18PTAC</v>
      </c>
      <c r="F178" t="s">
        <v>36</v>
      </c>
      <c r="G178">
        <v>1</v>
      </c>
      <c r="I178" t="s">
        <v>1457</v>
      </c>
      <c r="K178" s="4" t="str">
        <f t="shared" si="17"/>
        <v>&lt;=7.5t</v>
      </c>
    </row>
    <row r="179" spans="1:11" outlineLevel="1" x14ac:dyDescent="0.25">
      <c r="A179" t="s">
        <v>76</v>
      </c>
      <c r="B179" s="2" t="s">
        <v>106</v>
      </c>
      <c r="C179" t="s">
        <v>81</v>
      </c>
      <c r="E179" t="str">
        <f>_xlfn.CONCAT("FretRout",LEFT(B179,3),RIGHT(B179,2),"Mot")</f>
        <v>FretRoutCat18Mot</v>
      </c>
      <c r="F179" t="s">
        <v>36</v>
      </c>
      <c r="G179">
        <v>1</v>
      </c>
      <c r="H179" s="2"/>
      <c r="I179" t="s">
        <v>138</v>
      </c>
      <c r="K179" s="4" t="str">
        <f t="shared" si="17"/>
        <v>Diesel</v>
      </c>
    </row>
    <row r="180" spans="1:11" outlineLevel="1" x14ac:dyDescent="0.25">
      <c r="A180" t="s">
        <v>76</v>
      </c>
      <c r="B180" s="2" t="s">
        <v>106</v>
      </c>
      <c r="C180" t="s">
        <v>82</v>
      </c>
      <c r="E180" t="str">
        <f>_xlfn.CONCAT("FretRout",LEFT(B180,3),RIGHT(B180,2),"Carb")</f>
        <v>FretRoutCat18Carb</v>
      </c>
      <c r="F180" t="s">
        <v>36</v>
      </c>
      <c r="G180">
        <v>1</v>
      </c>
      <c r="I180" t="s">
        <v>1449</v>
      </c>
      <c r="K180" s="4" t="str">
        <f t="shared" si="17"/>
        <v>Gazole à la pompe</v>
      </c>
    </row>
    <row r="181" spans="1:11" outlineLevel="1" x14ac:dyDescent="0.25">
      <c r="A181" t="s">
        <v>76</v>
      </c>
      <c r="B181" s="2" t="s">
        <v>106</v>
      </c>
      <c r="C181" t="s">
        <v>83</v>
      </c>
      <c r="E181" t="str">
        <f>_xlfn.CONCAT("FretRout",LEFT(B181,3),RIGHT(B181,2),"Euro")</f>
        <v>FretRoutCat18Euro</v>
      </c>
      <c r="F181" t="s">
        <v>36</v>
      </c>
      <c r="G181">
        <v>1</v>
      </c>
      <c r="I181">
        <v>0</v>
      </c>
      <c r="K181" s="4">
        <f t="shared" si="17"/>
        <v>0</v>
      </c>
    </row>
    <row r="182" spans="1:11" outlineLevel="1" x14ac:dyDescent="0.25">
      <c r="A182" t="s">
        <v>76</v>
      </c>
      <c r="B182" s="2" t="s">
        <v>106</v>
      </c>
      <c r="C182" t="s">
        <v>84</v>
      </c>
      <c r="E182" t="str">
        <f>_xlfn.CONCAT("FretRout",LEFT(B182,3),RIGHT(B182,2),"CritAir")</f>
        <v>FretRoutCat18CritAir</v>
      </c>
      <c r="F182" t="s">
        <v>36</v>
      </c>
      <c r="G182">
        <v>1</v>
      </c>
      <c r="H182" s="2"/>
      <c r="I182">
        <v>4</v>
      </c>
      <c r="K182" s="4">
        <f t="shared" si="17"/>
        <v>4</v>
      </c>
    </row>
    <row r="183" spans="1:11" outlineLevel="1" x14ac:dyDescent="0.25">
      <c r="A183" t="s">
        <v>76</v>
      </c>
      <c r="B183" s="2" t="s">
        <v>106</v>
      </c>
      <c r="C183" t="s">
        <v>85</v>
      </c>
      <c r="E183" t="str">
        <f>_xlfn.CONCAT("FretRout",LEFT(B183,3),RIGHT(B183,2),"Nb")</f>
        <v>FretRoutCat18Nb</v>
      </c>
      <c r="F183" t="s">
        <v>17</v>
      </c>
      <c r="G183">
        <v>1</v>
      </c>
      <c r="J183" t="s">
        <v>86</v>
      </c>
      <c r="K183">
        <v>0</v>
      </c>
    </row>
    <row r="184" spans="1:11" outlineLevel="1" x14ac:dyDescent="0.25">
      <c r="A184" t="s">
        <v>76</v>
      </c>
      <c r="B184" s="2" t="s">
        <v>106</v>
      </c>
      <c r="C184" t="s">
        <v>87</v>
      </c>
      <c r="E184" t="str">
        <f>_xlfn.CONCAT("FretRout",LEFT(B184,3),RIGHT(B184,2),"Dist")</f>
        <v>FretRoutCat18Dist</v>
      </c>
      <c r="F184" t="s">
        <v>17</v>
      </c>
      <c r="G184">
        <v>1</v>
      </c>
      <c r="H184" s="2"/>
      <c r="J184" t="s">
        <v>88</v>
      </c>
      <c r="K184">
        <v>42385.998762263436</v>
      </c>
    </row>
    <row r="185" spans="1:11" outlineLevel="1" x14ac:dyDescent="0.25">
      <c r="A185" t="s">
        <v>76</v>
      </c>
      <c r="B185" s="2" t="s">
        <v>106</v>
      </c>
      <c r="C185" s="2" t="s">
        <v>89</v>
      </c>
      <c r="E185" t="str">
        <f>_xlfn.CONCAT("FretRout",LEFT(B185,3),RIGHT(B185,2),"Rempl")</f>
        <v>FretRoutCat18Rempl</v>
      </c>
      <c r="F185" t="s">
        <v>17</v>
      </c>
      <c r="G185">
        <v>1</v>
      </c>
      <c r="H185" s="3"/>
      <c r="J185" t="s">
        <v>70</v>
      </c>
      <c r="K185">
        <v>0</v>
      </c>
    </row>
    <row r="186" spans="1:11" outlineLevel="1" x14ac:dyDescent="0.25">
      <c r="A186" t="s">
        <v>76</v>
      </c>
      <c r="B186" s="2" t="s">
        <v>107</v>
      </c>
      <c r="C186" t="s">
        <v>78</v>
      </c>
      <c r="E186" t="str">
        <f>_xlfn.CONCAT("FretRout",LEFT(B186,3),RIGHT(B186,2),"Nom")</f>
        <v>FretRoutCat19Nom</v>
      </c>
      <c r="F186" t="s">
        <v>20</v>
      </c>
      <c r="G186">
        <v>1</v>
      </c>
      <c r="H186" s="4"/>
      <c r="I186" s="4" t="s">
        <v>404</v>
      </c>
      <c r="K186" s="4" t="str">
        <f t="shared" ref="K186:K192" si="18">I186</f>
        <v>PL Diesel &lt;=7.5t (Crit'Air 5)</v>
      </c>
    </row>
    <row r="187" spans="1:11" outlineLevel="1" x14ac:dyDescent="0.25">
      <c r="A187" t="s">
        <v>76</v>
      </c>
      <c r="B187" s="2" t="s">
        <v>107</v>
      </c>
      <c r="C187" t="s">
        <v>79</v>
      </c>
      <c r="E187" t="str">
        <f>_xlfn.CONCAT("FretRout",LEFT(B187,3),RIGHT(B187,2),"Type")</f>
        <v>FretRoutCat19Type</v>
      </c>
      <c r="F187" t="s">
        <v>20</v>
      </c>
      <c r="G187">
        <v>1</v>
      </c>
      <c r="I187" t="s">
        <v>1771</v>
      </c>
      <c r="K187" s="4" t="str">
        <f t="shared" si="18"/>
        <v>PL</v>
      </c>
    </row>
    <row r="188" spans="1:11" outlineLevel="1" x14ac:dyDescent="0.25">
      <c r="A188" t="s">
        <v>76</v>
      </c>
      <c r="B188" s="2" t="s">
        <v>107</v>
      </c>
      <c r="C188" t="s">
        <v>80</v>
      </c>
      <c r="E188" t="str">
        <f>_xlfn.CONCAT("FretRout",LEFT(B188,3),RIGHT(B188,2),"PTAC")</f>
        <v>FretRoutCat19PTAC</v>
      </c>
      <c r="F188" t="s">
        <v>36</v>
      </c>
      <c r="G188">
        <v>1</v>
      </c>
      <c r="I188" t="s">
        <v>1457</v>
      </c>
      <c r="K188" s="4" t="str">
        <f t="shared" si="18"/>
        <v>&lt;=7.5t</v>
      </c>
    </row>
    <row r="189" spans="1:11" outlineLevel="1" x14ac:dyDescent="0.25">
      <c r="A189" t="s">
        <v>76</v>
      </c>
      <c r="B189" s="2" t="s">
        <v>107</v>
      </c>
      <c r="C189" t="s">
        <v>81</v>
      </c>
      <c r="E189" t="str">
        <f>_xlfn.CONCAT("FretRout",LEFT(B189,3),RIGHT(B189,2),"Mot")</f>
        <v>FretRoutCat19Mot</v>
      </c>
      <c r="F189" t="s">
        <v>36</v>
      </c>
      <c r="G189">
        <v>1</v>
      </c>
      <c r="H189" s="2"/>
      <c r="I189" t="s">
        <v>138</v>
      </c>
      <c r="K189" s="4" t="str">
        <f t="shared" si="18"/>
        <v>Diesel</v>
      </c>
    </row>
    <row r="190" spans="1:11" outlineLevel="1" x14ac:dyDescent="0.25">
      <c r="A190" t="s">
        <v>76</v>
      </c>
      <c r="B190" s="2" t="s">
        <v>107</v>
      </c>
      <c r="C190" t="s">
        <v>82</v>
      </c>
      <c r="E190" t="str">
        <f>_xlfn.CONCAT("FretRout",LEFT(B190,3),RIGHT(B190,2),"Carb")</f>
        <v>FretRoutCat19Carb</v>
      </c>
      <c r="F190" t="s">
        <v>36</v>
      </c>
      <c r="G190">
        <v>1</v>
      </c>
      <c r="I190" t="s">
        <v>1449</v>
      </c>
      <c r="K190" s="4" t="str">
        <f t="shared" si="18"/>
        <v>Gazole à la pompe</v>
      </c>
    </row>
    <row r="191" spans="1:11" outlineLevel="1" x14ac:dyDescent="0.25">
      <c r="A191" t="s">
        <v>76</v>
      </c>
      <c r="B191" s="2" t="s">
        <v>107</v>
      </c>
      <c r="C191" t="s">
        <v>83</v>
      </c>
      <c r="E191" t="str">
        <f>_xlfn.CONCAT("FretRout",LEFT(B191,3),RIGHT(B191,2),"Euro")</f>
        <v>FretRoutCat19Euro</v>
      </c>
      <c r="F191" t="s">
        <v>36</v>
      </c>
      <c r="G191">
        <v>1</v>
      </c>
      <c r="I191">
        <v>0</v>
      </c>
      <c r="K191" s="4">
        <f t="shared" si="18"/>
        <v>0</v>
      </c>
    </row>
    <row r="192" spans="1:11" outlineLevel="1" x14ac:dyDescent="0.25">
      <c r="A192" t="s">
        <v>76</v>
      </c>
      <c r="B192" s="2" t="s">
        <v>107</v>
      </c>
      <c r="C192" t="s">
        <v>84</v>
      </c>
      <c r="E192" t="str">
        <f>_xlfn.CONCAT("FretRout",LEFT(B192,3),RIGHT(B192,2),"CritAir")</f>
        <v>FretRoutCat19CritAir</v>
      </c>
      <c r="F192" t="s">
        <v>36</v>
      </c>
      <c r="G192">
        <v>1</v>
      </c>
      <c r="H192" s="2"/>
      <c r="I192">
        <v>5</v>
      </c>
      <c r="K192" s="4">
        <f t="shared" si="18"/>
        <v>5</v>
      </c>
    </row>
    <row r="193" spans="1:11" outlineLevel="1" x14ac:dyDescent="0.25">
      <c r="A193" t="s">
        <v>76</v>
      </c>
      <c r="B193" s="2" t="s">
        <v>107</v>
      </c>
      <c r="C193" t="s">
        <v>85</v>
      </c>
      <c r="E193" t="str">
        <f>_xlfn.CONCAT("FretRout",LEFT(B193,3),RIGHT(B193,2),"Nb")</f>
        <v>FretRoutCat19Nb</v>
      </c>
      <c r="F193" t="s">
        <v>17</v>
      </c>
      <c r="G193">
        <v>1</v>
      </c>
      <c r="J193" t="s">
        <v>86</v>
      </c>
      <c r="K193">
        <v>0</v>
      </c>
    </row>
    <row r="194" spans="1:11" outlineLevel="1" x14ac:dyDescent="0.25">
      <c r="A194" t="s">
        <v>76</v>
      </c>
      <c r="B194" s="2" t="s">
        <v>107</v>
      </c>
      <c r="C194" t="s">
        <v>87</v>
      </c>
      <c r="E194" t="str">
        <f>_xlfn.CONCAT("FretRout",LEFT(B194,3),RIGHT(B194,2),"Dist")</f>
        <v>FretRoutCat19Dist</v>
      </c>
      <c r="F194" t="s">
        <v>17</v>
      </c>
      <c r="G194">
        <v>1</v>
      </c>
      <c r="H194" s="2"/>
      <c r="J194" t="s">
        <v>88</v>
      </c>
      <c r="K194">
        <v>42385.998762263436</v>
      </c>
    </row>
    <row r="195" spans="1:11" outlineLevel="1" x14ac:dyDescent="0.25">
      <c r="A195" t="s">
        <v>76</v>
      </c>
      <c r="B195" s="2" t="s">
        <v>107</v>
      </c>
      <c r="C195" s="2" t="s">
        <v>89</v>
      </c>
      <c r="E195" t="str">
        <f>_xlfn.CONCAT("FretRout",LEFT(B195,3),RIGHT(B195,2),"Rempl")</f>
        <v>FretRoutCat19Rempl</v>
      </c>
      <c r="F195" t="s">
        <v>17</v>
      </c>
      <c r="G195">
        <v>1</v>
      </c>
      <c r="H195" s="3"/>
      <c r="J195" t="s">
        <v>70</v>
      </c>
      <c r="K195">
        <v>0</v>
      </c>
    </row>
    <row r="196" spans="1:11" outlineLevel="1" x14ac:dyDescent="0.25">
      <c r="A196" t="s">
        <v>76</v>
      </c>
      <c r="B196" s="2" t="s">
        <v>108</v>
      </c>
      <c r="C196" t="s">
        <v>78</v>
      </c>
      <c r="E196" t="str">
        <f>_xlfn.CONCAT("FretRout",LEFT(B196,3),RIGHT(B196,2),"Nom")</f>
        <v>FretRoutCat20Nom</v>
      </c>
      <c r="F196" t="s">
        <v>20</v>
      </c>
      <c r="G196">
        <v>1</v>
      </c>
      <c r="H196" s="4"/>
      <c r="I196" s="4" t="s">
        <v>405</v>
      </c>
      <c r="K196" s="4" t="str">
        <f t="shared" ref="K196:K202" si="19">I196</f>
        <v>PL Diesel &gt;7.5-12t (Crit'Air 2)</v>
      </c>
    </row>
    <row r="197" spans="1:11" outlineLevel="1" x14ac:dyDescent="0.25">
      <c r="A197" t="s">
        <v>76</v>
      </c>
      <c r="B197" s="2" t="s">
        <v>108</v>
      </c>
      <c r="C197" t="s">
        <v>79</v>
      </c>
      <c r="E197" t="str">
        <f>_xlfn.CONCAT("FretRout",LEFT(B197,3),RIGHT(B197,2),"Type")</f>
        <v>FretRoutCat20Type</v>
      </c>
      <c r="F197" t="s">
        <v>20</v>
      </c>
      <c r="G197">
        <v>1</v>
      </c>
      <c r="I197" t="s">
        <v>1771</v>
      </c>
      <c r="K197" s="4" t="str">
        <f t="shared" si="19"/>
        <v>PL</v>
      </c>
    </row>
    <row r="198" spans="1:11" outlineLevel="1" x14ac:dyDescent="0.25">
      <c r="A198" t="s">
        <v>76</v>
      </c>
      <c r="B198" s="2" t="s">
        <v>108</v>
      </c>
      <c r="C198" t="s">
        <v>80</v>
      </c>
      <c r="E198" t="str">
        <f>_xlfn.CONCAT("FretRout",LEFT(B198,3),RIGHT(B198,2),"PTAC")</f>
        <v>FretRoutCat20PTAC</v>
      </c>
      <c r="F198" t="s">
        <v>36</v>
      </c>
      <c r="G198">
        <v>1</v>
      </c>
      <c r="I198" t="s">
        <v>1458</v>
      </c>
      <c r="K198" s="4" t="str">
        <f t="shared" si="19"/>
        <v>&gt;7.5-12t</v>
      </c>
    </row>
    <row r="199" spans="1:11" outlineLevel="1" x14ac:dyDescent="0.25">
      <c r="A199" t="s">
        <v>76</v>
      </c>
      <c r="B199" s="2" t="s">
        <v>108</v>
      </c>
      <c r="C199" t="s">
        <v>81</v>
      </c>
      <c r="E199" t="str">
        <f>_xlfn.CONCAT("FretRout",LEFT(B199,3),RIGHT(B199,2),"Mot")</f>
        <v>FretRoutCat20Mot</v>
      </c>
      <c r="F199" t="s">
        <v>36</v>
      </c>
      <c r="G199">
        <v>1</v>
      </c>
      <c r="H199" s="2"/>
      <c r="I199" t="s">
        <v>138</v>
      </c>
      <c r="K199" s="4" t="str">
        <f t="shared" si="19"/>
        <v>Diesel</v>
      </c>
    </row>
    <row r="200" spans="1:11" outlineLevel="1" x14ac:dyDescent="0.25">
      <c r="A200" t="s">
        <v>76</v>
      </c>
      <c r="B200" s="2" t="s">
        <v>108</v>
      </c>
      <c r="C200" t="s">
        <v>82</v>
      </c>
      <c r="E200" t="str">
        <f>_xlfn.CONCAT("FretRout",LEFT(B200,3),RIGHT(B200,2),"Carb")</f>
        <v>FretRoutCat20Carb</v>
      </c>
      <c r="F200" t="s">
        <v>36</v>
      </c>
      <c r="G200">
        <v>1</v>
      </c>
      <c r="I200" t="s">
        <v>1449</v>
      </c>
      <c r="K200" s="4" t="str">
        <f t="shared" si="19"/>
        <v>Gazole à la pompe</v>
      </c>
    </row>
    <row r="201" spans="1:11" outlineLevel="1" x14ac:dyDescent="0.25">
      <c r="A201" t="s">
        <v>76</v>
      </c>
      <c r="B201" s="2" t="s">
        <v>108</v>
      </c>
      <c r="C201" t="s">
        <v>83</v>
      </c>
      <c r="E201" t="str">
        <f>_xlfn.CONCAT("FretRout",LEFT(B201,3),RIGHT(B201,2),"Euro")</f>
        <v>FretRoutCat20Euro</v>
      </c>
      <c r="F201" t="s">
        <v>36</v>
      </c>
      <c r="G201">
        <v>1</v>
      </c>
      <c r="I201">
        <v>0</v>
      </c>
      <c r="K201" s="4">
        <f t="shared" si="19"/>
        <v>0</v>
      </c>
    </row>
    <row r="202" spans="1:11" outlineLevel="1" x14ac:dyDescent="0.25">
      <c r="A202" t="s">
        <v>76</v>
      </c>
      <c r="B202" s="2" t="s">
        <v>108</v>
      </c>
      <c r="C202" t="s">
        <v>84</v>
      </c>
      <c r="E202" t="str">
        <f>_xlfn.CONCAT("FretRout",LEFT(B202,3),RIGHT(B202,2),"CritAir")</f>
        <v>FretRoutCat20CritAir</v>
      </c>
      <c r="F202" t="s">
        <v>36</v>
      </c>
      <c r="G202">
        <v>1</v>
      </c>
      <c r="H202" s="2"/>
      <c r="I202">
        <v>2</v>
      </c>
      <c r="K202" s="4">
        <f t="shared" si="19"/>
        <v>2</v>
      </c>
    </row>
    <row r="203" spans="1:11" outlineLevel="1" x14ac:dyDescent="0.25">
      <c r="A203" t="s">
        <v>76</v>
      </c>
      <c r="B203" s="2" t="s">
        <v>108</v>
      </c>
      <c r="C203" t="s">
        <v>85</v>
      </c>
      <c r="E203" t="str">
        <f>_xlfn.CONCAT("FretRout",LEFT(B203,3),RIGHT(B203,2),"Nb")</f>
        <v>FretRoutCat20Nb</v>
      </c>
      <c r="F203" t="s">
        <v>17</v>
      </c>
      <c r="G203">
        <v>1</v>
      </c>
      <c r="J203" t="s">
        <v>86</v>
      </c>
      <c r="K203">
        <v>0</v>
      </c>
    </row>
    <row r="204" spans="1:11" outlineLevel="1" x14ac:dyDescent="0.25">
      <c r="A204" t="s">
        <v>76</v>
      </c>
      <c r="B204" s="2" t="s">
        <v>108</v>
      </c>
      <c r="C204" t="s">
        <v>87</v>
      </c>
      <c r="E204" t="str">
        <f>_xlfn.CONCAT("FretRout",LEFT(B204,3),RIGHT(B204,2),"Dist")</f>
        <v>FretRoutCat20Dist</v>
      </c>
      <c r="F204" t="s">
        <v>17</v>
      </c>
      <c r="G204">
        <v>1</v>
      </c>
      <c r="H204" s="2"/>
      <c r="J204" t="s">
        <v>88</v>
      </c>
      <c r="K204">
        <v>42385.998762263436</v>
      </c>
    </row>
    <row r="205" spans="1:11" outlineLevel="1" x14ac:dyDescent="0.25">
      <c r="A205" t="s">
        <v>76</v>
      </c>
      <c r="B205" s="2" t="s">
        <v>108</v>
      </c>
      <c r="C205" s="2" t="s">
        <v>89</v>
      </c>
      <c r="E205" t="str">
        <f>_xlfn.CONCAT("FretRout",LEFT(B205,3),RIGHT(B205,2),"Rempl")</f>
        <v>FretRoutCat20Rempl</v>
      </c>
      <c r="F205" t="s">
        <v>17</v>
      </c>
      <c r="G205">
        <v>1</v>
      </c>
      <c r="H205" s="3"/>
      <c r="J205" t="s">
        <v>70</v>
      </c>
      <c r="K205">
        <v>0</v>
      </c>
    </row>
    <row r="206" spans="1:11" outlineLevel="1" x14ac:dyDescent="0.25">
      <c r="A206" t="s">
        <v>76</v>
      </c>
      <c r="B206" s="2" t="s">
        <v>109</v>
      </c>
      <c r="C206" t="s">
        <v>78</v>
      </c>
      <c r="E206" t="str">
        <f>_xlfn.CONCAT("FretRout",LEFT(B206,3),RIGHT(B206,2),"Nom")</f>
        <v>FretRoutCat21Nom</v>
      </c>
      <c r="F206" t="s">
        <v>20</v>
      </c>
      <c r="G206">
        <v>1</v>
      </c>
      <c r="H206" s="4"/>
      <c r="I206" s="4" t="s">
        <v>406</v>
      </c>
      <c r="K206" s="4" t="str">
        <f t="shared" ref="K206:K212" si="20">I206</f>
        <v>PL Diesel &gt;7.5-12t (Crit'Air 3)</v>
      </c>
    </row>
    <row r="207" spans="1:11" outlineLevel="1" x14ac:dyDescent="0.25">
      <c r="A207" t="s">
        <v>76</v>
      </c>
      <c r="B207" s="2" t="s">
        <v>109</v>
      </c>
      <c r="C207" t="s">
        <v>79</v>
      </c>
      <c r="E207" t="str">
        <f>_xlfn.CONCAT("FretRout",LEFT(B207,3),RIGHT(B207,2),"Type")</f>
        <v>FretRoutCat21Type</v>
      </c>
      <c r="F207" t="s">
        <v>20</v>
      </c>
      <c r="G207">
        <v>1</v>
      </c>
      <c r="I207" t="s">
        <v>1771</v>
      </c>
      <c r="K207" s="4" t="str">
        <f t="shared" si="20"/>
        <v>PL</v>
      </c>
    </row>
    <row r="208" spans="1:11" outlineLevel="1" x14ac:dyDescent="0.25">
      <c r="A208" t="s">
        <v>76</v>
      </c>
      <c r="B208" s="2" t="s">
        <v>109</v>
      </c>
      <c r="C208" t="s">
        <v>80</v>
      </c>
      <c r="E208" t="str">
        <f>_xlfn.CONCAT("FretRout",LEFT(B208,3),RIGHT(B208,2),"PTAC")</f>
        <v>FretRoutCat21PTAC</v>
      </c>
      <c r="F208" t="s">
        <v>36</v>
      </c>
      <c r="G208">
        <v>1</v>
      </c>
      <c r="I208" t="s">
        <v>1458</v>
      </c>
      <c r="K208" s="4" t="str">
        <f t="shared" si="20"/>
        <v>&gt;7.5-12t</v>
      </c>
    </row>
    <row r="209" spans="1:11" outlineLevel="1" x14ac:dyDescent="0.25">
      <c r="A209" t="s">
        <v>76</v>
      </c>
      <c r="B209" s="2" t="s">
        <v>109</v>
      </c>
      <c r="C209" t="s">
        <v>81</v>
      </c>
      <c r="E209" t="str">
        <f>_xlfn.CONCAT("FretRout",LEFT(B209,3),RIGHT(B209,2),"Mot")</f>
        <v>FretRoutCat21Mot</v>
      </c>
      <c r="F209" t="s">
        <v>36</v>
      </c>
      <c r="G209">
        <v>1</v>
      </c>
      <c r="H209" s="2"/>
      <c r="I209" t="s">
        <v>138</v>
      </c>
      <c r="K209" s="4" t="str">
        <f t="shared" si="20"/>
        <v>Diesel</v>
      </c>
    </row>
    <row r="210" spans="1:11" outlineLevel="1" x14ac:dyDescent="0.25">
      <c r="A210" t="s">
        <v>76</v>
      </c>
      <c r="B210" s="2" t="s">
        <v>109</v>
      </c>
      <c r="C210" t="s">
        <v>82</v>
      </c>
      <c r="E210" t="str">
        <f>_xlfn.CONCAT("FretRout",LEFT(B210,3),RIGHT(B210,2),"Carb")</f>
        <v>FretRoutCat21Carb</v>
      </c>
      <c r="F210" t="s">
        <v>36</v>
      </c>
      <c r="G210">
        <v>1</v>
      </c>
      <c r="I210" t="s">
        <v>1449</v>
      </c>
      <c r="K210" s="4" t="str">
        <f t="shared" si="20"/>
        <v>Gazole à la pompe</v>
      </c>
    </row>
    <row r="211" spans="1:11" outlineLevel="1" x14ac:dyDescent="0.25">
      <c r="A211" t="s">
        <v>76</v>
      </c>
      <c r="B211" s="2" t="s">
        <v>109</v>
      </c>
      <c r="C211" t="s">
        <v>83</v>
      </c>
      <c r="E211" t="str">
        <f>_xlfn.CONCAT("FretRout",LEFT(B211,3),RIGHT(B211,2),"Euro")</f>
        <v>FretRoutCat21Euro</v>
      </c>
      <c r="F211" t="s">
        <v>36</v>
      </c>
      <c r="G211">
        <v>1</v>
      </c>
      <c r="I211">
        <v>0</v>
      </c>
      <c r="K211" s="4">
        <f t="shared" si="20"/>
        <v>0</v>
      </c>
    </row>
    <row r="212" spans="1:11" outlineLevel="1" x14ac:dyDescent="0.25">
      <c r="A212" t="s">
        <v>76</v>
      </c>
      <c r="B212" s="2" t="s">
        <v>109</v>
      </c>
      <c r="C212" t="s">
        <v>84</v>
      </c>
      <c r="E212" t="str">
        <f>_xlfn.CONCAT("FretRout",LEFT(B212,3),RIGHT(B212,2),"CritAir")</f>
        <v>FretRoutCat21CritAir</v>
      </c>
      <c r="F212" t="s">
        <v>36</v>
      </c>
      <c r="G212">
        <v>1</v>
      </c>
      <c r="H212" s="2"/>
      <c r="I212">
        <v>3</v>
      </c>
      <c r="K212" s="4">
        <f t="shared" si="20"/>
        <v>3</v>
      </c>
    </row>
    <row r="213" spans="1:11" outlineLevel="1" x14ac:dyDescent="0.25">
      <c r="A213" t="s">
        <v>76</v>
      </c>
      <c r="B213" s="2" t="s">
        <v>109</v>
      </c>
      <c r="C213" t="s">
        <v>85</v>
      </c>
      <c r="E213" t="str">
        <f>_xlfn.CONCAT("FretRout",LEFT(B213,3),RIGHT(B213,2),"Nb")</f>
        <v>FretRoutCat21Nb</v>
      </c>
      <c r="F213" t="s">
        <v>17</v>
      </c>
      <c r="G213">
        <v>1</v>
      </c>
      <c r="J213" t="s">
        <v>86</v>
      </c>
      <c r="K213">
        <v>0</v>
      </c>
    </row>
    <row r="214" spans="1:11" outlineLevel="1" x14ac:dyDescent="0.25">
      <c r="A214" t="s">
        <v>76</v>
      </c>
      <c r="B214" s="2" t="s">
        <v>109</v>
      </c>
      <c r="C214" t="s">
        <v>87</v>
      </c>
      <c r="E214" t="str">
        <f>_xlfn.CONCAT("FretRout",LEFT(B214,3),RIGHT(B214,2),"Dist")</f>
        <v>FretRoutCat21Dist</v>
      </c>
      <c r="F214" t="s">
        <v>17</v>
      </c>
      <c r="G214">
        <v>1</v>
      </c>
      <c r="H214" s="2"/>
      <c r="J214" t="s">
        <v>88</v>
      </c>
      <c r="K214">
        <v>42385.998762263436</v>
      </c>
    </row>
    <row r="215" spans="1:11" outlineLevel="1" x14ac:dyDescent="0.25">
      <c r="A215" t="s">
        <v>76</v>
      </c>
      <c r="B215" s="2" t="s">
        <v>109</v>
      </c>
      <c r="C215" s="2" t="s">
        <v>89</v>
      </c>
      <c r="E215" t="str">
        <f>_xlfn.CONCAT("FretRout",LEFT(B215,3),RIGHT(B215,2),"Rempl")</f>
        <v>FretRoutCat21Rempl</v>
      </c>
      <c r="F215" t="s">
        <v>17</v>
      </c>
      <c r="G215">
        <v>1</v>
      </c>
      <c r="H215" s="3"/>
      <c r="J215" t="s">
        <v>70</v>
      </c>
      <c r="K215">
        <v>0</v>
      </c>
    </row>
    <row r="216" spans="1:11" outlineLevel="1" x14ac:dyDescent="0.25">
      <c r="A216" t="s">
        <v>76</v>
      </c>
      <c r="B216" s="2" t="s">
        <v>110</v>
      </c>
      <c r="C216" t="s">
        <v>78</v>
      </c>
      <c r="E216" t="str">
        <f>_xlfn.CONCAT("FretRout",LEFT(B216,3),RIGHT(B216,2),"Nom")</f>
        <v>FretRoutCat22Nom</v>
      </c>
      <c r="F216" t="s">
        <v>20</v>
      </c>
      <c r="G216">
        <v>1</v>
      </c>
      <c r="H216" s="4"/>
      <c r="I216" s="4" t="s">
        <v>407</v>
      </c>
      <c r="K216" s="4" t="str">
        <f t="shared" ref="K216:K222" si="21">I216</f>
        <v>PL Diesel &gt;7.5-12t (Crit'Air 4)</v>
      </c>
    </row>
    <row r="217" spans="1:11" outlineLevel="1" x14ac:dyDescent="0.25">
      <c r="A217" t="s">
        <v>76</v>
      </c>
      <c r="B217" s="2" t="s">
        <v>110</v>
      </c>
      <c r="C217" t="s">
        <v>79</v>
      </c>
      <c r="E217" t="str">
        <f>_xlfn.CONCAT("FretRout",LEFT(B217,3),RIGHT(B217,2),"Type")</f>
        <v>FretRoutCat22Type</v>
      </c>
      <c r="F217" t="s">
        <v>20</v>
      </c>
      <c r="G217">
        <v>1</v>
      </c>
      <c r="I217" t="s">
        <v>1771</v>
      </c>
      <c r="K217" s="4" t="str">
        <f t="shared" si="21"/>
        <v>PL</v>
      </c>
    </row>
    <row r="218" spans="1:11" outlineLevel="1" x14ac:dyDescent="0.25">
      <c r="A218" t="s">
        <v>76</v>
      </c>
      <c r="B218" s="2" t="s">
        <v>110</v>
      </c>
      <c r="C218" t="s">
        <v>80</v>
      </c>
      <c r="E218" t="str">
        <f>_xlfn.CONCAT("FretRout",LEFT(B218,3),RIGHT(B218,2),"PTAC")</f>
        <v>FretRoutCat22PTAC</v>
      </c>
      <c r="F218" t="s">
        <v>36</v>
      </c>
      <c r="G218">
        <v>1</v>
      </c>
      <c r="I218" t="s">
        <v>1458</v>
      </c>
      <c r="K218" s="4" t="str">
        <f t="shared" si="21"/>
        <v>&gt;7.5-12t</v>
      </c>
    </row>
    <row r="219" spans="1:11" outlineLevel="1" x14ac:dyDescent="0.25">
      <c r="A219" t="s">
        <v>76</v>
      </c>
      <c r="B219" s="2" t="s">
        <v>110</v>
      </c>
      <c r="C219" t="s">
        <v>81</v>
      </c>
      <c r="E219" t="str">
        <f>_xlfn.CONCAT("FretRout",LEFT(B219,3),RIGHT(B219,2),"Mot")</f>
        <v>FretRoutCat22Mot</v>
      </c>
      <c r="F219" t="s">
        <v>36</v>
      </c>
      <c r="G219">
        <v>1</v>
      </c>
      <c r="H219" s="2"/>
      <c r="I219" t="s">
        <v>138</v>
      </c>
      <c r="K219" s="4" t="str">
        <f t="shared" si="21"/>
        <v>Diesel</v>
      </c>
    </row>
    <row r="220" spans="1:11" outlineLevel="1" x14ac:dyDescent="0.25">
      <c r="A220" t="s">
        <v>76</v>
      </c>
      <c r="B220" s="2" t="s">
        <v>110</v>
      </c>
      <c r="C220" t="s">
        <v>82</v>
      </c>
      <c r="E220" t="str">
        <f>_xlfn.CONCAT("FretRout",LEFT(B220,3),RIGHT(B220,2),"Carb")</f>
        <v>FretRoutCat22Carb</v>
      </c>
      <c r="F220" t="s">
        <v>36</v>
      </c>
      <c r="G220">
        <v>1</v>
      </c>
      <c r="I220" t="s">
        <v>1449</v>
      </c>
      <c r="K220" s="4" t="str">
        <f t="shared" si="21"/>
        <v>Gazole à la pompe</v>
      </c>
    </row>
    <row r="221" spans="1:11" outlineLevel="1" x14ac:dyDescent="0.25">
      <c r="A221" t="s">
        <v>76</v>
      </c>
      <c r="B221" s="2" t="s">
        <v>110</v>
      </c>
      <c r="C221" t="s">
        <v>83</v>
      </c>
      <c r="E221" t="str">
        <f>_xlfn.CONCAT("FretRout",LEFT(B221,3),RIGHT(B221,2),"Euro")</f>
        <v>FretRoutCat22Euro</v>
      </c>
      <c r="F221" t="s">
        <v>36</v>
      </c>
      <c r="G221">
        <v>1</v>
      </c>
      <c r="I221">
        <v>0</v>
      </c>
      <c r="K221" s="4">
        <f t="shared" si="21"/>
        <v>0</v>
      </c>
    </row>
    <row r="222" spans="1:11" outlineLevel="1" x14ac:dyDescent="0.25">
      <c r="A222" t="s">
        <v>76</v>
      </c>
      <c r="B222" s="2" t="s">
        <v>110</v>
      </c>
      <c r="C222" t="s">
        <v>84</v>
      </c>
      <c r="E222" t="str">
        <f>_xlfn.CONCAT("FretRout",LEFT(B222,3),RIGHT(B222,2),"CritAir")</f>
        <v>FretRoutCat22CritAir</v>
      </c>
      <c r="F222" t="s">
        <v>36</v>
      </c>
      <c r="G222">
        <v>1</v>
      </c>
      <c r="H222" s="2"/>
      <c r="I222">
        <v>4</v>
      </c>
      <c r="K222" s="4">
        <f t="shared" si="21"/>
        <v>4</v>
      </c>
    </row>
    <row r="223" spans="1:11" outlineLevel="1" x14ac:dyDescent="0.25">
      <c r="A223" t="s">
        <v>76</v>
      </c>
      <c r="B223" s="2" t="s">
        <v>110</v>
      </c>
      <c r="C223" t="s">
        <v>85</v>
      </c>
      <c r="E223" t="str">
        <f>_xlfn.CONCAT("FretRout",LEFT(B223,3),RIGHT(B223,2),"Nb")</f>
        <v>FretRoutCat22Nb</v>
      </c>
      <c r="F223" t="s">
        <v>17</v>
      </c>
      <c r="G223">
        <v>1</v>
      </c>
      <c r="J223" t="s">
        <v>86</v>
      </c>
      <c r="K223">
        <v>0</v>
      </c>
    </row>
    <row r="224" spans="1:11" outlineLevel="1" x14ac:dyDescent="0.25">
      <c r="A224" t="s">
        <v>76</v>
      </c>
      <c r="B224" s="2" t="s">
        <v>110</v>
      </c>
      <c r="C224" t="s">
        <v>87</v>
      </c>
      <c r="E224" t="str">
        <f>_xlfn.CONCAT("FretRout",LEFT(B224,3),RIGHT(B224,2),"Dist")</f>
        <v>FretRoutCat22Dist</v>
      </c>
      <c r="F224" t="s">
        <v>17</v>
      </c>
      <c r="G224">
        <v>1</v>
      </c>
      <c r="H224" s="2"/>
      <c r="J224" t="s">
        <v>88</v>
      </c>
      <c r="K224">
        <v>42385.998762263436</v>
      </c>
    </row>
    <row r="225" spans="1:11" outlineLevel="1" x14ac:dyDescent="0.25">
      <c r="A225" t="s">
        <v>76</v>
      </c>
      <c r="B225" s="2" t="s">
        <v>110</v>
      </c>
      <c r="C225" s="2" t="s">
        <v>89</v>
      </c>
      <c r="E225" t="str">
        <f>_xlfn.CONCAT("FretRout",LEFT(B225,3),RIGHT(B225,2),"Rempl")</f>
        <v>FretRoutCat22Rempl</v>
      </c>
      <c r="F225" t="s">
        <v>17</v>
      </c>
      <c r="G225">
        <v>1</v>
      </c>
      <c r="H225" s="3"/>
      <c r="J225" t="s">
        <v>70</v>
      </c>
      <c r="K225">
        <v>0</v>
      </c>
    </row>
    <row r="226" spans="1:11" outlineLevel="1" x14ac:dyDescent="0.25">
      <c r="A226" t="s">
        <v>76</v>
      </c>
      <c r="B226" s="2" t="s">
        <v>111</v>
      </c>
      <c r="C226" t="s">
        <v>78</v>
      </c>
      <c r="E226" t="str">
        <f>_xlfn.CONCAT("FretRout",LEFT(B226,3),RIGHT(B226,2),"Nom")</f>
        <v>FretRoutCat23Nom</v>
      </c>
      <c r="F226" t="s">
        <v>20</v>
      </c>
      <c r="G226">
        <v>1</v>
      </c>
      <c r="H226" s="4"/>
      <c r="I226" s="4" t="s">
        <v>408</v>
      </c>
      <c r="K226" s="4" t="str">
        <f t="shared" ref="K226:K232" si="22">I226</f>
        <v>PL Diesel &gt;7.5-12t (Crit'Air 5)</v>
      </c>
    </row>
    <row r="227" spans="1:11" outlineLevel="1" x14ac:dyDescent="0.25">
      <c r="A227" t="s">
        <v>76</v>
      </c>
      <c r="B227" s="2" t="s">
        <v>111</v>
      </c>
      <c r="C227" t="s">
        <v>79</v>
      </c>
      <c r="E227" t="str">
        <f>_xlfn.CONCAT("FretRout",LEFT(B227,3),RIGHT(B227,2),"Type")</f>
        <v>FretRoutCat23Type</v>
      </c>
      <c r="F227" t="s">
        <v>20</v>
      </c>
      <c r="G227">
        <v>1</v>
      </c>
      <c r="I227" t="s">
        <v>1771</v>
      </c>
      <c r="K227" s="4" t="str">
        <f t="shared" si="22"/>
        <v>PL</v>
      </c>
    </row>
    <row r="228" spans="1:11" outlineLevel="1" x14ac:dyDescent="0.25">
      <c r="A228" t="s">
        <v>76</v>
      </c>
      <c r="B228" s="2" t="s">
        <v>111</v>
      </c>
      <c r="C228" t="s">
        <v>80</v>
      </c>
      <c r="E228" t="str">
        <f>_xlfn.CONCAT("FretRout",LEFT(B228,3),RIGHT(B228,2),"PTAC")</f>
        <v>FretRoutCat23PTAC</v>
      </c>
      <c r="F228" t="s">
        <v>36</v>
      </c>
      <c r="G228">
        <v>1</v>
      </c>
      <c r="I228" t="s">
        <v>1458</v>
      </c>
      <c r="K228" s="4" t="str">
        <f t="shared" si="22"/>
        <v>&gt;7.5-12t</v>
      </c>
    </row>
    <row r="229" spans="1:11" outlineLevel="1" x14ac:dyDescent="0.25">
      <c r="A229" t="s">
        <v>76</v>
      </c>
      <c r="B229" s="2" t="s">
        <v>111</v>
      </c>
      <c r="C229" t="s">
        <v>81</v>
      </c>
      <c r="E229" t="str">
        <f>_xlfn.CONCAT("FretRout",LEFT(B229,3),RIGHT(B229,2),"Mot")</f>
        <v>FretRoutCat23Mot</v>
      </c>
      <c r="F229" t="s">
        <v>36</v>
      </c>
      <c r="G229">
        <v>1</v>
      </c>
      <c r="H229" s="2"/>
      <c r="I229" t="s">
        <v>138</v>
      </c>
      <c r="K229" s="4" t="str">
        <f t="shared" si="22"/>
        <v>Diesel</v>
      </c>
    </row>
    <row r="230" spans="1:11" outlineLevel="1" x14ac:dyDescent="0.25">
      <c r="A230" t="s">
        <v>76</v>
      </c>
      <c r="B230" s="2" t="s">
        <v>111</v>
      </c>
      <c r="C230" t="s">
        <v>82</v>
      </c>
      <c r="E230" t="str">
        <f>_xlfn.CONCAT("FretRout",LEFT(B230,3),RIGHT(B230,2),"Carb")</f>
        <v>FretRoutCat23Carb</v>
      </c>
      <c r="F230" t="s">
        <v>36</v>
      </c>
      <c r="G230">
        <v>1</v>
      </c>
      <c r="I230" t="s">
        <v>1449</v>
      </c>
      <c r="K230" s="4" t="str">
        <f t="shared" si="22"/>
        <v>Gazole à la pompe</v>
      </c>
    </row>
    <row r="231" spans="1:11" outlineLevel="1" x14ac:dyDescent="0.25">
      <c r="A231" t="s">
        <v>76</v>
      </c>
      <c r="B231" s="2" t="s">
        <v>111</v>
      </c>
      <c r="C231" t="s">
        <v>83</v>
      </c>
      <c r="E231" t="str">
        <f>_xlfn.CONCAT("FretRout",LEFT(B231,3),RIGHT(B231,2),"Euro")</f>
        <v>FretRoutCat23Euro</v>
      </c>
      <c r="F231" t="s">
        <v>36</v>
      </c>
      <c r="G231">
        <v>1</v>
      </c>
      <c r="I231">
        <v>0</v>
      </c>
      <c r="K231" s="4">
        <f t="shared" si="22"/>
        <v>0</v>
      </c>
    </row>
    <row r="232" spans="1:11" outlineLevel="1" x14ac:dyDescent="0.25">
      <c r="A232" t="s">
        <v>76</v>
      </c>
      <c r="B232" s="2" t="s">
        <v>111</v>
      </c>
      <c r="C232" t="s">
        <v>84</v>
      </c>
      <c r="E232" t="str">
        <f>_xlfn.CONCAT("FretRout",LEFT(B232,3),RIGHT(B232,2),"CritAir")</f>
        <v>FretRoutCat23CritAir</v>
      </c>
      <c r="F232" t="s">
        <v>36</v>
      </c>
      <c r="G232">
        <v>1</v>
      </c>
      <c r="H232" s="2"/>
      <c r="I232">
        <v>5</v>
      </c>
      <c r="K232" s="4">
        <f t="shared" si="22"/>
        <v>5</v>
      </c>
    </row>
    <row r="233" spans="1:11" outlineLevel="1" x14ac:dyDescent="0.25">
      <c r="A233" t="s">
        <v>76</v>
      </c>
      <c r="B233" s="2" t="s">
        <v>111</v>
      </c>
      <c r="C233" t="s">
        <v>85</v>
      </c>
      <c r="E233" t="str">
        <f>_xlfn.CONCAT("FretRout",LEFT(B233,3),RIGHT(B233,2),"Nb")</f>
        <v>FretRoutCat23Nb</v>
      </c>
      <c r="F233" t="s">
        <v>17</v>
      </c>
      <c r="G233">
        <v>1</v>
      </c>
      <c r="J233" t="s">
        <v>86</v>
      </c>
      <c r="K233">
        <v>0</v>
      </c>
    </row>
    <row r="234" spans="1:11" outlineLevel="1" x14ac:dyDescent="0.25">
      <c r="A234" t="s">
        <v>76</v>
      </c>
      <c r="B234" s="2" t="s">
        <v>111</v>
      </c>
      <c r="C234" t="s">
        <v>87</v>
      </c>
      <c r="E234" t="str">
        <f>_xlfn.CONCAT("FretRout",LEFT(B234,3),RIGHT(B234,2),"Dist")</f>
        <v>FretRoutCat23Dist</v>
      </c>
      <c r="F234" t="s">
        <v>17</v>
      </c>
      <c r="G234">
        <v>1</v>
      </c>
      <c r="H234" s="2"/>
      <c r="J234" t="s">
        <v>88</v>
      </c>
      <c r="K234">
        <v>42385.998762263436</v>
      </c>
    </row>
    <row r="235" spans="1:11" outlineLevel="1" x14ac:dyDescent="0.25">
      <c r="A235" t="s">
        <v>76</v>
      </c>
      <c r="B235" s="2" t="s">
        <v>111</v>
      </c>
      <c r="C235" s="2" t="s">
        <v>89</v>
      </c>
      <c r="E235" t="str">
        <f>_xlfn.CONCAT("FretRout",LEFT(B235,3),RIGHT(B235,2),"Rempl")</f>
        <v>FretRoutCat23Rempl</v>
      </c>
      <c r="F235" t="s">
        <v>17</v>
      </c>
      <c r="G235">
        <v>1</v>
      </c>
      <c r="H235" s="3"/>
      <c r="J235" t="s">
        <v>70</v>
      </c>
      <c r="K235">
        <v>0</v>
      </c>
    </row>
    <row r="236" spans="1:11" outlineLevel="1" x14ac:dyDescent="0.25">
      <c r="A236" t="s">
        <v>76</v>
      </c>
      <c r="B236" s="2" t="s">
        <v>112</v>
      </c>
      <c r="C236" t="s">
        <v>78</v>
      </c>
      <c r="E236" t="str">
        <f>_xlfn.CONCAT("FretRout",LEFT(B236,3),RIGHT(B236,2),"Nom")</f>
        <v>FretRoutCat24Nom</v>
      </c>
      <c r="F236" t="s">
        <v>20</v>
      </c>
      <c r="G236">
        <v>1</v>
      </c>
      <c r="H236" s="4"/>
      <c r="I236" s="4" t="s">
        <v>409</v>
      </c>
      <c r="K236" s="4" t="str">
        <f t="shared" ref="K236:K242" si="23">I236</f>
        <v>PL Diesel &gt;14-20t (Crit'Air 2)</v>
      </c>
    </row>
    <row r="237" spans="1:11" outlineLevel="1" x14ac:dyDescent="0.25">
      <c r="A237" t="s">
        <v>76</v>
      </c>
      <c r="B237" s="2" t="s">
        <v>112</v>
      </c>
      <c r="C237" t="s">
        <v>79</v>
      </c>
      <c r="E237" t="str">
        <f>_xlfn.CONCAT("FretRout",LEFT(B237,3),RIGHT(B237,2),"Type")</f>
        <v>FretRoutCat24Type</v>
      </c>
      <c r="F237" t="s">
        <v>20</v>
      </c>
      <c r="G237">
        <v>1</v>
      </c>
      <c r="I237" t="s">
        <v>1771</v>
      </c>
      <c r="K237" s="4" t="str">
        <f t="shared" si="23"/>
        <v>PL</v>
      </c>
    </row>
    <row r="238" spans="1:11" outlineLevel="1" x14ac:dyDescent="0.25">
      <c r="A238" t="s">
        <v>76</v>
      </c>
      <c r="B238" s="2" t="s">
        <v>112</v>
      </c>
      <c r="C238" t="s">
        <v>80</v>
      </c>
      <c r="E238" t="str">
        <f>_xlfn.CONCAT("FretRout",LEFT(B238,3),RIGHT(B238,2),"PTAC")</f>
        <v>FretRoutCat24PTAC</v>
      </c>
      <c r="F238" t="s">
        <v>36</v>
      </c>
      <c r="G238">
        <v>1</v>
      </c>
      <c r="I238" t="s">
        <v>1459</v>
      </c>
      <c r="K238" s="4" t="str">
        <f t="shared" si="23"/>
        <v>&gt;14-20t</v>
      </c>
    </row>
    <row r="239" spans="1:11" outlineLevel="1" x14ac:dyDescent="0.25">
      <c r="A239" t="s">
        <v>76</v>
      </c>
      <c r="B239" s="2" t="s">
        <v>112</v>
      </c>
      <c r="C239" t="s">
        <v>81</v>
      </c>
      <c r="E239" t="str">
        <f>_xlfn.CONCAT("FretRout",LEFT(B239,3),RIGHT(B239,2),"Mot")</f>
        <v>FretRoutCat24Mot</v>
      </c>
      <c r="F239" t="s">
        <v>36</v>
      </c>
      <c r="G239">
        <v>1</v>
      </c>
      <c r="H239" s="2"/>
      <c r="I239" t="s">
        <v>138</v>
      </c>
      <c r="K239" s="4" t="str">
        <f t="shared" si="23"/>
        <v>Diesel</v>
      </c>
    </row>
    <row r="240" spans="1:11" outlineLevel="1" x14ac:dyDescent="0.25">
      <c r="A240" t="s">
        <v>76</v>
      </c>
      <c r="B240" s="2" t="s">
        <v>112</v>
      </c>
      <c r="C240" t="s">
        <v>82</v>
      </c>
      <c r="E240" t="str">
        <f>_xlfn.CONCAT("FretRout",LEFT(B240,3),RIGHT(B240,2),"Carb")</f>
        <v>FretRoutCat24Carb</v>
      </c>
      <c r="F240" t="s">
        <v>36</v>
      </c>
      <c r="G240">
        <v>1</v>
      </c>
      <c r="I240" t="s">
        <v>1449</v>
      </c>
      <c r="K240" s="4" t="str">
        <f t="shared" si="23"/>
        <v>Gazole à la pompe</v>
      </c>
    </row>
    <row r="241" spans="1:11" outlineLevel="1" x14ac:dyDescent="0.25">
      <c r="A241" t="s">
        <v>76</v>
      </c>
      <c r="B241" s="2" t="s">
        <v>112</v>
      </c>
      <c r="C241" t="s">
        <v>83</v>
      </c>
      <c r="E241" t="str">
        <f>_xlfn.CONCAT("FretRout",LEFT(B241,3),RIGHT(B241,2),"Euro")</f>
        <v>FretRoutCat24Euro</v>
      </c>
      <c r="F241" t="s">
        <v>36</v>
      </c>
      <c r="G241">
        <v>1</v>
      </c>
      <c r="I241">
        <v>0</v>
      </c>
      <c r="K241" s="4">
        <f t="shared" si="23"/>
        <v>0</v>
      </c>
    </row>
    <row r="242" spans="1:11" outlineLevel="1" x14ac:dyDescent="0.25">
      <c r="A242" t="s">
        <v>76</v>
      </c>
      <c r="B242" s="2" t="s">
        <v>112</v>
      </c>
      <c r="C242" t="s">
        <v>84</v>
      </c>
      <c r="E242" t="str">
        <f>_xlfn.CONCAT("FretRout",LEFT(B242,3),RIGHT(B242,2),"CritAir")</f>
        <v>FretRoutCat24CritAir</v>
      </c>
      <c r="F242" t="s">
        <v>36</v>
      </c>
      <c r="G242">
        <v>1</v>
      </c>
      <c r="H242" s="2"/>
      <c r="I242">
        <v>2</v>
      </c>
      <c r="K242" s="4">
        <f t="shared" si="23"/>
        <v>2</v>
      </c>
    </row>
    <row r="243" spans="1:11" outlineLevel="1" x14ac:dyDescent="0.25">
      <c r="A243" t="s">
        <v>76</v>
      </c>
      <c r="B243" s="2" t="s">
        <v>112</v>
      </c>
      <c r="C243" t="s">
        <v>85</v>
      </c>
      <c r="E243" t="str">
        <f>_xlfn.CONCAT("FretRout",LEFT(B243,3),RIGHT(B243,2),"Nb")</f>
        <v>FretRoutCat24Nb</v>
      </c>
      <c r="F243" t="s">
        <v>17</v>
      </c>
      <c r="G243">
        <v>1</v>
      </c>
      <c r="J243" t="s">
        <v>86</v>
      </c>
      <c r="K243">
        <v>0</v>
      </c>
    </row>
    <row r="244" spans="1:11" outlineLevel="1" x14ac:dyDescent="0.25">
      <c r="A244" t="s">
        <v>76</v>
      </c>
      <c r="B244" s="2" t="s">
        <v>112</v>
      </c>
      <c r="C244" t="s">
        <v>87</v>
      </c>
      <c r="E244" t="str">
        <f>_xlfn.CONCAT("FretRout",LEFT(B244,3),RIGHT(B244,2),"Dist")</f>
        <v>FretRoutCat24Dist</v>
      </c>
      <c r="F244" t="s">
        <v>17</v>
      </c>
      <c r="G244">
        <v>1</v>
      </c>
      <c r="H244" s="2"/>
      <c r="J244" t="s">
        <v>88</v>
      </c>
      <c r="K244">
        <v>42385.998762263436</v>
      </c>
    </row>
    <row r="245" spans="1:11" outlineLevel="1" x14ac:dyDescent="0.25">
      <c r="A245" t="s">
        <v>76</v>
      </c>
      <c r="B245" s="2" t="s">
        <v>112</v>
      </c>
      <c r="C245" s="2" t="s">
        <v>89</v>
      </c>
      <c r="E245" t="str">
        <f>_xlfn.CONCAT("FretRout",LEFT(B245,3),RIGHT(B245,2),"Rempl")</f>
        <v>FretRoutCat24Rempl</v>
      </c>
      <c r="F245" t="s">
        <v>17</v>
      </c>
      <c r="G245">
        <v>1</v>
      </c>
      <c r="H245" s="3"/>
      <c r="J245" t="s">
        <v>70</v>
      </c>
      <c r="K245">
        <v>0</v>
      </c>
    </row>
    <row r="246" spans="1:11" outlineLevel="1" x14ac:dyDescent="0.25">
      <c r="A246" t="s">
        <v>76</v>
      </c>
      <c r="B246" s="2" t="s">
        <v>113</v>
      </c>
      <c r="C246" t="s">
        <v>78</v>
      </c>
      <c r="E246" t="str">
        <f>_xlfn.CONCAT("FretRout",LEFT(B246,3),RIGHT(B246,2),"Nom")</f>
        <v>FretRoutCat25Nom</v>
      </c>
      <c r="F246" t="s">
        <v>20</v>
      </c>
      <c r="G246">
        <v>1</v>
      </c>
      <c r="H246" s="4"/>
      <c r="I246" s="4" t="s">
        <v>410</v>
      </c>
      <c r="K246" s="4" t="str">
        <f t="shared" ref="K246:K252" si="24">I246</f>
        <v>PL Diesel &gt;14-20t (Crit'Air 3)</v>
      </c>
    </row>
    <row r="247" spans="1:11" outlineLevel="1" x14ac:dyDescent="0.25">
      <c r="A247" t="s">
        <v>76</v>
      </c>
      <c r="B247" s="2" t="s">
        <v>113</v>
      </c>
      <c r="C247" t="s">
        <v>79</v>
      </c>
      <c r="E247" t="str">
        <f>_xlfn.CONCAT("FretRout",LEFT(B247,3),RIGHT(B247,2),"Type")</f>
        <v>FretRoutCat25Type</v>
      </c>
      <c r="F247" t="s">
        <v>20</v>
      </c>
      <c r="G247">
        <v>1</v>
      </c>
      <c r="I247" t="s">
        <v>1771</v>
      </c>
      <c r="K247" s="4" t="str">
        <f t="shared" si="24"/>
        <v>PL</v>
      </c>
    </row>
    <row r="248" spans="1:11" outlineLevel="1" x14ac:dyDescent="0.25">
      <c r="A248" t="s">
        <v>76</v>
      </c>
      <c r="B248" s="2" t="s">
        <v>113</v>
      </c>
      <c r="C248" t="s">
        <v>80</v>
      </c>
      <c r="E248" t="str">
        <f>_xlfn.CONCAT("FretRout",LEFT(B248,3),RIGHT(B248,2),"PTAC")</f>
        <v>FretRoutCat25PTAC</v>
      </c>
      <c r="F248" t="s">
        <v>36</v>
      </c>
      <c r="G248">
        <v>1</v>
      </c>
      <c r="I248" t="s">
        <v>1459</v>
      </c>
      <c r="K248" s="4" t="str">
        <f t="shared" si="24"/>
        <v>&gt;14-20t</v>
      </c>
    </row>
    <row r="249" spans="1:11" outlineLevel="1" x14ac:dyDescent="0.25">
      <c r="A249" t="s">
        <v>76</v>
      </c>
      <c r="B249" s="2" t="s">
        <v>113</v>
      </c>
      <c r="C249" t="s">
        <v>81</v>
      </c>
      <c r="E249" t="str">
        <f>_xlfn.CONCAT("FretRout",LEFT(B249,3),RIGHT(B249,2),"Mot")</f>
        <v>FretRoutCat25Mot</v>
      </c>
      <c r="F249" t="s">
        <v>36</v>
      </c>
      <c r="G249">
        <v>1</v>
      </c>
      <c r="H249" s="2"/>
      <c r="I249" t="s">
        <v>138</v>
      </c>
      <c r="K249" s="4" t="str">
        <f t="shared" si="24"/>
        <v>Diesel</v>
      </c>
    </row>
    <row r="250" spans="1:11" outlineLevel="1" x14ac:dyDescent="0.25">
      <c r="A250" t="s">
        <v>76</v>
      </c>
      <c r="B250" s="2" t="s">
        <v>113</v>
      </c>
      <c r="C250" t="s">
        <v>82</v>
      </c>
      <c r="E250" t="str">
        <f>_xlfn.CONCAT("FretRout",LEFT(B250,3),RIGHT(B250,2),"Carb")</f>
        <v>FretRoutCat25Carb</v>
      </c>
      <c r="F250" t="s">
        <v>36</v>
      </c>
      <c r="G250">
        <v>1</v>
      </c>
      <c r="I250" t="s">
        <v>1449</v>
      </c>
      <c r="K250" s="4" t="str">
        <f t="shared" si="24"/>
        <v>Gazole à la pompe</v>
      </c>
    </row>
    <row r="251" spans="1:11" outlineLevel="1" x14ac:dyDescent="0.25">
      <c r="A251" t="s">
        <v>76</v>
      </c>
      <c r="B251" s="2" t="s">
        <v>113</v>
      </c>
      <c r="C251" t="s">
        <v>83</v>
      </c>
      <c r="E251" t="str">
        <f>_xlfn.CONCAT("FretRout",LEFT(B251,3),RIGHT(B251,2),"Euro")</f>
        <v>FretRoutCat25Euro</v>
      </c>
      <c r="F251" t="s">
        <v>36</v>
      </c>
      <c r="G251">
        <v>1</v>
      </c>
      <c r="I251">
        <v>0</v>
      </c>
      <c r="K251" s="4">
        <f t="shared" si="24"/>
        <v>0</v>
      </c>
    </row>
    <row r="252" spans="1:11" outlineLevel="1" x14ac:dyDescent="0.25">
      <c r="A252" t="s">
        <v>76</v>
      </c>
      <c r="B252" s="2" t="s">
        <v>113</v>
      </c>
      <c r="C252" t="s">
        <v>84</v>
      </c>
      <c r="E252" t="str">
        <f>_xlfn.CONCAT("FretRout",LEFT(B252,3),RIGHT(B252,2),"CritAir")</f>
        <v>FretRoutCat25CritAir</v>
      </c>
      <c r="F252" t="s">
        <v>36</v>
      </c>
      <c r="G252">
        <v>1</v>
      </c>
      <c r="H252" s="2"/>
      <c r="I252">
        <v>3</v>
      </c>
      <c r="K252" s="4">
        <f t="shared" si="24"/>
        <v>3</v>
      </c>
    </row>
    <row r="253" spans="1:11" outlineLevel="1" x14ac:dyDescent="0.25">
      <c r="A253" t="s">
        <v>76</v>
      </c>
      <c r="B253" s="2" t="s">
        <v>113</v>
      </c>
      <c r="C253" t="s">
        <v>85</v>
      </c>
      <c r="E253" t="str">
        <f>_xlfn.CONCAT("FretRout",LEFT(B253,3),RIGHT(B253,2),"Nb")</f>
        <v>FretRoutCat25Nb</v>
      </c>
      <c r="F253" t="s">
        <v>17</v>
      </c>
      <c r="G253">
        <v>1</v>
      </c>
      <c r="J253" t="s">
        <v>86</v>
      </c>
      <c r="K253">
        <v>0</v>
      </c>
    </row>
    <row r="254" spans="1:11" outlineLevel="1" x14ac:dyDescent="0.25">
      <c r="A254" t="s">
        <v>76</v>
      </c>
      <c r="B254" s="2" t="s">
        <v>113</v>
      </c>
      <c r="C254" t="s">
        <v>87</v>
      </c>
      <c r="E254" t="str">
        <f>_xlfn.CONCAT("FretRout",LEFT(B254,3),RIGHT(B254,2),"Dist")</f>
        <v>FretRoutCat25Dist</v>
      </c>
      <c r="F254" t="s">
        <v>17</v>
      </c>
      <c r="G254">
        <v>1</v>
      </c>
      <c r="H254" s="2"/>
      <c r="J254" t="s">
        <v>88</v>
      </c>
      <c r="K254">
        <v>42385.998762263436</v>
      </c>
    </row>
    <row r="255" spans="1:11" outlineLevel="1" x14ac:dyDescent="0.25">
      <c r="A255" t="s">
        <v>76</v>
      </c>
      <c r="B255" s="2" t="s">
        <v>113</v>
      </c>
      <c r="C255" s="2" t="s">
        <v>89</v>
      </c>
      <c r="E255" t="str">
        <f>_xlfn.CONCAT("FretRout",LEFT(B255,3),RIGHT(B255,2),"Rempl")</f>
        <v>FretRoutCat25Rempl</v>
      </c>
      <c r="F255" t="s">
        <v>17</v>
      </c>
      <c r="G255">
        <v>1</v>
      </c>
      <c r="H255" s="3"/>
      <c r="J255" t="s">
        <v>70</v>
      </c>
      <c r="K255">
        <v>0</v>
      </c>
    </row>
    <row r="256" spans="1:11" outlineLevel="1" x14ac:dyDescent="0.25">
      <c r="A256" t="s">
        <v>76</v>
      </c>
      <c r="B256" s="2" t="s">
        <v>114</v>
      </c>
      <c r="C256" t="s">
        <v>78</v>
      </c>
      <c r="E256" t="str">
        <f>_xlfn.CONCAT("FretRout",LEFT(B256,3),RIGHT(B256,2),"Nom")</f>
        <v>FretRoutCat26Nom</v>
      </c>
      <c r="F256" t="s">
        <v>20</v>
      </c>
      <c r="G256">
        <v>1</v>
      </c>
      <c r="H256" s="4"/>
      <c r="I256" s="4" t="s">
        <v>411</v>
      </c>
      <c r="K256" s="4" t="str">
        <f t="shared" ref="K256:K262" si="25">I256</f>
        <v>PL Diesel &gt;14-20t (Crit'Air 4)</v>
      </c>
    </row>
    <row r="257" spans="1:11" outlineLevel="1" x14ac:dyDescent="0.25">
      <c r="A257" t="s">
        <v>76</v>
      </c>
      <c r="B257" s="2" t="s">
        <v>114</v>
      </c>
      <c r="C257" t="s">
        <v>79</v>
      </c>
      <c r="E257" t="str">
        <f>_xlfn.CONCAT("FretRout",LEFT(B257,3),RIGHT(B257,2),"Type")</f>
        <v>FretRoutCat26Type</v>
      </c>
      <c r="F257" t="s">
        <v>20</v>
      </c>
      <c r="G257">
        <v>1</v>
      </c>
      <c r="I257" t="s">
        <v>1771</v>
      </c>
      <c r="K257" s="4" t="str">
        <f t="shared" si="25"/>
        <v>PL</v>
      </c>
    </row>
    <row r="258" spans="1:11" outlineLevel="1" x14ac:dyDescent="0.25">
      <c r="A258" t="s">
        <v>76</v>
      </c>
      <c r="B258" s="2" t="s">
        <v>114</v>
      </c>
      <c r="C258" t="s">
        <v>80</v>
      </c>
      <c r="E258" t="str">
        <f>_xlfn.CONCAT("FretRout",LEFT(B258,3),RIGHT(B258,2),"PTAC")</f>
        <v>FretRoutCat26PTAC</v>
      </c>
      <c r="F258" t="s">
        <v>36</v>
      </c>
      <c r="G258">
        <v>1</v>
      </c>
      <c r="I258" t="s">
        <v>1459</v>
      </c>
      <c r="K258" s="4" t="str">
        <f t="shared" si="25"/>
        <v>&gt;14-20t</v>
      </c>
    </row>
    <row r="259" spans="1:11" outlineLevel="1" x14ac:dyDescent="0.25">
      <c r="A259" t="s">
        <v>76</v>
      </c>
      <c r="B259" s="2" t="s">
        <v>114</v>
      </c>
      <c r="C259" t="s">
        <v>81</v>
      </c>
      <c r="E259" t="str">
        <f>_xlfn.CONCAT("FretRout",LEFT(B259,3),RIGHT(B259,2),"Mot")</f>
        <v>FretRoutCat26Mot</v>
      </c>
      <c r="F259" t="s">
        <v>36</v>
      </c>
      <c r="G259">
        <v>1</v>
      </c>
      <c r="H259" s="2"/>
      <c r="I259" t="s">
        <v>138</v>
      </c>
      <c r="K259" s="4" t="str">
        <f t="shared" si="25"/>
        <v>Diesel</v>
      </c>
    </row>
    <row r="260" spans="1:11" outlineLevel="1" x14ac:dyDescent="0.25">
      <c r="A260" t="s">
        <v>76</v>
      </c>
      <c r="B260" s="2" t="s">
        <v>114</v>
      </c>
      <c r="C260" t="s">
        <v>82</v>
      </c>
      <c r="E260" t="str">
        <f>_xlfn.CONCAT("FretRout",LEFT(B260,3),RIGHT(B260,2),"Carb")</f>
        <v>FretRoutCat26Carb</v>
      </c>
      <c r="F260" t="s">
        <v>36</v>
      </c>
      <c r="G260">
        <v>1</v>
      </c>
      <c r="I260" t="s">
        <v>1449</v>
      </c>
      <c r="K260" s="4" t="str">
        <f t="shared" si="25"/>
        <v>Gazole à la pompe</v>
      </c>
    </row>
    <row r="261" spans="1:11" outlineLevel="1" x14ac:dyDescent="0.25">
      <c r="A261" t="s">
        <v>76</v>
      </c>
      <c r="B261" s="2" t="s">
        <v>114</v>
      </c>
      <c r="C261" t="s">
        <v>83</v>
      </c>
      <c r="E261" t="str">
        <f>_xlfn.CONCAT("FretRout",LEFT(B261,3),RIGHT(B261,2),"Euro")</f>
        <v>FretRoutCat26Euro</v>
      </c>
      <c r="F261" t="s">
        <v>36</v>
      </c>
      <c r="G261">
        <v>1</v>
      </c>
      <c r="I261">
        <v>0</v>
      </c>
      <c r="K261" s="4">
        <f t="shared" si="25"/>
        <v>0</v>
      </c>
    </row>
    <row r="262" spans="1:11" outlineLevel="1" x14ac:dyDescent="0.25">
      <c r="A262" t="s">
        <v>76</v>
      </c>
      <c r="B262" s="2" t="s">
        <v>114</v>
      </c>
      <c r="C262" t="s">
        <v>84</v>
      </c>
      <c r="E262" t="str">
        <f>_xlfn.CONCAT("FretRout",LEFT(B262,3),RIGHT(B262,2),"CritAir")</f>
        <v>FretRoutCat26CritAir</v>
      </c>
      <c r="F262" t="s">
        <v>36</v>
      </c>
      <c r="G262">
        <v>1</v>
      </c>
      <c r="H262" s="2"/>
      <c r="I262">
        <v>4</v>
      </c>
      <c r="K262" s="4">
        <f t="shared" si="25"/>
        <v>4</v>
      </c>
    </row>
    <row r="263" spans="1:11" outlineLevel="1" x14ac:dyDescent="0.25">
      <c r="A263" t="s">
        <v>76</v>
      </c>
      <c r="B263" s="2" t="s">
        <v>114</v>
      </c>
      <c r="C263" t="s">
        <v>85</v>
      </c>
      <c r="E263" t="str">
        <f>_xlfn.CONCAT("FretRout",LEFT(B263,3),RIGHT(B263,2),"Nb")</f>
        <v>FretRoutCat26Nb</v>
      </c>
      <c r="F263" t="s">
        <v>17</v>
      </c>
      <c r="G263">
        <v>1</v>
      </c>
      <c r="J263" t="s">
        <v>86</v>
      </c>
      <c r="K263">
        <v>0</v>
      </c>
    </row>
    <row r="264" spans="1:11" outlineLevel="1" x14ac:dyDescent="0.25">
      <c r="A264" t="s">
        <v>76</v>
      </c>
      <c r="B264" s="2" t="s">
        <v>114</v>
      </c>
      <c r="C264" t="s">
        <v>87</v>
      </c>
      <c r="E264" t="str">
        <f>_xlfn.CONCAT("FretRout",LEFT(B264,3),RIGHT(B264,2),"Dist")</f>
        <v>FretRoutCat26Dist</v>
      </c>
      <c r="F264" t="s">
        <v>17</v>
      </c>
      <c r="G264">
        <v>1</v>
      </c>
      <c r="H264" s="2"/>
      <c r="J264" t="s">
        <v>88</v>
      </c>
      <c r="K264">
        <v>42385.998762263436</v>
      </c>
    </row>
    <row r="265" spans="1:11" outlineLevel="1" x14ac:dyDescent="0.25">
      <c r="A265" t="s">
        <v>76</v>
      </c>
      <c r="B265" s="2" t="s">
        <v>114</v>
      </c>
      <c r="C265" s="2" t="s">
        <v>89</v>
      </c>
      <c r="E265" t="str">
        <f>_xlfn.CONCAT("FretRout",LEFT(B265,3),RIGHT(B265,2),"Rempl")</f>
        <v>FretRoutCat26Rempl</v>
      </c>
      <c r="F265" t="s">
        <v>17</v>
      </c>
      <c r="G265">
        <v>1</v>
      </c>
      <c r="H265" s="3"/>
      <c r="J265" t="s">
        <v>70</v>
      </c>
      <c r="K265">
        <v>0</v>
      </c>
    </row>
    <row r="266" spans="1:11" outlineLevel="1" x14ac:dyDescent="0.25">
      <c r="A266" t="s">
        <v>76</v>
      </c>
      <c r="B266" s="2" t="s">
        <v>115</v>
      </c>
      <c r="C266" t="s">
        <v>78</v>
      </c>
      <c r="E266" t="str">
        <f>_xlfn.CONCAT("FretRout",LEFT(B266,3),RIGHT(B266,2),"Nom")</f>
        <v>FretRoutCat27Nom</v>
      </c>
      <c r="F266" t="s">
        <v>20</v>
      </c>
      <c r="G266">
        <v>1</v>
      </c>
      <c r="H266" s="4"/>
      <c r="I266" s="4" t="s">
        <v>412</v>
      </c>
      <c r="K266" s="4" t="str">
        <f t="shared" ref="K266:K272" si="26">I266</f>
        <v>PL Diesel &gt;14-20t (Crit'Air 5)</v>
      </c>
    </row>
    <row r="267" spans="1:11" outlineLevel="1" x14ac:dyDescent="0.25">
      <c r="A267" t="s">
        <v>76</v>
      </c>
      <c r="B267" s="2" t="s">
        <v>115</v>
      </c>
      <c r="C267" t="s">
        <v>79</v>
      </c>
      <c r="E267" t="str">
        <f>_xlfn.CONCAT("FretRout",LEFT(B267,3),RIGHT(B267,2),"Type")</f>
        <v>FretRoutCat27Type</v>
      </c>
      <c r="F267" t="s">
        <v>20</v>
      </c>
      <c r="G267">
        <v>1</v>
      </c>
      <c r="I267" t="s">
        <v>1771</v>
      </c>
      <c r="K267" s="4" t="str">
        <f t="shared" si="26"/>
        <v>PL</v>
      </c>
    </row>
    <row r="268" spans="1:11" outlineLevel="1" x14ac:dyDescent="0.25">
      <c r="A268" t="s">
        <v>76</v>
      </c>
      <c r="B268" s="2" t="s">
        <v>115</v>
      </c>
      <c r="C268" t="s">
        <v>80</v>
      </c>
      <c r="E268" t="str">
        <f>_xlfn.CONCAT("FretRout",LEFT(B268,3),RIGHT(B268,2),"PTAC")</f>
        <v>FretRoutCat27PTAC</v>
      </c>
      <c r="F268" t="s">
        <v>36</v>
      </c>
      <c r="G268">
        <v>1</v>
      </c>
      <c r="I268" t="s">
        <v>1459</v>
      </c>
      <c r="K268" s="4" t="str">
        <f t="shared" si="26"/>
        <v>&gt;14-20t</v>
      </c>
    </row>
    <row r="269" spans="1:11" outlineLevel="1" x14ac:dyDescent="0.25">
      <c r="A269" t="s">
        <v>76</v>
      </c>
      <c r="B269" s="2" t="s">
        <v>115</v>
      </c>
      <c r="C269" t="s">
        <v>81</v>
      </c>
      <c r="E269" t="str">
        <f>_xlfn.CONCAT("FretRout",LEFT(B269,3),RIGHT(B269,2),"Mot")</f>
        <v>FretRoutCat27Mot</v>
      </c>
      <c r="F269" t="s">
        <v>36</v>
      </c>
      <c r="G269">
        <v>1</v>
      </c>
      <c r="H269" s="2"/>
      <c r="I269" t="s">
        <v>138</v>
      </c>
      <c r="K269" s="4" t="str">
        <f t="shared" si="26"/>
        <v>Diesel</v>
      </c>
    </row>
    <row r="270" spans="1:11" outlineLevel="1" x14ac:dyDescent="0.25">
      <c r="A270" t="s">
        <v>76</v>
      </c>
      <c r="B270" s="2" t="s">
        <v>115</v>
      </c>
      <c r="C270" t="s">
        <v>82</v>
      </c>
      <c r="E270" t="str">
        <f>_xlfn.CONCAT("FretRout",LEFT(B270,3),RIGHT(B270,2),"Carb")</f>
        <v>FretRoutCat27Carb</v>
      </c>
      <c r="F270" t="s">
        <v>36</v>
      </c>
      <c r="G270">
        <v>1</v>
      </c>
      <c r="I270" t="s">
        <v>1449</v>
      </c>
      <c r="K270" s="4" t="str">
        <f t="shared" si="26"/>
        <v>Gazole à la pompe</v>
      </c>
    </row>
    <row r="271" spans="1:11" outlineLevel="1" x14ac:dyDescent="0.25">
      <c r="A271" t="s">
        <v>76</v>
      </c>
      <c r="B271" s="2" t="s">
        <v>115</v>
      </c>
      <c r="C271" t="s">
        <v>83</v>
      </c>
      <c r="E271" t="str">
        <f>_xlfn.CONCAT("FretRout",LEFT(B271,3),RIGHT(B271,2),"Euro")</f>
        <v>FretRoutCat27Euro</v>
      </c>
      <c r="F271" t="s">
        <v>36</v>
      </c>
      <c r="G271">
        <v>1</v>
      </c>
      <c r="I271">
        <v>0</v>
      </c>
      <c r="K271" s="4">
        <f t="shared" si="26"/>
        <v>0</v>
      </c>
    </row>
    <row r="272" spans="1:11" outlineLevel="1" x14ac:dyDescent="0.25">
      <c r="A272" t="s">
        <v>76</v>
      </c>
      <c r="B272" s="2" t="s">
        <v>115</v>
      </c>
      <c r="C272" t="s">
        <v>84</v>
      </c>
      <c r="E272" t="str">
        <f>_xlfn.CONCAT("FretRout",LEFT(B272,3),RIGHT(B272,2),"CritAir")</f>
        <v>FretRoutCat27CritAir</v>
      </c>
      <c r="F272" t="s">
        <v>36</v>
      </c>
      <c r="G272">
        <v>1</v>
      </c>
      <c r="H272" s="2"/>
      <c r="I272">
        <v>5</v>
      </c>
      <c r="K272" s="4">
        <f t="shared" si="26"/>
        <v>5</v>
      </c>
    </row>
    <row r="273" spans="1:11" outlineLevel="1" x14ac:dyDescent="0.25">
      <c r="A273" t="s">
        <v>76</v>
      </c>
      <c r="B273" s="2" t="s">
        <v>115</v>
      </c>
      <c r="C273" t="s">
        <v>85</v>
      </c>
      <c r="E273" t="str">
        <f>_xlfn.CONCAT("FretRout",LEFT(B273,3),RIGHT(B273,2),"Nb")</f>
        <v>FretRoutCat27Nb</v>
      </c>
      <c r="F273" t="s">
        <v>17</v>
      </c>
      <c r="G273">
        <v>1</v>
      </c>
      <c r="J273" t="s">
        <v>86</v>
      </c>
      <c r="K273">
        <v>0</v>
      </c>
    </row>
    <row r="274" spans="1:11" outlineLevel="1" x14ac:dyDescent="0.25">
      <c r="A274" t="s">
        <v>76</v>
      </c>
      <c r="B274" s="2" t="s">
        <v>115</v>
      </c>
      <c r="C274" t="s">
        <v>87</v>
      </c>
      <c r="E274" t="str">
        <f>_xlfn.CONCAT("FretRout",LEFT(B274,3),RIGHT(B274,2),"Dist")</f>
        <v>FretRoutCat27Dist</v>
      </c>
      <c r="F274" t="s">
        <v>17</v>
      </c>
      <c r="G274">
        <v>1</v>
      </c>
      <c r="H274" s="2"/>
      <c r="J274" t="s">
        <v>88</v>
      </c>
      <c r="K274">
        <v>42385.998762263436</v>
      </c>
    </row>
    <row r="275" spans="1:11" outlineLevel="1" x14ac:dyDescent="0.25">
      <c r="A275" t="s">
        <v>76</v>
      </c>
      <c r="B275" s="2" t="s">
        <v>115</v>
      </c>
      <c r="C275" s="2" t="s">
        <v>89</v>
      </c>
      <c r="E275" t="str">
        <f>_xlfn.CONCAT("FretRout",LEFT(B275,3),RIGHT(B275,2),"Rempl")</f>
        <v>FretRoutCat27Rempl</v>
      </c>
      <c r="F275" t="s">
        <v>17</v>
      </c>
      <c r="G275">
        <v>1</v>
      </c>
      <c r="H275" s="3"/>
      <c r="J275" t="s">
        <v>70</v>
      </c>
      <c r="K275">
        <v>0</v>
      </c>
    </row>
    <row r="276" spans="1:11" outlineLevel="1" x14ac:dyDescent="0.25">
      <c r="A276" t="s">
        <v>76</v>
      </c>
      <c r="B276" s="2" t="s">
        <v>116</v>
      </c>
      <c r="C276" t="s">
        <v>78</v>
      </c>
      <c r="E276" t="str">
        <f>_xlfn.CONCAT("FretRout",LEFT(B276,3),RIGHT(B276,2),"Nom")</f>
        <v>FretRoutCat28Nom</v>
      </c>
      <c r="F276" t="s">
        <v>20</v>
      </c>
      <c r="G276">
        <v>1</v>
      </c>
      <c r="H276" s="4"/>
      <c r="I276" s="4" t="s">
        <v>413</v>
      </c>
      <c r="K276" s="4" t="str">
        <f t="shared" ref="K276:K282" si="27">I276</f>
        <v>PL Diesel &gt;20-26t (Crit'Air 2)</v>
      </c>
    </row>
    <row r="277" spans="1:11" outlineLevel="1" x14ac:dyDescent="0.25">
      <c r="A277" t="s">
        <v>76</v>
      </c>
      <c r="B277" s="2" t="s">
        <v>116</v>
      </c>
      <c r="C277" t="s">
        <v>79</v>
      </c>
      <c r="E277" t="str">
        <f>_xlfn.CONCAT("FretRout",LEFT(B277,3),RIGHT(B277,2),"Type")</f>
        <v>FretRoutCat28Type</v>
      </c>
      <c r="F277" t="s">
        <v>20</v>
      </c>
      <c r="G277">
        <v>1</v>
      </c>
      <c r="I277" t="s">
        <v>1771</v>
      </c>
      <c r="K277" s="4" t="str">
        <f t="shared" si="27"/>
        <v>PL</v>
      </c>
    </row>
    <row r="278" spans="1:11" outlineLevel="1" x14ac:dyDescent="0.25">
      <c r="A278" t="s">
        <v>76</v>
      </c>
      <c r="B278" s="2" t="s">
        <v>116</v>
      </c>
      <c r="C278" t="s">
        <v>80</v>
      </c>
      <c r="E278" t="str">
        <f>_xlfn.CONCAT("FretRout",LEFT(B278,3),RIGHT(B278,2),"PTAC")</f>
        <v>FretRoutCat28PTAC</v>
      </c>
      <c r="F278" t="s">
        <v>36</v>
      </c>
      <c r="G278">
        <v>1</v>
      </c>
      <c r="I278" t="s">
        <v>1460</v>
      </c>
      <c r="K278" s="4" t="str">
        <f t="shared" si="27"/>
        <v>&gt;20-26t</v>
      </c>
    </row>
    <row r="279" spans="1:11" outlineLevel="1" x14ac:dyDescent="0.25">
      <c r="A279" t="s">
        <v>76</v>
      </c>
      <c r="B279" s="2" t="s">
        <v>116</v>
      </c>
      <c r="C279" t="s">
        <v>81</v>
      </c>
      <c r="E279" t="str">
        <f>_xlfn.CONCAT("FretRout",LEFT(B279,3),RIGHT(B279,2),"Mot")</f>
        <v>FretRoutCat28Mot</v>
      </c>
      <c r="F279" t="s">
        <v>36</v>
      </c>
      <c r="G279">
        <v>1</v>
      </c>
      <c r="H279" s="2"/>
      <c r="I279" t="s">
        <v>138</v>
      </c>
      <c r="K279" s="4" t="str">
        <f t="shared" si="27"/>
        <v>Diesel</v>
      </c>
    </row>
    <row r="280" spans="1:11" outlineLevel="1" x14ac:dyDescent="0.25">
      <c r="A280" t="s">
        <v>76</v>
      </c>
      <c r="B280" s="2" t="s">
        <v>116</v>
      </c>
      <c r="C280" t="s">
        <v>82</v>
      </c>
      <c r="E280" t="str">
        <f>_xlfn.CONCAT("FretRout",LEFT(B280,3),RIGHT(B280,2),"Carb")</f>
        <v>FretRoutCat28Carb</v>
      </c>
      <c r="F280" t="s">
        <v>36</v>
      </c>
      <c r="G280">
        <v>1</v>
      </c>
      <c r="I280" t="s">
        <v>1449</v>
      </c>
      <c r="K280" s="4" t="str">
        <f t="shared" si="27"/>
        <v>Gazole à la pompe</v>
      </c>
    </row>
    <row r="281" spans="1:11" outlineLevel="1" x14ac:dyDescent="0.25">
      <c r="A281" t="s">
        <v>76</v>
      </c>
      <c r="B281" s="2" t="s">
        <v>116</v>
      </c>
      <c r="C281" t="s">
        <v>83</v>
      </c>
      <c r="E281" t="str">
        <f>_xlfn.CONCAT("FretRout",LEFT(B281,3),RIGHT(B281,2),"Euro")</f>
        <v>FretRoutCat28Euro</v>
      </c>
      <c r="F281" t="s">
        <v>36</v>
      </c>
      <c r="G281">
        <v>1</v>
      </c>
      <c r="I281">
        <v>0</v>
      </c>
      <c r="K281" s="4">
        <f t="shared" si="27"/>
        <v>0</v>
      </c>
    </row>
    <row r="282" spans="1:11" outlineLevel="1" x14ac:dyDescent="0.25">
      <c r="A282" t="s">
        <v>76</v>
      </c>
      <c r="B282" s="2" t="s">
        <v>116</v>
      </c>
      <c r="C282" t="s">
        <v>84</v>
      </c>
      <c r="E282" t="str">
        <f>_xlfn.CONCAT("FretRout",LEFT(B282,3),RIGHT(B282,2),"CritAir")</f>
        <v>FretRoutCat28CritAir</v>
      </c>
      <c r="F282" t="s">
        <v>36</v>
      </c>
      <c r="G282">
        <v>1</v>
      </c>
      <c r="H282" s="2"/>
      <c r="I282">
        <v>2</v>
      </c>
      <c r="K282" s="4">
        <f t="shared" si="27"/>
        <v>2</v>
      </c>
    </row>
    <row r="283" spans="1:11" outlineLevel="1" x14ac:dyDescent="0.25">
      <c r="A283" t="s">
        <v>76</v>
      </c>
      <c r="B283" s="2" t="s">
        <v>116</v>
      </c>
      <c r="C283" t="s">
        <v>85</v>
      </c>
      <c r="E283" t="str">
        <f>_xlfn.CONCAT("FretRout",LEFT(B283,3),RIGHT(B283,2),"Nb")</f>
        <v>FretRoutCat28Nb</v>
      </c>
      <c r="F283" t="s">
        <v>17</v>
      </c>
      <c r="G283">
        <v>1</v>
      </c>
      <c r="J283" t="s">
        <v>86</v>
      </c>
      <c r="K283">
        <v>0</v>
      </c>
    </row>
    <row r="284" spans="1:11" outlineLevel="1" x14ac:dyDescent="0.25">
      <c r="A284" t="s">
        <v>76</v>
      </c>
      <c r="B284" s="2" t="s">
        <v>116</v>
      </c>
      <c r="C284" t="s">
        <v>87</v>
      </c>
      <c r="E284" t="str">
        <f>_xlfn.CONCAT("FretRout",LEFT(B284,3),RIGHT(B284,2),"Dist")</f>
        <v>FretRoutCat28Dist</v>
      </c>
      <c r="F284" t="s">
        <v>17</v>
      </c>
      <c r="G284">
        <v>1</v>
      </c>
      <c r="H284" s="2"/>
      <c r="J284" t="s">
        <v>88</v>
      </c>
      <c r="K284">
        <v>42385.998762263436</v>
      </c>
    </row>
    <row r="285" spans="1:11" outlineLevel="1" x14ac:dyDescent="0.25">
      <c r="A285" t="s">
        <v>76</v>
      </c>
      <c r="B285" s="2" t="s">
        <v>116</v>
      </c>
      <c r="C285" s="2" t="s">
        <v>89</v>
      </c>
      <c r="E285" t="str">
        <f>_xlfn.CONCAT("FretRout",LEFT(B285,3),RIGHT(B285,2),"Rempl")</f>
        <v>FretRoutCat28Rempl</v>
      </c>
      <c r="F285" t="s">
        <v>17</v>
      </c>
      <c r="G285">
        <v>1</v>
      </c>
      <c r="H285" s="3"/>
      <c r="J285" t="s">
        <v>70</v>
      </c>
      <c r="K285">
        <v>0</v>
      </c>
    </row>
    <row r="286" spans="1:11" outlineLevel="1" x14ac:dyDescent="0.25">
      <c r="A286" t="s">
        <v>76</v>
      </c>
      <c r="B286" s="2" t="s">
        <v>117</v>
      </c>
      <c r="C286" t="s">
        <v>78</v>
      </c>
      <c r="E286" t="str">
        <f>_xlfn.CONCAT("FretRout",LEFT(B286,3),RIGHT(B286,2),"Nom")</f>
        <v>FretRoutCat29Nom</v>
      </c>
      <c r="F286" t="s">
        <v>20</v>
      </c>
      <c r="G286">
        <v>1</v>
      </c>
      <c r="H286" s="4"/>
      <c r="I286" s="4" t="s">
        <v>414</v>
      </c>
      <c r="K286" s="4" t="str">
        <f t="shared" ref="K286:K292" si="28">I286</f>
        <v>PL Diesel &gt;20-26t (Crit'Air 3)</v>
      </c>
    </row>
    <row r="287" spans="1:11" outlineLevel="1" x14ac:dyDescent="0.25">
      <c r="A287" t="s">
        <v>76</v>
      </c>
      <c r="B287" s="2" t="s">
        <v>117</v>
      </c>
      <c r="C287" t="s">
        <v>79</v>
      </c>
      <c r="E287" t="str">
        <f>_xlfn.CONCAT("FretRout",LEFT(B287,3),RIGHT(B287,2),"Type")</f>
        <v>FretRoutCat29Type</v>
      </c>
      <c r="F287" t="s">
        <v>20</v>
      </c>
      <c r="G287">
        <v>1</v>
      </c>
      <c r="I287" t="s">
        <v>1771</v>
      </c>
      <c r="K287" s="4" t="str">
        <f t="shared" si="28"/>
        <v>PL</v>
      </c>
    </row>
    <row r="288" spans="1:11" outlineLevel="1" x14ac:dyDescent="0.25">
      <c r="A288" t="s">
        <v>76</v>
      </c>
      <c r="B288" s="2" t="s">
        <v>117</v>
      </c>
      <c r="C288" t="s">
        <v>80</v>
      </c>
      <c r="E288" t="str">
        <f>_xlfn.CONCAT("FretRout",LEFT(B288,3),RIGHT(B288,2),"PTAC")</f>
        <v>FretRoutCat29PTAC</v>
      </c>
      <c r="F288" t="s">
        <v>36</v>
      </c>
      <c r="G288">
        <v>1</v>
      </c>
      <c r="I288" t="s">
        <v>1460</v>
      </c>
      <c r="K288" s="4" t="str">
        <f t="shared" si="28"/>
        <v>&gt;20-26t</v>
      </c>
    </row>
    <row r="289" spans="1:11" outlineLevel="1" x14ac:dyDescent="0.25">
      <c r="A289" t="s">
        <v>76</v>
      </c>
      <c r="B289" s="2" t="s">
        <v>117</v>
      </c>
      <c r="C289" t="s">
        <v>81</v>
      </c>
      <c r="E289" t="str">
        <f>_xlfn.CONCAT("FretRout",LEFT(B289,3),RIGHT(B289,2),"Mot")</f>
        <v>FretRoutCat29Mot</v>
      </c>
      <c r="F289" t="s">
        <v>36</v>
      </c>
      <c r="G289">
        <v>1</v>
      </c>
      <c r="H289" s="2"/>
      <c r="I289" t="s">
        <v>138</v>
      </c>
      <c r="K289" s="4" t="str">
        <f t="shared" si="28"/>
        <v>Diesel</v>
      </c>
    </row>
    <row r="290" spans="1:11" outlineLevel="1" x14ac:dyDescent="0.25">
      <c r="A290" t="s">
        <v>76</v>
      </c>
      <c r="B290" s="2" t="s">
        <v>117</v>
      </c>
      <c r="C290" t="s">
        <v>82</v>
      </c>
      <c r="E290" t="str">
        <f>_xlfn.CONCAT("FretRout",LEFT(B290,3),RIGHT(B290,2),"Carb")</f>
        <v>FretRoutCat29Carb</v>
      </c>
      <c r="F290" t="s">
        <v>36</v>
      </c>
      <c r="G290">
        <v>1</v>
      </c>
      <c r="I290" t="s">
        <v>1449</v>
      </c>
      <c r="K290" s="4" t="str">
        <f t="shared" si="28"/>
        <v>Gazole à la pompe</v>
      </c>
    </row>
    <row r="291" spans="1:11" outlineLevel="1" x14ac:dyDescent="0.25">
      <c r="A291" t="s">
        <v>76</v>
      </c>
      <c r="B291" s="2" t="s">
        <v>117</v>
      </c>
      <c r="C291" t="s">
        <v>83</v>
      </c>
      <c r="E291" t="str">
        <f>_xlfn.CONCAT("FretRout",LEFT(B291,3),RIGHT(B291,2),"Euro")</f>
        <v>FretRoutCat29Euro</v>
      </c>
      <c r="F291" t="s">
        <v>36</v>
      </c>
      <c r="G291">
        <v>1</v>
      </c>
      <c r="I291">
        <v>0</v>
      </c>
      <c r="K291" s="4">
        <f t="shared" si="28"/>
        <v>0</v>
      </c>
    </row>
    <row r="292" spans="1:11" outlineLevel="1" x14ac:dyDescent="0.25">
      <c r="A292" t="s">
        <v>76</v>
      </c>
      <c r="B292" s="2" t="s">
        <v>117</v>
      </c>
      <c r="C292" t="s">
        <v>84</v>
      </c>
      <c r="E292" t="str">
        <f>_xlfn.CONCAT("FretRout",LEFT(B292,3),RIGHT(B292,2),"CritAir")</f>
        <v>FretRoutCat29CritAir</v>
      </c>
      <c r="F292" t="s">
        <v>36</v>
      </c>
      <c r="G292">
        <v>1</v>
      </c>
      <c r="H292" s="2"/>
      <c r="I292">
        <v>3</v>
      </c>
      <c r="K292" s="4">
        <f t="shared" si="28"/>
        <v>3</v>
      </c>
    </row>
    <row r="293" spans="1:11" outlineLevel="1" x14ac:dyDescent="0.25">
      <c r="A293" t="s">
        <v>76</v>
      </c>
      <c r="B293" s="2" t="s">
        <v>117</v>
      </c>
      <c r="C293" t="s">
        <v>85</v>
      </c>
      <c r="E293" t="str">
        <f>_xlfn.CONCAT("FretRout",LEFT(B293,3),RIGHT(B293,2),"Nb")</f>
        <v>FretRoutCat29Nb</v>
      </c>
      <c r="F293" t="s">
        <v>17</v>
      </c>
      <c r="G293">
        <v>1</v>
      </c>
      <c r="J293" t="s">
        <v>86</v>
      </c>
      <c r="K293">
        <v>0</v>
      </c>
    </row>
    <row r="294" spans="1:11" outlineLevel="1" x14ac:dyDescent="0.25">
      <c r="A294" t="s">
        <v>76</v>
      </c>
      <c r="B294" s="2" t="s">
        <v>117</v>
      </c>
      <c r="C294" t="s">
        <v>87</v>
      </c>
      <c r="E294" t="str">
        <f>_xlfn.CONCAT("FretRout",LEFT(B294,3),RIGHT(B294,2),"Dist")</f>
        <v>FretRoutCat29Dist</v>
      </c>
      <c r="F294" t="s">
        <v>17</v>
      </c>
      <c r="G294">
        <v>1</v>
      </c>
      <c r="H294" s="2"/>
      <c r="J294" t="s">
        <v>88</v>
      </c>
      <c r="K294">
        <v>42385.998762263436</v>
      </c>
    </row>
    <row r="295" spans="1:11" outlineLevel="1" x14ac:dyDescent="0.25">
      <c r="A295" t="s">
        <v>76</v>
      </c>
      <c r="B295" s="2" t="s">
        <v>117</v>
      </c>
      <c r="C295" s="2" t="s">
        <v>89</v>
      </c>
      <c r="E295" t="str">
        <f>_xlfn.CONCAT("FretRout",LEFT(B295,3),RIGHT(B295,2),"Rempl")</f>
        <v>FretRoutCat29Rempl</v>
      </c>
      <c r="F295" t="s">
        <v>17</v>
      </c>
      <c r="G295">
        <v>1</v>
      </c>
      <c r="H295" s="3"/>
      <c r="J295" t="s">
        <v>70</v>
      </c>
      <c r="K295">
        <v>0</v>
      </c>
    </row>
    <row r="296" spans="1:11" outlineLevel="1" x14ac:dyDescent="0.25">
      <c r="A296" t="s">
        <v>76</v>
      </c>
      <c r="B296" s="2" t="s">
        <v>118</v>
      </c>
      <c r="C296" t="s">
        <v>78</v>
      </c>
      <c r="E296" t="str">
        <f>_xlfn.CONCAT("FretRout",LEFT(B296,3),RIGHT(B296,2),"Nom")</f>
        <v>FretRoutCat30Nom</v>
      </c>
      <c r="F296" t="s">
        <v>20</v>
      </c>
      <c r="G296">
        <v>1</v>
      </c>
      <c r="H296" s="4"/>
      <c r="I296" s="4" t="s">
        <v>415</v>
      </c>
      <c r="K296" s="4" t="str">
        <f t="shared" ref="K296:K302" si="29">I296</f>
        <v>PL Diesel &gt;20-26t (Crit'Air 4)</v>
      </c>
    </row>
    <row r="297" spans="1:11" outlineLevel="1" x14ac:dyDescent="0.25">
      <c r="A297" t="s">
        <v>76</v>
      </c>
      <c r="B297" s="2" t="s">
        <v>118</v>
      </c>
      <c r="C297" t="s">
        <v>79</v>
      </c>
      <c r="E297" t="str">
        <f>_xlfn.CONCAT("FretRout",LEFT(B297,3),RIGHT(B297,2),"Type")</f>
        <v>FretRoutCat30Type</v>
      </c>
      <c r="F297" t="s">
        <v>20</v>
      </c>
      <c r="G297">
        <v>1</v>
      </c>
      <c r="I297" t="s">
        <v>1771</v>
      </c>
      <c r="K297" s="4" t="str">
        <f t="shared" si="29"/>
        <v>PL</v>
      </c>
    </row>
    <row r="298" spans="1:11" outlineLevel="1" x14ac:dyDescent="0.25">
      <c r="A298" t="s">
        <v>76</v>
      </c>
      <c r="B298" s="2" t="s">
        <v>118</v>
      </c>
      <c r="C298" t="s">
        <v>80</v>
      </c>
      <c r="E298" t="str">
        <f>_xlfn.CONCAT("FretRout",LEFT(B298,3),RIGHT(B298,2),"PTAC")</f>
        <v>FretRoutCat30PTAC</v>
      </c>
      <c r="F298" t="s">
        <v>36</v>
      </c>
      <c r="G298">
        <v>1</v>
      </c>
      <c r="I298" t="s">
        <v>1460</v>
      </c>
      <c r="K298" s="4" t="str">
        <f t="shared" si="29"/>
        <v>&gt;20-26t</v>
      </c>
    </row>
    <row r="299" spans="1:11" outlineLevel="1" x14ac:dyDescent="0.25">
      <c r="A299" t="s">
        <v>76</v>
      </c>
      <c r="B299" s="2" t="s">
        <v>118</v>
      </c>
      <c r="C299" t="s">
        <v>81</v>
      </c>
      <c r="E299" t="str">
        <f>_xlfn.CONCAT("FretRout",LEFT(B299,3),RIGHT(B299,2),"Mot")</f>
        <v>FretRoutCat30Mot</v>
      </c>
      <c r="F299" t="s">
        <v>36</v>
      </c>
      <c r="G299">
        <v>1</v>
      </c>
      <c r="H299" s="2"/>
      <c r="I299" t="s">
        <v>138</v>
      </c>
      <c r="K299" s="4" t="str">
        <f t="shared" si="29"/>
        <v>Diesel</v>
      </c>
    </row>
    <row r="300" spans="1:11" outlineLevel="1" x14ac:dyDescent="0.25">
      <c r="A300" t="s">
        <v>76</v>
      </c>
      <c r="B300" s="2" t="s">
        <v>118</v>
      </c>
      <c r="C300" t="s">
        <v>82</v>
      </c>
      <c r="E300" t="str">
        <f>_xlfn.CONCAT("FretRout",LEFT(B300,3),RIGHT(B300,2),"Carb")</f>
        <v>FretRoutCat30Carb</v>
      </c>
      <c r="F300" t="s">
        <v>36</v>
      </c>
      <c r="G300">
        <v>1</v>
      </c>
      <c r="I300" t="s">
        <v>1449</v>
      </c>
      <c r="K300" s="4" t="str">
        <f t="shared" si="29"/>
        <v>Gazole à la pompe</v>
      </c>
    </row>
    <row r="301" spans="1:11" outlineLevel="1" x14ac:dyDescent="0.25">
      <c r="A301" t="s">
        <v>76</v>
      </c>
      <c r="B301" s="2" t="s">
        <v>118</v>
      </c>
      <c r="C301" t="s">
        <v>83</v>
      </c>
      <c r="E301" t="str">
        <f>_xlfn.CONCAT("FretRout",LEFT(B301,3),RIGHT(B301,2),"Euro")</f>
        <v>FretRoutCat30Euro</v>
      </c>
      <c r="F301" t="s">
        <v>36</v>
      </c>
      <c r="G301">
        <v>1</v>
      </c>
      <c r="I301">
        <v>0</v>
      </c>
      <c r="K301" s="4">
        <f t="shared" si="29"/>
        <v>0</v>
      </c>
    </row>
    <row r="302" spans="1:11" outlineLevel="1" x14ac:dyDescent="0.25">
      <c r="A302" t="s">
        <v>76</v>
      </c>
      <c r="B302" s="2" t="s">
        <v>118</v>
      </c>
      <c r="C302" t="s">
        <v>84</v>
      </c>
      <c r="E302" t="str">
        <f>_xlfn.CONCAT("FretRout",LEFT(B302,3),RIGHT(B302,2),"CritAir")</f>
        <v>FretRoutCat30CritAir</v>
      </c>
      <c r="F302" t="s">
        <v>36</v>
      </c>
      <c r="G302">
        <v>1</v>
      </c>
      <c r="H302" s="2"/>
      <c r="I302">
        <v>4</v>
      </c>
      <c r="K302" s="4">
        <f t="shared" si="29"/>
        <v>4</v>
      </c>
    </row>
    <row r="303" spans="1:11" outlineLevel="1" x14ac:dyDescent="0.25">
      <c r="A303" t="s">
        <v>76</v>
      </c>
      <c r="B303" s="2" t="s">
        <v>118</v>
      </c>
      <c r="C303" t="s">
        <v>85</v>
      </c>
      <c r="E303" t="str">
        <f>_xlfn.CONCAT("FretRout",LEFT(B303,3),RIGHT(B303,2),"Nb")</f>
        <v>FretRoutCat30Nb</v>
      </c>
      <c r="F303" t="s">
        <v>17</v>
      </c>
      <c r="G303">
        <v>1</v>
      </c>
      <c r="J303" t="s">
        <v>86</v>
      </c>
      <c r="K303">
        <v>0</v>
      </c>
    </row>
    <row r="304" spans="1:11" outlineLevel="1" x14ac:dyDescent="0.25">
      <c r="A304" t="s">
        <v>76</v>
      </c>
      <c r="B304" s="2" t="s">
        <v>118</v>
      </c>
      <c r="C304" t="s">
        <v>87</v>
      </c>
      <c r="E304" t="str">
        <f>_xlfn.CONCAT("FretRout",LEFT(B304,3),RIGHT(B304,2),"Dist")</f>
        <v>FretRoutCat30Dist</v>
      </c>
      <c r="F304" t="s">
        <v>17</v>
      </c>
      <c r="G304">
        <v>1</v>
      </c>
      <c r="H304" s="2"/>
      <c r="J304" t="s">
        <v>88</v>
      </c>
      <c r="K304">
        <v>42385.998762263436</v>
      </c>
    </row>
    <row r="305" spans="1:11" outlineLevel="1" x14ac:dyDescent="0.25">
      <c r="A305" t="s">
        <v>76</v>
      </c>
      <c r="B305" s="2" t="s">
        <v>118</v>
      </c>
      <c r="C305" s="2" t="s">
        <v>89</v>
      </c>
      <c r="E305" t="str">
        <f>_xlfn.CONCAT("FretRout",LEFT(B305,3),RIGHT(B305,2),"Rempl")</f>
        <v>FretRoutCat30Rempl</v>
      </c>
      <c r="F305" t="s">
        <v>17</v>
      </c>
      <c r="G305">
        <v>1</v>
      </c>
      <c r="H305" s="3"/>
      <c r="J305" t="s">
        <v>70</v>
      </c>
      <c r="K305">
        <v>0</v>
      </c>
    </row>
    <row r="306" spans="1:11" outlineLevel="1" x14ac:dyDescent="0.25">
      <c r="A306" t="s">
        <v>76</v>
      </c>
      <c r="B306" s="2" t="s">
        <v>119</v>
      </c>
      <c r="C306" t="s">
        <v>78</v>
      </c>
      <c r="E306" t="str">
        <f>_xlfn.CONCAT("FretRout",LEFT(B306,3),RIGHT(B306,2),"Nom")</f>
        <v>FretRoutCat31Nom</v>
      </c>
      <c r="F306" t="s">
        <v>20</v>
      </c>
      <c r="G306">
        <v>1</v>
      </c>
      <c r="H306" s="4"/>
      <c r="I306" s="4" t="s">
        <v>416</v>
      </c>
      <c r="K306" s="4" t="str">
        <f t="shared" ref="K306:K312" si="30">I306</f>
        <v>PL Diesel &gt;20-26t (Crit'Air 5)</v>
      </c>
    </row>
    <row r="307" spans="1:11" outlineLevel="1" x14ac:dyDescent="0.25">
      <c r="A307" t="s">
        <v>76</v>
      </c>
      <c r="B307" s="2" t="s">
        <v>119</v>
      </c>
      <c r="C307" t="s">
        <v>79</v>
      </c>
      <c r="E307" t="str">
        <f>_xlfn.CONCAT("FretRout",LEFT(B307,3),RIGHT(B307,2),"Type")</f>
        <v>FretRoutCat31Type</v>
      </c>
      <c r="F307" t="s">
        <v>20</v>
      </c>
      <c r="G307">
        <v>1</v>
      </c>
      <c r="I307" t="s">
        <v>1771</v>
      </c>
      <c r="K307" s="4" t="str">
        <f t="shared" si="30"/>
        <v>PL</v>
      </c>
    </row>
    <row r="308" spans="1:11" outlineLevel="1" x14ac:dyDescent="0.25">
      <c r="A308" t="s">
        <v>76</v>
      </c>
      <c r="B308" s="2" t="s">
        <v>119</v>
      </c>
      <c r="C308" t="s">
        <v>80</v>
      </c>
      <c r="E308" t="str">
        <f>_xlfn.CONCAT("FretRout",LEFT(B308,3),RIGHT(B308,2),"PTAC")</f>
        <v>FretRoutCat31PTAC</v>
      </c>
      <c r="F308" t="s">
        <v>36</v>
      </c>
      <c r="G308">
        <v>1</v>
      </c>
      <c r="I308" t="s">
        <v>1460</v>
      </c>
      <c r="K308" s="4" t="str">
        <f t="shared" si="30"/>
        <v>&gt;20-26t</v>
      </c>
    </row>
    <row r="309" spans="1:11" outlineLevel="1" x14ac:dyDescent="0.25">
      <c r="A309" t="s">
        <v>76</v>
      </c>
      <c r="B309" s="2" t="s">
        <v>119</v>
      </c>
      <c r="C309" t="s">
        <v>81</v>
      </c>
      <c r="E309" t="str">
        <f>_xlfn.CONCAT("FretRout",LEFT(B309,3),RIGHT(B309,2),"Mot")</f>
        <v>FretRoutCat31Mot</v>
      </c>
      <c r="F309" t="s">
        <v>36</v>
      </c>
      <c r="G309">
        <v>1</v>
      </c>
      <c r="H309" s="2"/>
      <c r="I309" t="s">
        <v>138</v>
      </c>
      <c r="K309" s="4" t="str">
        <f t="shared" si="30"/>
        <v>Diesel</v>
      </c>
    </row>
    <row r="310" spans="1:11" outlineLevel="1" x14ac:dyDescent="0.25">
      <c r="A310" t="s">
        <v>76</v>
      </c>
      <c r="B310" s="2" t="s">
        <v>119</v>
      </c>
      <c r="C310" t="s">
        <v>82</v>
      </c>
      <c r="E310" t="str">
        <f>_xlfn.CONCAT("FretRout",LEFT(B310,3),RIGHT(B310,2),"Carb")</f>
        <v>FretRoutCat31Carb</v>
      </c>
      <c r="F310" t="s">
        <v>36</v>
      </c>
      <c r="G310">
        <v>1</v>
      </c>
      <c r="I310" t="s">
        <v>1449</v>
      </c>
      <c r="K310" s="4" t="str">
        <f t="shared" si="30"/>
        <v>Gazole à la pompe</v>
      </c>
    </row>
    <row r="311" spans="1:11" outlineLevel="1" x14ac:dyDescent="0.25">
      <c r="A311" t="s">
        <v>76</v>
      </c>
      <c r="B311" s="2" t="s">
        <v>119</v>
      </c>
      <c r="C311" t="s">
        <v>83</v>
      </c>
      <c r="E311" t="str">
        <f>_xlfn.CONCAT("FretRout",LEFT(B311,3),RIGHT(B311,2),"Euro")</f>
        <v>FretRoutCat31Euro</v>
      </c>
      <c r="F311" t="s">
        <v>36</v>
      </c>
      <c r="G311">
        <v>1</v>
      </c>
      <c r="I311">
        <v>0</v>
      </c>
      <c r="K311" s="4">
        <f t="shared" si="30"/>
        <v>0</v>
      </c>
    </row>
    <row r="312" spans="1:11" outlineLevel="1" x14ac:dyDescent="0.25">
      <c r="A312" t="s">
        <v>76</v>
      </c>
      <c r="B312" s="2" t="s">
        <v>119</v>
      </c>
      <c r="C312" t="s">
        <v>84</v>
      </c>
      <c r="E312" t="str">
        <f>_xlfn.CONCAT("FretRout",LEFT(B312,3),RIGHT(B312,2),"CritAir")</f>
        <v>FretRoutCat31CritAir</v>
      </c>
      <c r="F312" t="s">
        <v>36</v>
      </c>
      <c r="G312">
        <v>1</v>
      </c>
      <c r="H312" s="2"/>
      <c r="I312">
        <v>5</v>
      </c>
      <c r="K312" s="4">
        <f t="shared" si="30"/>
        <v>5</v>
      </c>
    </row>
    <row r="313" spans="1:11" outlineLevel="1" x14ac:dyDescent="0.25">
      <c r="A313" t="s">
        <v>76</v>
      </c>
      <c r="B313" s="2" t="s">
        <v>119</v>
      </c>
      <c r="C313" t="s">
        <v>85</v>
      </c>
      <c r="E313" t="str">
        <f>_xlfn.CONCAT("FretRout",LEFT(B313,3),RIGHT(B313,2),"Nb")</f>
        <v>FretRoutCat31Nb</v>
      </c>
      <c r="F313" t="s">
        <v>17</v>
      </c>
      <c r="G313">
        <v>1</v>
      </c>
      <c r="J313" t="s">
        <v>86</v>
      </c>
      <c r="K313">
        <v>0</v>
      </c>
    </row>
    <row r="314" spans="1:11" outlineLevel="1" x14ac:dyDescent="0.25">
      <c r="A314" t="s">
        <v>76</v>
      </c>
      <c r="B314" s="2" t="s">
        <v>119</v>
      </c>
      <c r="C314" t="s">
        <v>87</v>
      </c>
      <c r="E314" t="str">
        <f>_xlfn.CONCAT("FretRout",LEFT(B314,3),RIGHT(B314,2),"Dist")</f>
        <v>FretRoutCat31Dist</v>
      </c>
      <c r="F314" t="s">
        <v>17</v>
      </c>
      <c r="G314">
        <v>1</v>
      </c>
      <c r="H314" s="2"/>
      <c r="J314" t="s">
        <v>88</v>
      </c>
      <c r="K314">
        <v>42385.998762263436</v>
      </c>
    </row>
    <row r="315" spans="1:11" outlineLevel="1" x14ac:dyDescent="0.25">
      <c r="A315" t="s">
        <v>76</v>
      </c>
      <c r="B315" s="2" t="s">
        <v>119</v>
      </c>
      <c r="C315" s="2" t="s">
        <v>89</v>
      </c>
      <c r="E315" t="str">
        <f>_xlfn.CONCAT("FretRout",LEFT(B315,3),RIGHT(B315,2),"Rempl")</f>
        <v>FretRoutCat31Rempl</v>
      </c>
      <c r="F315" t="s">
        <v>17</v>
      </c>
      <c r="G315">
        <v>1</v>
      </c>
      <c r="H315" s="3"/>
      <c r="J315" t="s">
        <v>70</v>
      </c>
      <c r="K315">
        <v>0</v>
      </c>
    </row>
    <row r="316" spans="1:11" outlineLevel="1" x14ac:dyDescent="0.25">
      <c r="A316" t="s">
        <v>76</v>
      </c>
      <c r="B316" s="2" t="s">
        <v>120</v>
      </c>
      <c r="C316" t="s">
        <v>78</v>
      </c>
      <c r="E316" t="str">
        <f>_xlfn.CONCAT("FretRout",LEFT(B316,3),RIGHT(B316,2),"Nom")</f>
        <v>FretRoutCat32Nom</v>
      </c>
      <c r="F316" t="s">
        <v>20</v>
      </c>
      <c r="G316">
        <v>1</v>
      </c>
      <c r="H316" s="4"/>
      <c r="I316" s="4" t="s">
        <v>417</v>
      </c>
      <c r="K316" s="4" t="str">
        <f t="shared" ref="K316:K322" si="31">I316</f>
        <v>PL Diesel &gt;28-34t (Crit'Air 2)</v>
      </c>
    </row>
    <row r="317" spans="1:11" outlineLevel="1" x14ac:dyDescent="0.25">
      <c r="A317" t="s">
        <v>76</v>
      </c>
      <c r="B317" s="2" t="s">
        <v>120</v>
      </c>
      <c r="C317" t="s">
        <v>79</v>
      </c>
      <c r="E317" t="str">
        <f>_xlfn.CONCAT("FretRout",LEFT(B317,3),RIGHT(B317,2),"Type")</f>
        <v>FretRoutCat32Type</v>
      </c>
      <c r="F317" t="s">
        <v>20</v>
      </c>
      <c r="G317">
        <v>1</v>
      </c>
      <c r="I317" t="s">
        <v>1771</v>
      </c>
      <c r="K317" s="4" t="str">
        <f t="shared" si="31"/>
        <v>PL</v>
      </c>
    </row>
    <row r="318" spans="1:11" outlineLevel="1" x14ac:dyDescent="0.25">
      <c r="A318" t="s">
        <v>76</v>
      </c>
      <c r="B318" s="2" t="s">
        <v>120</v>
      </c>
      <c r="C318" t="s">
        <v>80</v>
      </c>
      <c r="E318" t="str">
        <f>_xlfn.CONCAT("FretRout",LEFT(B318,3),RIGHT(B318,2),"PTAC")</f>
        <v>FretRoutCat32PTAC</v>
      </c>
      <c r="F318" t="s">
        <v>36</v>
      </c>
      <c r="G318">
        <v>1</v>
      </c>
      <c r="I318" t="s">
        <v>1461</v>
      </c>
      <c r="K318" s="4" t="str">
        <f t="shared" si="31"/>
        <v>&gt;28-34t</v>
      </c>
    </row>
    <row r="319" spans="1:11" outlineLevel="1" x14ac:dyDescent="0.25">
      <c r="A319" t="s">
        <v>76</v>
      </c>
      <c r="B319" s="2" t="s">
        <v>120</v>
      </c>
      <c r="C319" t="s">
        <v>81</v>
      </c>
      <c r="E319" t="str">
        <f>_xlfn.CONCAT("FretRout",LEFT(B319,3),RIGHT(B319,2),"Mot")</f>
        <v>FretRoutCat32Mot</v>
      </c>
      <c r="F319" t="s">
        <v>36</v>
      </c>
      <c r="G319">
        <v>1</v>
      </c>
      <c r="H319" s="2"/>
      <c r="I319" t="s">
        <v>138</v>
      </c>
      <c r="K319" s="4" t="str">
        <f t="shared" si="31"/>
        <v>Diesel</v>
      </c>
    </row>
    <row r="320" spans="1:11" outlineLevel="1" x14ac:dyDescent="0.25">
      <c r="A320" t="s">
        <v>76</v>
      </c>
      <c r="B320" s="2" t="s">
        <v>120</v>
      </c>
      <c r="C320" t="s">
        <v>82</v>
      </c>
      <c r="E320" t="str">
        <f>_xlfn.CONCAT("FretRout",LEFT(B320,3),RIGHT(B320,2),"Carb")</f>
        <v>FretRoutCat32Carb</v>
      </c>
      <c r="F320" t="s">
        <v>36</v>
      </c>
      <c r="G320">
        <v>1</v>
      </c>
      <c r="I320" t="s">
        <v>1449</v>
      </c>
      <c r="K320" s="4" t="str">
        <f t="shared" si="31"/>
        <v>Gazole à la pompe</v>
      </c>
    </row>
    <row r="321" spans="1:11" outlineLevel="1" x14ac:dyDescent="0.25">
      <c r="A321" t="s">
        <v>76</v>
      </c>
      <c r="B321" s="2" t="s">
        <v>120</v>
      </c>
      <c r="C321" t="s">
        <v>83</v>
      </c>
      <c r="E321" t="str">
        <f>_xlfn.CONCAT("FretRout",LEFT(B321,3),RIGHT(B321,2),"Euro")</f>
        <v>FretRoutCat32Euro</v>
      </c>
      <c r="F321" t="s">
        <v>36</v>
      </c>
      <c r="G321">
        <v>1</v>
      </c>
      <c r="I321">
        <v>0</v>
      </c>
      <c r="K321" s="4">
        <f t="shared" si="31"/>
        <v>0</v>
      </c>
    </row>
    <row r="322" spans="1:11" outlineLevel="1" x14ac:dyDescent="0.25">
      <c r="A322" t="s">
        <v>76</v>
      </c>
      <c r="B322" s="2" t="s">
        <v>120</v>
      </c>
      <c r="C322" t="s">
        <v>84</v>
      </c>
      <c r="E322" t="str">
        <f>_xlfn.CONCAT("FretRout",LEFT(B322,3),RIGHT(B322,2),"CritAir")</f>
        <v>FretRoutCat32CritAir</v>
      </c>
      <c r="F322" t="s">
        <v>36</v>
      </c>
      <c r="G322">
        <v>1</v>
      </c>
      <c r="H322" s="2"/>
      <c r="I322">
        <v>2</v>
      </c>
      <c r="K322" s="4">
        <f t="shared" si="31"/>
        <v>2</v>
      </c>
    </row>
    <row r="323" spans="1:11" outlineLevel="1" x14ac:dyDescent="0.25">
      <c r="A323" t="s">
        <v>76</v>
      </c>
      <c r="B323" s="2" t="s">
        <v>120</v>
      </c>
      <c r="C323" t="s">
        <v>85</v>
      </c>
      <c r="E323" t="str">
        <f>_xlfn.CONCAT("FretRout",LEFT(B323,3),RIGHT(B323,2),"Nb")</f>
        <v>FretRoutCat32Nb</v>
      </c>
      <c r="F323" t="s">
        <v>17</v>
      </c>
      <c r="G323">
        <v>1</v>
      </c>
      <c r="J323" t="s">
        <v>86</v>
      </c>
      <c r="K323">
        <v>0</v>
      </c>
    </row>
    <row r="324" spans="1:11" outlineLevel="1" x14ac:dyDescent="0.25">
      <c r="A324" t="s">
        <v>76</v>
      </c>
      <c r="B324" s="2" t="s">
        <v>120</v>
      </c>
      <c r="C324" t="s">
        <v>87</v>
      </c>
      <c r="E324" t="str">
        <f>_xlfn.CONCAT("FretRout",LEFT(B324,3),RIGHT(B324,2),"Dist")</f>
        <v>FretRoutCat32Dist</v>
      </c>
      <c r="F324" t="s">
        <v>17</v>
      </c>
      <c r="G324">
        <v>1</v>
      </c>
      <c r="H324" s="2"/>
      <c r="J324" t="s">
        <v>88</v>
      </c>
      <c r="K324">
        <v>42385.998762263436</v>
      </c>
    </row>
    <row r="325" spans="1:11" outlineLevel="1" x14ac:dyDescent="0.25">
      <c r="A325" t="s">
        <v>76</v>
      </c>
      <c r="B325" s="2" t="s">
        <v>120</v>
      </c>
      <c r="C325" s="2" t="s">
        <v>89</v>
      </c>
      <c r="E325" t="str">
        <f>_xlfn.CONCAT("FretRout",LEFT(B325,3),RIGHT(B325,2),"Rempl")</f>
        <v>FretRoutCat32Rempl</v>
      </c>
      <c r="F325" t="s">
        <v>17</v>
      </c>
      <c r="G325">
        <v>1</v>
      </c>
      <c r="H325" s="3"/>
      <c r="J325" t="s">
        <v>70</v>
      </c>
      <c r="K325">
        <v>0</v>
      </c>
    </row>
    <row r="326" spans="1:11" outlineLevel="1" x14ac:dyDescent="0.25">
      <c r="A326" t="s">
        <v>76</v>
      </c>
      <c r="B326" s="2" t="s">
        <v>121</v>
      </c>
      <c r="C326" t="s">
        <v>78</v>
      </c>
      <c r="E326" t="str">
        <f>_xlfn.CONCAT("FretRout",LEFT(B326,3),RIGHT(B326,2),"Nom")</f>
        <v>FretRoutCat33Nom</v>
      </c>
      <c r="F326" t="s">
        <v>20</v>
      </c>
      <c r="G326">
        <v>1</v>
      </c>
      <c r="H326" s="4"/>
      <c r="I326" s="4" t="s">
        <v>418</v>
      </c>
      <c r="K326" s="4" t="str">
        <f t="shared" ref="K326:K332" si="32">I326</f>
        <v>PL Diesel &gt;28-34t (Crit'Air 3)</v>
      </c>
    </row>
    <row r="327" spans="1:11" outlineLevel="1" x14ac:dyDescent="0.25">
      <c r="A327" t="s">
        <v>76</v>
      </c>
      <c r="B327" s="2" t="s">
        <v>121</v>
      </c>
      <c r="C327" t="s">
        <v>79</v>
      </c>
      <c r="E327" t="str">
        <f>_xlfn.CONCAT("FretRout",LEFT(B327,3),RIGHT(B327,2),"Type")</f>
        <v>FretRoutCat33Type</v>
      </c>
      <c r="F327" t="s">
        <v>20</v>
      </c>
      <c r="G327">
        <v>1</v>
      </c>
      <c r="I327" t="s">
        <v>1771</v>
      </c>
      <c r="K327" s="4" t="str">
        <f t="shared" si="32"/>
        <v>PL</v>
      </c>
    </row>
    <row r="328" spans="1:11" outlineLevel="1" x14ac:dyDescent="0.25">
      <c r="A328" t="s">
        <v>76</v>
      </c>
      <c r="B328" s="2" t="s">
        <v>121</v>
      </c>
      <c r="C328" t="s">
        <v>80</v>
      </c>
      <c r="E328" t="str">
        <f>_xlfn.CONCAT("FretRout",LEFT(B328,3),RIGHT(B328,2),"PTAC")</f>
        <v>FretRoutCat33PTAC</v>
      </c>
      <c r="F328" t="s">
        <v>36</v>
      </c>
      <c r="G328">
        <v>1</v>
      </c>
      <c r="I328" t="s">
        <v>1461</v>
      </c>
      <c r="K328" s="4" t="str">
        <f t="shared" si="32"/>
        <v>&gt;28-34t</v>
      </c>
    </row>
    <row r="329" spans="1:11" outlineLevel="1" x14ac:dyDescent="0.25">
      <c r="A329" t="s">
        <v>76</v>
      </c>
      <c r="B329" s="2" t="s">
        <v>121</v>
      </c>
      <c r="C329" t="s">
        <v>81</v>
      </c>
      <c r="E329" t="str">
        <f>_xlfn.CONCAT("FretRout",LEFT(B329,3),RIGHT(B329,2),"Mot")</f>
        <v>FretRoutCat33Mot</v>
      </c>
      <c r="F329" t="s">
        <v>36</v>
      </c>
      <c r="G329">
        <v>1</v>
      </c>
      <c r="H329" s="2"/>
      <c r="I329" t="s">
        <v>138</v>
      </c>
      <c r="K329" s="4" t="str">
        <f t="shared" si="32"/>
        <v>Diesel</v>
      </c>
    </row>
    <row r="330" spans="1:11" outlineLevel="1" x14ac:dyDescent="0.25">
      <c r="A330" t="s">
        <v>76</v>
      </c>
      <c r="B330" s="2" t="s">
        <v>121</v>
      </c>
      <c r="C330" t="s">
        <v>82</v>
      </c>
      <c r="E330" t="str">
        <f>_xlfn.CONCAT("FretRout",LEFT(B330,3),RIGHT(B330,2),"Carb")</f>
        <v>FretRoutCat33Carb</v>
      </c>
      <c r="F330" t="s">
        <v>36</v>
      </c>
      <c r="G330">
        <v>1</v>
      </c>
      <c r="I330" t="s">
        <v>1449</v>
      </c>
      <c r="K330" s="4" t="str">
        <f t="shared" si="32"/>
        <v>Gazole à la pompe</v>
      </c>
    </row>
    <row r="331" spans="1:11" outlineLevel="1" x14ac:dyDescent="0.25">
      <c r="A331" t="s">
        <v>76</v>
      </c>
      <c r="B331" s="2" t="s">
        <v>121</v>
      </c>
      <c r="C331" t="s">
        <v>83</v>
      </c>
      <c r="E331" t="str">
        <f>_xlfn.CONCAT("FretRout",LEFT(B331,3),RIGHT(B331,2),"Euro")</f>
        <v>FretRoutCat33Euro</v>
      </c>
      <c r="F331" t="s">
        <v>36</v>
      </c>
      <c r="G331">
        <v>1</v>
      </c>
      <c r="I331">
        <v>0</v>
      </c>
      <c r="K331" s="4">
        <f t="shared" si="32"/>
        <v>0</v>
      </c>
    </row>
    <row r="332" spans="1:11" outlineLevel="1" x14ac:dyDescent="0.25">
      <c r="A332" t="s">
        <v>76</v>
      </c>
      <c r="B332" s="2" t="s">
        <v>121</v>
      </c>
      <c r="C332" t="s">
        <v>84</v>
      </c>
      <c r="E332" t="str">
        <f>_xlfn.CONCAT("FretRout",LEFT(B332,3),RIGHT(B332,2),"CritAir")</f>
        <v>FretRoutCat33CritAir</v>
      </c>
      <c r="F332" t="s">
        <v>36</v>
      </c>
      <c r="G332">
        <v>1</v>
      </c>
      <c r="H332" s="2"/>
      <c r="I332">
        <v>3</v>
      </c>
      <c r="K332" s="4">
        <f t="shared" si="32"/>
        <v>3</v>
      </c>
    </row>
    <row r="333" spans="1:11" outlineLevel="1" x14ac:dyDescent="0.25">
      <c r="A333" t="s">
        <v>76</v>
      </c>
      <c r="B333" s="2" t="s">
        <v>121</v>
      </c>
      <c r="C333" t="s">
        <v>85</v>
      </c>
      <c r="E333" t="str">
        <f>_xlfn.CONCAT("FretRout",LEFT(B333,3),RIGHT(B333,2),"Nb")</f>
        <v>FretRoutCat33Nb</v>
      </c>
      <c r="F333" t="s">
        <v>17</v>
      </c>
      <c r="G333">
        <v>1</v>
      </c>
      <c r="J333" t="s">
        <v>86</v>
      </c>
      <c r="K333">
        <v>0</v>
      </c>
    </row>
    <row r="334" spans="1:11" outlineLevel="1" x14ac:dyDescent="0.25">
      <c r="A334" t="s">
        <v>76</v>
      </c>
      <c r="B334" s="2" t="s">
        <v>121</v>
      </c>
      <c r="C334" t="s">
        <v>87</v>
      </c>
      <c r="E334" t="str">
        <f>_xlfn.CONCAT("FretRout",LEFT(B334,3),RIGHT(B334,2),"Dist")</f>
        <v>FretRoutCat33Dist</v>
      </c>
      <c r="F334" t="s">
        <v>17</v>
      </c>
      <c r="G334">
        <v>1</v>
      </c>
      <c r="H334" s="2"/>
      <c r="J334" t="s">
        <v>88</v>
      </c>
      <c r="K334">
        <v>42385.998762263436</v>
      </c>
    </row>
    <row r="335" spans="1:11" outlineLevel="1" x14ac:dyDescent="0.25">
      <c r="A335" t="s">
        <v>76</v>
      </c>
      <c r="B335" s="2" t="s">
        <v>121</v>
      </c>
      <c r="C335" s="2" t="s">
        <v>89</v>
      </c>
      <c r="E335" t="str">
        <f>_xlfn.CONCAT("FretRout",LEFT(B335,3),RIGHT(B335,2),"Rempl")</f>
        <v>FretRoutCat33Rempl</v>
      </c>
      <c r="F335" t="s">
        <v>17</v>
      </c>
      <c r="G335">
        <v>1</v>
      </c>
      <c r="H335" s="3"/>
      <c r="J335" t="s">
        <v>70</v>
      </c>
      <c r="K335">
        <v>0</v>
      </c>
    </row>
    <row r="336" spans="1:11" outlineLevel="1" x14ac:dyDescent="0.25">
      <c r="A336" t="s">
        <v>76</v>
      </c>
      <c r="B336" s="2" t="s">
        <v>122</v>
      </c>
      <c r="C336" t="s">
        <v>78</v>
      </c>
      <c r="E336" t="str">
        <f>_xlfn.CONCAT("FretRout",LEFT(B336,3),RIGHT(B336,2),"Nom")</f>
        <v>FretRoutCat34Nom</v>
      </c>
      <c r="F336" t="s">
        <v>20</v>
      </c>
      <c r="G336">
        <v>1</v>
      </c>
      <c r="H336" s="4"/>
      <c r="I336" s="4" t="s">
        <v>419</v>
      </c>
      <c r="K336" s="4" t="str">
        <f t="shared" ref="K336:K342" si="33">I336</f>
        <v>PL Diesel &gt;28-34t (Crit'Air 4)</v>
      </c>
    </row>
    <row r="337" spans="1:11" outlineLevel="1" x14ac:dyDescent="0.25">
      <c r="A337" t="s">
        <v>76</v>
      </c>
      <c r="B337" s="2" t="s">
        <v>122</v>
      </c>
      <c r="C337" t="s">
        <v>79</v>
      </c>
      <c r="E337" t="str">
        <f>_xlfn.CONCAT("FretRout",LEFT(B337,3),RIGHT(B337,2),"Type")</f>
        <v>FretRoutCat34Type</v>
      </c>
      <c r="F337" t="s">
        <v>20</v>
      </c>
      <c r="G337">
        <v>1</v>
      </c>
      <c r="I337" t="s">
        <v>1771</v>
      </c>
      <c r="K337" s="4" t="str">
        <f t="shared" si="33"/>
        <v>PL</v>
      </c>
    </row>
    <row r="338" spans="1:11" outlineLevel="1" x14ac:dyDescent="0.25">
      <c r="A338" t="s">
        <v>76</v>
      </c>
      <c r="B338" s="2" t="s">
        <v>122</v>
      </c>
      <c r="C338" t="s">
        <v>80</v>
      </c>
      <c r="E338" t="str">
        <f>_xlfn.CONCAT("FretRout",LEFT(B338,3),RIGHT(B338,2),"PTAC")</f>
        <v>FretRoutCat34PTAC</v>
      </c>
      <c r="F338" t="s">
        <v>36</v>
      </c>
      <c r="G338">
        <v>1</v>
      </c>
      <c r="I338" t="s">
        <v>1461</v>
      </c>
      <c r="K338" s="4" t="str">
        <f t="shared" si="33"/>
        <v>&gt;28-34t</v>
      </c>
    </row>
    <row r="339" spans="1:11" outlineLevel="1" x14ac:dyDescent="0.25">
      <c r="A339" t="s">
        <v>76</v>
      </c>
      <c r="B339" s="2" t="s">
        <v>122</v>
      </c>
      <c r="C339" t="s">
        <v>81</v>
      </c>
      <c r="E339" t="str">
        <f>_xlfn.CONCAT("FretRout",LEFT(B339,3),RIGHT(B339,2),"Mot")</f>
        <v>FretRoutCat34Mot</v>
      </c>
      <c r="F339" t="s">
        <v>36</v>
      </c>
      <c r="G339">
        <v>1</v>
      </c>
      <c r="H339" s="2"/>
      <c r="I339" t="s">
        <v>138</v>
      </c>
      <c r="K339" s="4" t="str">
        <f t="shared" si="33"/>
        <v>Diesel</v>
      </c>
    </row>
    <row r="340" spans="1:11" outlineLevel="1" x14ac:dyDescent="0.25">
      <c r="A340" t="s">
        <v>76</v>
      </c>
      <c r="B340" s="2" t="s">
        <v>122</v>
      </c>
      <c r="C340" t="s">
        <v>82</v>
      </c>
      <c r="E340" t="str">
        <f>_xlfn.CONCAT("FretRout",LEFT(B340,3),RIGHT(B340,2),"Carb")</f>
        <v>FretRoutCat34Carb</v>
      </c>
      <c r="F340" t="s">
        <v>36</v>
      </c>
      <c r="G340">
        <v>1</v>
      </c>
      <c r="I340" t="s">
        <v>1449</v>
      </c>
      <c r="K340" s="4" t="str">
        <f t="shared" si="33"/>
        <v>Gazole à la pompe</v>
      </c>
    </row>
    <row r="341" spans="1:11" outlineLevel="1" x14ac:dyDescent="0.25">
      <c r="A341" t="s">
        <v>76</v>
      </c>
      <c r="B341" s="2" t="s">
        <v>122</v>
      </c>
      <c r="C341" t="s">
        <v>83</v>
      </c>
      <c r="E341" t="str">
        <f>_xlfn.CONCAT("FretRout",LEFT(B341,3),RIGHT(B341,2),"Euro")</f>
        <v>FretRoutCat34Euro</v>
      </c>
      <c r="F341" t="s">
        <v>36</v>
      </c>
      <c r="G341">
        <v>1</v>
      </c>
      <c r="I341">
        <v>0</v>
      </c>
      <c r="K341" s="4">
        <f t="shared" si="33"/>
        <v>0</v>
      </c>
    </row>
    <row r="342" spans="1:11" outlineLevel="1" x14ac:dyDescent="0.25">
      <c r="A342" t="s">
        <v>76</v>
      </c>
      <c r="B342" s="2" t="s">
        <v>122</v>
      </c>
      <c r="C342" t="s">
        <v>84</v>
      </c>
      <c r="E342" t="str">
        <f>_xlfn.CONCAT("FretRout",LEFT(B342,3),RIGHT(B342,2),"CritAir")</f>
        <v>FretRoutCat34CritAir</v>
      </c>
      <c r="F342" t="s">
        <v>36</v>
      </c>
      <c r="G342">
        <v>1</v>
      </c>
      <c r="H342" s="2"/>
      <c r="I342">
        <v>4</v>
      </c>
      <c r="K342" s="4">
        <f t="shared" si="33"/>
        <v>4</v>
      </c>
    </row>
    <row r="343" spans="1:11" outlineLevel="1" x14ac:dyDescent="0.25">
      <c r="A343" t="s">
        <v>76</v>
      </c>
      <c r="B343" s="2" t="s">
        <v>122</v>
      </c>
      <c r="C343" t="s">
        <v>85</v>
      </c>
      <c r="E343" t="str">
        <f>_xlfn.CONCAT("FretRout",LEFT(B343,3),RIGHT(B343,2),"Nb")</f>
        <v>FretRoutCat34Nb</v>
      </c>
      <c r="F343" t="s">
        <v>17</v>
      </c>
      <c r="G343">
        <v>1</v>
      </c>
      <c r="J343" t="s">
        <v>86</v>
      </c>
      <c r="K343">
        <v>0</v>
      </c>
    </row>
    <row r="344" spans="1:11" outlineLevel="1" x14ac:dyDescent="0.25">
      <c r="A344" t="s">
        <v>76</v>
      </c>
      <c r="B344" s="2" t="s">
        <v>122</v>
      </c>
      <c r="C344" t="s">
        <v>87</v>
      </c>
      <c r="E344" t="str">
        <f>_xlfn.CONCAT("FretRout",LEFT(B344,3),RIGHT(B344,2),"Dist")</f>
        <v>FretRoutCat34Dist</v>
      </c>
      <c r="F344" t="s">
        <v>17</v>
      </c>
      <c r="G344">
        <v>1</v>
      </c>
      <c r="H344" s="2"/>
      <c r="J344" t="s">
        <v>88</v>
      </c>
      <c r="K344">
        <v>42385.998762263436</v>
      </c>
    </row>
    <row r="345" spans="1:11" outlineLevel="1" x14ac:dyDescent="0.25">
      <c r="A345" t="s">
        <v>76</v>
      </c>
      <c r="B345" s="2" t="s">
        <v>122</v>
      </c>
      <c r="C345" s="2" t="s">
        <v>89</v>
      </c>
      <c r="E345" t="str">
        <f>_xlfn.CONCAT("FretRout",LEFT(B345,3),RIGHT(B345,2),"Rempl")</f>
        <v>FretRoutCat34Rempl</v>
      </c>
      <c r="F345" t="s">
        <v>17</v>
      </c>
      <c r="G345">
        <v>1</v>
      </c>
      <c r="H345" s="3"/>
      <c r="J345" t="s">
        <v>70</v>
      </c>
      <c r="K345">
        <v>0</v>
      </c>
    </row>
    <row r="346" spans="1:11" outlineLevel="1" x14ac:dyDescent="0.25">
      <c r="A346" t="s">
        <v>76</v>
      </c>
      <c r="B346" s="2" t="s">
        <v>123</v>
      </c>
      <c r="C346" t="s">
        <v>78</v>
      </c>
      <c r="E346" t="str">
        <f>_xlfn.CONCAT("FretRout",LEFT(B346,3),RIGHT(B346,2),"Nom")</f>
        <v>FretRoutCat35Nom</v>
      </c>
      <c r="F346" t="s">
        <v>20</v>
      </c>
      <c r="G346">
        <v>1</v>
      </c>
      <c r="H346" s="4"/>
      <c r="I346" s="4" t="s">
        <v>420</v>
      </c>
      <c r="K346" s="4" t="str">
        <f t="shared" ref="K346:K352" si="34">I346</f>
        <v>PL Diesel &gt;28-34t (Crit'Air 5)</v>
      </c>
    </row>
    <row r="347" spans="1:11" outlineLevel="1" x14ac:dyDescent="0.25">
      <c r="A347" t="s">
        <v>76</v>
      </c>
      <c r="B347" s="2" t="s">
        <v>123</v>
      </c>
      <c r="C347" t="s">
        <v>79</v>
      </c>
      <c r="E347" t="str">
        <f>_xlfn.CONCAT("FretRout",LEFT(B347,3),RIGHT(B347,2),"Type")</f>
        <v>FretRoutCat35Type</v>
      </c>
      <c r="F347" t="s">
        <v>20</v>
      </c>
      <c r="G347">
        <v>1</v>
      </c>
      <c r="I347" t="s">
        <v>1771</v>
      </c>
      <c r="K347" s="4" t="str">
        <f t="shared" si="34"/>
        <v>PL</v>
      </c>
    </row>
    <row r="348" spans="1:11" outlineLevel="1" x14ac:dyDescent="0.25">
      <c r="A348" t="s">
        <v>76</v>
      </c>
      <c r="B348" s="2" t="s">
        <v>123</v>
      </c>
      <c r="C348" t="s">
        <v>80</v>
      </c>
      <c r="E348" t="str">
        <f>_xlfn.CONCAT("FretRout",LEFT(B348,3),RIGHT(B348,2),"PTAC")</f>
        <v>FretRoutCat35PTAC</v>
      </c>
      <c r="F348" t="s">
        <v>36</v>
      </c>
      <c r="G348">
        <v>1</v>
      </c>
      <c r="I348" t="s">
        <v>1461</v>
      </c>
      <c r="K348" s="4" t="str">
        <f t="shared" si="34"/>
        <v>&gt;28-34t</v>
      </c>
    </row>
    <row r="349" spans="1:11" outlineLevel="1" x14ac:dyDescent="0.25">
      <c r="A349" t="s">
        <v>76</v>
      </c>
      <c r="B349" s="2" t="s">
        <v>123</v>
      </c>
      <c r="C349" t="s">
        <v>81</v>
      </c>
      <c r="E349" t="str">
        <f>_xlfn.CONCAT("FretRout",LEFT(B349,3),RIGHT(B349,2),"Mot")</f>
        <v>FretRoutCat35Mot</v>
      </c>
      <c r="F349" t="s">
        <v>36</v>
      </c>
      <c r="G349">
        <v>1</v>
      </c>
      <c r="H349" s="2"/>
      <c r="I349" t="s">
        <v>138</v>
      </c>
      <c r="K349" s="4" t="str">
        <f t="shared" si="34"/>
        <v>Diesel</v>
      </c>
    </row>
    <row r="350" spans="1:11" outlineLevel="1" x14ac:dyDescent="0.25">
      <c r="A350" t="s">
        <v>76</v>
      </c>
      <c r="B350" s="2" t="s">
        <v>123</v>
      </c>
      <c r="C350" t="s">
        <v>82</v>
      </c>
      <c r="E350" t="str">
        <f>_xlfn.CONCAT("FretRout",LEFT(B350,3),RIGHT(B350,2),"Carb")</f>
        <v>FretRoutCat35Carb</v>
      </c>
      <c r="F350" t="s">
        <v>36</v>
      </c>
      <c r="G350">
        <v>1</v>
      </c>
      <c r="I350" t="s">
        <v>1449</v>
      </c>
      <c r="K350" s="4" t="str">
        <f t="shared" si="34"/>
        <v>Gazole à la pompe</v>
      </c>
    </row>
    <row r="351" spans="1:11" outlineLevel="1" x14ac:dyDescent="0.25">
      <c r="A351" t="s">
        <v>76</v>
      </c>
      <c r="B351" s="2" t="s">
        <v>123</v>
      </c>
      <c r="C351" t="s">
        <v>83</v>
      </c>
      <c r="E351" t="str">
        <f>_xlfn.CONCAT("FretRout",LEFT(B351,3),RIGHT(B351,2),"Euro")</f>
        <v>FretRoutCat35Euro</v>
      </c>
      <c r="F351" t="s">
        <v>36</v>
      </c>
      <c r="G351">
        <v>1</v>
      </c>
      <c r="I351">
        <v>0</v>
      </c>
      <c r="K351" s="4">
        <f t="shared" si="34"/>
        <v>0</v>
      </c>
    </row>
    <row r="352" spans="1:11" outlineLevel="1" x14ac:dyDescent="0.25">
      <c r="A352" t="s">
        <v>76</v>
      </c>
      <c r="B352" s="2" t="s">
        <v>123</v>
      </c>
      <c r="C352" t="s">
        <v>84</v>
      </c>
      <c r="E352" t="str">
        <f>_xlfn.CONCAT("FretRout",LEFT(B352,3),RIGHT(B352,2),"CritAir")</f>
        <v>FretRoutCat35CritAir</v>
      </c>
      <c r="F352" t="s">
        <v>36</v>
      </c>
      <c r="G352">
        <v>1</v>
      </c>
      <c r="H352" s="2"/>
      <c r="I352">
        <v>5</v>
      </c>
      <c r="K352" s="4">
        <f t="shared" si="34"/>
        <v>5</v>
      </c>
    </row>
    <row r="353" spans="1:11" outlineLevel="1" x14ac:dyDescent="0.25">
      <c r="A353" t="s">
        <v>76</v>
      </c>
      <c r="B353" s="2" t="s">
        <v>123</v>
      </c>
      <c r="C353" t="s">
        <v>85</v>
      </c>
      <c r="E353" t="str">
        <f>_xlfn.CONCAT("FretRout",LEFT(B353,3),RIGHT(B353,2),"Nb")</f>
        <v>FretRoutCat35Nb</v>
      </c>
      <c r="F353" t="s">
        <v>17</v>
      </c>
      <c r="G353">
        <v>1</v>
      </c>
      <c r="J353" t="s">
        <v>86</v>
      </c>
      <c r="K353">
        <v>0</v>
      </c>
    </row>
    <row r="354" spans="1:11" outlineLevel="1" x14ac:dyDescent="0.25">
      <c r="A354" t="s">
        <v>76</v>
      </c>
      <c r="B354" s="2" t="s">
        <v>123</v>
      </c>
      <c r="C354" t="s">
        <v>87</v>
      </c>
      <c r="E354" t="str">
        <f>_xlfn.CONCAT("FretRout",LEFT(B354,3),RIGHT(B354,2),"Dist")</f>
        <v>FretRoutCat35Dist</v>
      </c>
      <c r="F354" t="s">
        <v>17</v>
      </c>
      <c r="G354">
        <v>1</v>
      </c>
      <c r="H354" s="2"/>
      <c r="J354" t="s">
        <v>88</v>
      </c>
      <c r="K354">
        <v>42385.998762263436</v>
      </c>
    </row>
    <row r="355" spans="1:11" outlineLevel="1" x14ac:dyDescent="0.25">
      <c r="A355" t="s">
        <v>76</v>
      </c>
      <c r="B355" s="2" t="s">
        <v>123</v>
      </c>
      <c r="C355" s="2" t="s">
        <v>89</v>
      </c>
      <c r="E355" t="str">
        <f>_xlfn.CONCAT("FretRout",LEFT(B355,3),RIGHT(B355,2),"Rempl")</f>
        <v>FretRoutCat35Rempl</v>
      </c>
      <c r="F355" t="s">
        <v>17</v>
      </c>
      <c r="G355">
        <v>1</v>
      </c>
      <c r="H355" s="3"/>
      <c r="J355" t="s">
        <v>70</v>
      </c>
      <c r="K355">
        <v>0</v>
      </c>
    </row>
    <row r="356" spans="1:11" outlineLevel="1" x14ac:dyDescent="0.25">
      <c r="A356" t="s">
        <v>76</v>
      </c>
      <c r="B356" s="2" t="s">
        <v>124</v>
      </c>
      <c r="C356" t="s">
        <v>78</v>
      </c>
      <c r="E356" t="str">
        <f>_xlfn.CONCAT("FretRout",LEFT(B356,3),RIGHT(B356,2),"Nom")</f>
        <v>FretRoutCat36Nom</v>
      </c>
      <c r="F356" t="s">
        <v>20</v>
      </c>
      <c r="G356">
        <v>1</v>
      </c>
      <c r="H356" s="4"/>
      <c r="I356" s="4" t="s">
        <v>421</v>
      </c>
      <c r="K356" s="4" t="str">
        <f t="shared" ref="K356:K362" si="35">I356</f>
        <v>PL Diesel &gt;34-40t (Crit'Air 2)</v>
      </c>
    </row>
    <row r="357" spans="1:11" outlineLevel="1" x14ac:dyDescent="0.25">
      <c r="A357" t="s">
        <v>76</v>
      </c>
      <c r="B357" s="2" t="s">
        <v>124</v>
      </c>
      <c r="C357" t="s">
        <v>79</v>
      </c>
      <c r="E357" t="str">
        <f>_xlfn.CONCAT("FretRout",LEFT(B357,3),RIGHT(B357,2),"Type")</f>
        <v>FretRoutCat36Type</v>
      </c>
      <c r="F357" t="s">
        <v>20</v>
      </c>
      <c r="G357">
        <v>1</v>
      </c>
      <c r="I357" t="s">
        <v>1771</v>
      </c>
      <c r="K357" s="4" t="str">
        <f t="shared" si="35"/>
        <v>PL</v>
      </c>
    </row>
    <row r="358" spans="1:11" outlineLevel="1" x14ac:dyDescent="0.25">
      <c r="A358" t="s">
        <v>76</v>
      </c>
      <c r="B358" s="2" t="s">
        <v>124</v>
      </c>
      <c r="C358" t="s">
        <v>80</v>
      </c>
      <c r="E358" t="str">
        <f>_xlfn.CONCAT("FretRout",LEFT(B358,3),RIGHT(B358,2),"PTAC")</f>
        <v>FretRoutCat36PTAC</v>
      </c>
      <c r="F358" t="s">
        <v>36</v>
      </c>
      <c r="G358">
        <v>1</v>
      </c>
      <c r="I358" t="s">
        <v>1462</v>
      </c>
      <c r="K358" s="4" t="str">
        <f t="shared" si="35"/>
        <v>&gt;34-40t</v>
      </c>
    </row>
    <row r="359" spans="1:11" outlineLevel="1" x14ac:dyDescent="0.25">
      <c r="A359" t="s">
        <v>76</v>
      </c>
      <c r="B359" s="2" t="s">
        <v>124</v>
      </c>
      <c r="C359" t="s">
        <v>81</v>
      </c>
      <c r="E359" t="str">
        <f>_xlfn.CONCAT("FretRout",LEFT(B359,3),RIGHT(B359,2),"Mot")</f>
        <v>FretRoutCat36Mot</v>
      </c>
      <c r="F359" t="s">
        <v>36</v>
      </c>
      <c r="G359">
        <v>1</v>
      </c>
      <c r="H359" s="2"/>
      <c r="I359" t="s">
        <v>138</v>
      </c>
      <c r="K359" s="4" t="str">
        <f t="shared" si="35"/>
        <v>Diesel</v>
      </c>
    </row>
    <row r="360" spans="1:11" outlineLevel="1" x14ac:dyDescent="0.25">
      <c r="A360" t="s">
        <v>76</v>
      </c>
      <c r="B360" s="2" t="s">
        <v>124</v>
      </c>
      <c r="C360" t="s">
        <v>82</v>
      </c>
      <c r="E360" t="str">
        <f>_xlfn.CONCAT("FretRout",LEFT(B360,3),RIGHT(B360,2),"Carb")</f>
        <v>FretRoutCat36Carb</v>
      </c>
      <c r="F360" t="s">
        <v>36</v>
      </c>
      <c r="G360">
        <v>1</v>
      </c>
      <c r="I360" t="s">
        <v>1449</v>
      </c>
      <c r="K360" s="4" t="str">
        <f t="shared" si="35"/>
        <v>Gazole à la pompe</v>
      </c>
    </row>
    <row r="361" spans="1:11" outlineLevel="1" x14ac:dyDescent="0.25">
      <c r="A361" t="s">
        <v>76</v>
      </c>
      <c r="B361" s="2" t="s">
        <v>124</v>
      </c>
      <c r="C361" t="s">
        <v>83</v>
      </c>
      <c r="E361" t="str">
        <f>_xlfn.CONCAT("FretRout",LEFT(B361,3),RIGHT(B361,2),"Euro")</f>
        <v>FretRoutCat36Euro</v>
      </c>
      <c r="F361" t="s">
        <v>36</v>
      </c>
      <c r="G361">
        <v>1</v>
      </c>
      <c r="I361">
        <v>0</v>
      </c>
      <c r="K361" s="4">
        <f t="shared" si="35"/>
        <v>0</v>
      </c>
    </row>
    <row r="362" spans="1:11" outlineLevel="1" x14ac:dyDescent="0.25">
      <c r="A362" t="s">
        <v>76</v>
      </c>
      <c r="B362" s="2" t="s">
        <v>124</v>
      </c>
      <c r="C362" t="s">
        <v>84</v>
      </c>
      <c r="E362" t="str">
        <f>_xlfn.CONCAT("FretRout",LEFT(B362,3),RIGHT(B362,2),"CritAir")</f>
        <v>FretRoutCat36CritAir</v>
      </c>
      <c r="F362" t="s">
        <v>36</v>
      </c>
      <c r="G362">
        <v>1</v>
      </c>
      <c r="H362" s="2"/>
      <c r="I362">
        <v>2</v>
      </c>
      <c r="K362" s="4">
        <f t="shared" si="35"/>
        <v>2</v>
      </c>
    </row>
    <row r="363" spans="1:11" outlineLevel="1" x14ac:dyDescent="0.25">
      <c r="A363" t="s">
        <v>76</v>
      </c>
      <c r="B363" s="2" t="s">
        <v>124</v>
      </c>
      <c r="C363" t="s">
        <v>85</v>
      </c>
      <c r="E363" t="str">
        <f>_xlfn.CONCAT("FretRout",LEFT(B363,3),RIGHT(B363,2),"Nb")</f>
        <v>FretRoutCat36Nb</v>
      </c>
      <c r="F363" t="s">
        <v>17</v>
      </c>
      <c r="G363">
        <v>1</v>
      </c>
      <c r="J363" t="s">
        <v>86</v>
      </c>
      <c r="K363">
        <v>0</v>
      </c>
    </row>
    <row r="364" spans="1:11" outlineLevel="1" x14ac:dyDescent="0.25">
      <c r="A364" t="s">
        <v>76</v>
      </c>
      <c r="B364" s="2" t="s">
        <v>124</v>
      </c>
      <c r="C364" t="s">
        <v>87</v>
      </c>
      <c r="E364" t="str">
        <f>_xlfn.CONCAT("FretRout",LEFT(B364,3),RIGHT(B364,2),"Dist")</f>
        <v>FretRoutCat36Dist</v>
      </c>
      <c r="F364" t="s">
        <v>17</v>
      </c>
      <c r="G364">
        <v>1</v>
      </c>
      <c r="H364" s="2"/>
      <c r="J364" t="s">
        <v>88</v>
      </c>
      <c r="K364">
        <v>42385.998762263436</v>
      </c>
    </row>
    <row r="365" spans="1:11" outlineLevel="1" x14ac:dyDescent="0.25">
      <c r="A365" t="s">
        <v>76</v>
      </c>
      <c r="B365" s="2" t="s">
        <v>124</v>
      </c>
      <c r="C365" s="2" t="s">
        <v>89</v>
      </c>
      <c r="E365" t="str">
        <f>_xlfn.CONCAT("FretRout",LEFT(B365,3),RIGHT(B365,2),"Rempl")</f>
        <v>FretRoutCat36Rempl</v>
      </c>
      <c r="F365" t="s">
        <v>17</v>
      </c>
      <c r="G365">
        <v>1</v>
      </c>
      <c r="H365" s="3"/>
      <c r="J365" t="s">
        <v>70</v>
      </c>
      <c r="K365">
        <v>0</v>
      </c>
    </row>
    <row r="366" spans="1:11" outlineLevel="1" x14ac:dyDescent="0.25">
      <c r="A366" t="s">
        <v>76</v>
      </c>
      <c r="B366" s="2" t="s">
        <v>125</v>
      </c>
      <c r="C366" t="s">
        <v>78</v>
      </c>
      <c r="E366" t="str">
        <f>_xlfn.CONCAT("FretRout",LEFT(B366,3),RIGHT(B366,2),"Nom")</f>
        <v>FretRoutCat37Nom</v>
      </c>
      <c r="F366" t="s">
        <v>20</v>
      </c>
      <c r="G366">
        <v>1</v>
      </c>
      <c r="H366" s="4"/>
      <c r="I366" s="4" t="s">
        <v>422</v>
      </c>
      <c r="K366" s="4" t="str">
        <f t="shared" ref="K366:K372" si="36">I366</f>
        <v>PL Diesel &gt;34-40t (Crit'Air 3)</v>
      </c>
    </row>
    <row r="367" spans="1:11" outlineLevel="1" x14ac:dyDescent="0.25">
      <c r="A367" t="s">
        <v>76</v>
      </c>
      <c r="B367" s="2" t="s">
        <v>125</v>
      </c>
      <c r="C367" t="s">
        <v>79</v>
      </c>
      <c r="E367" t="str">
        <f>_xlfn.CONCAT("FretRout",LEFT(B367,3),RIGHT(B367,2),"Type")</f>
        <v>FretRoutCat37Type</v>
      </c>
      <c r="F367" t="s">
        <v>20</v>
      </c>
      <c r="G367">
        <v>1</v>
      </c>
      <c r="I367" t="s">
        <v>1771</v>
      </c>
      <c r="K367" s="4" t="str">
        <f t="shared" si="36"/>
        <v>PL</v>
      </c>
    </row>
    <row r="368" spans="1:11" outlineLevel="1" x14ac:dyDescent="0.25">
      <c r="A368" t="s">
        <v>76</v>
      </c>
      <c r="B368" s="2" t="s">
        <v>125</v>
      </c>
      <c r="C368" t="s">
        <v>80</v>
      </c>
      <c r="E368" t="str">
        <f>_xlfn.CONCAT("FretRout",LEFT(B368,3),RIGHT(B368,2),"PTAC")</f>
        <v>FretRoutCat37PTAC</v>
      </c>
      <c r="F368" t="s">
        <v>36</v>
      </c>
      <c r="G368">
        <v>1</v>
      </c>
      <c r="I368" t="s">
        <v>1462</v>
      </c>
      <c r="K368" s="4" t="str">
        <f t="shared" si="36"/>
        <v>&gt;34-40t</v>
      </c>
    </row>
    <row r="369" spans="1:11" outlineLevel="1" x14ac:dyDescent="0.25">
      <c r="A369" t="s">
        <v>76</v>
      </c>
      <c r="B369" s="2" t="s">
        <v>125</v>
      </c>
      <c r="C369" t="s">
        <v>81</v>
      </c>
      <c r="E369" t="str">
        <f>_xlfn.CONCAT("FretRout",LEFT(B369,3),RIGHT(B369,2),"Mot")</f>
        <v>FretRoutCat37Mot</v>
      </c>
      <c r="F369" t="s">
        <v>36</v>
      </c>
      <c r="G369">
        <v>1</v>
      </c>
      <c r="H369" s="2"/>
      <c r="I369" t="s">
        <v>138</v>
      </c>
      <c r="K369" s="4" t="str">
        <f t="shared" si="36"/>
        <v>Diesel</v>
      </c>
    </row>
    <row r="370" spans="1:11" outlineLevel="1" x14ac:dyDescent="0.25">
      <c r="A370" t="s">
        <v>76</v>
      </c>
      <c r="B370" s="2" t="s">
        <v>125</v>
      </c>
      <c r="C370" t="s">
        <v>82</v>
      </c>
      <c r="E370" t="str">
        <f>_xlfn.CONCAT("FretRout",LEFT(B370,3),RIGHT(B370,2),"Carb")</f>
        <v>FretRoutCat37Carb</v>
      </c>
      <c r="F370" t="s">
        <v>36</v>
      </c>
      <c r="G370">
        <v>1</v>
      </c>
      <c r="I370" t="s">
        <v>1449</v>
      </c>
      <c r="K370" s="4" t="str">
        <f t="shared" si="36"/>
        <v>Gazole à la pompe</v>
      </c>
    </row>
    <row r="371" spans="1:11" outlineLevel="1" x14ac:dyDescent="0.25">
      <c r="A371" t="s">
        <v>76</v>
      </c>
      <c r="B371" s="2" t="s">
        <v>125</v>
      </c>
      <c r="C371" t="s">
        <v>83</v>
      </c>
      <c r="E371" t="str">
        <f>_xlfn.CONCAT("FretRout",LEFT(B371,3),RIGHT(B371,2),"Euro")</f>
        <v>FretRoutCat37Euro</v>
      </c>
      <c r="F371" t="s">
        <v>36</v>
      </c>
      <c r="G371">
        <v>1</v>
      </c>
      <c r="I371">
        <v>0</v>
      </c>
      <c r="K371" s="4">
        <f t="shared" si="36"/>
        <v>0</v>
      </c>
    </row>
    <row r="372" spans="1:11" outlineLevel="1" x14ac:dyDescent="0.25">
      <c r="A372" t="s">
        <v>76</v>
      </c>
      <c r="B372" s="2" t="s">
        <v>125</v>
      </c>
      <c r="C372" t="s">
        <v>84</v>
      </c>
      <c r="E372" t="str">
        <f>_xlfn.CONCAT("FretRout",LEFT(B372,3),RIGHT(B372,2),"CritAir")</f>
        <v>FretRoutCat37CritAir</v>
      </c>
      <c r="F372" t="s">
        <v>36</v>
      </c>
      <c r="G372">
        <v>1</v>
      </c>
      <c r="H372" s="2"/>
      <c r="I372">
        <v>3</v>
      </c>
      <c r="K372" s="4">
        <f t="shared" si="36"/>
        <v>3</v>
      </c>
    </row>
    <row r="373" spans="1:11" outlineLevel="1" x14ac:dyDescent="0.25">
      <c r="A373" t="s">
        <v>76</v>
      </c>
      <c r="B373" s="2" t="s">
        <v>125</v>
      </c>
      <c r="C373" t="s">
        <v>85</v>
      </c>
      <c r="E373" t="str">
        <f>_xlfn.CONCAT("FretRout",LEFT(B373,3),RIGHT(B373,2),"Nb")</f>
        <v>FretRoutCat37Nb</v>
      </c>
      <c r="F373" t="s">
        <v>17</v>
      </c>
      <c r="G373">
        <v>1</v>
      </c>
      <c r="J373" t="s">
        <v>86</v>
      </c>
      <c r="K373">
        <v>0</v>
      </c>
    </row>
    <row r="374" spans="1:11" outlineLevel="1" x14ac:dyDescent="0.25">
      <c r="A374" t="s">
        <v>76</v>
      </c>
      <c r="B374" s="2" t="s">
        <v>125</v>
      </c>
      <c r="C374" t="s">
        <v>87</v>
      </c>
      <c r="E374" t="str">
        <f>_xlfn.CONCAT("FretRout",LEFT(B374,3),RIGHT(B374,2),"Dist")</f>
        <v>FretRoutCat37Dist</v>
      </c>
      <c r="F374" t="s">
        <v>17</v>
      </c>
      <c r="G374">
        <v>1</v>
      </c>
      <c r="H374" s="2"/>
      <c r="J374" t="s">
        <v>88</v>
      </c>
      <c r="K374">
        <v>42385.998762263436</v>
      </c>
    </row>
    <row r="375" spans="1:11" outlineLevel="1" x14ac:dyDescent="0.25">
      <c r="A375" t="s">
        <v>76</v>
      </c>
      <c r="B375" s="2" t="s">
        <v>125</v>
      </c>
      <c r="C375" s="2" t="s">
        <v>89</v>
      </c>
      <c r="E375" t="str">
        <f>_xlfn.CONCAT("FretRout",LEFT(B375,3),RIGHT(B375,2),"Rempl")</f>
        <v>FretRoutCat37Rempl</v>
      </c>
      <c r="F375" t="s">
        <v>17</v>
      </c>
      <c r="G375">
        <v>1</v>
      </c>
      <c r="H375" s="3"/>
      <c r="J375" t="s">
        <v>70</v>
      </c>
      <c r="K375">
        <v>0</v>
      </c>
    </row>
    <row r="376" spans="1:11" x14ac:dyDescent="0.25">
      <c r="A376" t="s">
        <v>76</v>
      </c>
      <c r="B376" s="2" t="s">
        <v>126</v>
      </c>
      <c r="C376" t="s">
        <v>78</v>
      </c>
      <c r="E376" t="str">
        <f>_xlfn.CONCAT("FretRout",LEFT(B376,3),RIGHT(B376,2),"Nom")</f>
        <v>FretRoutCat38Nom</v>
      </c>
      <c r="F376" t="s">
        <v>20</v>
      </c>
      <c r="G376">
        <v>1</v>
      </c>
      <c r="H376" s="4"/>
      <c r="I376" s="4" t="s">
        <v>423</v>
      </c>
      <c r="K376" s="4" t="str">
        <f t="shared" ref="K376:K382" si="37">I376</f>
        <v>PL Diesel &gt;34-40t (Crit'Air 4)</v>
      </c>
    </row>
    <row r="377" spans="1:11" x14ac:dyDescent="0.25">
      <c r="A377" t="s">
        <v>76</v>
      </c>
      <c r="B377" s="2" t="s">
        <v>126</v>
      </c>
      <c r="C377" t="s">
        <v>79</v>
      </c>
      <c r="E377" t="str">
        <f>_xlfn.CONCAT("FretRout",LEFT(B377,3),RIGHT(B377,2),"Type")</f>
        <v>FretRoutCat38Type</v>
      </c>
      <c r="F377" t="s">
        <v>20</v>
      </c>
      <c r="G377">
        <v>1</v>
      </c>
      <c r="I377" t="s">
        <v>1771</v>
      </c>
      <c r="K377" s="4" t="str">
        <f t="shared" si="37"/>
        <v>PL</v>
      </c>
    </row>
    <row r="378" spans="1:11" x14ac:dyDescent="0.25">
      <c r="A378" t="s">
        <v>76</v>
      </c>
      <c r="B378" s="2" t="s">
        <v>126</v>
      </c>
      <c r="C378" t="s">
        <v>80</v>
      </c>
      <c r="E378" t="str">
        <f>_xlfn.CONCAT("FretRout",LEFT(B378,3),RIGHT(B378,2),"PTAC")</f>
        <v>FretRoutCat38PTAC</v>
      </c>
      <c r="F378" t="s">
        <v>36</v>
      </c>
      <c r="G378">
        <v>1</v>
      </c>
      <c r="I378" t="s">
        <v>1462</v>
      </c>
      <c r="K378" s="4" t="str">
        <f t="shared" si="37"/>
        <v>&gt;34-40t</v>
      </c>
    </row>
    <row r="379" spans="1:11" x14ac:dyDescent="0.25">
      <c r="A379" t="s">
        <v>76</v>
      </c>
      <c r="B379" s="2" t="s">
        <v>126</v>
      </c>
      <c r="C379" t="s">
        <v>81</v>
      </c>
      <c r="E379" t="str">
        <f>_xlfn.CONCAT("FretRout",LEFT(B379,3),RIGHT(B379,2),"Mot")</f>
        <v>FretRoutCat38Mot</v>
      </c>
      <c r="F379" t="s">
        <v>36</v>
      </c>
      <c r="G379">
        <v>1</v>
      </c>
      <c r="H379" s="2"/>
      <c r="I379" t="s">
        <v>138</v>
      </c>
      <c r="K379" s="4" t="str">
        <f t="shared" si="37"/>
        <v>Diesel</v>
      </c>
    </row>
    <row r="380" spans="1:11" x14ac:dyDescent="0.25">
      <c r="A380" t="s">
        <v>76</v>
      </c>
      <c r="B380" s="2" t="s">
        <v>126</v>
      </c>
      <c r="C380" t="s">
        <v>82</v>
      </c>
      <c r="E380" t="str">
        <f>_xlfn.CONCAT("FretRout",LEFT(B380,3),RIGHT(B380,2),"Carb")</f>
        <v>FretRoutCat38Carb</v>
      </c>
      <c r="F380" t="s">
        <v>36</v>
      </c>
      <c r="G380">
        <v>1</v>
      </c>
      <c r="I380" t="s">
        <v>1449</v>
      </c>
      <c r="K380" s="4" t="str">
        <f t="shared" si="37"/>
        <v>Gazole à la pompe</v>
      </c>
    </row>
    <row r="381" spans="1:11" x14ac:dyDescent="0.25">
      <c r="A381" t="s">
        <v>76</v>
      </c>
      <c r="B381" s="2" t="s">
        <v>126</v>
      </c>
      <c r="C381" t="s">
        <v>83</v>
      </c>
      <c r="E381" t="str">
        <f>_xlfn.CONCAT("FretRout",LEFT(B381,3),RIGHT(B381,2),"Euro")</f>
        <v>FretRoutCat38Euro</v>
      </c>
      <c r="F381" t="s">
        <v>36</v>
      </c>
      <c r="G381">
        <v>1</v>
      </c>
      <c r="I381">
        <v>0</v>
      </c>
      <c r="K381" s="4">
        <f t="shared" si="37"/>
        <v>0</v>
      </c>
    </row>
    <row r="382" spans="1:11" x14ac:dyDescent="0.25">
      <c r="A382" t="s">
        <v>76</v>
      </c>
      <c r="B382" s="2" t="s">
        <v>126</v>
      </c>
      <c r="C382" t="s">
        <v>84</v>
      </c>
      <c r="E382" t="str">
        <f>_xlfn.CONCAT("FretRout",LEFT(B382,3),RIGHT(B382,2),"CritAir")</f>
        <v>FretRoutCat38CritAir</v>
      </c>
      <c r="F382" t="s">
        <v>36</v>
      </c>
      <c r="G382">
        <v>1</v>
      </c>
      <c r="H382" s="2"/>
      <c r="I382">
        <v>4</v>
      </c>
      <c r="K382" s="4">
        <f t="shared" si="37"/>
        <v>4</v>
      </c>
    </row>
    <row r="383" spans="1:11" x14ac:dyDescent="0.25">
      <c r="A383" t="s">
        <v>76</v>
      </c>
      <c r="B383" s="2" t="s">
        <v>126</v>
      </c>
      <c r="C383" t="s">
        <v>85</v>
      </c>
      <c r="E383" t="str">
        <f>_xlfn.CONCAT("FretRout",LEFT(B383,3),RIGHT(B383,2),"Nb")</f>
        <v>FretRoutCat38Nb</v>
      </c>
      <c r="F383" t="s">
        <v>17</v>
      </c>
      <c r="G383">
        <v>1</v>
      </c>
      <c r="J383" t="s">
        <v>86</v>
      </c>
      <c r="K383">
        <v>0</v>
      </c>
    </row>
    <row r="384" spans="1:11" x14ac:dyDescent="0.25">
      <c r="A384" t="s">
        <v>76</v>
      </c>
      <c r="B384" s="2" t="s">
        <v>126</v>
      </c>
      <c r="C384" t="s">
        <v>87</v>
      </c>
      <c r="E384" t="str">
        <f>_xlfn.CONCAT("FretRout",LEFT(B384,3),RIGHT(B384,2),"Dist")</f>
        <v>FretRoutCat38Dist</v>
      </c>
      <c r="F384" t="s">
        <v>17</v>
      </c>
      <c r="G384">
        <v>1</v>
      </c>
      <c r="H384" s="2"/>
      <c r="J384" t="s">
        <v>88</v>
      </c>
      <c r="K384">
        <v>42385.998762263436</v>
      </c>
    </row>
    <row r="385" spans="1:11" x14ac:dyDescent="0.25">
      <c r="A385" t="s">
        <v>76</v>
      </c>
      <c r="B385" s="2" t="s">
        <v>126</v>
      </c>
      <c r="C385" s="2" t="s">
        <v>89</v>
      </c>
      <c r="E385" t="str">
        <f>_xlfn.CONCAT("FretRout",LEFT(B385,3),RIGHT(B385,2),"Rempl")</f>
        <v>FretRoutCat38Rempl</v>
      </c>
      <c r="F385" t="s">
        <v>17</v>
      </c>
      <c r="G385">
        <v>1</v>
      </c>
      <c r="H385" s="3"/>
      <c r="J385" t="s">
        <v>70</v>
      </c>
      <c r="K385">
        <v>0</v>
      </c>
    </row>
    <row r="386" spans="1:11" x14ac:dyDescent="0.25">
      <c r="A386" t="s">
        <v>76</v>
      </c>
      <c r="B386" s="2" t="s">
        <v>127</v>
      </c>
      <c r="C386" t="s">
        <v>78</v>
      </c>
      <c r="E386" t="str">
        <f>_xlfn.CONCAT("FretRout",LEFT(B386,3),RIGHT(B386,2),"Nom")</f>
        <v>FretRoutCat39Nom</v>
      </c>
      <c r="F386" t="s">
        <v>20</v>
      </c>
      <c r="G386">
        <v>1</v>
      </c>
      <c r="H386" s="4"/>
      <c r="I386" s="4" t="s">
        <v>424</v>
      </c>
      <c r="K386" s="4" t="str">
        <f t="shared" ref="K386:K392" si="38">I386</f>
        <v>PL Diesel &gt;34-40t (Crit'Air 5)</v>
      </c>
    </row>
    <row r="387" spans="1:11" outlineLevel="1" x14ac:dyDescent="0.25">
      <c r="A387" t="s">
        <v>76</v>
      </c>
      <c r="B387" s="2" t="s">
        <v>127</v>
      </c>
      <c r="C387" t="s">
        <v>79</v>
      </c>
      <c r="E387" t="str">
        <f>_xlfn.CONCAT("FretRout",LEFT(B387,3),RIGHT(B387,2),"Type")</f>
        <v>FretRoutCat39Type</v>
      </c>
      <c r="F387" t="s">
        <v>20</v>
      </c>
      <c r="G387">
        <v>1</v>
      </c>
      <c r="I387" t="s">
        <v>1771</v>
      </c>
      <c r="K387" s="4" t="str">
        <f t="shared" si="38"/>
        <v>PL</v>
      </c>
    </row>
    <row r="388" spans="1:11" outlineLevel="1" x14ac:dyDescent="0.25">
      <c r="A388" t="s">
        <v>76</v>
      </c>
      <c r="B388" s="2" t="s">
        <v>127</v>
      </c>
      <c r="C388" t="s">
        <v>80</v>
      </c>
      <c r="E388" t="str">
        <f>_xlfn.CONCAT("FretRout",LEFT(B388,3),RIGHT(B388,2),"PTAC")</f>
        <v>FretRoutCat39PTAC</v>
      </c>
      <c r="F388" t="s">
        <v>36</v>
      </c>
      <c r="G388">
        <v>1</v>
      </c>
      <c r="I388" t="s">
        <v>1462</v>
      </c>
      <c r="K388" s="4" t="str">
        <f t="shared" si="38"/>
        <v>&gt;34-40t</v>
      </c>
    </row>
    <row r="389" spans="1:11" outlineLevel="1" x14ac:dyDescent="0.25">
      <c r="A389" t="s">
        <v>76</v>
      </c>
      <c r="B389" s="2" t="s">
        <v>127</v>
      </c>
      <c r="C389" t="s">
        <v>81</v>
      </c>
      <c r="E389" t="str">
        <f>_xlfn.CONCAT("FretRout",LEFT(B389,3),RIGHT(B389,2),"Mot")</f>
        <v>FretRoutCat39Mot</v>
      </c>
      <c r="F389" t="s">
        <v>36</v>
      </c>
      <c r="G389">
        <v>1</v>
      </c>
      <c r="H389" s="2"/>
      <c r="I389" t="s">
        <v>138</v>
      </c>
      <c r="K389" s="4" t="str">
        <f t="shared" si="38"/>
        <v>Diesel</v>
      </c>
    </row>
    <row r="390" spans="1:11" outlineLevel="1" x14ac:dyDescent="0.25">
      <c r="A390" t="s">
        <v>76</v>
      </c>
      <c r="B390" s="2" t="s">
        <v>127</v>
      </c>
      <c r="C390" t="s">
        <v>82</v>
      </c>
      <c r="E390" t="str">
        <f>_xlfn.CONCAT("FretRout",LEFT(B390,3),RIGHT(B390,2),"Carb")</f>
        <v>FretRoutCat39Carb</v>
      </c>
      <c r="F390" t="s">
        <v>36</v>
      </c>
      <c r="G390">
        <v>1</v>
      </c>
      <c r="I390" t="s">
        <v>1449</v>
      </c>
      <c r="K390" s="4" t="str">
        <f t="shared" si="38"/>
        <v>Gazole à la pompe</v>
      </c>
    </row>
    <row r="391" spans="1:11" outlineLevel="1" x14ac:dyDescent="0.25">
      <c r="A391" t="s">
        <v>76</v>
      </c>
      <c r="B391" s="2" t="s">
        <v>127</v>
      </c>
      <c r="C391" t="s">
        <v>83</v>
      </c>
      <c r="E391" t="str">
        <f>_xlfn.CONCAT("FretRout",LEFT(B391,3),RIGHT(B391,2),"Euro")</f>
        <v>FretRoutCat39Euro</v>
      </c>
      <c r="F391" t="s">
        <v>36</v>
      </c>
      <c r="G391">
        <v>1</v>
      </c>
      <c r="I391">
        <v>0</v>
      </c>
      <c r="K391" s="4">
        <f t="shared" si="38"/>
        <v>0</v>
      </c>
    </row>
    <row r="392" spans="1:11" outlineLevel="1" x14ac:dyDescent="0.25">
      <c r="A392" t="s">
        <v>76</v>
      </c>
      <c r="B392" s="2" t="s">
        <v>127</v>
      </c>
      <c r="C392" t="s">
        <v>84</v>
      </c>
      <c r="E392" t="str">
        <f>_xlfn.CONCAT("FretRout",LEFT(B392,3),RIGHT(B392,2),"CritAir")</f>
        <v>FretRoutCat39CritAir</v>
      </c>
      <c r="F392" t="s">
        <v>36</v>
      </c>
      <c r="G392">
        <v>1</v>
      </c>
      <c r="H392" s="2"/>
      <c r="I392">
        <v>5</v>
      </c>
      <c r="K392" s="4">
        <f t="shared" si="38"/>
        <v>5</v>
      </c>
    </row>
    <row r="393" spans="1:11" outlineLevel="1" x14ac:dyDescent="0.25">
      <c r="A393" t="s">
        <v>76</v>
      </c>
      <c r="B393" s="2" t="s">
        <v>127</v>
      </c>
      <c r="C393" t="s">
        <v>85</v>
      </c>
      <c r="E393" t="str">
        <f>_xlfn.CONCAT("FretRout",LEFT(B393,3),RIGHT(B393,2),"Nb")</f>
        <v>FretRoutCat39Nb</v>
      </c>
      <c r="F393" t="s">
        <v>17</v>
      </c>
      <c r="G393">
        <v>1</v>
      </c>
      <c r="J393" t="s">
        <v>86</v>
      </c>
      <c r="K393">
        <v>0</v>
      </c>
    </row>
    <row r="394" spans="1:11" outlineLevel="1" x14ac:dyDescent="0.25">
      <c r="A394" t="s">
        <v>76</v>
      </c>
      <c r="B394" s="2" t="s">
        <v>127</v>
      </c>
      <c r="C394" t="s">
        <v>87</v>
      </c>
      <c r="E394" t="str">
        <f>_xlfn.CONCAT("FretRout",LEFT(B394,3),RIGHT(B394,2),"Dist")</f>
        <v>FretRoutCat39Dist</v>
      </c>
      <c r="F394" t="s">
        <v>17</v>
      </c>
      <c r="G394">
        <v>1</v>
      </c>
      <c r="H394" s="2"/>
      <c r="J394" t="s">
        <v>88</v>
      </c>
      <c r="K394">
        <v>42385.998762263436</v>
      </c>
    </row>
    <row r="395" spans="1:11" outlineLevel="1" x14ac:dyDescent="0.25">
      <c r="A395" t="s">
        <v>76</v>
      </c>
      <c r="B395" s="2" t="s">
        <v>127</v>
      </c>
      <c r="C395" s="2" t="s">
        <v>89</v>
      </c>
      <c r="E395" t="str">
        <f>_xlfn.CONCAT("FretRout",LEFT(B395,3),RIGHT(B395,2),"Rempl")</f>
        <v>FretRoutCat39Rempl</v>
      </c>
      <c r="F395" t="s">
        <v>17</v>
      </c>
      <c r="G395">
        <v>1</v>
      </c>
      <c r="H395" s="3"/>
      <c r="J395" t="s">
        <v>70</v>
      </c>
      <c r="K395">
        <v>0</v>
      </c>
    </row>
    <row r="396" spans="1:11" outlineLevel="1" x14ac:dyDescent="0.25">
      <c r="A396" t="s">
        <v>76</v>
      </c>
      <c r="B396" s="2" t="s">
        <v>128</v>
      </c>
      <c r="C396" t="s">
        <v>78</v>
      </c>
      <c r="E396" t="str">
        <f>_xlfn.CONCAT("FretRout",LEFT(B396,3),RIGHT(B396,2),"Nom")</f>
        <v>FretRoutCat40Nom</v>
      </c>
      <c r="F396" t="s">
        <v>20</v>
      </c>
      <c r="G396">
        <v>1</v>
      </c>
      <c r="H396" s="4"/>
      <c r="I396" s="4" t="s">
        <v>425</v>
      </c>
      <c r="K396" s="4" t="str">
        <f t="shared" ref="K396:K402" si="39">I396</f>
        <v>PL Gaz (GNC) &gt;14-20t (Crit'Air 1)</v>
      </c>
    </row>
    <row r="397" spans="1:11" outlineLevel="1" x14ac:dyDescent="0.25">
      <c r="A397" t="s">
        <v>76</v>
      </c>
      <c r="B397" s="2" t="s">
        <v>128</v>
      </c>
      <c r="C397" t="s">
        <v>79</v>
      </c>
      <c r="E397" t="str">
        <f>_xlfn.CONCAT("FretRout",LEFT(B397,3),RIGHT(B397,2),"Type")</f>
        <v>FretRoutCat40Type</v>
      </c>
      <c r="F397" t="s">
        <v>20</v>
      </c>
      <c r="G397">
        <v>1</v>
      </c>
      <c r="I397" t="s">
        <v>1771</v>
      </c>
      <c r="K397" s="4" t="str">
        <f t="shared" si="39"/>
        <v>PL</v>
      </c>
    </row>
    <row r="398" spans="1:11" outlineLevel="1" x14ac:dyDescent="0.25">
      <c r="A398" t="s">
        <v>76</v>
      </c>
      <c r="B398" s="2" t="s">
        <v>128</v>
      </c>
      <c r="C398" t="s">
        <v>80</v>
      </c>
      <c r="E398" t="str">
        <f>_xlfn.CONCAT("FretRout",LEFT(B398,3),RIGHT(B398,2),"PTAC")</f>
        <v>FretRoutCat40PTAC</v>
      </c>
      <c r="F398" t="s">
        <v>36</v>
      </c>
      <c r="G398">
        <v>1</v>
      </c>
      <c r="I398" t="s">
        <v>1459</v>
      </c>
      <c r="K398" s="4" t="str">
        <f t="shared" si="39"/>
        <v>&gt;14-20t</v>
      </c>
    </row>
    <row r="399" spans="1:11" outlineLevel="1" x14ac:dyDescent="0.25">
      <c r="A399" t="s">
        <v>76</v>
      </c>
      <c r="B399" s="2" t="s">
        <v>128</v>
      </c>
      <c r="C399" t="s">
        <v>81</v>
      </c>
      <c r="E399" t="str">
        <f>_xlfn.CONCAT("FretRout",LEFT(B399,3),RIGHT(B399,2),"Mot")</f>
        <v>FretRoutCat40Mot</v>
      </c>
      <c r="F399" t="s">
        <v>36</v>
      </c>
      <c r="G399">
        <v>1</v>
      </c>
      <c r="H399" s="2"/>
      <c r="I399" t="s">
        <v>1456</v>
      </c>
      <c r="K399" s="4" t="str">
        <f t="shared" si="39"/>
        <v>Gaz (GNC)</v>
      </c>
    </row>
    <row r="400" spans="1:11" outlineLevel="1" x14ac:dyDescent="0.25">
      <c r="A400" t="s">
        <v>76</v>
      </c>
      <c r="B400" s="2" t="s">
        <v>128</v>
      </c>
      <c r="C400" t="s">
        <v>82</v>
      </c>
      <c r="E400" t="str">
        <f>_xlfn.CONCAT("FretRout",LEFT(B400,3),RIGHT(B400,2),"Carb")</f>
        <v>FretRoutCat40Carb</v>
      </c>
      <c r="F400" t="s">
        <v>36</v>
      </c>
      <c r="G400">
        <v>1</v>
      </c>
      <c r="I400">
        <v>0</v>
      </c>
      <c r="K400" s="4">
        <f t="shared" si="39"/>
        <v>0</v>
      </c>
    </row>
    <row r="401" spans="1:11" outlineLevel="1" x14ac:dyDescent="0.25">
      <c r="A401" t="s">
        <v>76</v>
      </c>
      <c r="B401" s="2" t="s">
        <v>128</v>
      </c>
      <c r="C401" t="s">
        <v>83</v>
      </c>
      <c r="E401" t="str">
        <f>_xlfn.CONCAT("FretRout",LEFT(B401,3),RIGHT(B401,2),"Euro")</f>
        <v>FretRoutCat40Euro</v>
      </c>
      <c r="F401" t="s">
        <v>36</v>
      </c>
      <c r="G401">
        <v>1</v>
      </c>
      <c r="I401">
        <v>0</v>
      </c>
      <c r="K401" s="4">
        <f t="shared" si="39"/>
        <v>0</v>
      </c>
    </row>
    <row r="402" spans="1:11" outlineLevel="1" x14ac:dyDescent="0.25">
      <c r="A402" t="s">
        <v>76</v>
      </c>
      <c r="B402" s="2" t="s">
        <v>128</v>
      </c>
      <c r="C402" t="s">
        <v>84</v>
      </c>
      <c r="E402" t="str">
        <f>_xlfn.CONCAT("FretRout",LEFT(B402,3),RIGHT(B402,2),"CritAir")</f>
        <v>FretRoutCat40CritAir</v>
      </c>
      <c r="F402" t="s">
        <v>36</v>
      </c>
      <c r="G402">
        <v>1</v>
      </c>
      <c r="H402" s="2"/>
      <c r="I402">
        <v>1</v>
      </c>
      <c r="K402" s="4">
        <f t="shared" si="39"/>
        <v>1</v>
      </c>
    </row>
    <row r="403" spans="1:11" outlineLevel="1" x14ac:dyDescent="0.25">
      <c r="A403" t="s">
        <v>76</v>
      </c>
      <c r="B403" s="2" t="s">
        <v>128</v>
      </c>
      <c r="C403" t="s">
        <v>85</v>
      </c>
      <c r="E403" t="str">
        <f>_xlfn.CONCAT("FretRout",LEFT(B403,3),RIGHT(B403,2),"Nb")</f>
        <v>FretRoutCat40Nb</v>
      </c>
      <c r="F403" t="s">
        <v>17</v>
      </c>
      <c r="G403">
        <v>1</v>
      </c>
      <c r="J403" t="s">
        <v>86</v>
      </c>
      <c r="K403">
        <v>0</v>
      </c>
    </row>
    <row r="404" spans="1:11" outlineLevel="1" x14ac:dyDescent="0.25">
      <c r="A404" t="s">
        <v>76</v>
      </c>
      <c r="B404" s="2" t="s">
        <v>128</v>
      </c>
      <c r="C404" t="s">
        <v>87</v>
      </c>
      <c r="E404" t="str">
        <f>_xlfn.CONCAT("FretRout",LEFT(B404,3),RIGHT(B404,2),"Dist")</f>
        <v>FretRoutCat40Dist</v>
      </c>
      <c r="F404" t="s">
        <v>17</v>
      </c>
      <c r="G404">
        <v>1</v>
      </c>
      <c r="H404" s="2"/>
      <c r="J404" t="s">
        <v>88</v>
      </c>
      <c r="K404">
        <v>46552.613237725091</v>
      </c>
    </row>
    <row r="405" spans="1:11" outlineLevel="1" x14ac:dyDescent="0.25">
      <c r="A405" t="s">
        <v>76</v>
      </c>
      <c r="B405" s="2" t="s">
        <v>128</v>
      </c>
      <c r="C405" s="2" t="s">
        <v>89</v>
      </c>
      <c r="E405" t="str">
        <f>_xlfn.CONCAT("FretRout",LEFT(B405,3),RIGHT(B405,2),"Rempl")</f>
        <v>FretRoutCat40Rempl</v>
      </c>
      <c r="F405" t="s">
        <v>17</v>
      </c>
      <c r="G405">
        <v>1</v>
      </c>
      <c r="H405" s="3"/>
      <c r="J405" t="s">
        <v>70</v>
      </c>
      <c r="K405">
        <v>0</v>
      </c>
    </row>
    <row r="406" spans="1:11" outlineLevel="1" x14ac:dyDescent="0.25">
      <c r="A406" t="s">
        <v>76</v>
      </c>
      <c r="B406" s="2" t="s">
        <v>129</v>
      </c>
      <c r="C406" t="s">
        <v>78</v>
      </c>
      <c r="E406" t="str">
        <f>_xlfn.CONCAT("FretRout",LEFT(B406,3),RIGHT(B406,2),"Nom")</f>
        <v>FretRoutCat41Nom</v>
      </c>
      <c r="F406" t="s">
        <v>20</v>
      </c>
      <c r="G406">
        <v>1</v>
      </c>
      <c r="H406" s="4"/>
      <c r="I406" s="4" t="s">
        <v>426</v>
      </c>
      <c r="K406" s="4" t="str">
        <f t="shared" ref="K406:K412" si="40">I406</f>
        <v>PL Gaz (GNC) &gt;14-20t (Crit'Air 2)</v>
      </c>
    </row>
    <row r="407" spans="1:11" outlineLevel="1" x14ac:dyDescent="0.25">
      <c r="A407" t="s">
        <v>76</v>
      </c>
      <c r="B407" s="2" t="s">
        <v>129</v>
      </c>
      <c r="C407" t="s">
        <v>79</v>
      </c>
      <c r="E407" t="str">
        <f>_xlfn.CONCAT("FretRout",LEFT(B407,3),RIGHT(B407,2),"Type")</f>
        <v>FretRoutCat41Type</v>
      </c>
      <c r="F407" t="s">
        <v>20</v>
      </c>
      <c r="G407">
        <v>1</v>
      </c>
      <c r="I407" t="s">
        <v>1771</v>
      </c>
      <c r="K407" s="4" t="str">
        <f t="shared" si="40"/>
        <v>PL</v>
      </c>
    </row>
    <row r="408" spans="1:11" outlineLevel="1" x14ac:dyDescent="0.25">
      <c r="A408" t="s">
        <v>76</v>
      </c>
      <c r="B408" s="2" t="s">
        <v>129</v>
      </c>
      <c r="C408" t="s">
        <v>80</v>
      </c>
      <c r="E408" t="str">
        <f>_xlfn.CONCAT("FretRout",LEFT(B408,3),RIGHT(B408,2),"PTAC")</f>
        <v>FretRoutCat41PTAC</v>
      </c>
      <c r="F408" t="s">
        <v>36</v>
      </c>
      <c r="G408">
        <v>1</v>
      </c>
      <c r="I408" t="s">
        <v>1459</v>
      </c>
      <c r="K408" s="4" t="str">
        <f t="shared" si="40"/>
        <v>&gt;14-20t</v>
      </c>
    </row>
    <row r="409" spans="1:11" outlineLevel="1" x14ac:dyDescent="0.25">
      <c r="A409" t="s">
        <v>76</v>
      </c>
      <c r="B409" s="2" t="s">
        <v>129</v>
      </c>
      <c r="C409" t="s">
        <v>81</v>
      </c>
      <c r="E409" t="str">
        <f>_xlfn.CONCAT("FretRout",LEFT(B409,3),RIGHT(B409,2),"Mot")</f>
        <v>FretRoutCat41Mot</v>
      </c>
      <c r="F409" t="s">
        <v>36</v>
      </c>
      <c r="G409">
        <v>1</v>
      </c>
      <c r="H409" s="2"/>
      <c r="I409" t="s">
        <v>1456</v>
      </c>
      <c r="K409" s="4" t="str">
        <f t="shared" si="40"/>
        <v>Gaz (GNC)</v>
      </c>
    </row>
    <row r="410" spans="1:11" outlineLevel="1" x14ac:dyDescent="0.25">
      <c r="A410" t="s">
        <v>76</v>
      </c>
      <c r="B410" s="2" t="s">
        <v>129</v>
      </c>
      <c r="C410" t="s">
        <v>82</v>
      </c>
      <c r="E410" t="str">
        <f>_xlfn.CONCAT("FretRout",LEFT(B410,3),RIGHT(B410,2),"Carb")</f>
        <v>FretRoutCat41Carb</v>
      </c>
      <c r="F410" t="s">
        <v>36</v>
      </c>
      <c r="G410">
        <v>1</v>
      </c>
      <c r="I410">
        <v>0</v>
      </c>
      <c r="K410" s="4">
        <f t="shared" si="40"/>
        <v>0</v>
      </c>
    </row>
    <row r="411" spans="1:11" outlineLevel="1" x14ac:dyDescent="0.25">
      <c r="A411" t="s">
        <v>76</v>
      </c>
      <c r="B411" s="2" t="s">
        <v>129</v>
      </c>
      <c r="C411" t="s">
        <v>83</v>
      </c>
      <c r="E411" t="str">
        <f>_xlfn.CONCAT("FretRout",LEFT(B411,3),RIGHT(B411,2),"Euro")</f>
        <v>FretRoutCat41Euro</v>
      </c>
      <c r="F411" t="s">
        <v>36</v>
      </c>
      <c r="G411">
        <v>1</v>
      </c>
      <c r="I411">
        <v>0</v>
      </c>
      <c r="K411" s="4">
        <f t="shared" si="40"/>
        <v>0</v>
      </c>
    </row>
    <row r="412" spans="1:11" outlineLevel="1" x14ac:dyDescent="0.25">
      <c r="A412" t="s">
        <v>76</v>
      </c>
      <c r="B412" s="2" t="s">
        <v>129</v>
      </c>
      <c r="C412" t="s">
        <v>84</v>
      </c>
      <c r="E412" t="str">
        <f>_xlfn.CONCAT("FretRout",LEFT(B412,3),RIGHT(B412,2),"CritAir")</f>
        <v>FretRoutCat41CritAir</v>
      </c>
      <c r="F412" t="s">
        <v>36</v>
      </c>
      <c r="G412">
        <v>1</v>
      </c>
      <c r="H412" s="2"/>
      <c r="I412">
        <v>2</v>
      </c>
      <c r="K412" s="4">
        <f t="shared" si="40"/>
        <v>2</v>
      </c>
    </row>
    <row r="413" spans="1:11" outlineLevel="1" x14ac:dyDescent="0.25">
      <c r="A413" t="s">
        <v>76</v>
      </c>
      <c r="B413" s="2" t="s">
        <v>129</v>
      </c>
      <c r="C413" t="s">
        <v>85</v>
      </c>
      <c r="E413" t="str">
        <f>_xlfn.CONCAT("FretRout",LEFT(B413,3),RIGHT(B413,2),"Nb")</f>
        <v>FretRoutCat41Nb</v>
      </c>
      <c r="F413" t="s">
        <v>17</v>
      </c>
      <c r="G413">
        <v>1</v>
      </c>
      <c r="J413" t="s">
        <v>86</v>
      </c>
      <c r="K413">
        <v>0</v>
      </c>
    </row>
    <row r="414" spans="1:11" outlineLevel="1" x14ac:dyDescent="0.25">
      <c r="A414" t="s">
        <v>76</v>
      </c>
      <c r="B414" s="2" t="s">
        <v>129</v>
      </c>
      <c r="C414" t="s">
        <v>87</v>
      </c>
      <c r="E414" t="str">
        <f>_xlfn.CONCAT("FretRout",LEFT(B414,3),RIGHT(B414,2),"Dist")</f>
        <v>FretRoutCat41Dist</v>
      </c>
      <c r="F414" t="s">
        <v>17</v>
      </c>
      <c r="G414">
        <v>1</v>
      </c>
      <c r="H414" s="2"/>
      <c r="J414" t="s">
        <v>88</v>
      </c>
      <c r="K414">
        <v>46552.613237725091</v>
      </c>
    </row>
    <row r="415" spans="1:11" outlineLevel="1" x14ac:dyDescent="0.25">
      <c r="A415" t="s">
        <v>76</v>
      </c>
      <c r="B415" s="2" t="s">
        <v>129</v>
      </c>
      <c r="C415" s="2" t="s">
        <v>89</v>
      </c>
      <c r="E415" t="str">
        <f>_xlfn.CONCAT("FretRout",LEFT(B415,3),RIGHT(B415,2),"Rempl")</f>
        <v>FretRoutCat41Rempl</v>
      </c>
      <c r="F415" t="s">
        <v>17</v>
      </c>
      <c r="G415">
        <v>1</v>
      </c>
      <c r="H415" s="3"/>
      <c r="J415" t="s">
        <v>70</v>
      </c>
      <c r="K415">
        <v>0</v>
      </c>
    </row>
    <row r="416" spans="1:11" x14ac:dyDescent="0.25">
      <c r="A416" t="s">
        <v>76</v>
      </c>
      <c r="B416" s="2" t="s">
        <v>130</v>
      </c>
      <c r="C416" t="s">
        <v>78</v>
      </c>
      <c r="E416" t="str">
        <f>_xlfn.CONCAT("FretRout",LEFT(B416,3),RIGHT(B416,2),"Nom")</f>
        <v>FretRoutCat42Nom</v>
      </c>
      <c r="F416" t="s">
        <v>20</v>
      </c>
      <c r="G416">
        <v>1</v>
      </c>
      <c r="H416" s="4"/>
      <c r="I416" s="4" t="s">
        <v>427</v>
      </c>
      <c r="K416" s="4" t="str">
        <f t="shared" ref="K416:K422" si="41">I416</f>
        <v>PL Gaz (GNC) &gt;20-26t (Crit'Air 1)</v>
      </c>
    </row>
    <row r="417" spans="1:11" x14ac:dyDescent="0.25">
      <c r="A417" t="s">
        <v>76</v>
      </c>
      <c r="B417" s="2" t="s">
        <v>130</v>
      </c>
      <c r="C417" t="s">
        <v>79</v>
      </c>
      <c r="E417" t="str">
        <f>_xlfn.CONCAT("FretRout",LEFT(B417,3),RIGHT(B417,2),"Type")</f>
        <v>FretRoutCat42Type</v>
      </c>
      <c r="F417" t="s">
        <v>20</v>
      </c>
      <c r="G417">
        <v>1</v>
      </c>
      <c r="I417" t="s">
        <v>1771</v>
      </c>
      <c r="K417" s="4" t="str">
        <f t="shared" si="41"/>
        <v>PL</v>
      </c>
    </row>
    <row r="418" spans="1:11" x14ac:dyDescent="0.25">
      <c r="A418" t="s">
        <v>76</v>
      </c>
      <c r="B418" s="2" t="s">
        <v>130</v>
      </c>
      <c r="C418" t="s">
        <v>80</v>
      </c>
      <c r="E418" t="str">
        <f>_xlfn.CONCAT("FretRout",LEFT(B418,3),RIGHT(B418,2),"PTAC")</f>
        <v>FretRoutCat42PTAC</v>
      </c>
      <c r="F418" t="s">
        <v>36</v>
      </c>
      <c r="G418">
        <v>1</v>
      </c>
      <c r="I418" t="s">
        <v>1460</v>
      </c>
      <c r="K418" s="4" t="str">
        <f t="shared" si="41"/>
        <v>&gt;20-26t</v>
      </c>
    </row>
    <row r="419" spans="1:11" x14ac:dyDescent="0.25">
      <c r="A419" t="s">
        <v>76</v>
      </c>
      <c r="B419" s="2" t="s">
        <v>130</v>
      </c>
      <c r="C419" t="s">
        <v>81</v>
      </c>
      <c r="E419" t="str">
        <f>_xlfn.CONCAT("FretRout",LEFT(B419,3),RIGHT(B419,2),"Mot")</f>
        <v>FretRoutCat42Mot</v>
      </c>
      <c r="F419" t="s">
        <v>36</v>
      </c>
      <c r="G419">
        <v>1</v>
      </c>
      <c r="H419" s="2"/>
      <c r="I419" t="s">
        <v>1456</v>
      </c>
      <c r="K419" s="4" t="str">
        <f t="shared" si="41"/>
        <v>Gaz (GNC)</v>
      </c>
    </row>
    <row r="420" spans="1:11" x14ac:dyDescent="0.25">
      <c r="A420" t="s">
        <v>76</v>
      </c>
      <c r="B420" s="2" t="s">
        <v>130</v>
      </c>
      <c r="C420" t="s">
        <v>82</v>
      </c>
      <c r="E420" t="str">
        <f>_xlfn.CONCAT("FretRout",LEFT(B420,3),RIGHT(B420,2),"Carb")</f>
        <v>FretRoutCat42Carb</v>
      </c>
      <c r="F420" t="s">
        <v>36</v>
      </c>
      <c r="G420">
        <v>1</v>
      </c>
      <c r="I420">
        <v>0</v>
      </c>
      <c r="K420" s="4">
        <f t="shared" si="41"/>
        <v>0</v>
      </c>
    </row>
    <row r="421" spans="1:11" x14ac:dyDescent="0.25">
      <c r="A421" t="s">
        <v>76</v>
      </c>
      <c r="B421" s="2" t="s">
        <v>130</v>
      </c>
      <c r="C421" t="s">
        <v>83</v>
      </c>
      <c r="E421" t="str">
        <f>_xlfn.CONCAT("FretRout",LEFT(B421,3),RIGHT(B421,2),"Euro")</f>
        <v>FretRoutCat42Euro</v>
      </c>
      <c r="F421" t="s">
        <v>36</v>
      </c>
      <c r="G421">
        <v>1</v>
      </c>
      <c r="I421">
        <v>0</v>
      </c>
      <c r="K421" s="4">
        <f t="shared" si="41"/>
        <v>0</v>
      </c>
    </row>
    <row r="422" spans="1:11" x14ac:dyDescent="0.25">
      <c r="A422" t="s">
        <v>76</v>
      </c>
      <c r="B422" s="2" t="s">
        <v>130</v>
      </c>
      <c r="C422" t="s">
        <v>84</v>
      </c>
      <c r="E422" t="str">
        <f>_xlfn.CONCAT("FretRout",LEFT(B422,3),RIGHT(B422,2),"CritAir")</f>
        <v>FretRoutCat42CritAir</v>
      </c>
      <c r="F422" t="s">
        <v>36</v>
      </c>
      <c r="G422">
        <v>1</v>
      </c>
      <c r="H422" s="2"/>
      <c r="I422">
        <v>1</v>
      </c>
      <c r="K422" s="4">
        <f t="shared" si="41"/>
        <v>1</v>
      </c>
    </row>
    <row r="423" spans="1:11" x14ac:dyDescent="0.25">
      <c r="A423" t="s">
        <v>76</v>
      </c>
      <c r="B423" s="2" t="s">
        <v>130</v>
      </c>
      <c r="C423" t="s">
        <v>85</v>
      </c>
      <c r="E423" t="str">
        <f>_xlfn.CONCAT("FretRout",LEFT(B423,3),RIGHT(B423,2),"Nb")</f>
        <v>FretRoutCat42Nb</v>
      </c>
      <c r="F423" t="s">
        <v>17</v>
      </c>
      <c r="G423">
        <v>1</v>
      </c>
      <c r="J423" t="s">
        <v>86</v>
      </c>
      <c r="K423">
        <v>0</v>
      </c>
    </row>
    <row r="424" spans="1:11" x14ac:dyDescent="0.25">
      <c r="A424" t="s">
        <v>76</v>
      </c>
      <c r="B424" s="2" t="s">
        <v>130</v>
      </c>
      <c r="C424" t="s">
        <v>87</v>
      </c>
      <c r="E424" t="str">
        <f>_xlfn.CONCAT("FretRout",LEFT(B424,3),RIGHT(B424,2),"Dist")</f>
        <v>FretRoutCat42Dist</v>
      </c>
      <c r="F424" t="s">
        <v>17</v>
      </c>
      <c r="G424">
        <v>1</v>
      </c>
      <c r="H424" s="2"/>
      <c r="J424" t="s">
        <v>88</v>
      </c>
      <c r="K424">
        <v>46552.613237725091</v>
      </c>
    </row>
    <row r="425" spans="1:11" x14ac:dyDescent="0.25">
      <c r="A425" t="s">
        <v>76</v>
      </c>
      <c r="B425" s="2" t="s">
        <v>130</v>
      </c>
      <c r="C425" s="2" t="s">
        <v>89</v>
      </c>
      <c r="E425" t="str">
        <f>_xlfn.CONCAT("FretRout",LEFT(B425,3),RIGHT(B425,2),"Rempl")</f>
        <v>FretRoutCat42Rempl</v>
      </c>
      <c r="F425" t="s">
        <v>17</v>
      </c>
      <c r="G425">
        <v>1</v>
      </c>
      <c r="H425" s="3"/>
      <c r="J425" t="s">
        <v>70</v>
      </c>
      <c r="K425">
        <v>0</v>
      </c>
    </row>
    <row r="426" spans="1:11" x14ac:dyDescent="0.25">
      <c r="A426" t="s">
        <v>76</v>
      </c>
      <c r="B426" s="2" t="s">
        <v>131</v>
      </c>
      <c r="C426" t="s">
        <v>78</v>
      </c>
      <c r="E426" t="str">
        <f>_xlfn.CONCAT("FretRout",LEFT(B426,3),RIGHT(B426,2),"Nom")</f>
        <v>FretRoutCat43Nom</v>
      </c>
      <c r="F426" t="s">
        <v>20</v>
      </c>
      <c r="G426">
        <v>1</v>
      </c>
      <c r="H426" s="4"/>
      <c r="I426" s="4" t="s">
        <v>428</v>
      </c>
      <c r="K426" s="4" t="str">
        <f t="shared" ref="K426:K432" si="42">I426</f>
        <v>PL Gaz (GNC) &gt;20-26t (Crit'Air 2)</v>
      </c>
    </row>
    <row r="427" spans="1:11" x14ac:dyDescent="0.25">
      <c r="A427" t="s">
        <v>76</v>
      </c>
      <c r="B427" s="2" t="s">
        <v>131</v>
      </c>
      <c r="C427" t="s">
        <v>79</v>
      </c>
      <c r="E427" t="str">
        <f>_xlfn.CONCAT("FretRout",LEFT(B427,3),RIGHT(B427,2),"Type")</f>
        <v>FretRoutCat43Type</v>
      </c>
      <c r="F427" t="s">
        <v>20</v>
      </c>
      <c r="G427">
        <v>1</v>
      </c>
      <c r="I427" t="s">
        <v>1771</v>
      </c>
      <c r="K427" s="4" t="str">
        <f t="shared" si="42"/>
        <v>PL</v>
      </c>
    </row>
    <row r="428" spans="1:11" x14ac:dyDescent="0.25">
      <c r="A428" t="s">
        <v>76</v>
      </c>
      <c r="B428" s="2" t="s">
        <v>131</v>
      </c>
      <c r="C428" t="s">
        <v>80</v>
      </c>
      <c r="E428" t="str">
        <f>_xlfn.CONCAT("FretRout",LEFT(B428,3),RIGHT(B428,2),"PTAC")</f>
        <v>FretRoutCat43PTAC</v>
      </c>
      <c r="F428" t="s">
        <v>36</v>
      </c>
      <c r="G428">
        <v>1</v>
      </c>
      <c r="I428" t="s">
        <v>1460</v>
      </c>
      <c r="K428" s="4" t="str">
        <f t="shared" si="42"/>
        <v>&gt;20-26t</v>
      </c>
    </row>
    <row r="429" spans="1:11" x14ac:dyDescent="0.25">
      <c r="A429" t="s">
        <v>76</v>
      </c>
      <c r="B429" s="2" t="s">
        <v>131</v>
      </c>
      <c r="C429" t="s">
        <v>81</v>
      </c>
      <c r="E429" t="str">
        <f>_xlfn.CONCAT("FretRout",LEFT(B429,3),RIGHT(B429,2),"Mot")</f>
        <v>FretRoutCat43Mot</v>
      </c>
      <c r="F429" t="s">
        <v>36</v>
      </c>
      <c r="G429">
        <v>1</v>
      </c>
      <c r="H429" s="2"/>
      <c r="I429" t="s">
        <v>1456</v>
      </c>
      <c r="K429" s="4" t="str">
        <f t="shared" si="42"/>
        <v>Gaz (GNC)</v>
      </c>
    </row>
    <row r="430" spans="1:11" x14ac:dyDescent="0.25">
      <c r="A430" t="s">
        <v>76</v>
      </c>
      <c r="B430" s="2" t="s">
        <v>131</v>
      </c>
      <c r="C430" t="s">
        <v>82</v>
      </c>
      <c r="E430" t="str">
        <f>_xlfn.CONCAT("FretRout",LEFT(B430,3),RIGHT(B430,2),"Carb")</f>
        <v>FretRoutCat43Carb</v>
      </c>
      <c r="F430" t="s">
        <v>36</v>
      </c>
      <c r="G430">
        <v>1</v>
      </c>
      <c r="I430">
        <v>0</v>
      </c>
      <c r="K430" s="4">
        <f t="shared" si="42"/>
        <v>0</v>
      </c>
    </row>
    <row r="431" spans="1:11" x14ac:dyDescent="0.25">
      <c r="A431" t="s">
        <v>76</v>
      </c>
      <c r="B431" s="2" t="s">
        <v>131</v>
      </c>
      <c r="C431" t="s">
        <v>83</v>
      </c>
      <c r="E431" t="str">
        <f>_xlfn.CONCAT("FretRout",LEFT(B431,3),RIGHT(B431,2),"Euro")</f>
        <v>FretRoutCat43Euro</v>
      </c>
      <c r="F431" t="s">
        <v>36</v>
      </c>
      <c r="G431">
        <v>1</v>
      </c>
      <c r="I431">
        <v>0</v>
      </c>
      <c r="K431" s="4">
        <f t="shared" si="42"/>
        <v>0</v>
      </c>
    </row>
    <row r="432" spans="1:11" x14ac:dyDescent="0.25">
      <c r="A432" t="s">
        <v>76</v>
      </c>
      <c r="B432" s="2" t="s">
        <v>131</v>
      </c>
      <c r="C432" t="s">
        <v>84</v>
      </c>
      <c r="E432" t="str">
        <f>_xlfn.CONCAT("FretRout",LEFT(B432,3),RIGHT(B432,2),"CritAir")</f>
        <v>FretRoutCat43CritAir</v>
      </c>
      <c r="F432" t="s">
        <v>36</v>
      </c>
      <c r="G432">
        <v>1</v>
      </c>
      <c r="H432" s="2"/>
      <c r="I432">
        <v>2</v>
      </c>
      <c r="K432" s="4">
        <f t="shared" si="42"/>
        <v>2</v>
      </c>
    </row>
    <row r="433" spans="1:11" x14ac:dyDescent="0.25">
      <c r="A433" t="s">
        <v>76</v>
      </c>
      <c r="B433" s="2" t="s">
        <v>131</v>
      </c>
      <c r="C433" t="s">
        <v>85</v>
      </c>
      <c r="E433" t="str">
        <f>_xlfn.CONCAT("FretRout",LEFT(B433,3),RIGHT(B433,2),"Nb")</f>
        <v>FretRoutCat43Nb</v>
      </c>
      <c r="F433" t="s">
        <v>17</v>
      </c>
      <c r="G433">
        <v>1</v>
      </c>
      <c r="J433" t="s">
        <v>86</v>
      </c>
      <c r="K433">
        <v>0</v>
      </c>
    </row>
    <row r="434" spans="1:11" x14ac:dyDescent="0.25">
      <c r="A434" t="s">
        <v>76</v>
      </c>
      <c r="B434" s="2" t="s">
        <v>131</v>
      </c>
      <c r="C434" t="s">
        <v>87</v>
      </c>
      <c r="E434" t="str">
        <f>_xlfn.CONCAT("FretRout",LEFT(B434,3),RIGHT(B434,2),"Dist")</f>
        <v>FretRoutCat43Dist</v>
      </c>
      <c r="F434" t="s">
        <v>17</v>
      </c>
      <c r="G434">
        <v>1</v>
      </c>
      <c r="H434" s="2"/>
      <c r="J434" t="s">
        <v>88</v>
      </c>
      <c r="K434">
        <v>46552.613237725091</v>
      </c>
    </row>
    <row r="435" spans="1:11" x14ac:dyDescent="0.25">
      <c r="A435" t="s">
        <v>76</v>
      </c>
      <c r="B435" s="2" t="s">
        <v>131</v>
      </c>
      <c r="C435" s="2" t="s">
        <v>89</v>
      </c>
      <c r="E435" t="str">
        <f>_xlfn.CONCAT("FretRout",LEFT(B435,3),RIGHT(B435,2),"Rempl")</f>
        <v>FretRoutCat43Rempl</v>
      </c>
      <c r="F435" t="s">
        <v>17</v>
      </c>
      <c r="G435">
        <v>1</v>
      </c>
      <c r="H435" s="3"/>
      <c r="J435" t="s">
        <v>70</v>
      </c>
      <c r="K435">
        <v>0</v>
      </c>
    </row>
    <row r="436" spans="1:11" x14ac:dyDescent="0.25">
      <c r="A436" t="s">
        <v>76</v>
      </c>
      <c r="B436" s="2" t="s">
        <v>132</v>
      </c>
      <c r="C436" t="s">
        <v>78</v>
      </c>
      <c r="E436" t="str">
        <f>_xlfn.CONCAT("FretRout",LEFT(B436,3),RIGHT(B436,2),"Nom")</f>
        <v>FretRoutCat44Nom</v>
      </c>
      <c r="F436" t="s">
        <v>20</v>
      </c>
      <c r="G436">
        <v>1</v>
      </c>
      <c r="H436" s="4"/>
      <c r="I436" s="4" t="s">
        <v>429</v>
      </c>
      <c r="K436" s="4" t="str">
        <f t="shared" ref="K436:K442" si="43">I436</f>
        <v>PL Gaz (GNC) &gt;28-34t (Crit'Air 1)</v>
      </c>
    </row>
    <row r="437" spans="1:11" x14ac:dyDescent="0.25">
      <c r="A437" t="s">
        <v>76</v>
      </c>
      <c r="B437" s="2" t="s">
        <v>132</v>
      </c>
      <c r="C437" t="s">
        <v>79</v>
      </c>
      <c r="E437" t="str">
        <f>_xlfn.CONCAT("FretRout",LEFT(B437,3),RIGHT(B437,2),"Type")</f>
        <v>FretRoutCat44Type</v>
      </c>
      <c r="F437" t="s">
        <v>20</v>
      </c>
      <c r="G437">
        <v>1</v>
      </c>
      <c r="I437" t="s">
        <v>1771</v>
      </c>
      <c r="K437" s="4" t="str">
        <f t="shared" si="43"/>
        <v>PL</v>
      </c>
    </row>
    <row r="438" spans="1:11" x14ac:dyDescent="0.25">
      <c r="A438" t="s">
        <v>76</v>
      </c>
      <c r="B438" s="2" t="s">
        <v>132</v>
      </c>
      <c r="C438" t="s">
        <v>80</v>
      </c>
      <c r="E438" t="str">
        <f>_xlfn.CONCAT("FretRout",LEFT(B438,3),RIGHT(B438,2),"PTAC")</f>
        <v>FretRoutCat44PTAC</v>
      </c>
      <c r="F438" t="s">
        <v>36</v>
      </c>
      <c r="G438">
        <v>1</v>
      </c>
      <c r="I438" t="s">
        <v>1461</v>
      </c>
      <c r="K438" s="4" t="str">
        <f t="shared" si="43"/>
        <v>&gt;28-34t</v>
      </c>
    </row>
    <row r="439" spans="1:11" x14ac:dyDescent="0.25">
      <c r="A439" t="s">
        <v>76</v>
      </c>
      <c r="B439" s="2" t="s">
        <v>132</v>
      </c>
      <c r="C439" t="s">
        <v>81</v>
      </c>
      <c r="E439" t="str">
        <f>_xlfn.CONCAT("FretRout",LEFT(B439,3),RIGHT(B439,2),"Mot")</f>
        <v>FretRoutCat44Mot</v>
      </c>
      <c r="F439" t="s">
        <v>36</v>
      </c>
      <c r="G439">
        <v>1</v>
      </c>
      <c r="H439" s="2"/>
      <c r="I439" t="s">
        <v>1456</v>
      </c>
      <c r="K439" s="4" t="str">
        <f t="shared" si="43"/>
        <v>Gaz (GNC)</v>
      </c>
    </row>
    <row r="440" spans="1:11" x14ac:dyDescent="0.25">
      <c r="A440" t="s">
        <v>76</v>
      </c>
      <c r="B440" s="2" t="s">
        <v>132</v>
      </c>
      <c r="C440" t="s">
        <v>82</v>
      </c>
      <c r="E440" t="str">
        <f>_xlfn.CONCAT("FretRout",LEFT(B440,3),RIGHT(B440,2),"Carb")</f>
        <v>FretRoutCat44Carb</v>
      </c>
      <c r="F440" t="s">
        <v>36</v>
      </c>
      <c r="G440">
        <v>1</v>
      </c>
      <c r="I440">
        <v>0</v>
      </c>
      <c r="K440" s="4">
        <f t="shared" si="43"/>
        <v>0</v>
      </c>
    </row>
    <row r="441" spans="1:11" x14ac:dyDescent="0.25">
      <c r="A441" t="s">
        <v>76</v>
      </c>
      <c r="B441" s="2" t="s">
        <v>132</v>
      </c>
      <c r="C441" t="s">
        <v>83</v>
      </c>
      <c r="E441" t="str">
        <f>_xlfn.CONCAT("FretRout",LEFT(B441,3),RIGHT(B441,2),"Euro")</f>
        <v>FretRoutCat44Euro</v>
      </c>
      <c r="F441" t="s">
        <v>36</v>
      </c>
      <c r="G441">
        <v>1</v>
      </c>
      <c r="I441">
        <v>0</v>
      </c>
      <c r="K441" s="4">
        <f t="shared" si="43"/>
        <v>0</v>
      </c>
    </row>
    <row r="442" spans="1:11" x14ac:dyDescent="0.25">
      <c r="A442" t="s">
        <v>76</v>
      </c>
      <c r="B442" s="2" t="s">
        <v>132</v>
      </c>
      <c r="C442" t="s">
        <v>84</v>
      </c>
      <c r="E442" t="str">
        <f>_xlfn.CONCAT("FretRout",LEFT(B442,3),RIGHT(B442,2),"CritAir")</f>
        <v>FretRoutCat44CritAir</v>
      </c>
      <c r="F442" t="s">
        <v>36</v>
      </c>
      <c r="G442">
        <v>1</v>
      </c>
      <c r="H442" s="2"/>
      <c r="I442">
        <v>1</v>
      </c>
      <c r="K442" s="4">
        <f t="shared" si="43"/>
        <v>1</v>
      </c>
    </row>
    <row r="443" spans="1:11" x14ac:dyDescent="0.25">
      <c r="A443" t="s">
        <v>76</v>
      </c>
      <c r="B443" s="2" t="s">
        <v>132</v>
      </c>
      <c r="C443" t="s">
        <v>85</v>
      </c>
      <c r="E443" t="str">
        <f>_xlfn.CONCAT("FretRout",LEFT(B443,3),RIGHT(B443,2),"Nb")</f>
        <v>FretRoutCat44Nb</v>
      </c>
      <c r="F443" t="s">
        <v>17</v>
      </c>
      <c r="G443">
        <v>1</v>
      </c>
      <c r="J443" t="s">
        <v>86</v>
      </c>
      <c r="K443">
        <v>0</v>
      </c>
    </row>
    <row r="444" spans="1:11" x14ac:dyDescent="0.25">
      <c r="A444" t="s">
        <v>76</v>
      </c>
      <c r="B444" s="2" t="s">
        <v>132</v>
      </c>
      <c r="C444" t="s">
        <v>87</v>
      </c>
      <c r="E444" t="str">
        <f>_xlfn.CONCAT("FretRout",LEFT(B444,3),RIGHT(B444,2),"Dist")</f>
        <v>FretRoutCat44Dist</v>
      </c>
      <c r="F444" t="s">
        <v>17</v>
      </c>
      <c r="G444">
        <v>1</v>
      </c>
      <c r="H444" s="2"/>
      <c r="J444" t="s">
        <v>88</v>
      </c>
      <c r="K444">
        <v>46552.613237725091</v>
      </c>
    </row>
    <row r="445" spans="1:11" x14ac:dyDescent="0.25">
      <c r="A445" t="s">
        <v>76</v>
      </c>
      <c r="B445" s="2" t="s">
        <v>132</v>
      </c>
      <c r="C445" s="2" t="s">
        <v>89</v>
      </c>
      <c r="E445" t="str">
        <f>_xlfn.CONCAT("FretRout",LEFT(B445,3),RIGHT(B445,2),"Rempl")</f>
        <v>FretRoutCat44Rempl</v>
      </c>
      <c r="F445" t="s">
        <v>17</v>
      </c>
      <c r="G445">
        <v>1</v>
      </c>
      <c r="H445" s="3"/>
      <c r="J445" t="s">
        <v>70</v>
      </c>
      <c r="K445">
        <v>0</v>
      </c>
    </row>
    <row r="446" spans="1:11" x14ac:dyDescent="0.25">
      <c r="A446" t="s">
        <v>76</v>
      </c>
      <c r="B446" s="2" t="s">
        <v>133</v>
      </c>
      <c r="C446" t="s">
        <v>78</v>
      </c>
      <c r="E446" t="str">
        <f>_xlfn.CONCAT("FretRout",LEFT(B446,3),RIGHT(B446,2),"Nom")</f>
        <v>FretRoutCat45Nom</v>
      </c>
      <c r="F446" t="s">
        <v>20</v>
      </c>
      <c r="G446">
        <v>1</v>
      </c>
      <c r="H446" s="4"/>
      <c r="I446" s="4" t="s">
        <v>387</v>
      </c>
      <c r="K446" s="4" t="str">
        <f t="shared" ref="K446:K452" si="44">I446</f>
        <v>PL Gaz (GNC) &gt;28-34t (Crit'Air 2)</v>
      </c>
    </row>
    <row r="447" spans="1:11" outlineLevel="1" x14ac:dyDescent="0.25">
      <c r="A447" t="s">
        <v>76</v>
      </c>
      <c r="B447" s="2" t="s">
        <v>133</v>
      </c>
      <c r="C447" t="s">
        <v>79</v>
      </c>
      <c r="E447" t="str">
        <f>_xlfn.CONCAT("FretRout",LEFT(B447,3),RIGHT(B447,2),"Type")</f>
        <v>FretRoutCat45Type</v>
      </c>
      <c r="F447" t="s">
        <v>20</v>
      </c>
      <c r="G447">
        <v>1</v>
      </c>
      <c r="I447" t="s">
        <v>1771</v>
      </c>
      <c r="K447" s="4" t="str">
        <f t="shared" si="44"/>
        <v>PL</v>
      </c>
    </row>
    <row r="448" spans="1:11" outlineLevel="1" x14ac:dyDescent="0.25">
      <c r="A448" t="s">
        <v>76</v>
      </c>
      <c r="B448" s="2" t="s">
        <v>133</v>
      </c>
      <c r="C448" t="s">
        <v>80</v>
      </c>
      <c r="E448" t="str">
        <f>_xlfn.CONCAT("FretRout",LEFT(B448,3),RIGHT(B448,2),"PTAC")</f>
        <v>FretRoutCat45PTAC</v>
      </c>
      <c r="F448" t="s">
        <v>36</v>
      </c>
      <c r="G448">
        <v>1</v>
      </c>
      <c r="I448" t="s">
        <v>1461</v>
      </c>
      <c r="K448" s="4" t="str">
        <f t="shared" si="44"/>
        <v>&gt;28-34t</v>
      </c>
    </row>
    <row r="449" spans="1:12" outlineLevel="1" x14ac:dyDescent="0.25">
      <c r="A449" t="s">
        <v>76</v>
      </c>
      <c r="B449" s="2" t="s">
        <v>133</v>
      </c>
      <c r="C449" t="s">
        <v>81</v>
      </c>
      <c r="E449" t="str">
        <f>_xlfn.CONCAT("FretRout",LEFT(B449,3),RIGHT(B449,2),"Mot")</f>
        <v>FretRoutCat45Mot</v>
      </c>
      <c r="F449" t="s">
        <v>36</v>
      </c>
      <c r="G449">
        <v>1</v>
      </c>
      <c r="H449" s="2"/>
      <c r="I449" t="s">
        <v>1456</v>
      </c>
      <c r="K449" s="4" t="str">
        <f t="shared" si="44"/>
        <v>Gaz (GNC)</v>
      </c>
    </row>
    <row r="450" spans="1:12" outlineLevel="1" x14ac:dyDescent="0.25">
      <c r="A450" t="s">
        <v>76</v>
      </c>
      <c r="B450" s="2" t="s">
        <v>133</v>
      </c>
      <c r="C450" t="s">
        <v>82</v>
      </c>
      <c r="E450" t="str">
        <f>_xlfn.CONCAT("FretRout",LEFT(B450,3),RIGHT(B450,2),"Carb")</f>
        <v>FretRoutCat45Carb</v>
      </c>
      <c r="F450" t="s">
        <v>36</v>
      </c>
      <c r="G450">
        <v>1</v>
      </c>
      <c r="I450">
        <v>0</v>
      </c>
      <c r="K450" s="4">
        <f t="shared" si="44"/>
        <v>0</v>
      </c>
    </row>
    <row r="451" spans="1:12" outlineLevel="1" x14ac:dyDescent="0.25">
      <c r="A451" t="s">
        <v>76</v>
      </c>
      <c r="B451" s="2" t="s">
        <v>133</v>
      </c>
      <c r="C451" t="s">
        <v>83</v>
      </c>
      <c r="E451" t="str">
        <f>_xlfn.CONCAT("FretRout",LEFT(B451,3),RIGHT(B451,2),"Euro")</f>
        <v>FretRoutCat45Euro</v>
      </c>
      <c r="F451" t="s">
        <v>36</v>
      </c>
      <c r="G451">
        <v>1</v>
      </c>
      <c r="I451">
        <v>0</v>
      </c>
      <c r="K451" s="4">
        <f t="shared" si="44"/>
        <v>0</v>
      </c>
    </row>
    <row r="452" spans="1:12" outlineLevel="1" x14ac:dyDescent="0.25">
      <c r="A452" t="s">
        <v>76</v>
      </c>
      <c r="B452" s="2" t="s">
        <v>133</v>
      </c>
      <c r="C452" t="s">
        <v>84</v>
      </c>
      <c r="E452" t="str">
        <f>_xlfn.CONCAT("FretRout",LEFT(B452,3),RIGHT(B452,2),"CritAir")</f>
        <v>FretRoutCat45CritAir</v>
      </c>
      <c r="F452" t="s">
        <v>36</v>
      </c>
      <c r="G452">
        <v>1</v>
      </c>
      <c r="H452" s="2"/>
      <c r="I452">
        <v>2</v>
      </c>
      <c r="K452" s="4">
        <f t="shared" si="44"/>
        <v>2</v>
      </c>
    </row>
    <row r="453" spans="1:12" outlineLevel="1" x14ac:dyDescent="0.25">
      <c r="A453" t="s">
        <v>76</v>
      </c>
      <c r="B453" s="2" t="s">
        <v>133</v>
      </c>
      <c r="C453" t="s">
        <v>85</v>
      </c>
      <c r="E453" t="str">
        <f>_xlfn.CONCAT("FretRout",LEFT(B453,3),RIGHT(B453,2),"Nb")</f>
        <v>FretRoutCat45Nb</v>
      </c>
      <c r="F453" t="s">
        <v>17</v>
      </c>
      <c r="G453">
        <v>1</v>
      </c>
      <c r="J453" t="s">
        <v>86</v>
      </c>
      <c r="K453">
        <v>0</v>
      </c>
    </row>
    <row r="454" spans="1:12" outlineLevel="1" x14ac:dyDescent="0.25">
      <c r="A454" t="s">
        <v>76</v>
      </c>
      <c r="B454" s="2" t="s">
        <v>133</v>
      </c>
      <c r="C454" t="s">
        <v>87</v>
      </c>
      <c r="E454" t="str">
        <f>_xlfn.CONCAT("FretRout",LEFT(B454,3),RIGHT(B454,2),"Dist")</f>
        <v>FretRoutCat45Dist</v>
      </c>
      <c r="F454" t="s">
        <v>17</v>
      </c>
      <c r="G454">
        <v>1</v>
      </c>
      <c r="H454" s="2"/>
      <c r="J454" t="s">
        <v>88</v>
      </c>
      <c r="K454">
        <v>46552.613237725091</v>
      </c>
    </row>
    <row r="455" spans="1:12" outlineLevel="1" x14ac:dyDescent="0.25">
      <c r="A455" t="s">
        <v>76</v>
      </c>
      <c r="B455" s="2" t="s">
        <v>133</v>
      </c>
      <c r="C455" s="2" t="s">
        <v>89</v>
      </c>
      <c r="E455" t="str">
        <f>_xlfn.CONCAT("FretRout",LEFT(B455,3),RIGHT(B455,2),"Rempl")</f>
        <v>FretRoutCat45Rempl</v>
      </c>
      <c r="F455" t="s">
        <v>17</v>
      </c>
      <c r="G455">
        <v>1</v>
      </c>
      <c r="H455" s="3"/>
      <c r="J455" t="s">
        <v>70</v>
      </c>
      <c r="K455">
        <v>0</v>
      </c>
    </row>
    <row r="456" spans="1:12" s="5" customFormat="1" x14ac:dyDescent="0.25">
      <c r="A456" s="5" t="s">
        <v>134</v>
      </c>
      <c r="B456" s="5" t="s">
        <v>434</v>
      </c>
      <c r="C456" s="5" t="s">
        <v>464</v>
      </c>
      <c r="D456" s="5" t="s">
        <v>528</v>
      </c>
      <c r="E456" s="5" t="s">
        <v>463</v>
      </c>
      <c r="F456" s="5" t="s">
        <v>17</v>
      </c>
      <c r="G456" s="5">
        <v>0</v>
      </c>
      <c r="H456" s="5" t="e">
        <v>#N/A</v>
      </c>
      <c r="J456" s="5" t="s">
        <v>462</v>
      </c>
    </row>
    <row r="457" spans="1:12" x14ac:dyDescent="0.25">
      <c r="A457" t="s">
        <v>134</v>
      </c>
      <c r="B457" t="s">
        <v>77</v>
      </c>
      <c r="C457" t="s">
        <v>135</v>
      </c>
      <c r="E457" t="s">
        <v>529</v>
      </c>
      <c r="F457" s="32" t="s">
        <v>20</v>
      </c>
      <c r="G457">
        <v>1</v>
      </c>
      <c r="I457" s="33" t="s">
        <v>530</v>
      </c>
    </row>
    <row r="458" spans="1:12" x14ac:dyDescent="0.25">
      <c r="A458" t="s">
        <v>134</v>
      </c>
      <c r="B458" t="s">
        <v>77</v>
      </c>
      <c r="C458" t="s">
        <v>136</v>
      </c>
      <c r="E458" t="s">
        <v>531</v>
      </c>
      <c r="F458" t="s">
        <v>20</v>
      </c>
      <c r="G458">
        <v>1</v>
      </c>
      <c r="I458" s="33" t="s">
        <v>532</v>
      </c>
    </row>
    <row r="459" spans="1:12" x14ac:dyDescent="0.25">
      <c r="A459" t="s">
        <v>134</v>
      </c>
      <c r="B459" t="s">
        <v>77</v>
      </c>
      <c r="C459" s="32" t="s">
        <v>137</v>
      </c>
      <c r="E459" t="s">
        <v>533</v>
      </c>
      <c r="F459" s="32" t="s">
        <v>36</v>
      </c>
      <c r="G459">
        <v>1</v>
      </c>
      <c r="I459" s="33" t="s">
        <v>534</v>
      </c>
      <c r="J459" t="s">
        <v>524</v>
      </c>
    </row>
    <row r="460" spans="1:12" x14ac:dyDescent="0.25">
      <c r="A460" t="s">
        <v>134</v>
      </c>
      <c r="B460" t="s">
        <v>77</v>
      </c>
      <c r="C460" s="32" t="s">
        <v>525</v>
      </c>
      <c r="E460" t="s">
        <v>535</v>
      </c>
      <c r="F460" s="32" t="s">
        <v>20</v>
      </c>
      <c r="G460">
        <v>1</v>
      </c>
      <c r="I460" s="33" t="s">
        <v>536</v>
      </c>
      <c r="L460" t="s">
        <v>139</v>
      </c>
    </row>
    <row r="461" spans="1:12" x14ac:dyDescent="0.25">
      <c r="A461" t="s">
        <v>134</v>
      </c>
      <c r="B461" t="s">
        <v>77</v>
      </c>
      <c r="C461" t="s">
        <v>140</v>
      </c>
      <c r="E461" t="s">
        <v>537</v>
      </c>
      <c r="F461" s="32" t="s">
        <v>20</v>
      </c>
      <c r="G461">
        <v>1</v>
      </c>
      <c r="H461" t="s">
        <v>141</v>
      </c>
      <c r="I461" s="33" t="s">
        <v>142</v>
      </c>
      <c r="K461" t="s">
        <v>143</v>
      </c>
    </row>
    <row r="462" spans="1:12" x14ac:dyDescent="0.25">
      <c r="A462" t="s">
        <v>134</v>
      </c>
      <c r="B462" t="s">
        <v>77</v>
      </c>
      <c r="C462" t="s">
        <v>144</v>
      </c>
      <c r="E462" t="s">
        <v>538</v>
      </c>
      <c r="F462" t="s">
        <v>17</v>
      </c>
      <c r="G462" s="5">
        <v>1</v>
      </c>
      <c r="I462" s="33"/>
      <c r="J462" t="s">
        <v>145</v>
      </c>
      <c r="L462" t="e">
        <v>#N/A</v>
      </c>
    </row>
    <row r="463" spans="1:12" x14ac:dyDescent="0.25">
      <c r="A463" t="s">
        <v>134</v>
      </c>
      <c r="B463" t="s">
        <v>77</v>
      </c>
      <c r="C463" t="s">
        <v>146</v>
      </c>
      <c r="E463" t="s">
        <v>539</v>
      </c>
      <c r="F463" t="s">
        <v>17</v>
      </c>
      <c r="G463" s="5">
        <v>1</v>
      </c>
      <c r="I463" s="33"/>
      <c r="J463" t="s">
        <v>88</v>
      </c>
    </row>
    <row r="464" spans="1:12" x14ac:dyDescent="0.25">
      <c r="A464" t="s">
        <v>134</v>
      </c>
      <c r="B464" t="s">
        <v>77</v>
      </c>
      <c r="C464" t="s">
        <v>147</v>
      </c>
      <c r="E464" t="s">
        <v>540</v>
      </c>
      <c r="F464" t="s">
        <v>17</v>
      </c>
      <c r="G464" s="5">
        <v>1</v>
      </c>
      <c r="I464" s="33"/>
      <c r="J464" t="s">
        <v>148</v>
      </c>
    </row>
    <row r="465" spans="1:14" x14ac:dyDescent="0.25">
      <c r="A465" t="s">
        <v>134</v>
      </c>
      <c r="B465" t="s">
        <v>77</v>
      </c>
      <c r="C465" t="s">
        <v>149</v>
      </c>
      <c r="E465" t="s">
        <v>541</v>
      </c>
      <c r="F465" t="s">
        <v>17</v>
      </c>
      <c r="G465" s="5">
        <v>0</v>
      </c>
      <c r="I465" s="33"/>
      <c r="J465" t="s">
        <v>88</v>
      </c>
      <c r="K465" s="6">
        <v>0</v>
      </c>
    </row>
    <row r="466" spans="1:14" x14ac:dyDescent="0.25">
      <c r="A466" t="s">
        <v>134</v>
      </c>
      <c r="B466" t="s">
        <v>77</v>
      </c>
      <c r="C466" t="s">
        <v>150</v>
      </c>
      <c r="E466" t="s">
        <v>542</v>
      </c>
      <c r="F466" t="s">
        <v>17</v>
      </c>
      <c r="G466" s="5">
        <v>0</v>
      </c>
      <c r="H466" s="3"/>
      <c r="I466" s="33"/>
      <c r="J466" t="s">
        <v>70</v>
      </c>
      <c r="K466" s="7">
        <v>0</v>
      </c>
    </row>
    <row r="467" spans="1:14" s="10" customFormat="1" x14ac:dyDescent="0.25">
      <c r="A467" t="s">
        <v>134</v>
      </c>
      <c r="B467" t="s">
        <v>77</v>
      </c>
      <c r="C467" s="32" t="s">
        <v>526</v>
      </c>
      <c r="D467"/>
      <c r="E467" t="s">
        <v>543</v>
      </c>
      <c r="F467" t="s">
        <v>17</v>
      </c>
      <c r="G467">
        <v>1</v>
      </c>
      <c r="H467" s="8"/>
      <c r="I467" s="33"/>
      <c r="J467" t="s">
        <v>151</v>
      </c>
      <c r="K467" s="9">
        <v>0</v>
      </c>
      <c r="L467"/>
      <c r="M467"/>
      <c r="N467"/>
    </row>
    <row r="468" spans="1:14" x14ac:dyDescent="0.25">
      <c r="A468" t="s">
        <v>134</v>
      </c>
      <c r="B468" t="s">
        <v>90</v>
      </c>
      <c r="C468" t="s">
        <v>135</v>
      </c>
      <c r="E468" t="s">
        <v>544</v>
      </c>
      <c r="F468" s="32" t="s">
        <v>20</v>
      </c>
      <c r="G468">
        <v>1</v>
      </c>
      <c r="I468" s="33" t="s">
        <v>545</v>
      </c>
    </row>
    <row r="469" spans="1:14" outlineLevel="1" x14ac:dyDescent="0.25">
      <c r="A469" t="s">
        <v>134</v>
      </c>
      <c r="B469" t="s">
        <v>90</v>
      </c>
      <c r="C469" t="s">
        <v>136</v>
      </c>
      <c r="E469" t="s">
        <v>546</v>
      </c>
      <c r="F469" t="s">
        <v>20</v>
      </c>
      <c r="G469">
        <v>1</v>
      </c>
      <c r="I469" s="33" t="s">
        <v>532</v>
      </c>
    </row>
    <row r="470" spans="1:14" outlineLevel="1" x14ac:dyDescent="0.25">
      <c r="A470" t="s">
        <v>134</v>
      </c>
      <c r="B470" t="s">
        <v>90</v>
      </c>
      <c r="C470" s="32" t="s">
        <v>137</v>
      </c>
      <c r="E470" t="s">
        <v>547</v>
      </c>
      <c r="F470" s="32" t="s">
        <v>36</v>
      </c>
      <c r="G470">
        <v>1</v>
      </c>
      <c r="I470" s="33" t="s">
        <v>534</v>
      </c>
      <c r="J470" t="s">
        <v>524</v>
      </c>
    </row>
    <row r="471" spans="1:14" outlineLevel="1" x14ac:dyDescent="0.25">
      <c r="A471" t="s">
        <v>134</v>
      </c>
      <c r="B471" t="s">
        <v>90</v>
      </c>
      <c r="C471" s="32" t="s">
        <v>525</v>
      </c>
      <c r="E471" t="s">
        <v>548</v>
      </c>
      <c r="F471" s="32" t="s">
        <v>20</v>
      </c>
      <c r="G471">
        <v>1</v>
      </c>
      <c r="I471" s="33" t="s">
        <v>549</v>
      </c>
      <c r="L471" t="s">
        <v>139</v>
      </c>
    </row>
    <row r="472" spans="1:14" outlineLevel="1" x14ac:dyDescent="0.25">
      <c r="A472" t="s">
        <v>134</v>
      </c>
      <c r="B472" t="s">
        <v>90</v>
      </c>
      <c r="C472" t="s">
        <v>140</v>
      </c>
      <c r="E472" t="s">
        <v>550</v>
      </c>
      <c r="F472" s="32" t="s">
        <v>20</v>
      </c>
      <c r="G472" s="5">
        <v>0</v>
      </c>
      <c r="H472" t="s">
        <v>141</v>
      </c>
      <c r="I472" s="33" t="s">
        <v>142</v>
      </c>
    </row>
    <row r="473" spans="1:14" outlineLevel="1" x14ac:dyDescent="0.25">
      <c r="A473" t="s">
        <v>134</v>
      </c>
      <c r="B473" t="s">
        <v>90</v>
      </c>
      <c r="C473" t="s">
        <v>144</v>
      </c>
      <c r="E473" t="s">
        <v>551</v>
      </c>
      <c r="F473" t="s">
        <v>17</v>
      </c>
      <c r="G473" s="5">
        <v>0</v>
      </c>
      <c r="I473" s="33"/>
      <c r="J473" t="s">
        <v>145</v>
      </c>
    </row>
    <row r="474" spans="1:14" outlineLevel="1" x14ac:dyDescent="0.25">
      <c r="A474" t="s">
        <v>134</v>
      </c>
      <c r="B474" t="s">
        <v>90</v>
      </c>
      <c r="C474" t="s">
        <v>146</v>
      </c>
      <c r="E474" t="s">
        <v>552</v>
      </c>
      <c r="F474" t="s">
        <v>17</v>
      </c>
      <c r="G474" s="5">
        <v>0</v>
      </c>
      <c r="I474" s="33"/>
      <c r="J474" t="s">
        <v>88</v>
      </c>
    </row>
    <row r="475" spans="1:14" outlineLevel="1" x14ac:dyDescent="0.25">
      <c r="A475" t="s">
        <v>134</v>
      </c>
      <c r="B475" t="s">
        <v>90</v>
      </c>
      <c r="C475" t="s">
        <v>147</v>
      </c>
      <c r="E475" t="s">
        <v>553</v>
      </c>
      <c r="F475" t="s">
        <v>17</v>
      </c>
      <c r="G475" s="5">
        <v>0</v>
      </c>
      <c r="I475" s="33"/>
      <c r="J475" t="s">
        <v>148</v>
      </c>
    </row>
    <row r="476" spans="1:14" outlineLevel="1" x14ac:dyDescent="0.25">
      <c r="A476" t="s">
        <v>134</v>
      </c>
      <c r="B476" t="s">
        <v>90</v>
      </c>
      <c r="C476" t="s">
        <v>149</v>
      </c>
      <c r="E476" t="s">
        <v>554</v>
      </c>
      <c r="F476" t="s">
        <v>17</v>
      </c>
      <c r="G476" s="5">
        <v>0</v>
      </c>
      <c r="I476" s="33"/>
      <c r="J476" t="s">
        <v>88</v>
      </c>
      <c r="K476" s="6"/>
    </row>
    <row r="477" spans="1:14" outlineLevel="1" x14ac:dyDescent="0.25">
      <c r="A477" t="s">
        <v>134</v>
      </c>
      <c r="B477" t="s">
        <v>90</v>
      </c>
      <c r="C477" t="s">
        <v>150</v>
      </c>
      <c r="E477" t="s">
        <v>555</v>
      </c>
      <c r="F477" t="s">
        <v>17</v>
      </c>
      <c r="G477">
        <v>1</v>
      </c>
      <c r="H477" s="3"/>
      <c r="I477" s="33"/>
      <c r="J477" t="s">
        <v>70</v>
      </c>
      <c r="K477" s="7"/>
    </row>
    <row r="478" spans="1:14" s="10" customFormat="1" outlineLevel="1" x14ac:dyDescent="0.25">
      <c r="A478" t="s">
        <v>134</v>
      </c>
      <c r="B478" t="s">
        <v>90</v>
      </c>
      <c r="C478" s="32" t="s">
        <v>526</v>
      </c>
      <c r="D478"/>
      <c r="E478" t="s">
        <v>556</v>
      </c>
      <c r="F478" t="s">
        <v>17</v>
      </c>
      <c r="G478">
        <v>1</v>
      </c>
      <c r="H478"/>
      <c r="I478" s="33"/>
      <c r="J478" t="s">
        <v>151</v>
      </c>
      <c r="K478"/>
      <c r="L478"/>
      <c r="M478"/>
      <c r="N478"/>
    </row>
    <row r="479" spans="1:14" outlineLevel="1" x14ac:dyDescent="0.25">
      <c r="A479" t="s">
        <v>134</v>
      </c>
      <c r="B479" t="s">
        <v>91</v>
      </c>
      <c r="C479" t="s">
        <v>135</v>
      </c>
      <c r="E479" t="s">
        <v>557</v>
      </c>
      <c r="F479" s="32" t="s">
        <v>20</v>
      </c>
      <c r="G479">
        <v>1</v>
      </c>
      <c r="I479" s="33" t="s">
        <v>558</v>
      </c>
    </row>
    <row r="480" spans="1:14" outlineLevel="1" x14ac:dyDescent="0.25">
      <c r="A480" t="s">
        <v>134</v>
      </c>
      <c r="B480" t="s">
        <v>91</v>
      </c>
      <c r="C480" t="s">
        <v>136</v>
      </c>
      <c r="E480" t="s">
        <v>559</v>
      </c>
      <c r="F480" t="s">
        <v>20</v>
      </c>
      <c r="G480">
        <v>1</v>
      </c>
      <c r="I480" s="33" t="s">
        <v>532</v>
      </c>
    </row>
    <row r="481" spans="1:14" outlineLevel="1" x14ac:dyDescent="0.25">
      <c r="A481" t="s">
        <v>134</v>
      </c>
      <c r="B481" t="s">
        <v>91</v>
      </c>
      <c r="C481" s="32" t="s">
        <v>137</v>
      </c>
      <c r="E481" t="s">
        <v>560</v>
      </c>
      <c r="F481" s="32" t="s">
        <v>36</v>
      </c>
      <c r="G481">
        <v>1</v>
      </c>
      <c r="I481" s="33" t="s">
        <v>534</v>
      </c>
      <c r="J481" t="s">
        <v>524</v>
      </c>
    </row>
    <row r="482" spans="1:14" outlineLevel="1" x14ac:dyDescent="0.25">
      <c r="A482" t="s">
        <v>134</v>
      </c>
      <c r="B482" t="s">
        <v>91</v>
      </c>
      <c r="C482" s="32" t="s">
        <v>525</v>
      </c>
      <c r="E482" t="s">
        <v>561</v>
      </c>
      <c r="F482" s="32" t="s">
        <v>20</v>
      </c>
      <c r="G482" s="5">
        <v>0</v>
      </c>
      <c r="I482" s="33" t="s">
        <v>562</v>
      </c>
      <c r="L482" t="s">
        <v>139</v>
      </c>
    </row>
    <row r="483" spans="1:14" outlineLevel="1" x14ac:dyDescent="0.25">
      <c r="A483" t="s">
        <v>134</v>
      </c>
      <c r="B483" t="s">
        <v>91</v>
      </c>
      <c r="C483" t="s">
        <v>140</v>
      </c>
      <c r="E483" t="s">
        <v>563</v>
      </c>
      <c r="F483" s="32" t="s">
        <v>20</v>
      </c>
      <c r="G483" s="5">
        <v>0</v>
      </c>
      <c r="H483" t="s">
        <v>141</v>
      </c>
      <c r="I483" s="33" t="s">
        <v>142</v>
      </c>
    </row>
    <row r="484" spans="1:14" outlineLevel="1" x14ac:dyDescent="0.25">
      <c r="A484" t="s">
        <v>134</v>
      </c>
      <c r="B484" t="s">
        <v>91</v>
      </c>
      <c r="C484" t="s">
        <v>144</v>
      </c>
      <c r="E484" t="s">
        <v>564</v>
      </c>
      <c r="F484" t="s">
        <v>17</v>
      </c>
      <c r="G484" s="5">
        <v>0</v>
      </c>
      <c r="I484" s="33"/>
      <c r="J484" t="s">
        <v>145</v>
      </c>
    </row>
    <row r="485" spans="1:14" outlineLevel="1" x14ac:dyDescent="0.25">
      <c r="A485" t="s">
        <v>134</v>
      </c>
      <c r="B485" t="s">
        <v>91</v>
      </c>
      <c r="C485" t="s">
        <v>146</v>
      </c>
      <c r="E485" t="s">
        <v>565</v>
      </c>
      <c r="F485" t="s">
        <v>17</v>
      </c>
      <c r="G485" s="5">
        <v>0</v>
      </c>
      <c r="I485" s="33"/>
      <c r="J485" t="s">
        <v>88</v>
      </c>
    </row>
    <row r="486" spans="1:14" outlineLevel="1" x14ac:dyDescent="0.25">
      <c r="A486" t="s">
        <v>134</v>
      </c>
      <c r="B486" t="s">
        <v>91</v>
      </c>
      <c r="C486" t="s">
        <v>147</v>
      </c>
      <c r="E486" t="s">
        <v>566</v>
      </c>
      <c r="F486" t="s">
        <v>17</v>
      </c>
      <c r="G486" s="5">
        <v>0</v>
      </c>
      <c r="I486" s="33"/>
      <c r="J486" t="s">
        <v>148</v>
      </c>
      <c r="K486" s="6"/>
    </row>
    <row r="487" spans="1:14" outlineLevel="1" x14ac:dyDescent="0.25">
      <c r="A487" t="s">
        <v>134</v>
      </c>
      <c r="B487" t="s">
        <v>91</v>
      </c>
      <c r="C487" t="s">
        <v>149</v>
      </c>
      <c r="E487" t="s">
        <v>567</v>
      </c>
      <c r="F487" t="s">
        <v>17</v>
      </c>
      <c r="G487">
        <v>1</v>
      </c>
      <c r="H487" s="3"/>
      <c r="I487" s="33"/>
      <c r="J487" t="s">
        <v>88</v>
      </c>
      <c r="K487" s="7"/>
    </row>
    <row r="488" spans="1:14" outlineLevel="1" x14ac:dyDescent="0.25">
      <c r="A488" t="s">
        <v>134</v>
      </c>
      <c r="B488" t="s">
        <v>91</v>
      </c>
      <c r="C488" t="s">
        <v>150</v>
      </c>
      <c r="E488" t="s">
        <v>568</v>
      </c>
      <c r="F488" t="s">
        <v>17</v>
      </c>
      <c r="G488">
        <v>1</v>
      </c>
      <c r="I488" s="33"/>
      <c r="J488" t="s">
        <v>70</v>
      </c>
    </row>
    <row r="489" spans="1:14" s="10" customFormat="1" outlineLevel="1" x14ac:dyDescent="0.25">
      <c r="A489" t="s">
        <v>134</v>
      </c>
      <c r="B489" t="s">
        <v>91</v>
      </c>
      <c r="C489" s="32" t="s">
        <v>526</v>
      </c>
      <c r="D489"/>
      <c r="E489" t="s">
        <v>569</v>
      </c>
      <c r="F489" t="s">
        <v>17</v>
      </c>
      <c r="G489">
        <v>1</v>
      </c>
      <c r="H489"/>
      <c r="I489" s="33"/>
      <c r="J489" t="s">
        <v>151</v>
      </c>
      <c r="K489"/>
      <c r="L489"/>
      <c r="M489"/>
      <c r="N489"/>
    </row>
    <row r="490" spans="1:14" outlineLevel="1" x14ac:dyDescent="0.25">
      <c r="A490" t="s">
        <v>134</v>
      </c>
      <c r="B490" t="s">
        <v>92</v>
      </c>
      <c r="C490" t="s">
        <v>135</v>
      </c>
      <c r="E490" t="s">
        <v>570</v>
      </c>
      <c r="F490" s="32" t="s">
        <v>20</v>
      </c>
      <c r="G490">
        <v>1</v>
      </c>
      <c r="I490" s="33" t="s">
        <v>571</v>
      </c>
    </row>
    <row r="491" spans="1:14" outlineLevel="1" x14ac:dyDescent="0.25">
      <c r="A491" t="s">
        <v>134</v>
      </c>
      <c r="B491" t="s">
        <v>92</v>
      </c>
      <c r="C491" t="s">
        <v>136</v>
      </c>
      <c r="E491" t="s">
        <v>572</v>
      </c>
      <c r="F491" t="s">
        <v>20</v>
      </c>
      <c r="G491">
        <v>1</v>
      </c>
      <c r="I491" s="33" t="s">
        <v>532</v>
      </c>
    </row>
    <row r="492" spans="1:14" outlineLevel="1" x14ac:dyDescent="0.25">
      <c r="A492" t="s">
        <v>134</v>
      </c>
      <c r="B492" t="s">
        <v>92</v>
      </c>
      <c r="C492" s="32" t="s">
        <v>137</v>
      </c>
      <c r="E492" t="s">
        <v>573</v>
      </c>
      <c r="F492" s="32" t="s">
        <v>36</v>
      </c>
      <c r="G492" s="5">
        <v>0</v>
      </c>
      <c r="I492" s="33" t="s">
        <v>534</v>
      </c>
      <c r="J492" t="s">
        <v>524</v>
      </c>
    </row>
    <row r="493" spans="1:14" outlineLevel="1" x14ac:dyDescent="0.25">
      <c r="A493" t="s">
        <v>134</v>
      </c>
      <c r="B493" t="s">
        <v>92</v>
      </c>
      <c r="C493" s="32" t="s">
        <v>525</v>
      </c>
      <c r="E493" t="s">
        <v>574</v>
      </c>
      <c r="F493" s="32" t="s">
        <v>20</v>
      </c>
      <c r="G493" s="5">
        <v>0</v>
      </c>
      <c r="I493" s="33" t="s">
        <v>575</v>
      </c>
      <c r="L493" t="s">
        <v>139</v>
      </c>
    </row>
    <row r="494" spans="1:14" outlineLevel="1" x14ac:dyDescent="0.25">
      <c r="A494" t="s">
        <v>134</v>
      </c>
      <c r="B494" t="s">
        <v>92</v>
      </c>
      <c r="C494" t="s">
        <v>140</v>
      </c>
      <c r="E494" t="s">
        <v>576</v>
      </c>
      <c r="F494" s="32" t="s">
        <v>20</v>
      </c>
      <c r="G494" s="5">
        <v>0</v>
      </c>
      <c r="H494" t="s">
        <v>141</v>
      </c>
      <c r="I494" s="33" t="s">
        <v>142</v>
      </c>
    </row>
    <row r="495" spans="1:14" outlineLevel="1" x14ac:dyDescent="0.25">
      <c r="A495" t="s">
        <v>134</v>
      </c>
      <c r="B495" t="s">
        <v>92</v>
      </c>
      <c r="C495" t="s">
        <v>144</v>
      </c>
      <c r="E495" t="s">
        <v>577</v>
      </c>
      <c r="F495" t="s">
        <v>17</v>
      </c>
      <c r="G495" s="5">
        <v>0</v>
      </c>
      <c r="I495" s="33"/>
      <c r="J495" t="s">
        <v>145</v>
      </c>
    </row>
    <row r="496" spans="1:14" outlineLevel="1" x14ac:dyDescent="0.25">
      <c r="A496" t="s">
        <v>134</v>
      </c>
      <c r="B496" t="s">
        <v>92</v>
      </c>
      <c r="C496" t="s">
        <v>146</v>
      </c>
      <c r="E496" t="s">
        <v>578</v>
      </c>
      <c r="F496" t="s">
        <v>17</v>
      </c>
      <c r="G496" s="5">
        <v>0</v>
      </c>
      <c r="I496" s="33"/>
      <c r="J496" t="s">
        <v>88</v>
      </c>
      <c r="K496" s="6"/>
    </row>
    <row r="497" spans="1:14" outlineLevel="1" x14ac:dyDescent="0.25">
      <c r="A497" t="s">
        <v>134</v>
      </c>
      <c r="B497" t="s">
        <v>92</v>
      </c>
      <c r="C497" t="s">
        <v>147</v>
      </c>
      <c r="E497" t="s">
        <v>579</v>
      </c>
      <c r="F497" t="s">
        <v>17</v>
      </c>
      <c r="G497">
        <v>1</v>
      </c>
      <c r="H497" s="3"/>
      <c r="I497" s="33"/>
      <c r="J497" t="s">
        <v>148</v>
      </c>
      <c r="K497" s="7"/>
    </row>
    <row r="498" spans="1:14" outlineLevel="1" x14ac:dyDescent="0.25">
      <c r="A498" t="s">
        <v>134</v>
      </c>
      <c r="B498" t="s">
        <v>92</v>
      </c>
      <c r="C498" t="s">
        <v>149</v>
      </c>
      <c r="E498" t="s">
        <v>580</v>
      </c>
      <c r="F498" t="s">
        <v>17</v>
      </c>
      <c r="G498">
        <v>1</v>
      </c>
      <c r="I498" s="33"/>
      <c r="J498" t="s">
        <v>88</v>
      </c>
    </row>
    <row r="499" spans="1:14" outlineLevel="1" x14ac:dyDescent="0.25">
      <c r="A499" t="s">
        <v>134</v>
      </c>
      <c r="B499" t="s">
        <v>92</v>
      </c>
      <c r="C499" t="s">
        <v>150</v>
      </c>
      <c r="E499" t="s">
        <v>581</v>
      </c>
      <c r="F499" t="s">
        <v>17</v>
      </c>
      <c r="G499">
        <v>1</v>
      </c>
      <c r="I499" s="33"/>
      <c r="J499" t="s">
        <v>70</v>
      </c>
    </row>
    <row r="500" spans="1:14" s="10" customFormat="1" outlineLevel="1" x14ac:dyDescent="0.25">
      <c r="A500" t="s">
        <v>134</v>
      </c>
      <c r="B500" t="s">
        <v>92</v>
      </c>
      <c r="C500" s="32" t="s">
        <v>526</v>
      </c>
      <c r="D500"/>
      <c r="E500" t="s">
        <v>582</v>
      </c>
      <c r="F500" t="s">
        <v>17</v>
      </c>
      <c r="G500">
        <v>1</v>
      </c>
      <c r="H500"/>
      <c r="I500" s="33"/>
      <c r="J500" t="s">
        <v>151</v>
      </c>
      <c r="K500" s="6"/>
      <c r="L500"/>
      <c r="M500"/>
      <c r="N500"/>
    </row>
    <row r="501" spans="1:14" x14ac:dyDescent="0.25">
      <c r="A501" t="s">
        <v>134</v>
      </c>
      <c r="B501" t="s">
        <v>93</v>
      </c>
      <c r="C501" t="s">
        <v>135</v>
      </c>
      <c r="E501" t="s">
        <v>583</v>
      </c>
      <c r="F501" s="32" t="s">
        <v>20</v>
      </c>
      <c r="G501">
        <v>1</v>
      </c>
      <c r="H501" s="3"/>
      <c r="I501" s="33" t="s">
        <v>584</v>
      </c>
      <c r="K501" s="7"/>
    </row>
    <row r="502" spans="1:14" x14ac:dyDescent="0.25">
      <c r="A502" t="s">
        <v>134</v>
      </c>
      <c r="B502" t="s">
        <v>93</v>
      </c>
      <c r="C502" t="s">
        <v>136</v>
      </c>
      <c r="E502" t="s">
        <v>585</v>
      </c>
      <c r="F502" t="s">
        <v>20</v>
      </c>
      <c r="G502" s="5">
        <v>0</v>
      </c>
      <c r="H502" s="8"/>
      <c r="I502" s="33" t="s">
        <v>532</v>
      </c>
      <c r="K502" s="9"/>
    </row>
    <row r="503" spans="1:14" x14ac:dyDescent="0.25">
      <c r="A503" t="s">
        <v>134</v>
      </c>
      <c r="B503" t="s">
        <v>93</v>
      </c>
      <c r="C503" s="32" t="s">
        <v>137</v>
      </c>
      <c r="E503" t="s">
        <v>586</v>
      </c>
      <c r="F503" s="32" t="s">
        <v>36</v>
      </c>
      <c r="G503" s="5">
        <v>0</v>
      </c>
      <c r="I503" s="33" t="s">
        <v>534</v>
      </c>
      <c r="J503" t="s">
        <v>524</v>
      </c>
    </row>
    <row r="504" spans="1:14" x14ac:dyDescent="0.25">
      <c r="A504" t="s">
        <v>134</v>
      </c>
      <c r="B504" t="s">
        <v>93</v>
      </c>
      <c r="C504" s="32" t="s">
        <v>525</v>
      </c>
      <c r="E504" t="s">
        <v>587</v>
      </c>
      <c r="F504" s="32" t="s">
        <v>20</v>
      </c>
      <c r="G504" s="5">
        <v>0</v>
      </c>
      <c r="I504" s="33" t="s">
        <v>588</v>
      </c>
    </row>
    <row r="505" spans="1:14" x14ac:dyDescent="0.25">
      <c r="A505" t="s">
        <v>134</v>
      </c>
      <c r="B505" t="s">
        <v>93</v>
      </c>
      <c r="C505" t="s">
        <v>140</v>
      </c>
      <c r="E505" t="s">
        <v>589</v>
      </c>
      <c r="F505" s="32" t="s">
        <v>20</v>
      </c>
      <c r="G505" s="5">
        <v>0</v>
      </c>
      <c r="H505" t="s">
        <v>141</v>
      </c>
      <c r="I505" s="33" t="s">
        <v>142</v>
      </c>
    </row>
    <row r="506" spans="1:14" x14ac:dyDescent="0.25">
      <c r="A506" t="s">
        <v>134</v>
      </c>
      <c r="B506" t="s">
        <v>93</v>
      </c>
      <c r="C506" t="s">
        <v>144</v>
      </c>
      <c r="E506" t="s">
        <v>590</v>
      </c>
      <c r="F506" t="s">
        <v>17</v>
      </c>
      <c r="G506" s="5">
        <v>0</v>
      </c>
      <c r="I506" s="33"/>
      <c r="J506" t="s">
        <v>145</v>
      </c>
    </row>
    <row r="507" spans="1:14" x14ac:dyDescent="0.25">
      <c r="A507" t="s">
        <v>134</v>
      </c>
      <c r="B507" t="s">
        <v>93</v>
      </c>
      <c r="C507" t="s">
        <v>146</v>
      </c>
      <c r="E507" t="s">
        <v>591</v>
      </c>
      <c r="F507" t="s">
        <v>17</v>
      </c>
      <c r="G507">
        <v>1</v>
      </c>
      <c r="I507" s="33"/>
      <c r="J507" t="s">
        <v>88</v>
      </c>
    </row>
    <row r="508" spans="1:14" x14ac:dyDescent="0.25">
      <c r="A508" t="s">
        <v>134</v>
      </c>
      <c r="B508" t="s">
        <v>93</v>
      </c>
      <c r="C508" t="s">
        <v>147</v>
      </c>
      <c r="E508" t="s">
        <v>592</v>
      </c>
      <c r="F508" t="s">
        <v>17</v>
      </c>
      <c r="G508">
        <v>1</v>
      </c>
      <c r="I508" s="33"/>
      <c r="J508" t="s">
        <v>148</v>
      </c>
    </row>
    <row r="509" spans="1:14" x14ac:dyDescent="0.25">
      <c r="A509" t="s">
        <v>134</v>
      </c>
      <c r="B509" t="s">
        <v>93</v>
      </c>
      <c r="C509" t="s">
        <v>149</v>
      </c>
      <c r="E509" t="s">
        <v>593</v>
      </c>
      <c r="F509" t="s">
        <v>17</v>
      </c>
      <c r="G509">
        <v>1</v>
      </c>
      <c r="I509" s="33"/>
      <c r="J509" t="s">
        <v>88</v>
      </c>
    </row>
    <row r="510" spans="1:14" x14ac:dyDescent="0.25">
      <c r="A510" t="s">
        <v>134</v>
      </c>
      <c r="B510" t="s">
        <v>93</v>
      </c>
      <c r="C510" t="s">
        <v>150</v>
      </c>
      <c r="E510" t="s">
        <v>594</v>
      </c>
      <c r="F510" t="s">
        <v>17</v>
      </c>
      <c r="G510">
        <v>1</v>
      </c>
      <c r="I510" s="33"/>
      <c r="J510" t="s">
        <v>70</v>
      </c>
    </row>
    <row r="511" spans="1:14" x14ac:dyDescent="0.25">
      <c r="A511" t="s">
        <v>134</v>
      </c>
      <c r="B511" t="s">
        <v>93</v>
      </c>
      <c r="C511" s="32" t="s">
        <v>526</v>
      </c>
      <c r="E511" t="s">
        <v>595</v>
      </c>
      <c r="F511" t="s">
        <v>17</v>
      </c>
      <c r="G511">
        <v>1</v>
      </c>
      <c r="I511" s="33"/>
      <c r="J511" t="s">
        <v>151</v>
      </c>
    </row>
    <row r="512" spans="1:14" x14ac:dyDescent="0.25">
      <c r="A512" t="s">
        <v>134</v>
      </c>
      <c r="B512" t="s">
        <v>94</v>
      </c>
      <c r="C512" t="s">
        <v>135</v>
      </c>
      <c r="E512" t="s">
        <v>596</v>
      </c>
      <c r="F512" s="32" t="s">
        <v>20</v>
      </c>
      <c r="G512" s="5">
        <v>0</v>
      </c>
      <c r="I512" s="33" t="s">
        <v>597</v>
      </c>
      <c r="K512" s="6"/>
    </row>
    <row r="513" spans="1:11" x14ac:dyDescent="0.25">
      <c r="A513" t="s">
        <v>134</v>
      </c>
      <c r="B513" t="s">
        <v>94</v>
      </c>
      <c r="C513" t="s">
        <v>136</v>
      </c>
      <c r="E513" t="s">
        <v>598</v>
      </c>
      <c r="F513" t="s">
        <v>20</v>
      </c>
      <c r="G513" s="5">
        <v>0</v>
      </c>
      <c r="H513" s="3"/>
      <c r="I513" s="33" t="s">
        <v>532</v>
      </c>
      <c r="K513" s="7"/>
    </row>
    <row r="514" spans="1:11" x14ac:dyDescent="0.25">
      <c r="A514" t="s">
        <v>134</v>
      </c>
      <c r="B514" t="s">
        <v>94</v>
      </c>
      <c r="C514" s="32" t="s">
        <v>137</v>
      </c>
      <c r="E514" t="s">
        <v>599</v>
      </c>
      <c r="F514" s="32" t="s">
        <v>36</v>
      </c>
      <c r="G514" s="5">
        <v>0</v>
      </c>
      <c r="H514" s="8"/>
      <c r="I514" s="33" t="s">
        <v>534</v>
      </c>
      <c r="J514" t="s">
        <v>524</v>
      </c>
      <c r="K514" s="9"/>
    </row>
    <row r="515" spans="1:11" x14ac:dyDescent="0.25">
      <c r="A515" t="s">
        <v>134</v>
      </c>
      <c r="B515" t="s">
        <v>94</v>
      </c>
      <c r="C515" s="32" t="s">
        <v>525</v>
      </c>
      <c r="E515" t="s">
        <v>600</v>
      </c>
      <c r="F515" s="32" t="s">
        <v>20</v>
      </c>
      <c r="G515" s="5">
        <v>0</v>
      </c>
      <c r="I515" s="33" t="s">
        <v>601</v>
      </c>
    </row>
    <row r="516" spans="1:11" x14ac:dyDescent="0.25">
      <c r="A516" t="s">
        <v>134</v>
      </c>
      <c r="B516" t="s">
        <v>94</v>
      </c>
      <c r="C516" t="s">
        <v>140</v>
      </c>
      <c r="E516" t="s">
        <v>602</v>
      </c>
      <c r="F516" s="32" t="s">
        <v>20</v>
      </c>
      <c r="G516" s="5">
        <v>0</v>
      </c>
      <c r="H516" t="s">
        <v>141</v>
      </c>
      <c r="I516" s="33" t="s">
        <v>142</v>
      </c>
    </row>
    <row r="517" spans="1:11" x14ac:dyDescent="0.25">
      <c r="A517" t="s">
        <v>134</v>
      </c>
      <c r="B517" t="s">
        <v>94</v>
      </c>
      <c r="C517" t="s">
        <v>144</v>
      </c>
      <c r="E517" t="s">
        <v>603</v>
      </c>
      <c r="F517" t="s">
        <v>17</v>
      </c>
      <c r="G517">
        <v>1</v>
      </c>
      <c r="I517" s="33"/>
      <c r="J517" t="s">
        <v>145</v>
      </c>
    </row>
    <row r="518" spans="1:11" x14ac:dyDescent="0.25">
      <c r="A518" t="s">
        <v>134</v>
      </c>
      <c r="B518" t="s">
        <v>94</v>
      </c>
      <c r="C518" t="s">
        <v>146</v>
      </c>
      <c r="E518" t="s">
        <v>604</v>
      </c>
      <c r="F518" t="s">
        <v>17</v>
      </c>
      <c r="G518">
        <v>1</v>
      </c>
      <c r="I518" s="33"/>
      <c r="J518" t="s">
        <v>88</v>
      </c>
    </row>
    <row r="519" spans="1:11" x14ac:dyDescent="0.25">
      <c r="A519" t="s">
        <v>134</v>
      </c>
      <c r="B519" t="s">
        <v>94</v>
      </c>
      <c r="C519" t="s">
        <v>147</v>
      </c>
      <c r="E519" t="s">
        <v>605</v>
      </c>
      <c r="F519" t="s">
        <v>17</v>
      </c>
      <c r="G519">
        <v>1</v>
      </c>
      <c r="I519" s="33"/>
      <c r="J519" t="s">
        <v>148</v>
      </c>
    </row>
    <row r="520" spans="1:11" x14ac:dyDescent="0.25">
      <c r="A520" t="s">
        <v>134</v>
      </c>
      <c r="B520" t="s">
        <v>94</v>
      </c>
      <c r="C520" t="s">
        <v>149</v>
      </c>
      <c r="E520" t="s">
        <v>606</v>
      </c>
      <c r="F520" t="s">
        <v>17</v>
      </c>
      <c r="G520">
        <v>1</v>
      </c>
      <c r="I520" s="33"/>
      <c r="J520" t="s">
        <v>88</v>
      </c>
    </row>
    <row r="521" spans="1:11" x14ac:dyDescent="0.25">
      <c r="A521" t="s">
        <v>134</v>
      </c>
      <c r="B521" t="s">
        <v>94</v>
      </c>
      <c r="C521" t="s">
        <v>150</v>
      </c>
      <c r="E521" t="s">
        <v>607</v>
      </c>
      <c r="F521" t="s">
        <v>17</v>
      </c>
      <c r="G521">
        <v>1</v>
      </c>
      <c r="I521" s="33"/>
      <c r="J521" t="s">
        <v>70</v>
      </c>
    </row>
    <row r="522" spans="1:11" x14ac:dyDescent="0.25">
      <c r="A522" t="s">
        <v>134</v>
      </c>
      <c r="B522" t="s">
        <v>94</v>
      </c>
      <c r="C522" s="32" t="s">
        <v>526</v>
      </c>
      <c r="E522" t="s">
        <v>608</v>
      </c>
      <c r="F522" t="s">
        <v>17</v>
      </c>
      <c r="G522" s="5">
        <v>0</v>
      </c>
      <c r="I522" s="33"/>
      <c r="J522" t="s">
        <v>151</v>
      </c>
    </row>
    <row r="523" spans="1:11" x14ac:dyDescent="0.25">
      <c r="A523" t="s">
        <v>134</v>
      </c>
      <c r="B523" t="s">
        <v>95</v>
      </c>
      <c r="C523" t="s">
        <v>135</v>
      </c>
      <c r="E523" t="s">
        <v>609</v>
      </c>
      <c r="F523" s="32" t="s">
        <v>20</v>
      </c>
      <c r="G523" s="5">
        <v>0</v>
      </c>
      <c r="I523" s="33" t="s">
        <v>610</v>
      </c>
      <c r="K523" s="6"/>
    </row>
    <row r="524" spans="1:11" x14ac:dyDescent="0.25">
      <c r="A524" t="s">
        <v>134</v>
      </c>
      <c r="B524" t="s">
        <v>95</v>
      </c>
      <c r="C524" t="s">
        <v>136</v>
      </c>
      <c r="E524" t="s">
        <v>611</v>
      </c>
      <c r="F524" t="s">
        <v>20</v>
      </c>
      <c r="G524" s="5">
        <v>0</v>
      </c>
      <c r="H524" s="3"/>
      <c r="I524" s="33" t="s">
        <v>532</v>
      </c>
      <c r="K524" s="7"/>
    </row>
    <row r="525" spans="1:11" x14ac:dyDescent="0.25">
      <c r="A525" t="s">
        <v>134</v>
      </c>
      <c r="B525" t="s">
        <v>95</v>
      </c>
      <c r="C525" s="32" t="s">
        <v>137</v>
      </c>
      <c r="E525" t="s">
        <v>612</v>
      </c>
      <c r="F525" s="32" t="s">
        <v>36</v>
      </c>
      <c r="G525" s="5">
        <v>0</v>
      </c>
      <c r="H525" s="8"/>
      <c r="I525" s="33" t="s">
        <v>534</v>
      </c>
      <c r="J525" t="s">
        <v>524</v>
      </c>
      <c r="K525" s="9"/>
    </row>
    <row r="526" spans="1:11" x14ac:dyDescent="0.25">
      <c r="A526" t="s">
        <v>134</v>
      </c>
      <c r="B526" t="s">
        <v>95</v>
      </c>
      <c r="C526" s="32" t="s">
        <v>525</v>
      </c>
      <c r="E526" t="s">
        <v>613</v>
      </c>
      <c r="F526" s="32" t="s">
        <v>20</v>
      </c>
      <c r="G526" s="5">
        <v>0</v>
      </c>
      <c r="I526" s="33" t="s">
        <v>614</v>
      </c>
    </row>
    <row r="527" spans="1:11" x14ac:dyDescent="0.25">
      <c r="A527" t="s">
        <v>134</v>
      </c>
      <c r="B527" t="s">
        <v>95</v>
      </c>
      <c r="C527" t="s">
        <v>140</v>
      </c>
      <c r="E527" t="s">
        <v>615</v>
      </c>
      <c r="F527" s="32" t="s">
        <v>20</v>
      </c>
      <c r="G527">
        <v>1</v>
      </c>
      <c r="H527" t="s">
        <v>141</v>
      </c>
      <c r="I527" s="33" t="s">
        <v>142</v>
      </c>
    </row>
    <row r="528" spans="1:11" collapsed="1" x14ac:dyDescent="0.25">
      <c r="A528" t="s">
        <v>134</v>
      </c>
      <c r="B528" t="s">
        <v>95</v>
      </c>
      <c r="C528" t="s">
        <v>144</v>
      </c>
      <c r="E528" t="s">
        <v>616</v>
      </c>
      <c r="F528" t="s">
        <v>17</v>
      </c>
      <c r="G528">
        <v>1</v>
      </c>
      <c r="I528" s="33"/>
      <c r="J528" t="s">
        <v>145</v>
      </c>
    </row>
    <row r="529" spans="1:11" x14ac:dyDescent="0.25">
      <c r="A529" t="s">
        <v>134</v>
      </c>
      <c r="B529" t="s">
        <v>95</v>
      </c>
      <c r="C529" t="s">
        <v>146</v>
      </c>
      <c r="E529" t="s">
        <v>617</v>
      </c>
      <c r="F529" t="s">
        <v>17</v>
      </c>
      <c r="G529">
        <v>1</v>
      </c>
      <c r="I529" s="33"/>
      <c r="J529" t="s">
        <v>88</v>
      </c>
    </row>
    <row r="530" spans="1:11" outlineLevel="1" x14ac:dyDescent="0.25">
      <c r="A530" t="s">
        <v>134</v>
      </c>
      <c r="B530" t="s">
        <v>95</v>
      </c>
      <c r="C530" t="s">
        <v>147</v>
      </c>
      <c r="E530" t="s">
        <v>618</v>
      </c>
      <c r="F530" t="s">
        <v>17</v>
      </c>
      <c r="G530">
        <v>1</v>
      </c>
      <c r="I530" s="33"/>
      <c r="J530" t="s">
        <v>148</v>
      </c>
    </row>
    <row r="531" spans="1:11" outlineLevel="1" x14ac:dyDescent="0.25">
      <c r="A531" t="s">
        <v>134</v>
      </c>
      <c r="B531" t="s">
        <v>95</v>
      </c>
      <c r="C531" t="s">
        <v>149</v>
      </c>
      <c r="E531" t="s">
        <v>619</v>
      </c>
      <c r="F531" t="s">
        <v>17</v>
      </c>
      <c r="G531">
        <v>1</v>
      </c>
      <c r="I531" s="33"/>
      <c r="J531" t="s">
        <v>88</v>
      </c>
    </row>
    <row r="532" spans="1:11" outlineLevel="1" x14ac:dyDescent="0.25">
      <c r="A532" t="s">
        <v>134</v>
      </c>
      <c r="B532" t="s">
        <v>95</v>
      </c>
      <c r="C532" t="s">
        <v>150</v>
      </c>
      <c r="E532" t="s">
        <v>620</v>
      </c>
      <c r="F532" t="s">
        <v>17</v>
      </c>
      <c r="G532" s="5">
        <v>0</v>
      </c>
      <c r="I532" s="33"/>
      <c r="J532" t="s">
        <v>70</v>
      </c>
    </row>
    <row r="533" spans="1:11" x14ac:dyDescent="0.25">
      <c r="A533" t="s">
        <v>134</v>
      </c>
      <c r="B533" t="s">
        <v>95</v>
      </c>
      <c r="C533" s="32" t="s">
        <v>526</v>
      </c>
      <c r="E533" t="s">
        <v>621</v>
      </c>
      <c r="F533" t="s">
        <v>17</v>
      </c>
      <c r="G533" s="5">
        <v>0</v>
      </c>
      <c r="I533" s="33"/>
      <c r="J533" t="s">
        <v>151</v>
      </c>
    </row>
    <row r="534" spans="1:11" x14ac:dyDescent="0.25">
      <c r="A534" t="s">
        <v>134</v>
      </c>
      <c r="B534" t="s">
        <v>96</v>
      </c>
      <c r="C534" t="s">
        <v>135</v>
      </c>
      <c r="E534" t="s">
        <v>622</v>
      </c>
      <c r="F534" s="32" t="s">
        <v>20</v>
      </c>
      <c r="G534" s="5">
        <v>0</v>
      </c>
      <c r="I534" s="33" t="s">
        <v>623</v>
      </c>
      <c r="K534" s="6"/>
    </row>
    <row r="535" spans="1:11" x14ac:dyDescent="0.25">
      <c r="A535" t="s">
        <v>134</v>
      </c>
      <c r="B535" t="s">
        <v>96</v>
      </c>
      <c r="C535" t="s">
        <v>136</v>
      </c>
      <c r="E535" t="s">
        <v>624</v>
      </c>
      <c r="F535" t="s">
        <v>20</v>
      </c>
      <c r="G535" s="5">
        <v>0</v>
      </c>
      <c r="H535" s="3"/>
      <c r="I535" s="33" t="s">
        <v>532</v>
      </c>
      <c r="K535" s="7"/>
    </row>
    <row r="536" spans="1:11" outlineLevel="1" collapsed="1" x14ac:dyDescent="0.25">
      <c r="A536" t="s">
        <v>134</v>
      </c>
      <c r="B536" t="s">
        <v>96</v>
      </c>
      <c r="C536" s="32" t="s">
        <v>137</v>
      </c>
      <c r="E536" t="s">
        <v>625</v>
      </c>
      <c r="F536" s="32" t="s">
        <v>36</v>
      </c>
      <c r="G536" s="5">
        <v>0</v>
      </c>
      <c r="H536" s="8"/>
      <c r="I536" s="33" t="s">
        <v>626</v>
      </c>
      <c r="J536" t="s">
        <v>524</v>
      </c>
      <c r="K536" s="9"/>
    </row>
    <row r="537" spans="1:11" outlineLevel="1" x14ac:dyDescent="0.25">
      <c r="A537" t="s">
        <v>134</v>
      </c>
      <c r="B537" t="s">
        <v>96</v>
      </c>
      <c r="C537" s="32" t="s">
        <v>525</v>
      </c>
      <c r="E537" t="s">
        <v>627</v>
      </c>
      <c r="F537" s="32" t="s">
        <v>20</v>
      </c>
      <c r="G537">
        <v>1</v>
      </c>
      <c r="H537" s="8"/>
      <c r="I537" s="33" t="s">
        <v>536</v>
      </c>
      <c r="K537" s="8"/>
    </row>
    <row r="538" spans="1:11" outlineLevel="1" x14ac:dyDescent="0.25">
      <c r="A538" t="s">
        <v>134</v>
      </c>
      <c r="B538" t="s">
        <v>96</v>
      </c>
      <c r="C538" t="s">
        <v>140</v>
      </c>
      <c r="E538" t="s">
        <v>628</v>
      </c>
      <c r="F538" s="32" t="s">
        <v>20</v>
      </c>
      <c r="G538">
        <v>1</v>
      </c>
      <c r="H538" t="s">
        <v>141</v>
      </c>
      <c r="I538" s="33" t="s">
        <v>142</v>
      </c>
      <c r="K538" s="8"/>
    </row>
    <row r="539" spans="1:11" outlineLevel="1" collapsed="1" x14ac:dyDescent="0.25">
      <c r="A539" t="s">
        <v>134</v>
      </c>
      <c r="B539" t="s">
        <v>96</v>
      </c>
      <c r="C539" t="s">
        <v>144</v>
      </c>
      <c r="E539" t="s">
        <v>629</v>
      </c>
      <c r="F539" t="s">
        <v>17</v>
      </c>
      <c r="G539">
        <v>1</v>
      </c>
      <c r="H539" s="8"/>
      <c r="I539" s="33"/>
      <c r="J539" t="s">
        <v>145</v>
      </c>
      <c r="K539" s="8"/>
    </row>
    <row r="540" spans="1:11" outlineLevel="1" x14ac:dyDescent="0.25">
      <c r="A540" t="s">
        <v>134</v>
      </c>
      <c r="B540" t="s">
        <v>96</v>
      </c>
      <c r="C540" t="s">
        <v>146</v>
      </c>
      <c r="E540" t="s">
        <v>630</v>
      </c>
      <c r="F540" t="s">
        <v>17</v>
      </c>
      <c r="G540">
        <v>1</v>
      </c>
      <c r="H540" s="8"/>
      <c r="I540" s="33"/>
      <c r="J540" t="s">
        <v>88</v>
      </c>
      <c r="K540" s="8"/>
    </row>
    <row r="541" spans="1:11" outlineLevel="1" x14ac:dyDescent="0.25">
      <c r="A541" t="s">
        <v>134</v>
      </c>
      <c r="B541" t="s">
        <v>96</v>
      </c>
      <c r="C541" t="s">
        <v>147</v>
      </c>
      <c r="E541" t="s">
        <v>631</v>
      </c>
      <c r="F541" t="s">
        <v>17</v>
      </c>
      <c r="G541">
        <v>1</v>
      </c>
      <c r="H541" s="8"/>
      <c r="I541" s="33"/>
      <c r="J541" t="s">
        <v>148</v>
      </c>
      <c r="K541" s="8"/>
    </row>
    <row r="542" spans="1:11" outlineLevel="1" collapsed="1" x14ac:dyDescent="0.25">
      <c r="A542" t="s">
        <v>134</v>
      </c>
      <c r="B542" t="s">
        <v>96</v>
      </c>
      <c r="C542" t="s">
        <v>149</v>
      </c>
      <c r="E542" t="s">
        <v>632</v>
      </c>
      <c r="F542" t="s">
        <v>17</v>
      </c>
      <c r="G542" s="5">
        <v>0</v>
      </c>
      <c r="H542" s="8"/>
      <c r="I542" s="33"/>
      <c r="J542" t="s">
        <v>88</v>
      </c>
      <c r="K542" s="8"/>
    </row>
    <row r="543" spans="1:11" outlineLevel="1" x14ac:dyDescent="0.25">
      <c r="A543" t="s">
        <v>134</v>
      </c>
      <c r="B543" t="s">
        <v>96</v>
      </c>
      <c r="C543" t="s">
        <v>150</v>
      </c>
      <c r="E543" t="s">
        <v>633</v>
      </c>
      <c r="F543" t="s">
        <v>17</v>
      </c>
      <c r="G543" s="5">
        <v>0</v>
      </c>
      <c r="H543" s="8"/>
      <c r="I543" s="33"/>
      <c r="J543" t="s">
        <v>70</v>
      </c>
      <c r="K543" s="8"/>
    </row>
    <row r="544" spans="1:11" outlineLevel="1" x14ac:dyDescent="0.25">
      <c r="A544" t="s">
        <v>134</v>
      </c>
      <c r="B544" t="s">
        <v>96</v>
      </c>
      <c r="C544" s="32" t="s">
        <v>526</v>
      </c>
      <c r="E544" t="s">
        <v>634</v>
      </c>
      <c r="F544" t="s">
        <v>17</v>
      </c>
      <c r="G544" s="5">
        <v>0</v>
      </c>
      <c r="H544" s="8"/>
      <c r="I544" s="33"/>
      <c r="J544" t="s">
        <v>151</v>
      </c>
      <c r="K544" s="8"/>
    </row>
    <row r="545" spans="1:11" x14ac:dyDescent="0.25">
      <c r="A545" t="s">
        <v>134</v>
      </c>
      <c r="B545" t="s">
        <v>97</v>
      </c>
      <c r="C545" t="s">
        <v>135</v>
      </c>
      <c r="E545" t="s">
        <v>635</v>
      </c>
      <c r="F545" s="32" t="s">
        <v>20</v>
      </c>
      <c r="G545" s="5">
        <v>0</v>
      </c>
      <c r="H545" s="8"/>
      <c r="I545" s="33" t="s">
        <v>636</v>
      </c>
      <c r="K545" s="8"/>
    </row>
    <row r="546" spans="1:11" outlineLevel="1" x14ac:dyDescent="0.25">
      <c r="A546" t="s">
        <v>134</v>
      </c>
      <c r="B546" t="s">
        <v>97</v>
      </c>
      <c r="C546" t="s">
        <v>136</v>
      </c>
      <c r="E546" t="s">
        <v>637</v>
      </c>
      <c r="F546" t="s">
        <v>20</v>
      </c>
      <c r="G546" s="5">
        <v>0</v>
      </c>
      <c r="H546" s="8"/>
      <c r="I546" s="33" t="s">
        <v>532</v>
      </c>
      <c r="K546" s="8"/>
    </row>
    <row r="547" spans="1:11" outlineLevel="1" x14ac:dyDescent="0.25">
      <c r="A547" t="s">
        <v>134</v>
      </c>
      <c r="B547" t="s">
        <v>97</v>
      </c>
      <c r="C547" s="32" t="s">
        <v>137</v>
      </c>
      <c r="E547" t="s">
        <v>638</v>
      </c>
      <c r="F547" s="32" t="s">
        <v>36</v>
      </c>
      <c r="G547">
        <v>1</v>
      </c>
      <c r="H547" s="8"/>
      <c r="I547" s="33" t="s">
        <v>626</v>
      </c>
      <c r="J547" t="s">
        <v>524</v>
      </c>
      <c r="K547" s="8"/>
    </row>
    <row r="548" spans="1:11" outlineLevel="1" x14ac:dyDescent="0.25">
      <c r="A548" t="s">
        <v>134</v>
      </c>
      <c r="B548" t="s">
        <v>97</v>
      </c>
      <c r="C548" s="32" t="s">
        <v>525</v>
      </c>
      <c r="E548" t="s">
        <v>639</v>
      </c>
      <c r="F548" s="32" t="s">
        <v>20</v>
      </c>
      <c r="G548">
        <v>1</v>
      </c>
      <c r="H548" s="8"/>
      <c r="I548" s="33" t="s">
        <v>549</v>
      </c>
      <c r="K548" s="8"/>
    </row>
    <row r="549" spans="1:11" x14ac:dyDescent="0.25">
      <c r="A549" t="s">
        <v>134</v>
      </c>
      <c r="B549" t="s">
        <v>97</v>
      </c>
      <c r="C549" t="s">
        <v>140</v>
      </c>
      <c r="E549" t="s">
        <v>640</v>
      </c>
      <c r="F549" s="32" t="s">
        <v>20</v>
      </c>
      <c r="G549">
        <v>1</v>
      </c>
      <c r="H549" t="s">
        <v>141</v>
      </c>
      <c r="I549" s="33" t="s">
        <v>142</v>
      </c>
      <c r="K549" s="8"/>
    </row>
    <row r="550" spans="1:11" x14ac:dyDescent="0.25">
      <c r="A550" t="s">
        <v>134</v>
      </c>
      <c r="B550" t="s">
        <v>97</v>
      </c>
      <c r="C550" t="s">
        <v>144</v>
      </c>
      <c r="E550" t="s">
        <v>641</v>
      </c>
      <c r="F550" t="s">
        <v>17</v>
      </c>
      <c r="G550">
        <v>1</v>
      </c>
      <c r="H550" s="8"/>
      <c r="I550" s="33"/>
      <c r="J550" t="s">
        <v>145</v>
      </c>
      <c r="K550" s="8"/>
    </row>
    <row r="551" spans="1:11" x14ac:dyDescent="0.25">
      <c r="A551" t="s">
        <v>134</v>
      </c>
      <c r="B551" t="s">
        <v>97</v>
      </c>
      <c r="C551" t="s">
        <v>146</v>
      </c>
      <c r="E551" t="s">
        <v>642</v>
      </c>
      <c r="F551" t="s">
        <v>17</v>
      </c>
      <c r="G551">
        <v>1</v>
      </c>
      <c r="H551" s="8"/>
      <c r="I551" s="33"/>
      <c r="J551" t="s">
        <v>88</v>
      </c>
      <c r="K551" s="8"/>
    </row>
    <row r="552" spans="1:11" x14ac:dyDescent="0.25">
      <c r="A552" t="s">
        <v>134</v>
      </c>
      <c r="B552" t="s">
        <v>97</v>
      </c>
      <c r="C552" t="s">
        <v>147</v>
      </c>
      <c r="E552" t="s">
        <v>643</v>
      </c>
      <c r="F552" t="s">
        <v>17</v>
      </c>
      <c r="G552" s="5">
        <v>0</v>
      </c>
      <c r="H552" s="8"/>
      <c r="I552" s="33"/>
      <c r="J552" t="s">
        <v>148</v>
      </c>
      <c r="K552" s="8"/>
    </row>
    <row r="553" spans="1:11" x14ac:dyDescent="0.25">
      <c r="A553" t="s">
        <v>134</v>
      </c>
      <c r="B553" t="s">
        <v>97</v>
      </c>
      <c r="C553" t="s">
        <v>149</v>
      </c>
      <c r="E553" t="s">
        <v>644</v>
      </c>
      <c r="F553" t="s">
        <v>17</v>
      </c>
      <c r="G553" s="5">
        <v>0</v>
      </c>
      <c r="H553" s="8"/>
      <c r="I553" s="33"/>
      <c r="J553" t="s">
        <v>88</v>
      </c>
      <c r="K553" s="8"/>
    </row>
    <row r="554" spans="1:11" x14ac:dyDescent="0.25">
      <c r="A554" t="s">
        <v>134</v>
      </c>
      <c r="B554" t="s">
        <v>97</v>
      </c>
      <c r="C554" t="s">
        <v>150</v>
      </c>
      <c r="E554" t="s">
        <v>645</v>
      </c>
      <c r="F554" t="s">
        <v>17</v>
      </c>
      <c r="G554" s="5">
        <v>0</v>
      </c>
      <c r="H554" s="8"/>
      <c r="I554" s="33"/>
      <c r="J554" t="s">
        <v>70</v>
      </c>
      <c r="K554" s="8"/>
    </row>
    <row r="555" spans="1:11" x14ac:dyDescent="0.25">
      <c r="A555" t="s">
        <v>134</v>
      </c>
      <c r="B555" t="s">
        <v>97</v>
      </c>
      <c r="C555" s="32" t="s">
        <v>526</v>
      </c>
      <c r="E555" t="s">
        <v>646</v>
      </c>
      <c r="F555" t="s">
        <v>17</v>
      </c>
      <c r="G555" s="5">
        <v>0</v>
      </c>
      <c r="H555" s="8"/>
      <c r="I555" s="33"/>
      <c r="J555" t="s">
        <v>151</v>
      </c>
      <c r="K555" s="8"/>
    </row>
    <row r="556" spans="1:11" x14ac:dyDescent="0.25">
      <c r="A556" t="s">
        <v>134</v>
      </c>
      <c r="B556" t="s">
        <v>98</v>
      </c>
      <c r="C556" t="s">
        <v>135</v>
      </c>
      <c r="E556" t="s">
        <v>647</v>
      </c>
      <c r="F556" s="32" t="s">
        <v>20</v>
      </c>
      <c r="G556" s="5">
        <v>0</v>
      </c>
      <c r="H556" s="8"/>
      <c r="I556" s="33" t="s">
        <v>648</v>
      </c>
      <c r="K556" s="8"/>
    </row>
    <row r="557" spans="1:11" x14ac:dyDescent="0.25">
      <c r="A557" t="s">
        <v>134</v>
      </c>
      <c r="B557" t="s">
        <v>98</v>
      </c>
      <c r="C557" t="s">
        <v>136</v>
      </c>
      <c r="E557" t="s">
        <v>649</v>
      </c>
      <c r="F557" t="s">
        <v>20</v>
      </c>
      <c r="G557">
        <v>1</v>
      </c>
      <c r="H557" s="8"/>
      <c r="I557" s="33" t="s">
        <v>532</v>
      </c>
      <c r="K557" s="8"/>
    </row>
    <row r="558" spans="1:11" x14ac:dyDescent="0.25">
      <c r="A558" t="s">
        <v>134</v>
      </c>
      <c r="B558" t="s">
        <v>98</v>
      </c>
      <c r="C558" s="32" t="s">
        <v>137</v>
      </c>
      <c r="E558" t="s">
        <v>650</v>
      </c>
      <c r="F558" s="32" t="s">
        <v>36</v>
      </c>
      <c r="G558">
        <v>1</v>
      </c>
      <c r="H558" s="8"/>
      <c r="I558" s="33" t="s">
        <v>626</v>
      </c>
      <c r="J558" t="s">
        <v>524</v>
      </c>
      <c r="K558" s="8"/>
    </row>
    <row r="559" spans="1:11" x14ac:dyDescent="0.25">
      <c r="A559" t="s">
        <v>134</v>
      </c>
      <c r="B559" t="s">
        <v>98</v>
      </c>
      <c r="C559" s="32" t="s">
        <v>525</v>
      </c>
      <c r="E559" t="s">
        <v>651</v>
      </c>
      <c r="F559" s="32" t="s">
        <v>20</v>
      </c>
      <c r="G559">
        <v>1</v>
      </c>
      <c r="H559" s="8"/>
      <c r="I559" s="33" t="s">
        <v>562</v>
      </c>
      <c r="K559" s="8"/>
    </row>
    <row r="560" spans="1:11" x14ac:dyDescent="0.25">
      <c r="A560" t="s">
        <v>134</v>
      </c>
      <c r="B560" t="s">
        <v>98</v>
      </c>
      <c r="C560" t="s">
        <v>140</v>
      </c>
      <c r="E560" t="s">
        <v>652</v>
      </c>
      <c r="F560" s="32" t="s">
        <v>20</v>
      </c>
      <c r="G560">
        <v>1</v>
      </c>
      <c r="H560" t="s">
        <v>141</v>
      </c>
      <c r="I560" s="33" t="s">
        <v>142</v>
      </c>
      <c r="K560" s="8"/>
    </row>
    <row r="561" spans="1:11" x14ac:dyDescent="0.25">
      <c r="A561" t="s">
        <v>134</v>
      </c>
      <c r="B561" t="s">
        <v>98</v>
      </c>
      <c r="C561" t="s">
        <v>144</v>
      </c>
      <c r="E561" t="s">
        <v>653</v>
      </c>
      <c r="F561" t="s">
        <v>17</v>
      </c>
      <c r="G561">
        <v>1</v>
      </c>
      <c r="H561" s="8"/>
      <c r="I561" s="33"/>
      <c r="J561" t="s">
        <v>145</v>
      </c>
      <c r="K561" s="8"/>
    </row>
    <row r="562" spans="1:11" x14ac:dyDescent="0.25">
      <c r="A562" t="s">
        <v>134</v>
      </c>
      <c r="B562" t="s">
        <v>98</v>
      </c>
      <c r="C562" t="s">
        <v>146</v>
      </c>
      <c r="E562" t="s">
        <v>654</v>
      </c>
      <c r="F562" t="s">
        <v>17</v>
      </c>
      <c r="G562" s="5">
        <v>0</v>
      </c>
      <c r="H562" s="8"/>
      <c r="I562" s="33"/>
      <c r="J562" t="s">
        <v>88</v>
      </c>
      <c r="K562" s="8"/>
    </row>
    <row r="563" spans="1:11" x14ac:dyDescent="0.25">
      <c r="A563" t="s">
        <v>134</v>
      </c>
      <c r="B563" t="s">
        <v>98</v>
      </c>
      <c r="C563" t="s">
        <v>147</v>
      </c>
      <c r="E563" t="s">
        <v>655</v>
      </c>
      <c r="F563" t="s">
        <v>17</v>
      </c>
      <c r="G563" s="5">
        <v>0</v>
      </c>
      <c r="H563" s="8"/>
      <c r="I563" s="33"/>
      <c r="J563" t="s">
        <v>148</v>
      </c>
      <c r="K563" s="8"/>
    </row>
    <row r="564" spans="1:11" x14ac:dyDescent="0.25">
      <c r="A564" t="s">
        <v>134</v>
      </c>
      <c r="B564" t="s">
        <v>98</v>
      </c>
      <c r="C564" t="s">
        <v>149</v>
      </c>
      <c r="E564" t="s">
        <v>656</v>
      </c>
      <c r="F564" t="s">
        <v>17</v>
      </c>
      <c r="G564" s="5">
        <v>0</v>
      </c>
      <c r="H564" s="8"/>
      <c r="I564" s="33"/>
      <c r="J564" t="s">
        <v>88</v>
      </c>
      <c r="K564" s="8"/>
    </row>
    <row r="565" spans="1:11" x14ac:dyDescent="0.25">
      <c r="A565" t="s">
        <v>134</v>
      </c>
      <c r="B565" t="s">
        <v>98</v>
      </c>
      <c r="C565" t="s">
        <v>150</v>
      </c>
      <c r="E565" t="s">
        <v>657</v>
      </c>
      <c r="F565" t="s">
        <v>17</v>
      </c>
      <c r="G565" s="5">
        <v>0</v>
      </c>
      <c r="H565" s="8"/>
      <c r="I565" s="33"/>
      <c r="J565" t="s">
        <v>70</v>
      </c>
      <c r="K565" s="8"/>
    </row>
    <row r="566" spans="1:11" outlineLevel="1" x14ac:dyDescent="0.25">
      <c r="A566" t="s">
        <v>134</v>
      </c>
      <c r="B566" t="s">
        <v>98</v>
      </c>
      <c r="C566" s="32" t="s">
        <v>526</v>
      </c>
      <c r="E566" t="s">
        <v>658</v>
      </c>
      <c r="F566" t="s">
        <v>17</v>
      </c>
      <c r="G566" s="5">
        <v>0</v>
      </c>
      <c r="H566" s="8"/>
      <c r="I566" s="33"/>
      <c r="J566" t="s">
        <v>151</v>
      </c>
      <c r="K566" s="8"/>
    </row>
    <row r="567" spans="1:11" outlineLevel="1" x14ac:dyDescent="0.25">
      <c r="A567" t="s">
        <v>134</v>
      </c>
      <c r="B567" t="s">
        <v>99</v>
      </c>
      <c r="C567" t="s">
        <v>135</v>
      </c>
      <c r="E567" t="s">
        <v>659</v>
      </c>
      <c r="F567" s="32" t="s">
        <v>20</v>
      </c>
      <c r="G567">
        <v>1</v>
      </c>
      <c r="H567" s="8"/>
      <c r="I567" s="33" t="s">
        <v>660</v>
      </c>
      <c r="K567" s="8"/>
    </row>
    <row r="568" spans="1:11" outlineLevel="1" x14ac:dyDescent="0.25">
      <c r="A568" t="s">
        <v>134</v>
      </c>
      <c r="B568" t="s">
        <v>99</v>
      </c>
      <c r="C568" t="s">
        <v>136</v>
      </c>
      <c r="E568" t="s">
        <v>661</v>
      </c>
      <c r="F568" t="s">
        <v>20</v>
      </c>
      <c r="G568">
        <v>1</v>
      </c>
      <c r="H568" s="8"/>
      <c r="I568" s="33" t="s">
        <v>532</v>
      </c>
      <c r="K568" s="8"/>
    </row>
    <row r="569" spans="1:11" outlineLevel="1" x14ac:dyDescent="0.25">
      <c r="A569" t="s">
        <v>134</v>
      </c>
      <c r="B569" t="s">
        <v>99</v>
      </c>
      <c r="C569" s="32" t="s">
        <v>137</v>
      </c>
      <c r="E569" t="s">
        <v>662</v>
      </c>
      <c r="F569" s="32" t="s">
        <v>36</v>
      </c>
      <c r="G569">
        <v>1</v>
      </c>
      <c r="H569" s="8"/>
      <c r="I569" s="33" t="s">
        <v>626</v>
      </c>
      <c r="J569" t="s">
        <v>524</v>
      </c>
      <c r="K569" s="8"/>
    </row>
    <row r="570" spans="1:11" outlineLevel="1" x14ac:dyDescent="0.25">
      <c r="A570" t="s">
        <v>134</v>
      </c>
      <c r="B570" t="s">
        <v>99</v>
      </c>
      <c r="C570" s="32" t="s">
        <v>525</v>
      </c>
      <c r="E570" t="s">
        <v>663</v>
      </c>
      <c r="F570" s="32" t="s">
        <v>20</v>
      </c>
      <c r="G570">
        <v>1</v>
      </c>
      <c r="H570" s="8"/>
      <c r="I570" s="33" t="s">
        <v>575</v>
      </c>
      <c r="K570" s="8"/>
    </row>
    <row r="571" spans="1:11" outlineLevel="1" x14ac:dyDescent="0.25">
      <c r="A571" t="s">
        <v>134</v>
      </c>
      <c r="B571" t="s">
        <v>99</v>
      </c>
      <c r="C571" t="s">
        <v>140</v>
      </c>
      <c r="E571" t="s">
        <v>664</v>
      </c>
      <c r="F571" s="32" t="s">
        <v>20</v>
      </c>
      <c r="G571">
        <v>1</v>
      </c>
      <c r="H571" t="s">
        <v>141</v>
      </c>
      <c r="I571" s="33" t="s">
        <v>142</v>
      </c>
      <c r="K571" s="8"/>
    </row>
    <row r="572" spans="1:11" outlineLevel="1" x14ac:dyDescent="0.25">
      <c r="A572" t="s">
        <v>134</v>
      </c>
      <c r="B572" t="s">
        <v>99</v>
      </c>
      <c r="C572" t="s">
        <v>144</v>
      </c>
      <c r="E572" t="s">
        <v>665</v>
      </c>
      <c r="F572" t="s">
        <v>17</v>
      </c>
      <c r="G572" s="5">
        <v>1</v>
      </c>
      <c r="H572" s="8"/>
      <c r="I572" s="33"/>
      <c r="J572" t="s">
        <v>145</v>
      </c>
      <c r="K572" s="8"/>
    </row>
    <row r="573" spans="1:11" outlineLevel="1" x14ac:dyDescent="0.25">
      <c r="A573" t="s">
        <v>134</v>
      </c>
      <c r="B573" t="s">
        <v>99</v>
      </c>
      <c r="C573" t="s">
        <v>146</v>
      </c>
      <c r="E573" t="s">
        <v>666</v>
      </c>
      <c r="F573" t="s">
        <v>17</v>
      </c>
      <c r="G573" s="5">
        <v>1</v>
      </c>
      <c r="H573" s="8"/>
      <c r="I573" s="33"/>
      <c r="J573" t="s">
        <v>88</v>
      </c>
      <c r="K573" s="8"/>
    </row>
    <row r="574" spans="1:11" outlineLevel="1" x14ac:dyDescent="0.25">
      <c r="A574" t="s">
        <v>134</v>
      </c>
      <c r="B574" t="s">
        <v>99</v>
      </c>
      <c r="C574" t="s">
        <v>147</v>
      </c>
      <c r="E574" t="s">
        <v>667</v>
      </c>
      <c r="F574" t="s">
        <v>17</v>
      </c>
      <c r="G574" s="5">
        <v>1</v>
      </c>
      <c r="H574" s="8"/>
      <c r="I574" s="33"/>
      <c r="J574" t="s">
        <v>148</v>
      </c>
      <c r="K574" s="8"/>
    </row>
    <row r="575" spans="1:11" outlineLevel="1" x14ac:dyDescent="0.25">
      <c r="A575" t="s">
        <v>134</v>
      </c>
      <c r="B575" t="s">
        <v>99</v>
      </c>
      <c r="C575" t="s">
        <v>149</v>
      </c>
      <c r="E575" t="s">
        <v>668</v>
      </c>
      <c r="F575" t="s">
        <v>17</v>
      </c>
      <c r="G575" s="5">
        <v>0</v>
      </c>
      <c r="H575" s="8"/>
      <c r="I575" s="33"/>
      <c r="J575" t="s">
        <v>88</v>
      </c>
      <c r="K575" s="8"/>
    </row>
    <row r="576" spans="1:11" outlineLevel="1" x14ac:dyDescent="0.25">
      <c r="A576" t="s">
        <v>134</v>
      </c>
      <c r="B576" t="s">
        <v>99</v>
      </c>
      <c r="C576" t="s">
        <v>150</v>
      </c>
      <c r="E576" t="s">
        <v>669</v>
      </c>
      <c r="F576" t="s">
        <v>17</v>
      </c>
      <c r="G576" s="5">
        <v>0</v>
      </c>
      <c r="H576" s="8"/>
      <c r="I576" s="33"/>
      <c r="J576" t="s">
        <v>70</v>
      </c>
      <c r="K576" s="8"/>
    </row>
    <row r="577" spans="1:11" outlineLevel="1" x14ac:dyDescent="0.25">
      <c r="A577" t="s">
        <v>134</v>
      </c>
      <c r="B577" t="s">
        <v>99</v>
      </c>
      <c r="C577" s="32" t="s">
        <v>526</v>
      </c>
      <c r="E577" t="s">
        <v>670</v>
      </c>
      <c r="F577" t="s">
        <v>17</v>
      </c>
      <c r="G577">
        <v>1</v>
      </c>
      <c r="H577" s="8"/>
      <c r="I577" s="33"/>
      <c r="J577" t="s">
        <v>151</v>
      </c>
      <c r="K577" s="8"/>
    </row>
    <row r="578" spans="1:11" outlineLevel="1" x14ac:dyDescent="0.25">
      <c r="A578" t="s">
        <v>134</v>
      </c>
      <c r="B578" t="s">
        <v>100</v>
      </c>
      <c r="C578" t="s">
        <v>135</v>
      </c>
      <c r="E578" t="s">
        <v>671</v>
      </c>
      <c r="F578" s="32" t="s">
        <v>20</v>
      </c>
      <c r="G578">
        <v>1</v>
      </c>
      <c r="H578" s="8"/>
      <c r="I578" s="33" t="s">
        <v>672</v>
      </c>
      <c r="K578" s="8"/>
    </row>
    <row r="579" spans="1:11" outlineLevel="1" x14ac:dyDescent="0.25">
      <c r="A579" t="s">
        <v>134</v>
      </c>
      <c r="B579" t="s">
        <v>100</v>
      </c>
      <c r="C579" t="s">
        <v>136</v>
      </c>
      <c r="E579" t="s">
        <v>673</v>
      </c>
      <c r="F579" t="s">
        <v>20</v>
      </c>
      <c r="G579">
        <v>1</v>
      </c>
      <c r="H579" s="8"/>
      <c r="I579" s="33" t="s">
        <v>532</v>
      </c>
      <c r="K579" s="8"/>
    </row>
    <row r="580" spans="1:11" outlineLevel="1" x14ac:dyDescent="0.25">
      <c r="A580" t="s">
        <v>134</v>
      </c>
      <c r="B580" t="s">
        <v>100</v>
      </c>
      <c r="C580" s="32" t="s">
        <v>137</v>
      </c>
      <c r="E580" t="s">
        <v>674</v>
      </c>
      <c r="F580" s="32" t="s">
        <v>36</v>
      </c>
      <c r="G580">
        <v>1</v>
      </c>
      <c r="H580" s="8"/>
      <c r="I580" s="33" t="s">
        <v>626</v>
      </c>
      <c r="J580" t="s">
        <v>524</v>
      </c>
      <c r="K580" s="8"/>
    </row>
    <row r="581" spans="1:11" outlineLevel="1" x14ac:dyDescent="0.25">
      <c r="A581" t="s">
        <v>134</v>
      </c>
      <c r="B581" t="s">
        <v>100</v>
      </c>
      <c r="C581" s="32" t="s">
        <v>525</v>
      </c>
      <c r="E581" t="s">
        <v>675</v>
      </c>
      <c r="F581" s="32" t="s">
        <v>20</v>
      </c>
      <c r="G581">
        <v>1</v>
      </c>
      <c r="H581" s="8"/>
      <c r="I581" s="33" t="s">
        <v>588</v>
      </c>
      <c r="K581" s="8"/>
    </row>
    <row r="582" spans="1:11" outlineLevel="1" x14ac:dyDescent="0.25">
      <c r="A582" t="s">
        <v>134</v>
      </c>
      <c r="B582" t="s">
        <v>100</v>
      </c>
      <c r="C582" t="s">
        <v>140</v>
      </c>
      <c r="E582" t="s">
        <v>676</v>
      </c>
      <c r="F582" s="32" t="s">
        <v>20</v>
      </c>
      <c r="G582" s="5">
        <v>0</v>
      </c>
      <c r="H582" t="s">
        <v>141</v>
      </c>
      <c r="I582" s="33" t="s">
        <v>142</v>
      </c>
      <c r="K582" s="8"/>
    </row>
    <row r="583" spans="1:11" outlineLevel="1" x14ac:dyDescent="0.25">
      <c r="A583" t="s">
        <v>134</v>
      </c>
      <c r="B583" t="s">
        <v>100</v>
      </c>
      <c r="C583" t="s">
        <v>144</v>
      </c>
      <c r="E583" t="s">
        <v>677</v>
      </c>
      <c r="F583" t="s">
        <v>17</v>
      </c>
      <c r="G583" s="5">
        <v>0</v>
      </c>
      <c r="H583" s="8"/>
      <c r="I583" s="33"/>
      <c r="J583" t="s">
        <v>145</v>
      </c>
      <c r="K583" s="8"/>
    </row>
    <row r="584" spans="1:11" x14ac:dyDescent="0.25">
      <c r="A584" t="s">
        <v>134</v>
      </c>
      <c r="B584" t="s">
        <v>100</v>
      </c>
      <c r="C584" t="s">
        <v>146</v>
      </c>
      <c r="E584" t="s">
        <v>678</v>
      </c>
      <c r="F584" t="s">
        <v>17</v>
      </c>
      <c r="G584" s="5">
        <v>0</v>
      </c>
      <c r="H584" s="8"/>
      <c r="I584" s="33"/>
      <c r="J584" t="s">
        <v>88</v>
      </c>
      <c r="K584" s="8"/>
    </row>
    <row r="585" spans="1:11" x14ac:dyDescent="0.25">
      <c r="A585" t="s">
        <v>134</v>
      </c>
      <c r="B585" t="s">
        <v>100</v>
      </c>
      <c r="C585" t="s">
        <v>147</v>
      </c>
      <c r="E585" t="s">
        <v>679</v>
      </c>
      <c r="F585" t="s">
        <v>17</v>
      </c>
      <c r="G585" s="5">
        <v>0</v>
      </c>
      <c r="H585" s="8"/>
      <c r="I585" s="33"/>
      <c r="J585" t="s">
        <v>148</v>
      </c>
      <c r="K585" s="8"/>
    </row>
    <row r="586" spans="1:11" x14ac:dyDescent="0.25">
      <c r="A586" t="s">
        <v>134</v>
      </c>
      <c r="B586" t="s">
        <v>100</v>
      </c>
      <c r="C586" t="s">
        <v>149</v>
      </c>
      <c r="E586" t="s">
        <v>680</v>
      </c>
      <c r="F586" t="s">
        <v>17</v>
      </c>
      <c r="G586" s="5">
        <v>0</v>
      </c>
      <c r="H586" s="8"/>
      <c r="I586" s="33"/>
      <c r="J586" t="s">
        <v>88</v>
      </c>
      <c r="K586" s="8"/>
    </row>
    <row r="587" spans="1:11" x14ac:dyDescent="0.25">
      <c r="A587" t="s">
        <v>134</v>
      </c>
      <c r="B587" t="s">
        <v>100</v>
      </c>
      <c r="C587" t="s">
        <v>150</v>
      </c>
      <c r="E587" t="s">
        <v>681</v>
      </c>
      <c r="F587" t="s">
        <v>17</v>
      </c>
      <c r="G587">
        <v>1</v>
      </c>
      <c r="H587" s="8"/>
      <c r="I587" s="33"/>
      <c r="J587" t="s">
        <v>70</v>
      </c>
      <c r="K587" s="8"/>
    </row>
    <row r="588" spans="1:11" x14ac:dyDescent="0.25">
      <c r="A588" t="s">
        <v>134</v>
      </c>
      <c r="B588" t="s">
        <v>100</v>
      </c>
      <c r="C588" s="32" t="s">
        <v>526</v>
      </c>
      <c r="E588" t="s">
        <v>682</v>
      </c>
      <c r="F588" t="s">
        <v>17</v>
      </c>
      <c r="G588">
        <v>1</v>
      </c>
      <c r="H588" s="8"/>
      <c r="I588" s="33"/>
      <c r="J588" t="s">
        <v>151</v>
      </c>
      <c r="K588" s="8"/>
    </row>
    <row r="589" spans="1:11" x14ac:dyDescent="0.25">
      <c r="A589" t="s">
        <v>134</v>
      </c>
      <c r="B589" t="s">
        <v>101</v>
      </c>
      <c r="C589" t="s">
        <v>135</v>
      </c>
      <c r="E589" t="s">
        <v>683</v>
      </c>
      <c r="F589" s="32" t="s">
        <v>20</v>
      </c>
      <c r="G589">
        <v>1</v>
      </c>
      <c r="H589" s="8"/>
      <c r="I589" s="33" t="s">
        <v>684</v>
      </c>
      <c r="K589" s="8"/>
    </row>
    <row r="590" spans="1:11" x14ac:dyDescent="0.25">
      <c r="A590" t="s">
        <v>134</v>
      </c>
      <c r="B590" t="s">
        <v>101</v>
      </c>
      <c r="C590" t="s">
        <v>136</v>
      </c>
      <c r="E590" t="s">
        <v>685</v>
      </c>
      <c r="F590" t="s">
        <v>20</v>
      </c>
      <c r="G590">
        <v>1</v>
      </c>
      <c r="H590" s="8"/>
      <c r="I590" s="33" t="s">
        <v>532</v>
      </c>
      <c r="K590" s="8"/>
    </row>
    <row r="591" spans="1:11" x14ac:dyDescent="0.25">
      <c r="A591" t="s">
        <v>134</v>
      </c>
      <c r="B591" t="s">
        <v>101</v>
      </c>
      <c r="C591" s="32" t="s">
        <v>137</v>
      </c>
      <c r="E591" t="s">
        <v>686</v>
      </c>
      <c r="F591" s="32" t="s">
        <v>36</v>
      </c>
      <c r="G591">
        <v>1</v>
      </c>
      <c r="H591" s="8"/>
      <c r="I591" s="33" t="s">
        <v>626</v>
      </c>
      <c r="J591" t="s">
        <v>524</v>
      </c>
      <c r="K591" s="8"/>
    </row>
    <row r="592" spans="1:11" x14ac:dyDescent="0.25">
      <c r="A592" t="s">
        <v>134</v>
      </c>
      <c r="B592" t="s">
        <v>101</v>
      </c>
      <c r="C592" s="32" t="s">
        <v>525</v>
      </c>
      <c r="E592" t="s">
        <v>687</v>
      </c>
      <c r="F592" s="32" t="s">
        <v>20</v>
      </c>
      <c r="G592" s="5">
        <v>0</v>
      </c>
      <c r="H592" s="8"/>
      <c r="I592" s="33" t="s">
        <v>601</v>
      </c>
      <c r="K592" s="8"/>
    </row>
    <row r="593" spans="1:11" x14ac:dyDescent="0.25">
      <c r="A593" t="s">
        <v>134</v>
      </c>
      <c r="B593" t="s">
        <v>101</v>
      </c>
      <c r="C593" t="s">
        <v>140</v>
      </c>
      <c r="E593" t="s">
        <v>688</v>
      </c>
      <c r="F593" s="32" t="s">
        <v>20</v>
      </c>
      <c r="G593" s="5">
        <v>0</v>
      </c>
      <c r="H593" t="s">
        <v>141</v>
      </c>
      <c r="I593" s="33" t="s">
        <v>142</v>
      </c>
      <c r="K593" s="8"/>
    </row>
    <row r="594" spans="1:11" x14ac:dyDescent="0.25">
      <c r="A594" t="s">
        <v>134</v>
      </c>
      <c r="B594" t="s">
        <v>101</v>
      </c>
      <c r="C594" t="s">
        <v>144</v>
      </c>
      <c r="E594" t="s">
        <v>689</v>
      </c>
      <c r="F594" t="s">
        <v>17</v>
      </c>
      <c r="G594" s="5">
        <v>0</v>
      </c>
      <c r="H594" s="8"/>
      <c r="I594" s="33"/>
      <c r="J594" t="s">
        <v>145</v>
      </c>
      <c r="K594" s="8"/>
    </row>
    <row r="595" spans="1:11" x14ac:dyDescent="0.25">
      <c r="A595" t="s">
        <v>134</v>
      </c>
      <c r="B595" t="s">
        <v>101</v>
      </c>
      <c r="C595" t="s">
        <v>146</v>
      </c>
      <c r="E595" t="s">
        <v>690</v>
      </c>
      <c r="F595" t="s">
        <v>17</v>
      </c>
      <c r="G595" s="5">
        <v>0</v>
      </c>
      <c r="H595" s="8"/>
      <c r="I595" s="33"/>
      <c r="J595" t="s">
        <v>88</v>
      </c>
      <c r="K595" s="8"/>
    </row>
    <row r="596" spans="1:11" x14ac:dyDescent="0.25">
      <c r="A596" t="s">
        <v>134</v>
      </c>
      <c r="B596" t="s">
        <v>101</v>
      </c>
      <c r="C596" t="s">
        <v>147</v>
      </c>
      <c r="E596" t="s">
        <v>691</v>
      </c>
      <c r="F596" t="s">
        <v>17</v>
      </c>
      <c r="G596" s="5">
        <v>0</v>
      </c>
      <c r="H596" s="8"/>
      <c r="I596" s="33"/>
      <c r="J596" t="s">
        <v>148</v>
      </c>
      <c r="K596" s="8"/>
    </row>
    <row r="597" spans="1:11" x14ac:dyDescent="0.25">
      <c r="A597" t="s">
        <v>134</v>
      </c>
      <c r="B597" t="s">
        <v>101</v>
      </c>
      <c r="C597" t="s">
        <v>149</v>
      </c>
      <c r="E597" t="s">
        <v>692</v>
      </c>
      <c r="F597" t="s">
        <v>17</v>
      </c>
      <c r="G597">
        <v>1</v>
      </c>
      <c r="I597" s="33"/>
      <c r="J597" t="s">
        <v>88</v>
      </c>
    </row>
    <row r="598" spans="1:11" x14ac:dyDescent="0.25">
      <c r="A598" t="s">
        <v>134</v>
      </c>
      <c r="B598" t="s">
        <v>101</v>
      </c>
      <c r="C598" t="s">
        <v>150</v>
      </c>
      <c r="E598" t="s">
        <v>693</v>
      </c>
      <c r="F598" t="s">
        <v>17</v>
      </c>
      <c r="G598">
        <v>1</v>
      </c>
      <c r="I598" s="33"/>
      <c r="J598" t="s">
        <v>70</v>
      </c>
    </row>
    <row r="599" spans="1:11" x14ac:dyDescent="0.25">
      <c r="A599" t="s">
        <v>134</v>
      </c>
      <c r="B599" t="s">
        <v>101</v>
      </c>
      <c r="C599" s="32" t="s">
        <v>526</v>
      </c>
      <c r="E599" t="s">
        <v>694</v>
      </c>
      <c r="F599" t="s">
        <v>17</v>
      </c>
      <c r="G599">
        <v>1</v>
      </c>
      <c r="I599" s="33"/>
      <c r="J599" t="s">
        <v>151</v>
      </c>
    </row>
    <row r="600" spans="1:11" x14ac:dyDescent="0.25">
      <c r="A600" t="s">
        <v>134</v>
      </c>
      <c r="B600" t="s">
        <v>102</v>
      </c>
      <c r="C600" t="s">
        <v>135</v>
      </c>
      <c r="E600" t="s">
        <v>695</v>
      </c>
      <c r="F600" s="32" t="s">
        <v>20</v>
      </c>
      <c r="G600">
        <v>1</v>
      </c>
      <c r="I600" s="33" t="s">
        <v>696</v>
      </c>
    </row>
    <row r="601" spans="1:11" x14ac:dyDescent="0.25">
      <c r="A601" t="s">
        <v>134</v>
      </c>
      <c r="B601" t="s">
        <v>102</v>
      </c>
      <c r="C601" t="s">
        <v>136</v>
      </c>
      <c r="E601" t="s">
        <v>697</v>
      </c>
      <c r="F601" t="s">
        <v>20</v>
      </c>
      <c r="G601">
        <v>1</v>
      </c>
      <c r="I601" s="33" t="s">
        <v>532</v>
      </c>
    </row>
    <row r="602" spans="1:11" x14ac:dyDescent="0.25">
      <c r="A602" t="s">
        <v>134</v>
      </c>
      <c r="B602" t="s">
        <v>102</v>
      </c>
      <c r="C602" s="32" t="s">
        <v>137</v>
      </c>
      <c r="E602" t="s">
        <v>698</v>
      </c>
      <c r="F602" s="32" t="s">
        <v>36</v>
      </c>
      <c r="G602" s="5">
        <v>0</v>
      </c>
      <c r="I602" s="33" t="s">
        <v>626</v>
      </c>
      <c r="J602" t="s">
        <v>524</v>
      </c>
    </row>
    <row r="603" spans="1:11" x14ac:dyDescent="0.25">
      <c r="A603" t="s">
        <v>134</v>
      </c>
      <c r="B603" t="s">
        <v>102</v>
      </c>
      <c r="C603" s="32" t="s">
        <v>525</v>
      </c>
      <c r="E603" t="s">
        <v>699</v>
      </c>
      <c r="F603" s="32" t="s">
        <v>20</v>
      </c>
      <c r="G603" s="5">
        <v>0</v>
      </c>
      <c r="I603" s="33" t="s">
        <v>614</v>
      </c>
    </row>
    <row r="604" spans="1:11" x14ac:dyDescent="0.25">
      <c r="A604" t="s">
        <v>134</v>
      </c>
      <c r="B604" t="s">
        <v>102</v>
      </c>
      <c r="C604" t="s">
        <v>140</v>
      </c>
      <c r="E604" t="s">
        <v>700</v>
      </c>
      <c r="F604" s="32" t="s">
        <v>20</v>
      </c>
      <c r="G604" s="5">
        <v>0</v>
      </c>
      <c r="H604" t="s">
        <v>141</v>
      </c>
      <c r="I604" s="33" t="s">
        <v>142</v>
      </c>
    </row>
    <row r="605" spans="1:11" x14ac:dyDescent="0.25">
      <c r="A605" t="s">
        <v>134</v>
      </c>
      <c r="B605" t="s">
        <v>102</v>
      </c>
      <c r="C605" t="s">
        <v>144</v>
      </c>
      <c r="E605" t="s">
        <v>701</v>
      </c>
      <c r="F605" t="s">
        <v>17</v>
      </c>
      <c r="G605" s="5">
        <v>0</v>
      </c>
      <c r="I605" s="33"/>
      <c r="J605" t="s">
        <v>145</v>
      </c>
      <c r="K605" s="6"/>
    </row>
    <row r="606" spans="1:11" x14ac:dyDescent="0.25">
      <c r="A606" t="s">
        <v>134</v>
      </c>
      <c r="B606" t="s">
        <v>102</v>
      </c>
      <c r="C606" t="s">
        <v>146</v>
      </c>
      <c r="E606" t="s">
        <v>702</v>
      </c>
      <c r="F606" t="s">
        <v>17</v>
      </c>
      <c r="G606" s="5">
        <v>0</v>
      </c>
      <c r="H606" s="3"/>
      <c r="I606" s="33"/>
      <c r="J606" t="s">
        <v>88</v>
      </c>
      <c r="K606" s="7"/>
    </row>
    <row r="607" spans="1:11" x14ac:dyDescent="0.25">
      <c r="A607" t="s">
        <v>134</v>
      </c>
      <c r="B607" t="s">
        <v>102</v>
      </c>
      <c r="C607" t="s">
        <v>147</v>
      </c>
      <c r="E607" t="s">
        <v>703</v>
      </c>
      <c r="F607" t="s">
        <v>17</v>
      </c>
      <c r="G607">
        <v>1</v>
      </c>
      <c r="H607" s="8"/>
      <c r="I607" s="33"/>
      <c r="J607" t="s">
        <v>148</v>
      </c>
      <c r="K607" s="9"/>
    </row>
    <row r="608" spans="1:11" x14ac:dyDescent="0.25">
      <c r="A608" t="s">
        <v>134</v>
      </c>
      <c r="B608" t="s">
        <v>102</v>
      </c>
      <c r="C608" t="s">
        <v>149</v>
      </c>
      <c r="E608" t="s">
        <v>704</v>
      </c>
      <c r="F608" t="s">
        <v>17</v>
      </c>
      <c r="G608">
        <v>1</v>
      </c>
      <c r="I608" s="33"/>
      <c r="J608" t="s">
        <v>88</v>
      </c>
    </row>
    <row r="609" spans="1:11" x14ac:dyDescent="0.25">
      <c r="A609" t="s">
        <v>134</v>
      </c>
      <c r="B609" t="s">
        <v>102</v>
      </c>
      <c r="C609" t="s">
        <v>150</v>
      </c>
      <c r="E609" t="s">
        <v>705</v>
      </c>
      <c r="F609" t="s">
        <v>17</v>
      </c>
      <c r="G609">
        <v>1</v>
      </c>
      <c r="I609" s="33"/>
      <c r="J609" t="s">
        <v>70</v>
      </c>
    </row>
    <row r="610" spans="1:11" x14ac:dyDescent="0.25">
      <c r="A610" t="s">
        <v>134</v>
      </c>
      <c r="B610" t="s">
        <v>102</v>
      </c>
      <c r="C610" s="32" t="s">
        <v>526</v>
      </c>
      <c r="E610" t="s">
        <v>706</v>
      </c>
      <c r="F610" t="s">
        <v>17</v>
      </c>
      <c r="G610">
        <v>1</v>
      </c>
      <c r="I610" s="33"/>
      <c r="J610" t="s">
        <v>151</v>
      </c>
    </row>
    <row r="611" spans="1:11" x14ac:dyDescent="0.25">
      <c r="A611" t="s">
        <v>134</v>
      </c>
      <c r="B611" t="s">
        <v>103</v>
      </c>
      <c r="C611" t="s">
        <v>135</v>
      </c>
      <c r="E611" t="s">
        <v>707</v>
      </c>
      <c r="F611" s="32" t="s">
        <v>20</v>
      </c>
      <c r="G611">
        <v>1</v>
      </c>
      <c r="I611" s="33" t="s">
        <v>708</v>
      </c>
    </row>
    <row r="612" spans="1:11" x14ac:dyDescent="0.25">
      <c r="A612" t="s">
        <v>134</v>
      </c>
      <c r="B612" t="s">
        <v>103</v>
      </c>
      <c r="C612" t="s">
        <v>136</v>
      </c>
      <c r="E612" t="s">
        <v>709</v>
      </c>
      <c r="F612" t="s">
        <v>20</v>
      </c>
      <c r="G612" s="5">
        <v>0</v>
      </c>
      <c r="I612" s="33" t="s">
        <v>532</v>
      </c>
    </row>
    <row r="613" spans="1:11" x14ac:dyDescent="0.25">
      <c r="A613" t="s">
        <v>134</v>
      </c>
      <c r="B613" t="s">
        <v>103</v>
      </c>
      <c r="C613" s="32" t="s">
        <v>137</v>
      </c>
      <c r="E613" t="s">
        <v>710</v>
      </c>
      <c r="F613" s="32" t="s">
        <v>36</v>
      </c>
      <c r="G613" s="5">
        <v>0</v>
      </c>
      <c r="I613" s="33" t="s">
        <v>711</v>
      </c>
      <c r="J613" t="s">
        <v>524</v>
      </c>
    </row>
    <row r="614" spans="1:11" x14ac:dyDescent="0.25">
      <c r="A614" t="s">
        <v>134</v>
      </c>
      <c r="B614" t="s">
        <v>103</v>
      </c>
      <c r="C614" s="32" t="s">
        <v>525</v>
      </c>
      <c r="E614" t="s">
        <v>712</v>
      </c>
      <c r="F614" s="32" t="s">
        <v>20</v>
      </c>
      <c r="G614" s="5">
        <v>0</v>
      </c>
      <c r="I614" s="33" t="s">
        <v>536</v>
      </c>
    </row>
    <row r="615" spans="1:11" x14ac:dyDescent="0.25">
      <c r="A615" t="s">
        <v>134</v>
      </c>
      <c r="B615" t="s">
        <v>103</v>
      </c>
      <c r="C615" t="s">
        <v>140</v>
      </c>
      <c r="E615" t="s">
        <v>713</v>
      </c>
      <c r="F615" s="32" t="s">
        <v>20</v>
      </c>
      <c r="G615" s="5">
        <v>0</v>
      </c>
      <c r="H615" t="s">
        <v>141</v>
      </c>
      <c r="I615" s="33" t="s">
        <v>142</v>
      </c>
    </row>
    <row r="616" spans="1:11" x14ac:dyDescent="0.25">
      <c r="A616" t="s">
        <v>134</v>
      </c>
      <c r="B616" t="s">
        <v>103</v>
      </c>
      <c r="C616" t="s">
        <v>144</v>
      </c>
      <c r="E616" t="s">
        <v>714</v>
      </c>
      <c r="F616" t="s">
        <v>17</v>
      </c>
      <c r="G616" s="5">
        <v>0</v>
      </c>
      <c r="I616" s="33"/>
      <c r="J616" t="s">
        <v>145</v>
      </c>
      <c r="K616" s="6"/>
    </row>
    <row r="617" spans="1:11" x14ac:dyDescent="0.25">
      <c r="A617" t="s">
        <v>134</v>
      </c>
      <c r="B617" t="s">
        <v>103</v>
      </c>
      <c r="C617" t="s">
        <v>146</v>
      </c>
      <c r="E617" t="s">
        <v>715</v>
      </c>
      <c r="F617" t="s">
        <v>17</v>
      </c>
      <c r="G617">
        <v>1</v>
      </c>
      <c r="H617" s="3"/>
      <c r="I617" s="33"/>
      <c r="J617" t="s">
        <v>88</v>
      </c>
      <c r="K617" s="7"/>
    </row>
    <row r="618" spans="1:11" x14ac:dyDescent="0.25">
      <c r="A618" t="s">
        <v>134</v>
      </c>
      <c r="B618" t="s">
        <v>103</v>
      </c>
      <c r="C618" t="s">
        <v>147</v>
      </c>
      <c r="E618" t="s">
        <v>716</v>
      </c>
      <c r="F618" t="s">
        <v>17</v>
      </c>
      <c r="G618">
        <v>1</v>
      </c>
      <c r="H618" s="8"/>
      <c r="I618" s="33"/>
      <c r="J618" t="s">
        <v>148</v>
      </c>
      <c r="K618" s="9"/>
    </row>
    <row r="619" spans="1:11" x14ac:dyDescent="0.25">
      <c r="A619" t="s">
        <v>134</v>
      </c>
      <c r="B619" t="s">
        <v>103</v>
      </c>
      <c r="C619" t="s">
        <v>149</v>
      </c>
      <c r="E619" t="s">
        <v>717</v>
      </c>
      <c r="F619" t="s">
        <v>17</v>
      </c>
      <c r="G619">
        <v>1</v>
      </c>
      <c r="I619" s="33"/>
      <c r="J619" t="s">
        <v>88</v>
      </c>
    </row>
    <row r="620" spans="1:11" x14ac:dyDescent="0.25">
      <c r="A620" t="s">
        <v>134</v>
      </c>
      <c r="B620" t="s">
        <v>103</v>
      </c>
      <c r="C620" t="s">
        <v>150</v>
      </c>
      <c r="E620" t="s">
        <v>718</v>
      </c>
      <c r="F620" t="s">
        <v>17</v>
      </c>
      <c r="G620">
        <v>1</v>
      </c>
      <c r="I620" s="33"/>
      <c r="J620" t="s">
        <v>70</v>
      </c>
    </row>
    <row r="621" spans="1:11" x14ac:dyDescent="0.25">
      <c r="A621" t="s">
        <v>134</v>
      </c>
      <c r="B621" t="s">
        <v>103</v>
      </c>
      <c r="C621" s="32" t="s">
        <v>526</v>
      </c>
      <c r="E621" t="s">
        <v>719</v>
      </c>
      <c r="F621" t="s">
        <v>17</v>
      </c>
      <c r="G621">
        <v>1</v>
      </c>
      <c r="I621" s="33"/>
      <c r="J621" t="s">
        <v>151</v>
      </c>
    </row>
    <row r="622" spans="1:11" x14ac:dyDescent="0.25">
      <c r="A622" t="s">
        <v>134</v>
      </c>
      <c r="B622" t="s">
        <v>104</v>
      </c>
      <c r="C622" t="s">
        <v>135</v>
      </c>
      <c r="E622" t="s">
        <v>720</v>
      </c>
      <c r="F622" s="32" t="s">
        <v>20</v>
      </c>
      <c r="G622" s="5">
        <v>0</v>
      </c>
      <c r="I622" s="33" t="s">
        <v>721</v>
      </c>
    </row>
    <row r="623" spans="1:11" x14ac:dyDescent="0.25">
      <c r="A623" t="s">
        <v>134</v>
      </c>
      <c r="B623" t="s">
        <v>104</v>
      </c>
      <c r="C623" t="s">
        <v>136</v>
      </c>
      <c r="E623" t="s">
        <v>722</v>
      </c>
      <c r="F623" t="s">
        <v>20</v>
      </c>
      <c r="G623" s="5">
        <v>0</v>
      </c>
      <c r="I623" s="33" t="s">
        <v>532</v>
      </c>
    </row>
    <row r="624" spans="1:11" x14ac:dyDescent="0.25">
      <c r="A624" t="s">
        <v>134</v>
      </c>
      <c r="B624" t="s">
        <v>104</v>
      </c>
      <c r="C624" s="32" t="s">
        <v>137</v>
      </c>
      <c r="E624" t="s">
        <v>723</v>
      </c>
      <c r="F624" s="32" t="s">
        <v>36</v>
      </c>
      <c r="G624" s="5">
        <v>0</v>
      </c>
      <c r="I624" s="33" t="s">
        <v>711</v>
      </c>
      <c r="J624" t="s">
        <v>524</v>
      </c>
    </row>
    <row r="625" spans="1:11" x14ac:dyDescent="0.25">
      <c r="A625" t="s">
        <v>134</v>
      </c>
      <c r="B625" t="s">
        <v>104</v>
      </c>
      <c r="C625" s="32" t="s">
        <v>525</v>
      </c>
      <c r="E625" t="s">
        <v>724</v>
      </c>
      <c r="F625" s="32" t="s">
        <v>20</v>
      </c>
      <c r="G625" s="5">
        <v>0</v>
      </c>
      <c r="I625" s="33" t="s">
        <v>549</v>
      </c>
    </row>
    <row r="626" spans="1:11" x14ac:dyDescent="0.25">
      <c r="A626" t="s">
        <v>134</v>
      </c>
      <c r="B626" t="s">
        <v>104</v>
      </c>
      <c r="C626" t="s">
        <v>140</v>
      </c>
      <c r="E626" t="s">
        <v>725</v>
      </c>
      <c r="F626" s="32" t="s">
        <v>20</v>
      </c>
      <c r="G626" s="5">
        <v>0</v>
      </c>
      <c r="H626" t="s">
        <v>141</v>
      </c>
      <c r="I626" s="33" t="s">
        <v>142</v>
      </c>
    </row>
    <row r="627" spans="1:11" x14ac:dyDescent="0.25">
      <c r="A627" t="s">
        <v>134</v>
      </c>
      <c r="B627" t="s">
        <v>104</v>
      </c>
      <c r="C627" t="s">
        <v>144</v>
      </c>
      <c r="E627" t="s">
        <v>726</v>
      </c>
      <c r="F627" t="s">
        <v>17</v>
      </c>
      <c r="G627">
        <v>1</v>
      </c>
      <c r="I627" s="33"/>
      <c r="J627" t="s">
        <v>145</v>
      </c>
      <c r="K627" s="6"/>
    </row>
    <row r="628" spans="1:11" x14ac:dyDescent="0.25">
      <c r="A628" t="s">
        <v>134</v>
      </c>
      <c r="B628" t="s">
        <v>104</v>
      </c>
      <c r="C628" t="s">
        <v>146</v>
      </c>
      <c r="E628" t="s">
        <v>727</v>
      </c>
      <c r="F628" t="s">
        <v>17</v>
      </c>
      <c r="G628">
        <v>1</v>
      </c>
      <c r="H628" s="3"/>
      <c r="I628" s="33"/>
      <c r="J628" t="s">
        <v>88</v>
      </c>
      <c r="K628" s="7"/>
    </row>
    <row r="629" spans="1:11" x14ac:dyDescent="0.25">
      <c r="A629" t="s">
        <v>134</v>
      </c>
      <c r="B629" t="s">
        <v>104</v>
      </c>
      <c r="C629" t="s">
        <v>147</v>
      </c>
      <c r="E629" t="s">
        <v>728</v>
      </c>
      <c r="F629" t="s">
        <v>17</v>
      </c>
      <c r="G629">
        <v>1</v>
      </c>
      <c r="H629" s="8"/>
      <c r="I629" s="33"/>
      <c r="J629" t="s">
        <v>148</v>
      </c>
      <c r="K629" s="9"/>
    </row>
    <row r="630" spans="1:11" x14ac:dyDescent="0.25">
      <c r="A630" t="s">
        <v>134</v>
      </c>
      <c r="B630" t="s">
        <v>104</v>
      </c>
      <c r="C630" t="s">
        <v>149</v>
      </c>
      <c r="E630" t="s">
        <v>729</v>
      </c>
      <c r="F630" t="s">
        <v>17</v>
      </c>
      <c r="G630">
        <v>1</v>
      </c>
      <c r="H630" s="8"/>
      <c r="I630" s="33"/>
      <c r="J630" t="s">
        <v>88</v>
      </c>
      <c r="K630" s="8"/>
    </row>
    <row r="631" spans="1:11" x14ac:dyDescent="0.25">
      <c r="A631" t="s">
        <v>134</v>
      </c>
      <c r="B631" t="s">
        <v>104</v>
      </c>
      <c r="C631" t="s">
        <v>150</v>
      </c>
      <c r="E631" t="s">
        <v>730</v>
      </c>
      <c r="F631" t="s">
        <v>17</v>
      </c>
      <c r="G631">
        <v>1</v>
      </c>
      <c r="H631" s="8"/>
      <c r="I631" s="33"/>
      <c r="J631" t="s">
        <v>70</v>
      </c>
      <c r="K631" s="8"/>
    </row>
    <row r="632" spans="1:11" x14ac:dyDescent="0.25">
      <c r="A632" t="s">
        <v>134</v>
      </c>
      <c r="B632" t="s">
        <v>104</v>
      </c>
      <c r="C632" s="32" t="s">
        <v>526</v>
      </c>
      <c r="E632" t="s">
        <v>731</v>
      </c>
      <c r="F632" t="s">
        <v>17</v>
      </c>
      <c r="G632" s="5">
        <v>0</v>
      </c>
      <c r="H632" s="8"/>
      <c r="I632" s="33"/>
      <c r="J632" t="s">
        <v>151</v>
      </c>
      <c r="K632" s="8"/>
    </row>
    <row r="633" spans="1:11" x14ac:dyDescent="0.25">
      <c r="A633" t="s">
        <v>134</v>
      </c>
      <c r="B633" t="s">
        <v>105</v>
      </c>
      <c r="C633" t="s">
        <v>135</v>
      </c>
      <c r="E633" t="s">
        <v>732</v>
      </c>
      <c r="F633" s="32" t="s">
        <v>20</v>
      </c>
      <c r="G633" s="5">
        <v>0</v>
      </c>
      <c r="H633" s="8"/>
      <c r="I633" s="33" t="s">
        <v>733</v>
      </c>
      <c r="K633" s="8"/>
    </row>
    <row r="634" spans="1:11" x14ac:dyDescent="0.25">
      <c r="A634" t="s">
        <v>134</v>
      </c>
      <c r="B634" t="s">
        <v>105</v>
      </c>
      <c r="C634" t="s">
        <v>136</v>
      </c>
      <c r="E634" t="s">
        <v>734</v>
      </c>
      <c r="F634" t="s">
        <v>20</v>
      </c>
      <c r="G634" s="5">
        <v>0</v>
      </c>
      <c r="H634" s="8"/>
      <c r="I634" s="33" t="s">
        <v>532</v>
      </c>
      <c r="K634" s="8"/>
    </row>
    <row r="635" spans="1:11" x14ac:dyDescent="0.25">
      <c r="A635" t="s">
        <v>134</v>
      </c>
      <c r="B635" t="s">
        <v>105</v>
      </c>
      <c r="C635" s="32" t="s">
        <v>137</v>
      </c>
      <c r="E635" t="s">
        <v>735</v>
      </c>
      <c r="F635" s="32" t="s">
        <v>36</v>
      </c>
      <c r="G635" s="5">
        <v>0</v>
      </c>
      <c r="H635" s="8"/>
      <c r="I635" s="33" t="s">
        <v>711</v>
      </c>
      <c r="J635" t="s">
        <v>524</v>
      </c>
      <c r="K635" s="8"/>
    </row>
    <row r="636" spans="1:11" x14ac:dyDescent="0.25">
      <c r="A636" t="s">
        <v>134</v>
      </c>
      <c r="B636" t="s">
        <v>105</v>
      </c>
      <c r="C636" s="32" t="s">
        <v>525</v>
      </c>
      <c r="E636" t="s">
        <v>736</v>
      </c>
      <c r="F636" s="32" t="s">
        <v>20</v>
      </c>
      <c r="G636" s="5">
        <v>0</v>
      </c>
      <c r="H636" s="8"/>
      <c r="I636" s="33" t="s">
        <v>562</v>
      </c>
      <c r="K636" s="8"/>
    </row>
    <row r="637" spans="1:11" x14ac:dyDescent="0.25">
      <c r="A637" t="s">
        <v>134</v>
      </c>
      <c r="B637" t="s">
        <v>105</v>
      </c>
      <c r="C637" t="s">
        <v>140</v>
      </c>
      <c r="E637" t="s">
        <v>737</v>
      </c>
      <c r="F637" s="32" t="s">
        <v>20</v>
      </c>
      <c r="G637">
        <v>1</v>
      </c>
      <c r="H637" t="s">
        <v>141</v>
      </c>
      <c r="I637" s="33" t="s">
        <v>142</v>
      </c>
      <c r="K637" s="8"/>
    </row>
    <row r="638" spans="1:11" x14ac:dyDescent="0.25">
      <c r="A638" t="s">
        <v>134</v>
      </c>
      <c r="B638" t="s">
        <v>105</v>
      </c>
      <c r="C638" t="s">
        <v>144</v>
      </c>
      <c r="E638" t="s">
        <v>738</v>
      </c>
      <c r="F638" t="s">
        <v>17</v>
      </c>
      <c r="G638">
        <v>1</v>
      </c>
      <c r="H638" s="8"/>
      <c r="I638" s="33"/>
      <c r="J638" t="s">
        <v>145</v>
      </c>
      <c r="K638" s="8"/>
    </row>
    <row r="639" spans="1:11" x14ac:dyDescent="0.25">
      <c r="A639" t="s">
        <v>134</v>
      </c>
      <c r="B639" t="s">
        <v>105</v>
      </c>
      <c r="C639" t="s">
        <v>146</v>
      </c>
      <c r="E639" t="s">
        <v>739</v>
      </c>
      <c r="F639" t="s">
        <v>17</v>
      </c>
      <c r="G639">
        <v>1</v>
      </c>
      <c r="H639" s="8"/>
      <c r="I639" s="33"/>
      <c r="J639" t="s">
        <v>88</v>
      </c>
      <c r="K639" s="8"/>
    </row>
    <row r="640" spans="1:11" x14ac:dyDescent="0.25">
      <c r="A640" t="s">
        <v>134</v>
      </c>
      <c r="B640" t="s">
        <v>105</v>
      </c>
      <c r="C640" t="s">
        <v>147</v>
      </c>
      <c r="E640" t="s">
        <v>740</v>
      </c>
      <c r="F640" t="s">
        <v>17</v>
      </c>
      <c r="G640">
        <v>1</v>
      </c>
      <c r="H640" s="8"/>
      <c r="I640" s="33"/>
      <c r="J640" t="s">
        <v>148</v>
      </c>
      <c r="K640" s="8"/>
    </row>
    <row r="641" spans="1:11" x14ac:dyDescent="0.25">
      <c r="A641" t="s">
        <v>134</v>
      </c>
      <c r="B641" t="s">
        <v>105</v>
      </c>
      <c r="C641" t="s">
        <v>149</v>
      </c>
      <c r="E641" t="s">
        <v>741</v>
      </c>
      <c r="F641" t="s">
        <v>17</v>
      </c>
      <c r="G641">
        <v>1</v>
      </c>
      <c r="H641" s="8"/>
      <c r="I641" s="33"/>
      <c r="J641" t="s">
        <v>88</v>
      </c>
      <c r="K641" s="8"/>
    </row>
    <row r="642" spans="1:11" x14ac:dyDescent="0.25">
      <c r="A642" t="s">
        <v>134</v>
      </c>
      <c r="B642" t="s">
        <v>105</v>
      </c>
      <c r="C642" t="s">
        <v>150</v>
      </c>
      <c r="E642" t="s">
        <v>742</v>
      </c>
      <c r="F642" t="s">
        <v>17</v>
      </c>
      <c r="G642" s="5">
        <v>0</v>
      </c>
      <c r="H642" s="8"/>
      <c r="I642" s="33"/>
      <c r="J642" t="s">
        <v>70</v>
      </c>
      <c r="K642" s="8"/>
    </row>
    <row r="643" spans="1:11" x14ac:dyDescent="0.25">
      <c r="A643" t="s">
        <v>134</v>
      </c>
      <c r="B643" t="s">
        <v>105</v>
      </c>
      <c r="C643" s="32" t="s">
        <v>526</v>
      </c>
      <c r="E643" t="s">
        <v>743</v>
      </c>
      <c r="F643" t="s">
        <v>17</v>
      </c>
      <c r="G643" s="5">
        <v>0</v>
      </c>
      <c r="H643" s="8"/>
      <c r="I643" s="33"/>
      <c r="J643" t="s">
        <v>151</v>
      </c>
      <c r="K643" s="8"/>
    </row>
    <row r="644" spans="1:11" x14ac:dyDescent="0.25">
      <c r="A644" t="s">
        <v>134</v>
      </c>
      <c r="B644" t="s">
        <v>106</v>
      </c>
      <c r="C644" t="s">
        <v>135</v>
      </c>
      <c r="E644" t="s">
        <v>744</v>
      </c>
      <c r="F644" s="32" t="s">
        <v>20</v>
      </c>
      <c r="G644" s="5">
        <v>0</v>
      </c>
      <c r="H644" s="8"/>
      <c r="I644" s="33" t="s">
        <v>745</v>
      </c>
      <c r="K644" s="8"/>
    </row>
    <row r="645" spans="1:11" x14ac:dyDescent="0.25">
      <c r="A645" t="s">
        <v>134</v>
      </c>
      <c r="B645" t="s">
        <v>106</v>
      </c>
      <c r="C645" t="s">
        <v>136</v>
      </c>
      <c r="E645" t="s">
        <v>746</v>
      </c>
      <c r="F645" t="s">
        <v>20</v>
      </c>
      <c r="G645" s="5">
        <v>0</v>
      </c>
      <c r="H645" s="8"/>
      <c r="I645" s="33" t="s">
        <v>532</v>
      </c>
      <c r="K645" s="8"/>
    </row>
    <row r="646" spans="1:11" x14ac:dyDescent="0.25">
      <c r="A646" t="s">
        <v>134</v>
      </c>
      <c r="B646" t="s">
        <v>106</v>
      </c>
      <c r="C646" s="32" t="s">
        <v>137</v>
      </c>
      <c r="E646" t="s">
        <v>747</v>
      </c>
      <c r="F646" s="32" t="s">
        <v>36</v>
      </c>
      <c r="G646" s="5">
        <v>0</v>
      </c>
      <c r="H646" s="8"/>
      <c r="I646" s="33" t="s">
        <v>711</v>
      </c>
      <c r="J646" t="s">
        <v>524</v>
      </c>
      <c r="K646" s="8"/>
    </row>
    <row r="647" spans="1:11" x14ac:dyDescent="0.25">
      <c r="A647" t="s">
        <v>134</v>
      </c>
      <c r="B647" t="s">
        <v>106</v>
      </c>
      <c r="C647" s="32" t="s">
        <v>525</v>
      </c>
      <c r="E647" t="s">
        <v>748</v>
      </c>
      <c r="F647" s="32" t="s">
        <v>20</v>
      </c>
      <c r="G647">
        <v>1</v>
      </c>
      <c r="H647" s="8"/>
      <c r="I647" s="33" t="s">
        <v>575</v>
      </c>
      <c r="K647" s="8"/>
    </row>
    <row r="648" spans="1:11" x14ac:dyDescent="0.25">
      <c r="A648" t="s">
        <v>134</v>
      </c>
      <c r="B648" t="s">
        <v>106</v>
      </c>
      <c r="C648" t="s">
        <v>140</v>
      </c>
      <c r="E648" t="s">
        <v>749</v>
      </c>
      <c r="F648" s="32" t="s">
        <v>20</v>
      </c>
      <c r="G648">
        <v>1</v>
      </c>
      <c r="H648" t="s">
        <v>141</v>
      </c>
      <c r="I648" s="33" t="s">
        <v>142</v>
      </c>
      <c r="K648" s="8"/>
    </row>
    <row r="649" spans="1:11" x14ac:dyDescent="0.25">
      <c r="A649" t="s">
        <v>134</v>
      </c>
      <c r="B649" t="s">
        <v>106</v>
      </c>
      <c r="C649" t="s">
        <v>144</v>
      </c>
      <c r="E649" t="s">
        <v>750</v>
      </c>
      <c r="F649" t="s">
        <v>17</v>
      </c>
      <c r="G649">
        <v>1</v>
      </c>
      <c r="H649" s="8"/>
      <c r="I649" s="33"/>
      <c r="J649" t="s">
        <v>145</v>
      </c>
      <c r="K649" s="8"/>
    </row>
    <row r="650" spans="1:11" x14ac:dyDescent="0.25">
      <c r="A650" t="s">
        <v>134</v>
      </c>
      <c r="B650" t="s">
        <v>106</v>
      </c>
      <c r="C650" t="s">
        <v>146</v>
      </c>
      <c r="E650" t="s">
        <v>751</v>
      </c>
      <c r="F650" t="s">
        <v>17</v>
      </c>
      <c r="G650">
        <v>1</v>
      </c>
      <c r="H650" s="8"/>
      <c r="I650" s="33"/>
      <c r="J650" t="s">
        <v>88</v>
      </c>
      <c r="K650" s="8"/>
    </row>
    <row r="651" spans="1:11" x14ac:dyDescent="0.25">
      <c r="A651" t="s">
        <v>134</v>
      </c>
      <c r="B651" t="s">
        <v>106</v>
      </c>
      <c r="C651" t="s">
        <v>147</v>
      </c>
      <c r="E651" t="s">
        <v>752</v>
      </c>
      <c r="F651" t="s">
        <v>17</v>
      </c>
      <c r="G651">
        <v>1</v>
      </c>
      <c r="H651" s="8"/>
      <c r="I651" s="33"/>
      <c r="J651" t="s">
        <v>148</v>
      </c>
      <c r="K651" s="8"/>
    </row>
    <row r="652" spans="1:11" x14ac:dyDescent="0.25">
      <c r="A652" t="s">
        <v>134</v>
      </c>
      <c r="B652" t="s">
        <v>106</v>
      </c>
      <c r="C652" t="s">
        <v>149</v>
      </c>
      <c r="E652" t="s">
        <v>753</v>
      </c>
      <c r="F652" t="s">
        <v>17</v>
      </c>
      <c r="G652" s="5">
        <v>0</v>
      </c>
      <c r="H652" s="8"/>
      <c r="I652" s="33"/>
      <c r="J652" t="s">
        <v>88</v>
      </c>
      <c r="K652" s="8"/>
    </row>
    <row r="653" spans="1:11" x14ac:dyDescent="0.25">
      <c r="A653" t="s">
        <v>134</v>
      </c>
      <c r="B653" t="s">
        <v>106</v>
      </c>
      <c r="C653" t="s">
        <v>150</v>
      </c>
      <c r="E653" t="s">
        <v>754</v>
      </c>
      <c r="F653" t="s">
        <v>17</v>
      </c>
      <c r="G653" s="5">
        <v>0</v>
      </c>
      <c r="H653" s="8"/>
      <c r="I653" s="33"/>
      <c r="J653" t="s">
        <v>70</v>
      </c>
      <c r="K653" s="8"/>
    </row>
    <row r="654" spans="1:11" x14ac:dyDescent="0.25">
      <c r="A654" t="s">
        <v>134</v>
      </c>
      <c r="B654" t="s">
        <v>106</v>
      </c>
      <c r="C654" s="32" t="s">
        <v>526</v>
      </c>
      <c r="E654" t="s">
        <v>755</v>
      </c>
      <c r="F654" t="s">
        <v>17</v>
      </c>
      <c r="G654" s="5">
        <v>0</v>
      </c>
      <c r="H654" s="8"/>
      <c r="I654" s="33"/>
      <c r="J654" t="s">
        <v>151</v>
      </c>
      <c r="K654" s="8"/>
    </row>
    <row r="655" spans="1:11" x14ac:dyDescent="0.25">
      <c r="A655" t="s">
        <v>134</v>
      </c>
      <c r="B655" t="s">
        <v>107</v>
      </c>
      <c r="C655" t="s">
        <v>135</v>
      </c>
      <c r="E655" t="s">
        <v>756</v>
      </c>
      <c r="F655" s="32" t="s">
        <v>20</v>
      </c>
      <c r="G655" s="5">
        <v>0</v>
      </c>
      <c r="H655" s="8"/>
      <c r="I655" s="33" t="s">
        <v>757</v>
      </c>
      <c r="K655" s="8"/>
    </row>
    <row r="656" spans="1:11" x14ac:dyDescent="0.25">
      <c r="A656" t="s">
        <v>134</v>
      </c>
      <c r="B656" t="s">
        <v>107</v>
      </c>
      <c r="C656" t="s">
        <v>136</v>
      </c>
      <c r="E656" t="s">
        <v>758</v>
      </c>
      <c r="F656" t="s">
        <v>20</v>
      </c>
      <c r="G656" s="5">
        <v>0</v>
      </c>
      <c r="H656" s="8"/>
      <c r="I656" s="33" t="s">
        <v>532</v>
      </c>
      <c r="K656" s="8"/>
    </row>
    <row r="657" spans="1:11" x14ac:dyDescent="0.25">
      <c r="A657" t="s">
        <v>134</v>
      </c>
      <c r="B657" t="s">
        <v>107</v>
      </c>
      <c r="C657" s="32" t="s">
        <v>137</v>
      </c>
      <c r="E657" t="s">
        <v>759</v>
      </c>
      <c r="F657" s="32" t="s">
        <v>36</v>
      </c>
      <c r="G657">
        <v>1</v>
      </c>
      <c r="H657" s="8"/>
      <c r="I657" s="33" t="s">
        <v>711</v>
      </c>
      <c r="J657" t="s">
        <v>524</v>
      </c>
      <c r="K657" s="8"/>
    </row>
    <row r="658" spans="1:11" x14ac:dyDescent="0.25">
      <c r="A658" t="s">
        <v>134</v>
      </c>
      <c r="B658" t="s">
        <v>107</v>
      </c>
      <c r="C658" s="32" t="s">
        <v>525</v>
      </c>
      <c r="E658" t="s">
        <v>760</v>
      </c>
      <c r="F658" s="32" t="s">
        <v>20</v>
      </c>
      <c r="G658">
        <v>1</v>
      </c>
      <c r="H658" s="8"/>
      <c r="I658" s="33" t="s">
        <v>588</v>
      </c>
      <c r="K658" s="8"/>
    </row>
    <row r="659" spans="1:11" x14ac:dyDescent="0.25">
      <c r="A659" t="s">
        <v>134</v>
      </c>
      <c r="B659" t="s">
        <v>107</v>
      </c>
      <c r="C659" t="s">
        <v>140</v>
      </c>
      <c r="E659" t="s">
        <v>761</v>
      </c>
      <c r="F659" s="32" t="s">
        <v>20</v>
      </c>
      <c r="G659">
        <v>1</v>
      </c>
      <c r="H659" t="s">
        <v>141</v>
      </c>
      <c r="I659" s="33" t="s">
        <v>142</v>
      </c>
      <c r="K659" s="8"/>
    </row>
    <row r="660" spans="1:11" x14ac:dyDescent="0.25">
      <c r="A660" t="s">
        <v>134</v>
      </c>
      <c r="B660" t="s">
        <v>107</v>
      </c>
      <c r="C660" t="s">
        <v>144</v>
      </c>
      <c r="E660" t="s">
        <v>762</v>
      </c>
      <c r="F660" t="s">
        <v>17</v>
      </c>
      <c r="G660">
        <v>1</v>
      </c>
      <c r="H660" s="8"/>
      <c r="I660" s="33"/>
      <c r="J660" t="s">
        <v>145</v>
      </c>
      <c r="K660" s="8"/>
    </row>
    <row r="661" spans="1:11" x14ac:dyDescent="0.25">
      <c r="A661" t="s">
        <v>134</v>
      </c>
      <c r="B661" t="s">
        <v>107</v>
      </c>
      <c r="C661" t="s">
        <v>146</v>
      </c>
      <c r="E661" t="s">
        <v>763</v>
      </c>
      <c r="F661" t="s">
        <v>17</v>
      </c>
      <c r="G661">
        <v>1</v>
      </c>
      <c r="H661" s="8"/>
      <c r="I661" s="33"/>
      <c r="J661" t="s">
        <v>88</v>
      </c>
      <c r="K661" s="8"/>
    </row>
    <row r="662" spans="1:11" x14ac:dyDescent="0.25">
      <c r="A662" t="s">
        <v>134</v>
      </c>
      <c r="B662" t="s">
        <v>107</v>
      </c>
      <c r="C662" t="s">
        <v>147</v>
      </c>
      <c r="E662" t="s">
        <v>764</v>
      </c>
      <c r="F662" t="s">
        <v>17</v>
      </c>
      <c r="G662" s="5">
        <v>0</v>
      </c>
      <c r="H662" s="8"/>
      <c r="I662" s="33"/>
      <c r="J662" t="s">
        <v>148</v>
      </c>
      <c r="K662" s="8"/>
    </row>
    <row r="663" spans="1:11" x14ac:dyDescent="0.25">
      <c r="A663" t="s">
        <v>134</v>
      </c>
      <c r="B663" t="s">
        <v>107</v>
      </c>
      <c r="C663" t="s">
        <v>149</v>
      </c>
      <c r="E663" t="s">
        <v>765</v>
      </c>
      <c r="F663" t="s">
        <v>17</v>
      </c>
      <c r="G663" s="5">
        <v>0</v>
      </c>
      <c r="H663" s="8"/>
      <c r="I663" s="33"/>
      <c r="J663" t="s">
        <v>88</v>
      </c>
      <c r="K663" s="8"/>
    </row>
    <row r="664" spans="1:11" x14ac:dyDescent="0.25">
      <c r="A664" t="s">
        <v>134</v>
      </c>
      <c r="B664" t="s">
        <v>107</v>
      </c>
      <c r="C664" t="s">
        <v>150</v>
      </c>
      <c r="E664" t="s">
        <v>766</v>
      </c>
      <c r="F664" t="s">
        <v>17</v>
      </c>
      <c r="G664" s="5">
        <v>0</v>
      </c>
      <c r="H664" s="8"/>
      <c r="I664" s="33"/>
      <c r="J664" t="s">
        <v>70</v>
      </c>
      <c r="K664" s="8"/>
    </row>
    <row r="665" spans="1:11" x14ac:dyDescent="0.25">
      <c r="A665" t="s">
        <v>134</v>
      </c>
      <c r="B665" t="s">
        <v>107</v>
      </c>
      <c r="C665" s="32" t="s">
        <v>526</v>
      </c>
      <c r="E665" t="s">
        <v>767</v>
      </c>
      <c r="F665" t="s">
        <v>17</v>
      </c>
      <c r="G665" s="5">
        <v>0</v>
      </c>
      <c r="H665" s="8"/>
      <c r="I665" s="33"/>
      <c r="J665" t="s">
        <v>151</v>
      </c>
      <c r="K665" s="8"/>
    </row>
    <row r="666" spans="1:11" x14ac:dyDescent="0.25">
      <c r="A666" t="s">
        <v>134</v>
      </c>
      <c r="B666" t="s">
        <v>108</v>
      </c>
      <c r="C666" t="s">
        <v>135</v>
      </c>
      <c r="E666" t="s">
        <v>768</v>
      </c>
      <c r="F666" s="32" t="s">
        <v>20</v>
      </c>
      <c r="G666" s="5">
        <v>0</v>
      </c>
      <c r="H666" s="8"/>
      <c r="I666" s="33" t="s">
        <v>769</v>
      </c>
      <c r="K666" s="8"/>
    </row>
    <row r="667" spans="1:11" x14ac:dyDescent="0.25">
      <c r="A667" t="s">
        <v>134</v>
      </c>
      <c r="B667" t="s">
        <v>108</v>
      </c>
      <c r="C667" t="s">
        <v>136</v>
      </c>
      <c r="E667" t="s">
        <v>770</v>
      </c>
      <c r="F667" t="s">
        <v>20</v>
      </c>
      <c r="G667">
        <v>1</v>
      </c>
      <c r="H667" s="8"/>
      <c r="I667" s="33" t="s">
        <v>532</v>
      </c>
      <c r="K667" s="8"/>
    </row>
    <row r="668" spans="1:11" x14ac:dyDescent="0.25">
      <c r="A668" t="s">
        <v>134</v>
      </c>
      <c r="B668" t="s">
        <v>108</v>
      </c>
      <c r="C668" s="32" t="s">
        <v>137</v>
      </c>
      <c r="E668" t="s">
        <v>771</v>
      </c>
      <c r="F668" s="32" t="s">
        <v>36</v>
      </c>
      <c r="G668">
        <v>1</v>
      </c>
      <c r="H668" s="8"/>
      <c r="I668" s="33" t="s">
        <v>711</v>
      </c>
      <c r="J668" t="s">
        <v>524</v>
      </c>
      <c r="K668" s="8"/>
    </row>
    <row r="669" spans="1:11" x14ac:dyDescent="0.25">
      <c r="A669" t="s">
        <v>134</v>
      </c>
      <c r="B669" t="s">
        <v>108</v>
      </c>
      <c r="C669" s="32" t="s">
        <v>525</v>
      </c>
      <c r="E669" t="s">
        <v>772</v>
      </c>
      <c r="F669" s="32" t="s">
        <v>20</v>
      </c>
      <c r="G669">
        <v>1</v>
      </c>
      <c r="H669" s="8"/>
      <c r="I669" s="33" t="s">
        <v>601</v>
      </c>
      <c r="K669" s="8"/>
    </row>
    <row r="670" spans="1:11" x14ac:dyDescent="0.25">
      <c r="A670" t="s">
        <v>134</v>
      </c>
      <c r="B670" t="s">
        <v>108</v>
      </c>
      <c r="C670" t="s">
        <v>140</v>
      </c>
      <c r="E670" t="s">
        <v>773</v>
      </c>
      <c r="F670" s="32" t="s">
        <v>20</v>
      </c>
      <c r="G670">
        <v>1</v>
      </c>
      <c r="H670" t="s">
        <v>141</v>
      </c>
      <c r="I670" s="33" t="s">
        <v>142</v>
      </c>
      <c r="K670" s="8"/>
    </row>
    <row r="671" spans="1:11" x14ac:dyDescent="0.25">
      <c r="A671" t="s">
        <v>134</v>
      </c>
      <c r="B671" t="s">
        <v>108</v>
      </c>
      <c r="C671" t="s">
        <v>144</v>
      </c>
      <c r="E671" t="s">
        <v>774</v>
      </c>
      <c r="F671" t="s">
        <v>17</v>
      </c>
      <c r="G671">
        <v>1</v>
      </c>
      <c r="H671" s="8"/>
      <c r="I671" s="33"/>
      <c r="J671" t="s">
        <v>145</v>
      </c>
      <c r="K671" s="8"/>
    </row>
    <row r="672" spans="1:11" x14ac:dyDescent="0.25">
      <c r="A672" t="s">
        <v>134</v>
      </c>
      <c r="B672" t="s">
        <v>108</v>
      </c>
      <c r="C672" t="s">
        <v>146</v>
      </c>
      <c r="E672" t="s">
        <v>775</v>
      </c>
      <c r="F672" t="s">
        <v>17</v>
      </c>
      <c r="G672" s="5">
        <v>0</v>
      </c>
      <c r="H672" s="8"/>
      <c r="I672" s="33"/>
      <c r="J672" t="s">
        <v>88</v>
      </c>
      <c r="K672" s="8"/>
    </row>
    <row r="673" spans="1:11" x14ac:dyDescent="0.25">
      <c r="A673" t="s">
        <v>134</v>
      </c>
      <c r="B673" t="s">
        <v>108</v>
      </c>
      <c r="C673" t="s">
        <v>147</v>
      </c>
      <c r="E673" t="s">
        <v>776</v>
      </c>
      <c r="F673" t="s">
        <v>17</v>
      </c>
      <c r="G673" s="5">
        <v>0</v>
      </c>
      <c r="H673" s="8"/>
      <c r="I673" s="33"/>
      <c r="J673" t="s">
        <v>148</v>
      </c>
      <c r="K673" s="8"/>
    </row>
    <row r="674" spans="1:11" x14ac:dyDescent="0.25">
      <c r="A674" t="s">
        <v>134</v>
      </c>
      <c r="B674" t="s">
        <v>108</v>
      </c>
      <c r="C674" t="s">
        <v>149</v>
      </c>
      <c r="E674" t="s">
        <v>777</v>
      </c>
      <c r="F674" t="s">
        <v>17</v>
      </c>
      <c r="G674" s="5">
        <v>0</v>
      </c>
      <c r="H674" s="8"/>
      <c r="I674" s="33"/>
      <c r="J674" t="s">
        <v>88</v>
      </c>
      <c r="K674" s="8"/>
    </row>
    <row r="675" spans="1:11" x14ac:dyDescent="0.25">
      <c r="A675" t="s">
        <v>134</v>
      </c>
      <c r="B675" t="s">
        <v>108</v>
      </c>
      <c r="C675" t="s">
        <v>150</v>
      </c>
      <c r="E675" t="s">
        <v>778</v>
      </c>
      <c r="F675" t="s">
        <v>17</v>
      </c>
      <c r="G675" s="5">
        <v>0</v>
      </c>
      <c r="H675" s="8"/>
      <c r="I675" s="33"/>
      <c r="J675" t="s">
        <v>70</v>
      </c>
      <c r="K675" s="8"/>
    </row>
    <row r="676" spans="1:11" x14ac:dyDescent="0.25">
      <c r="A676" t="s">
        <v>134</v>
      </c>
      <c r="B676" t="s">
        <v>108</v>
      </c>
      <c r="C676" s="32" t="s">
        <v>526</v>
      </c>
      <c r="E676" t="s">
        <v>779</v>
      </c>
      <c r="F676" t="s">
        <v>17</v>
      </c>
      <c r="G676" s="5">
        <v>0</v>
      </c>
      <c r="H676" s="8"/>
      <c r="I676" s="33"/>
      <c r="J676" t="s">
        <v>151</v>
      </c>
      <c r="K676" s="8"/>
    </row>
    <row r="677" spans="1:11" x14ac:dyDescent="0.25">
      <c r="A677" t="s">
        <v>134</v>
      </c>
      <c r="B677" t="s">
        <v>109</v>
      </c>
      <c r="C677" t="s">
        <v>135</v>
      </c>
      <c r="E677" t="s">
        <v>780</v>
      </c>
      <c r="F677" s="32" t="s">
        <v>20</v>
      </c>
      <c r="G677">
        <v>1</v>
      </c>
      <c r="H677" s="8"/>
      <c r="I677" s="33" t="s">
        <v>781</v>
      </c>
      <c r="K677" s="8"/>
    </row>
    <row r="678" spans="1:11" x14ac:dyDescent="0.25">
      <c r="A678" t="s">
        <v>134</v>
      </c>
      <c r="B678" t="s">
        <v>109</v>
      </c>
      <c r="C678" t="s">
        <v>136</v>
      </c>
      <c r="E678" t="s">
        <v>782</v>
      </c>
      <c r="F678" t="s">
        <v>20</v>
      </c>
      <c r="G678">
        <v>1</v>
      </c>
      <c r="H678" s="8"/>
      <c r="I678" s="33" t="s">
        <v>532</v>
      </c>
      <c r="K678" s="8"/>
    </row>
    <row r="679" spans="1:11" x14ac:dyDescent="0.25">
      <c r="A679" t="s">
        <v>134</v>
      </c>
      <c r="B679" t="s">
        <v>109</v>
      </c>
      <c r="C679" s="32" t="s">
        <v>137</v>
      </c>
      <c r="E679" t="s">
        <v>783</v>
      </c>
      <c r="F679" s="32" t="s">
        <v>36</v>
      </c>
      <c r="G679">
        <v>1</v>
      </c>
      <c r="H679" s="8"/>
      <c r="I679" s="33" t="s">
        <v>711</v>
      </c>
      <c r="J679" t="s">
        <v>524</v>
      </c>
      <c r="K679" s="8"/>
    </row>
    <row r="680" spans="1:11" x14ac:dyDescent="0.25">
      <c r="A680" t="s">
        <v>134</v>
      </c>
      <c r="B680" t="s">
        <v>109</v>
      </c>
      <c r="C680" s="32" t="s">
        <v>525</v>
      </c>
      <c r="E680" t="s">
        <v>784</v>
      </c>
      <c r="F680" s="32" t="s">
        <v>20</v>
      </c>
      <c r="G680">
        <v>1</v>
      </c>
      <c r="H680" s="8"/>
      <c r="I680" s="33" t="s">
        <v>614</v>
      </c>
      <c r="K680" s="8"/>
    </row>
    <row r="681" spans="1:11" x14ac:dyDescent="0.25">
      <c r="A681" t="s">
        <v>134</v>
      </c>
      <c r="B681" t="s">
        <v>109</v>
      </c>
      <c r="C681" t="s">
        <v>140</v>
      </c>
      <c r="E681" t="s">
        <v>785</v>
      </c>
      <c r="F681" s="32" t="s">
        <v>20</v>
      </c>
      <c r="G681">
        <v>1</v>
      </c>
      <c r="H681" t="s">
        <v>141</v>
      </c>
      <c r="I681" s="33" t="s">
        <v>142</v>
      </c>
      <c r="K681" s="8"/>
    </row>
    <row r="682" spans="1:11" x14ac:dyDescent="0.25">
      <c r="A682" t="s">
        <v>134</v>
      </c>
      <c r="B682" t="s">
        <v>109</v>
      </c>
      <c r="C682" t="s">
        <v>144</v>
      </c>
      <c r="E682" t="s">
        <v>786</v>
      </c>
      <c r="F682" t="s">
        <v>17</v>
      </c>
      <c r="G682" s="5">
        <v>1</v>
      </c>
      <c r="H682" s="8"/>
      <c r="I682" s="33"/>
      <c r="J682" t="s">
        <v>145</v>
      </c>
      <c r="K682" s="8"/>
    </row>
    <row r="683" spans="1:11" x14ac:dyDescent="0.25">
      <c r="A683" t="s">
        <v>134</v>
      </c>
      <c r="B683" t="s">
        <v>109</v>
      </c>
      <c r="C683" t="s">
        <v>146</v>
      </c>
      <c r="E683" t="s">
        <v>787</v>
      </c>
      <c r="F683" t="s">
        <v>17</v>
      </c>
      <c r="G683" s="5">
        <v>1</v>
      </c>
      <c r="H683" s="8"/>
      <c r="I683" s="33"/>
      <c r="J683" t="s">
        <v>88</v>
      </c>
      <c r="K683" s="8"/>
    </row>
    <row r="684" spans="1:11" x14ac:dyDescent="0.25">
      <c r="A684" t="s">
        <v>134</v>
      </c>
      <c r="B684" t="s">
        <v>109</v>
      </c>
      <c r="C684" t="s">
        <v>147</v>
      </c>
      <c r="E684" t="s">
        <v>788</v>
      </c>
      <c r="F684" t="s">
        <v>17</v>
      </c>
      <c r="G684" s="5">
        <v>1</v>
      </c>
      <c r="H684" s="8"/>
      <c r="I684" s="33"/>
      <c r="J684" t="s">
        <v>148</v>
      </c>
      <c r="K684" s="8"/>
    </row>
    <row r="685" spans="1:11" x14ac:dyDescent="0.25">
      <c r="A685" t="s">
        <v>134</v>
      </c>
      <c r="B685" t="s">
        <v>109</v>
      </c>
      <c r="C685" t="s">
        <v>149</v>
      </c>
      <c r="E685" t="s">
        <v>789</v>
      </c>
      <c r="F685" t="s">
        <v>17</v>
      </c>
      <c r="G685" s="5">
        <v>0</v>
      </c>
      <c r="H685" s="8"/>
      <c r="I685" s="33"/>
      <c r="J685" t="s">
        <v>88</v>
      </c>
      <c r="K685" s="8"/>
    </row>
    <row r="686" spans="1:11" x14ac:dyDescent="0.25">
      <c r="A686" t="s">
        <v>134</v>
      </c>
      <c r="B686" t="s">
        <v>109</v>
      </c>
      <c r="C686" t="s">
        <v>150</v>
      </c>
      <c r="E686" t="s">
        <v>790</v>
      </c>
      <c r="F686" t="s">
        <v>17</v>
      </c>
      <c r="G686" s="5">
        <v>0</v>
      </c>
      <c r="H686" s="8"/>
      <c r="I686" s="33"/>
      <c r="J686" t="s">
        <v>70</v>
      </c>
      <c r="K686" s="8"/>
    </row>
    <row r="687" spans="1:11" x14ac:dyDescent="0.25">
      <c r="A687" t="s">
        <v>134</v>
      </c>
      <c r="B687" t="s">
        <v>109</v>
      </c>
      <c r="C687" s="32" t="s">
        <v>526</v>
      </c>
      <c r="E687" t="s">
        <v>791</v>
      </c>
      <c r="F687" t="s">
        <v>17</v>
      </c>
      <c r="G687">
        <v>1</v>
      </c>
      <c r="H687" s="8"/>
      <c r="I687" s="33"/>
      <c r="J687" t="s">
        <v>151</v>
      </c>
      <c r="K687" s="8"/>
    </row>
    <row r="688" spans="1:11" x14ac:dyDescent="0.25">
      <c r="A688" t="s">
        <v>134</v>
      </c>
      <c r="B688" t="s">
        <v>110</v>
      </c>
      <c r="C688" t="s">
        <v>135</v>
      </c>
      <c r="E688" t="s">
        <v>792</v>
      </c>
      <c r="F688" s="32" t="s">
        <v>20</v>
      </c>
      <c r="G688">
        <v>1</v>
      </c>
      <c r="H688" s="8"/>
      <c r="I688" s="33" t="s">
        <v>793</v>
      </c>
      <c r="K688" s="8"/>
    </row>
    <row r="689" spans="1:11" x14ac:dyDescent="0.25">
      <c r="A689" t="s">
        <v>134</v>
      </c>
      <c r="B689" t="s">
        <v>110</v>
      </c>
      <c r="C689" t="s">
        <v>136</v>
      </c>
      <c r="E689" t="s">
        <v>794</v>
      </c>
      <c r="F689" t="s">
        <v>20</v>
      </c>
      <c r="G689">
        <v>1</v>
      </c>
      <c r="H689" s="8"/>
      <c r="I689" s="33" t="s">
        <v>532</v>
      </c>
      <c r="K689" s="8"/>
    </row>
    <row r="690" spans="1:11" x14ac:dyDescent="0.25">
      <c r="A690" t="s">
        <v>134</v>
      </c>
      <c r="B690" t="s">
        <v>110</v>
      </c>
      <c r="C690" s="32" t="s">
        <v>137</v>
      </c>
      <c r="E690" t="s">
        <v>795</v>
      </c>
      <c r="F690" s="32" t="s">
        <v>36</v>
      </c>
      <c r="G690">
        <v>1</v>
      </c>
      <c r="I690" s="33" t="s">
        <v>796</v>
      </c>
      <c r="J690" t="s">
        <v>524</v>
      </c>
    </row>
    <row r="691" spans="1:11" x14ac:dyDescent="0.25">
      <c r="A691" t="s">
        <v>134</v>
      </c>
      <c r="B691" t="s">
        <v>110</v>
      </c>
      <c r="C691" s="32" t="s">
        <v>525</v>
      </c>
      <c r="E691" t="s">
        <v>797</v>
      </c>
      <c r="F691" s="32" t="s">
        <v>20</v>
      </c>
      <c r="G691">
        <v>1</v>
      </c>
      <c r="I691" s="33" t="s">
        <v>536</v>
      </c>
    </row>
    <row r="692" spans="1:11" x14ac:dyDescent="0.25">
      <c r="A692" t="s">
        <v>134</v>
      </c>
      <c r="B692" t="s">
        <v>110</v>
      </c>
      <c r="C692" t="s">
        <v>140</v>
      </c>
      <c r="E692" t="s">
        <v>798</v>
      </c>
      <c r="F692" s="32" t="s">
        <v>20</v>
      </c>
      <c r="G692" s="5">
        <v>0</v>
      </c>
      <c r="H692" t="s">
        <v>141</v>
      </c>
      <c r="I692" s="33" t="s">
        <v>142</v>
      </c>
    </row>
    <row r="693" spans="1:11" x14ac:dyDescent="0.25">
      <c r="A693" t="s">
        <v>134</v>
      </c>
      <c r="B693" t="s">
        <v>110</v>
      </c>
      <c r="C693" t="s">
        <v>144</v>
      </c>
      <c r="E693" t="s">
        <v>799</v>
      </c>
      <c r="F693" t="s">
        <v>17</v>
      </c>
      <c r="G693" s="5">
        <v>0</v>
      </c>
      <c r="I693" s="33"/>
      <c r="J693" t="s">
        <v>145</v>
      </c>
    </row>
    <row r="694" spans="1:11" x14ac:dyDescent="0.25">
      <c r="A694" t="s">
        <v>134</v>
      </c>
      <c r="B694" t="s">
        <v>110</v>
      </c>
      <c r="C694" t="s">
        <v>146</v>
      </c>
      <c r="E694" t="s">
        <v>800</v>
      </c>
      <c r="F694" t="s">
        <v>17</v>
      </c>
      <c r="G694" s="5">
        <v>0</v>
      </c>
      <c r="I694" s="33"/>
      <c r="J694" t="s">
        <v>88</v>
      </c>
    </row>
    <row r="695" spans="1:11" x14ac:dyDescent="0.25">
      <c r="A695" t="s">
        <v>134</v>
      </c>
      <c r="B695" t="s">
        <v>110</v>
      </c>
      <c r="C695" t="s">
        <v>147</v>
      </c>
      <c r="E695" t="s">
        <v>801</v>
      </c>
      <c r="F695" t="s">
        <v>17</v>
      </c>
      <c r="G695" s="5">
        <v>0</v>
      </c>
      <c r="I695" s="33"/>
      <c r="J695" t="s">
        <v>148</v>
      </c>
    </row>
    <row r="696" spans="1:11" x14ac:dyDescent="0.25">
      <c r="A696" t="s">
        <v>134</v>
      </c>
      <c r="B696" t="s">
        <v>110</v>
      </c>
      <c r="C696" t="s">
        <v>149</v>
      </c>
      <c r="E696" t="s">
        <v>802</v>
      </c>
      <c r="F696" t="s">
        <v>17</v>
      </c>
      <c r="G696" s="5">
        <v>0</v>
      </c>
      <c r="I696" s="33"/>
      <c r="J696" t="s">
        <v>88</v>
      </c>
    </row>
    <row r="697" spans="1:11" x14ac:dyDescent="0.25">
      <c r="A697" t="s">
        <v>134</v>
      </c>
      <c r="B697" t="s">
        <v>110</v>
      </c>
      <c r="C697" t="s">
        <v>150</v>
      </c>
      <c r="E697" t="s">
        <v>803</v>
      </c>
      <c r="F697" t="s">
        <v>17</v>
      </c>
      <c r="G697">
        <v>1</v>
      </c>
      <c r="I697" s="33"/>
      <c r="J697" t="s">
        <v>70</v>
      </c>
    </row>
    <row r="698" spans="1:11" x14ac:dyDescent="0.25">
      <c r="A698" t="s">
        <v>134</v>
      </c>
      <c r="B698" t="s">
        <v>110</v>
      </c>
      <c r="C698" s="32" t="s">
        <v>526</v>
      </c>
      <c r="E698" t="s">
        <v>804</v>
      </c>
      <c r="F698" t="s">
        <v>17</v>
      </c>
      <c r="G698">
        <v>1</v>
      </c>
      <c r="I698" s="33"/>
      <c r="J698" t="s">
        <v>151</v>
      </c>
      <c r="K698" s="6"/>
    </row>
    <row r="699" spans="1:11" x14ac:dyDescent="0.25">
      <c r="A699" t="s">
        <v>134</v>
      </c>
      <c r="B699" t="s">
        <v>111</v>
      </c>
      <c r="C699" t="s">
        <v>135</v>
      </c>
      <c r="E699" t="s">
        <v>805</v>
      </c>
      <c r="F699" s="32" t="s">
        <v>20</v>
      </c>
      <c r="G699">
        <v>1</v>
      </c>
      <c r="H699" s="3"/>
      <c r="I699" s="33" t="s">
        <v>806</v>
      </c>
      <c r="K699" s="7"/>
    </row>
    <row r="700" spans="1:11" x14ac:dyDescent="0.25">
      <c r="A700" t="s">
        <v>134</v>
      </c>
      <c r="B700" t="s">
        <v>111</v>
      </c>
      <c r="C700" t="s">
        <v>136</v>
      </c>
      <c r="E700" t="s">
        <v>807</v>
      </c>
      <c r="F700" t="s">
        <v>20</v>
      </c>
      <c r="G700">
        <v>1</v>
      </c>
      <c r="H700" s="8"/>
      <c r="I700" s="33" t="s">
        <v>532</v>
      </c>
      <c r="K700" s="9"/>
    </row>
    <row r="701" spans="1:11" x14ac:dyDescent="0.25">
      <c r="A701" t="s">
        <v>134</v>
      </c>
      <c r="B701" t="s">
        <v>111</v>
      </c>
      <c r="C701" s="32" t="s">
        <v>137</v>
      </c>
      <c r="E701" t="s">
        <v>808</v>
      </c>
      <c r="F701" s="32" t="s">
        <v>36</v>
      </c>
      <c r="G701">
        <v>1</v>
      </c>
      <c r="I701" s="33" t="s">
        <v>796</v>
      </c>
      <c r="J701" t="s">
        <v>524</v>
      </c>
    </row>
    <row r="702" spans="1:11" x14ac:dyDescent="0.25">
      <c r="A702" t="s">
        <v>134</v>
      </c>
      <c r="B702" t="s">
        <v>111</v>
      </c>
      <c r="C702" s="32" t="s">
        <v>525</v>
      </c>
      <c r="E702" t="s">
        <v>809</v>
      </c>
      <c r="F702" s="32" t="s">
        <v>20</v>
      </c>
      <c r="G702" s="5">
        <v>0</v>
      </c>
      <c r="I702" s="33" t="s">
        <v>549</v>
      </c>
    </row>
    <row r="703" spans="1:11" x14ac:dyDescent="0.25">
      <c r="A703" t="s">
        <v>134</v>
      </c>
      <c r="B703" t="s">
        <v>111</v>
      </c>
      <c r="C703" t="s">
        <v>140</v>
      </c>
      <c r="E703" t="s">
        <v>810</v>
      </c>
      <c r="F703" s="32" t="s">
        <v>20</v>
      </c>
      <c r="G703" s="5">
        <v>0</v>
      </c>
      <c r="H703" t="s">
        <v>141</v>
      </c>
      <c r="I703" s="33" t="s">
        <v>142</v>
      </c>
    </row>
    <row r="704" spans="1:11" x14ac:dyDescent="0.25">
      <c r="A704" t="s">
        <v>134</v>
      </c>
      <c r="B704" t="s">
        <v>111</v>
      </c>
      <c r="C704" t="s">
        <v>144</v>
      </c>
      <c r="E704" t="s">
        <v>811</v>
      </c>
      <c r="F704" t="s">
        <v>17</v>
      </c>
      <c r="G704" s="5">
        <v>0</v>
      </c>
      <c r="I704" s="33"/>
      <c r="J704" t="s">
        <v>145</v>
      </c>
    </row>
    <row r="705" spans="1:11" x14ac:dyDescent="0.25">
      <c r="A705" t="s">
        <v>134</v>
      </c>
      <c r="B705" t="s">
        <v>111</v>
      </c>
      <c r="C705" t="s">
        <v>146</v>
      </c>
      <c r="E705" t="s">
        <v>812</v>
      </c>
      <c r="F705" t="s">
        <v>17</v>
      </c>
      <c r="G705" s="5">
        <v>0</v>
      </c>
      <c r="I705" s="33"/>
      <c r="J705" t="s">
        <v>88</v>
      </c>
    </row>
    <row r="706" spans="1:11" x14ac:dyDescent="0.25">
      <c r="A706" t="s">
        <v>134</v>
      </c>
      <c r="B706" t="s">
        <v>111</v>
      </c>
      <c r="C706" t="s">
        <v>147</v>
      </c>
      <c r="E706" t="s">
        <v>813</v>
      </c>
      <c r="F706" t="s">
        <v>17</v>
      </c>
      <c r="G706" s="5">
        <v>0</v>
      </c>
      <c r="I706" s="33"/>
      <c r="J706" t="s">
        <v>148</v>
      </c>
    </row>
    <row r="707" spans="1:11" x14ac:dyDescent="0.25">
      <c r="A707" t="s">
        <v>134</v>
      </c>
      <c r="B707" t="s">
        <v>111</v>
      </c>
      <c r="C707" t="s">
        <v>149</v>
      </c>
      <c r="E707" t="s">
        <v>814</v>
      </c>
      <c r="F707" t="s">
        <v>17</v>
      </c>
      <c r="G707">
        <v>1</v>
      </c>
      <c r="I707" s="33"/>
      <c r="J707" t="s">
        <v>88</v>
      </c>
    </row>
    <row r="708" spans="1:11" x14ac:dyDescent="0.25">
      <c r="A708" t="s">
        <v>134</v>
      </c>
      <c r="B708" t="s">
        <v>111</v>
      </c>
      <c r="C708" t="s">
        <v>150</v>
      </c>
      <c r="E708" t="s">
        <v>815</v>
      </c>
      <c r="F708" t="s">
        <v>17</v>
      </c>
      <c r="G708">
        <v>1</v>
      </c>
      <c r="I708" s="33"/>
      <c r="J708" t="s">
        <v>70</v>
      </c>
    </row>
    <row r="709" spans="1:11" x14ac:dyDescent="0.25">
      <c r="A709" t="s">
        <v>134</v>
      </c>
      <c r="B709" t="s">
        <v>111</v>
      </c>
      <c r="C709" s="32" t="s">
        <v>526</v>
      </c>
      <c r="E709" t="s">
        <v>816</v>
      </c>
      <c r="F709" t="s">
        <v>17</v>
      </c>
      <c r="G709">
        <v>1</v>
      </c>
      <c r="I709" s="33"/>
      <c r="J709" t="s">
        <v>151</v>
      </c>
      <c r="K709" s="6"/>
    </row>
    <row r="710" spans="1:11" x14ac:dyDescent="0.25">
      <c r="A710" t="s">
        <v>134</v>
      </c>
      <c r="B710" t="s">
        <v>112</v>
      </c>
      <c r="C710" t="s">
        <v>135</v>
      </c>
      <c r="E710" t="s">
        <v>817</v>
      </c>
      <c r="F710" s="32" t="s">
        <v>20</v>
      </c>
      <c r="G710">
        <v>1</v>
      </c>
      <c r="H710" s="3"/>
      <c r="I710" s="33" t="s">
        <v>818</v>
      </c>
      <c r="K710" s="7"/>
    </row>
    <row r="711" spans="1:11" x14ac:dyDescent="0.25">
      <c r="A711" t="s">
        <v>134</v>
      </c>
      <c r="B711" t="s">
        <v>112</v>
      </c>
      <c r="C711" t="s">
        <v>136</v>
      </c>
      <c r="E711" t="s">
        <v>819</v>
      </c>
      <c r="F711" t="s">
        <v>20</v>
      </c>
      <c r="G711">
        <v>1</v>
      </c>
      <c r="H711" s="8"/>
      <c r="I711" s="33" t="s">
        <v>532</v>
      </c>
      <c r="K711" s="9"/>
    </row>
    <row r="712" spans="1:11" x14ac:dyDescent="0.25">
      <c r="A712" t="s">
        <v>134</v>
      </c>
      <c r="B712" t="s">
        <v>112</v>
      </c>
      <c r="C712" s="32" t="s">
        <v>137</v>
      </c>
      <c r="E712" t="s">
        <v>820</v>
      </c>
      <c r="F712" s="32" t="s">
        <v>36</v>
      </c>
      <c r="G712" s="5">
        <v>0</v>
      </c>
      <c r="I712" s="33" t="s">
        <v>796</v>
      </c>
      <c r="J712" t="s">
        <v>524</v>
      </c>
    </row>
    <row r="713" spans="1:11" x14ac:dyDescent="0.25">
      <c r="A713" t="s">
        <v>134</v>
      </c>
      <c r="B713" t="s">
        <v>112</v>
      </c>
      <c r="C713" s="32" t="s">
        <v>525</v>
      </c>
      <c r="E713" t="s">
        <v>821</v>
      </c>
      <c r="F713" s="32" t="s">
        <v>20</v>
      </c>
      <c r="G713" s="5">
        <v>0</v>
      </c>
      <c r="I713" s="33" t="s">
        <v>562</v>
      </c>
    </row>
    <row r="714" spans="1:11" x14ac:dyDescent="0.25">
      <c r="A714" t="s">
        <v>134</v>
      </c>
      <c r="B714" t="s">
        <v>112</v>
      </c>
      <c r="C714" t="s">
        <v>140</v>
      </c>
      <c r="E714" t="s">
        <v>822</v>
      </c>
      <c r="F714" s="32" t="s">
        <v>20</v>
      </c>
      <c r="G714" s="5">
        <v>0</v>
      </c>
      <c r="H714" t="s">
        <v>141</v>
      </c>
      <c r="I714" s="33" t="s">
        <v>142</v>
      </c>
    </row>
    <row r="715" spans="1:11" x14ac:dyDescent="0.25">
      <c r="A715" t="s">
        <v>134</v>
      </c>
      <c r="B715" t="s">
        <v>112</v>
      </c>
      <c r="C715" t="s">
        <v>144</v>
      </c>
      <c r="E715" t="s">
        <v>823</v>
      </c>
      <c r="F715" t="s">
        <v>17</v>
      </c>
      <c r="G715" s="5">
        <v>0</v>
      </c>
      <c r="I715" s="33"/>
      <c r="J715" t="s">
        <v>145</v>
      </c>
    </row>
    <row r="716" spans="1:11" x14ac:dyDescent="0.25">
      <c r="A716" t="s">
        <v>134</v>
      </c>
      <c r="B716" t="s">
        <v>112</v>
      </c>
      <c r="C716" t="s">
        <v>146</v>
      </c>
      <c r="E716" t="s">
        <v>824</v>
      </c>
      <c r="F716" t="s">
        <v>17</v>
      </c>
      <c r="G716" s="5">
        <v>0</v>
      </c>
      <c r="I716" s="33"/>
      <c r="J716" t="s">
        <v>88</v>
      </c>
    </row>
    <row r="717" spans="1:11" x14ac:dyDescent="0.25">
      <c r="A717" t="s">
        <v>134</v>
      </c>
      <c r="B717" t="s">
        <v>112</v>
      </c>
      <c r="C717" t="s">
        <v>147</v>
      </c>
      <c r="E717" t="s">
        <v>825</v>
      </c>
      <c r="F717" t="s">
        <v>17</v>
      </c>
      <c r="G717">
        <v>1</v>
      </c>
      <c r="I717" s="33"/>
      <c r="J717" t="s">
        <v>148</v>
      </c>
    </row>
    <row r="718" spans="1:11" x14ac:dyDescent="0.25">
      <c r="A718" t="s">
        <v>134</v>
      </c>
      <c r="B718" t="s">
        <v>112</v>
      </c>
      <c r="C718" t="s">
        <v>149</v>
      </c>
      <c r="E718" t="s">
        <v>826</v>
      </c>
      <c r="F718" t="s">
        <v>17</v>
      </c>
      <c r="G718">
        <v>1</v>
      </c>
      <c r="I718" s="33"/>
      <c r="J718" t="s">
        <v>88</v>
      </c>
    </row>
    <row r="719" spans="1:11" x14ac:dyDescent="0.25">
      <c r="A719" t="s">
        <v>134</v>
      </c>
      <c r="B719" t="s">
        <v>112</v>
      </c>
      <c r="C719" t="s">
        <v>150</v>
      </c>
      <c r="E719" t="s">
        <v>827</v>
      </c>
      <c r="F719" t="s">
        <v>17</v>
      </c>
      <c r="G719">
        <v>1</v>
      </c>
      <c r="I719" s="33"/>
      <c r="J719" t="s">
        <v>70</v>
      </c>
    </row>
    <row r="720" spans="1:11" x14ac:dyDescent="0.25">
      <c r="A720" t="s">
        <v>134</v>
      </c>
      <c r="B720" t="s">
        <v>112</v>
      </c>
      <c r="C720" s="32" t="s">
        <v>526</v>
      </c>
      <c r="E720" t="s">
        <v>828</v>
      </c>
      <c r="F720" t="s">
        <v>17</v>
      </c>
      <c r="G720">
        <v>1</v>
      </c>
      <c r="I720" s="33"/>
      <c r="J720" t="s">
        <v>151</v>
      </c>
      <c r="K720" s="6"/>
    </row>
    <row r="721" spans="1:11" x14ac:dyDescent="0.25">
      <c r="A721" t="s">
        <v>134</v>
      </c>
      <c r="B721" t="s">
        <v>113</v>
      </c>
      <c r="C721" t="s">
        <v>135</v>
      </c>
      <c r="E721" t="s">
        <v>829</v>
      </c>
      <c r="F721" s="32" t="s">
        <v>20</v>
      </c>
      <c r="G721">
        <v>1</v>
      </c>
      <c r="H721" s="3"/>
      <c r="I721" s="33" t="s">
        <v>830</v>
      </c>
      <c r="K721" s="7"/>
    </row>
    <row r="722" spans="1:11" x14ac:dyDescent="0.25">
      <c r="A722" t="s">
        <v>134</v>
      </c>
      <c r="B722" t="s">
        <v>113</v>
      </c>
      <c r="C722" t="s">
        <v>136</v>
      </c>
      <c r="E722" t="s">
        <v>831</v>
      </c>
      <c r="F722" t="s">
        <v>20</v>
      </c>
      <c r="G722" s="5">
        <v>0</v>
      </c>
      <c r="H722" s="8"/>
      <c r="I722" s="33" t="s">
        <v>532</v>
      </c>
      <c r="K722" s="9"/>
    </row>
    <row r="723" spans="1:11" x14ac:dyDescent="0.25">
      <c r="A723" t="s">
        <v>134</v>
      </c>
      <c r="B723" t="s">
        <v>113</v>
      </c>
      <c r="C723" s="32" t="s">
        <v>137</v>
      </c>
      <c r="E723" t="s">
        <v>832</v>
      </c>
      <c r="F723" s="32" t="s">
        <v>36</v>
      </c>
      <c r="G723" s="5">
        <v>0</v>
      </c>
      <c r="H723" s="8"/>
      <c r="I723" s="33" t="s">
        <v>796</v>
      </c>
      <c r="J723" t="s">
        <v>524</v>
      </c>
      <c r="K723" s="8"/>
    </row>
    <row r="724" spans="1:11" x14ac:dyDescent="0.25">
      <c r="A724" t="s">
        <v>134</v>
      </c>
      <c r="B724" t="s">
        <v>113</v>
      </c>
      <c r="C724" s="32" t="s">
        <v>525</v>
      </c>
      <c r="E724" t="s">
        <v>833</v>
      </c>
      <c r="F724" s="32" t="s">
        <v>20</v>
      </c>
      <c r="G724" s="5">
        <v>0</v>
      </c>
      <c r="H724" s="8"/>
      <c r="I724" s="33" t="s">
        <v>575</v>
      </c>
      <c r="K724" s="8"/>
    </row>
    <row r="725" spans="1:11" x14ac:dyDescent="0.25">
      <c r="A725" t="s">
        <v>134</v>
      </c>
      <c r="B725" t="s">
        <v>113</v>
      </c>
      <c r="C725" t="s">
        <v>140</v>
      </c>
      <c r="E725" t="s">
        <v>834</v>
      </c>
      <c r="F725" s="32" t="s">
        <v>20</v>
      </c>
      <c r="G725" s="5">
        <v>0</v>
      </c>
      <c r="H725" t="s">
        <v>141</v>
      </c>
      <c r="I725" s="33" t="s">
        <v>142</v>
      </c>
      <c r="K725" s="8"/>
    </row>
    <row r="726" spans="1:11" x14ac:dyDescent="0.25">
      <c r="A726" t="s">
        <v>134</v>
      </c>
      <c r="B726" t="s">
        <v>113</v>
      </c>
      <c r="C726" t="s">
        <v>144</v>
      </c>
      <c r="E726" t="s">
        <v>835</v>
      </c>
      <c r="F726" t="s">
        <v>17</v>
      </c>
      <c r="G726" s="5">
        <v>0</v>
      </c>
      <c r="H726" s="8"/>
      <c r="I726" s="33"/>
      <c r="J726" t="s">
        <v>145</v>
      </c>
      <c r="K726" s="8"/>
    </row>
    <row r="727" spans="1:11" x14ac:dyDescent="0.25">
      <c r="A727" t="s">
        <v>134</v>
      </c>
      <c r="B727" t="s">
        <v>113</v>
      </c>
      <c r="C727" t="s">
        <v>146</v>
      </c>
      <c r="E727" t="s">
        <v>836</v>
      </c>
      <c r="F727" t="s">
        <v>17</v>
      </c>
      <c r="G727">
        <v>1</v>
      </c>
      <c r="H727" s="8"/>
      <c r="I727" s="33"/>
      <c r="J727" t="s">
        <v>88</v>
      </c>
      <c r="K727" s="8"/>
    </row>
    <row r="728" spans="1:11" x14ac:dyDescent="0.25">
      <c r="A728" t="s">
        <v>134</v>
      </c>
      <c r="B728" t="s">
        <v>113</v>
      </c>
      <c r="C728" t="s">
        <v>147</v>
      </c>
      <c r="E728" t="s">
        <v>837</v>
      </c>
      <c r="F728" t="s">
        <v>17</v>
      </c>
      <c r="G728">
        <v>1</v>
      </c>
      <c r="H728" s="8"/>
      <c r="I728" s="33"/>
      <c r="J728" t="s">
        <v>148</v>
      </c>
      <c r="K728" s="8"/>
    </row>
    <row r="729" spans="1:11" x14ac:dyDescent="0.25">
      <c r="A729" t="s">
        <v>134</v>
      </c>
      <c r="B729" t="s">
        <v>113</v>
      </c>
      <c r="C729" t="s">
        <v>149</v>
      </c>
      <c r="E729" t="s">
        <v>838</v>
      </c>
      <c r="F729" t="s">
        <v>17</v>
      </c>
      <c r="G729">
        <v>1</v>
      </c>
      <c r="H729" s="8"/>
      <c r="I729" s="33"/>
      <c r="J729" t="s">
        <v>88</v>
      </c>
      <c r="K729" s="8"/>
    </row>
    <row r="730" spans="1:11" x14ac:dyDescent="0.25">
      <c r="A730" t="s">
        <v>134</v>
      </c>
      <c r="B730" t="s">
        <v>113</v>
      </c>
      <c r="C730" t="s">
        <v>150</v>
      </c>
      <c r="E730" t="s">
        <v>839</v>
      </c>
      <c r="F730" t="s">
        <v>17</v>
      </c>
      <c r="G730">
        <v>1</v>
      </c>
      <c r="H730" s="8"/>
      <c r="I730" s="33"/>
      <c r="J730" t="s">
        <v>70</v>
      </c>
      <c r="K730" s="8"/>
    </row>
    <row r="731" spans="1:11" x14ac:dyDescent="0.25">
      <c r="A731" t="s">
        <v>134</v>
      </c>
      <c r="B731" t="s">
        <v>113</v>
      </c>
      <c r="C731" s="32" t="s">
        <v>526</v>
      </c>
      <c r="E731" t="s">
        <v>840</v>
      </c>
      <c r="F731" t="s">
        <v>17</v>
      </c>
      <c r="G731">
        <v>1</v>
      </c>
      <c r="H731" s="8"/>
      <c r="I731" s="33"/>
      <c r="J731" t="s">
        <v>151</v>
      </c>
      <c r="K731" s="8"/>
    </row>
    <row r="732" spans="1:11" x14ac:dyDescent="0.25">
      <c r="A732" t="s">
        <v>134</v>
      </c>
      <c r="B732" t="s">
        <v>114</v>
      </c>
      <c r="C732" t="s">
        <v>135</v>
      </c>
      <c r="E732" t="s">
        <v>841</v>
      </c>
      <c r="F732" s="32" t="s">
        <v>20</v>
      </c>
      <c r="G732" s="5">
        <v>0</v>
      </c>
      <c r="H732" s="8"/>
      <c r="I732" s="33" t="s">
        <v>842</v>
      </c>
      <c r="K732" s="8"/>
    </row>
    <row r="733" spans="1:11" x14ac:dyDescent="0.25">
      <c r="A733" t="s">
        <v>134</v>
      </c>
      <c r="B733" t="s">
        <v>114</v>
      </c>
      <c r="C733" t="s">
        <v>136</v>
      </c>
      <c r="E733" t="s">
        <v>843</v>
      </c>
      <c r="F733" t="s">
        <v>20</v>
      </c>
      <c r="G733" s="5">
        <v>0</v>
      </c>
      <c r="H733" s="8"/>
      <c r="I733" s="33" t="s">
        <v>532</v>
      </c>
      <c r="K733" s="8"/>
    </row>
    <row r="734" spans="1:11" x14ac:dyDescent="0.25">
      <c r="A734" t="s">
        <v>134</v>
      </c>
      <c r="B734" t="s">
        <v>114</v>
      </c>
      <c r="C734" s="32" t="s">
        <v>137</v>
      </c>
      <c r="E734" t="s">
        <v>844</v>
      </c>
      <c r="F734" s="32" t="s">
        <v>36</v>
      </c>
      <c r="G734" s="5">
        <v>0</v>
      </c>
      <c r="H734" s="8"/>
      <c r="I734" s="33" t="s">
        <v>796</v>
      </c>
      <c r="J734" t="s">
        <v>524</v>
      </c>
      <c r="K734" s="8"/>
    </row>
    <row r="735" spans="1:11" x14ac:dyDescent="0.25">
      <c r="A735" t="s">
        <v>134</v>
      </c>
      <c r="B735" t="s">
        <v>114</v>
      </c>
      <c r="C735" s="32" t="s">
        <v>525</v>
      </c>
      <c r="E735" t="s">
        <v>845</v>
      </c>
      <c r="F735" s="32" t="s">
        <v>20</v>
      </c>
      <c r="G735" s="5">
        <v>0</v>
      </c>
      <c r="H735" s="8"/>
      <c r="I735" s="33" t="s">
        <v>588</v>
      </c>
      <c r="K735" s="8"/>
    </row>
    <row r="736" spans="1:11" x14ac:dyDescent="0.25">
      <c r="A736" t="s">
        <v>134</v>
      </c>
      <c r="B736" t="s">
        <v>114</v>
      </c>
      <c r="C736" t="s">
        <v>140</v>
      </c>
      <c r="E736" t="s">
        <v>846</v>
      </c>
      <c r="F736" s="32" t="s">
        <v>20</v>
      </c>
      <c r="G736" s="5">
        <v>0</v>
      </c>
      <c r="H736" t="s">
        <v>141</v>
      </c>
      <c r="I736" s="33" t="s">
        <v>142</v>
      </c>
      <c r="K736" s="8"/>
    </row>
    <row r="737" spans="1:11" x14ac:dyDescent="0.25">
      <c r="A737" t="s">
        <v>134</v>
      </c>
      <c r="B737" t="s">
        <v>114</v>
      </c>
      <c r="C737" t="s">
        <v>144</v>
      </c>
      <c r="E737" t="s">
        <v>847</v>
      </c>
      <c r="F737" t="s">
        <v>17</v>
      </c>
      <c r="G737">
        <v>1</v>
      </c>
      <c r="H737" s="8"/>
      <c r="I737" s="33"/>
      <c r="J737" t="s">
        <v>145</v>
      </c>
      <c r="K737" s="8"/>
    </row>
    <row r="738" spans="1:11" x14ac:dyDescent="0.25">
      <c r="A738" t="s">
        <v>134</v>
      </c>
      <c r="B738" t="s">
        <v>114</v>
      </c>
      <c r="C738" t="s">
        <v>146</v>
      </c>
      <c r="E738" t="s">
        <v>848</v>
      </c>
      <c r="F738" t="s">
        <v>17</v>
      </c>
      <c r="G738">
        <v>1</v>
      </c>
      <c r="H738" s="8"/>
      <c r="I738" s="33"/>
      <c r="J738" t="s">
        <v>88</v>
      </c>
      <c r="K738" s="8"/>
    </row>
    <row r="739" spans="1:11" x14ac:dyDescent="0.25">
      <c r="A739" t="s">
        <v>134</v>
      </c>
      <c r="B739" t="s">
        <v>114</v>
      </c>
      <c r="C739" t="s">
        <v>147</v>
      </c>
      <c r="E739" t="s">
        <v>849</v>
      </c>
      <c r="F739" t="s">
        <v>17</v>
      </c>
      <c r="G739">
        <v>1</v>
      </c>
      <c r="H739" s="8"/>
      <c r="I739" s="33"/>
      <c r="J739" t="s">
        <v>148</v>
      </c>
      <c r="K739" s="8"/>
    </row>
    <row r="740" spans="1:11" x14ac:dyDescent="0.25">
      <c r="A740" t="s">
        <v>134</v>
      </c>
      <c r="B740" t="s">
        <v>114</v>
      </c>
      <c r="C740" t="s">
        <v>149</v>
      </c>
      <c r="E740" t="s">
        <v>850</v>
      </c>
      <c r="F740" t="s">
        <v>17</v>
      </c>
      <c r="G740">
        <v>1</v>
      </c>
      <c r="H740" s="8"/>
      <c r="I740" s="33"/>
      <c r="J740" t="s">
        <v>88</v>
      </c>
      <c r="K740" s="8"/>
    </row>
    <row r="741" spans="1:11" x14ac:dyDescent="0.25">
      <c r="A741" t="s">
        <v>134</v>
      </c>
      <c r="B741" t="s">
        <v>114</v>
      </c>
      <c r="C741" t="s">
        <v>150</v>
      </c>
      <c r="E741" t="s">
        <v>851</v>
      </c>
      <c r="F741" t="s">
        <v>17</v>
      </c>
      <c r="G741">
        <v>1</v>
      </c>
      <c r="H741" s="8"/>
      <c r="I741" s="33"/>
      <c r="J741" t="s">
        <v>70</v>
      </c>
      <c r="K741" s="8"/>
    </row>
    <row r="742" spans="1:11" x14ac:dyDescent="0.25">
      <c r="A742" t="s">
        <v>134</v>
      </c>
      <c r="B742" t="s">
        <v>114</v>
      </c>
      <c r="C742" s="32" t="s">
        <v>526</v>
      </c>
      <c r="E742" t="s">
        <v>852</v>
      </c>
      <c r="F742" t="s">
        <v>17</v>
      </c>
      <c r="G742" s="5">
        <v>0</v>
      </c>
      <c r="H742" s="8"/>
      <c r="I742" s="33"/>
      <c r="J742" t="s">
        <v>151</v>
      </c>
      <c r="K742" s="8"/>
    </row>
    <row r="743" spans="1:11" x14ac:dyDescent="0.25">
      <c r="A743" t="s">
        <v>134</v>
      </c>
      <c r="B743" t="s">
        <v>115</v>
      </c>
      <c r="C743" t="s">
        <v>135</v>
      </c>
      <c r="E743" t="s">
        <v>853</v>
      </c>
      <c r="F743" s="32" t="s">
        <v>20</v>
      </c>
      <c r="G743" s="5">
        <v>0</v>
      </c>
      <c r="H743" s="8"/>
      <c r="I743" s="33" t="s">
        <v>854</v>
      </c>
      <c r="K743" s="8"/>
    </row>
    <row r="744" spans="1:11" x14ac:dyDescent="0.25">
      <c r="A744" t="s">
        <v>134</v>
      </c>
      <c r="B744" t="s">
        <v>115</v>
      </c>
      <c r="C744" t="s">
        <v>136</v>
      </c>
      <c r="E744" t="s">
        <v>855</v>
      </c>
      <c r="F744" t="s">
        <v>20</v>
      </c>
      <c r="G744" s="5">
        <v>0</v>
      </c>
      <c r="H744" s="8"/>
      <c r="I744" s="33" t="s">
        <v>532</v>
      </c>
      <c r="K744" s="8"/>
    </row>
    <row r="745" spans="1:11" x14ac:dyDescent="0.25">
      <c r="A745" t="s">
        <v>134</v>
      </c>
      <c r="B745" t="s">
        <v>115</v>
      </c>
      <c r="C745" s="32" t="s">
        <v>137</v>
      </c>
      <c r="E745" t="s">
        <v>856</v>
      </c>
      <c r="F745" s="32" t="s">
        <v>36</v>
      </c>
      <c r="G745" s="5">
        <v>0</v>
      </c>
      <c r="H745" s="8"/>
      <c r="I745" s="33" t="s">
        <v>796</v>
      </c>
      <c r="J745" t="s">
        <v>524</v>
      </c>
      <c r="K745" s="8"/>
    </row>
    <row r="746" spans="1:11" x14ac:dyDescent="0.25">
      <c r="A746" t="s">
        <v>134</v>
      </c>
      <c r="B746" t="s">
        <v>115</v>
      </c>
      <c r="C746" s="32" t="s">
        <v>525</v>
      </c>
      <c r="E746" t="s">
        <v>857</v>
      </c>
      <c r="F746" s="32" t="s">
        <v>20</v>
      </c>
      <c r="G746" s="5">
        <v>0</v>
      </c>
      <c r="H746" s="8"/>
      <c r="I746" s="33" t="s">
        <v>601</v>
      </c>
      <c r="K746" s="8"/>
    </row>
    <row r="747" spans="1:11" x14ac:dyDescent="0.25">
      <c r="A747" t="s">
        <v>134</v>
      </c>
      <c r="B747" t="s">
        <v>115</v>
      </c>
      <c r="C747" t="s">
        <v>140</v>
      </c>
      <c r="E747" t="s">
        <v>858</v>
      </c>
      <c r="F747" s="32" t="s">
        <v>20</v>
      </c>
      <c r="G747">
        <v>1</v>
      </c>
      <c r="H747" t="s">
        <v>141</v>
      </c>
      <c r="I747" s="33" t="s">
        <v>142</v>
      </c>
      <c r="K747" s="8"/>
    </row>
    <row r="748" spans="1:11" x14ac:dyDescent="0.25">
      <c r="A748" t="s">
        <v>134</v>
      </c>
      <c r="B748" t="s">
        <v>115</v>
      </c>
      <c r="C748" t="s">
        <v>144</v>
      </c>
      <c r="E748" t="s">
        <v>859</v>
      </c>
      <c r="F748" t="s">
        <v>17</v>
      </c>
      <c r="G748">
        <v>1</v>
      </c>
      <c r="H748" s="8"/>
      <c r="I748" s="33"/>
      <c r="J748" t="s">
        <v>145</v>
      </c>
      <c r="K748" s="8"/>
    </row>
    <row r="749" spans="1:11" x14ac:dyDescent="0.25">
      <c r="A749" t="s">
        <v>134</v>
      </c>
      <c r="B749" t="s">
        <v>115</v>
      </c>
      <c r="C749" t="s">
        <v>146</v>
      </c>
      <c r="E749" t="s">
        <v>860</v>
      </c>
      <c r="F749" t="s">
        <v>17</v>
      </c>
      <c r="G749">
        <v>1</v>
      </c>
      <c r="H749" s="8"/>
      <c r="I749" s="33"/>
      <c r="J749" t="s">
        <v>88</v>
      </c>
      <c r="K749" s="8"/>
    </row>
    <row r="750" spans="1:11" x14ac:dyDescent="0.25">
      <c r="A750" t="s">
        <v>134</v>
      </c>
      <c r="B750" t="s">
        <v>115</v>
      </c>
      <c r="C750" t="s">
        <v>147</v>
      </c>
      <c r="E750" t="s">
        <v>861</v>
      </c>
      <c r="F750" t="s">
        <v>17</v>
      </c>
      <c r="G750">
        <v>1</v>
      </c>
      <c r="H750" s="8"/>
      <c r="I750" s="33"/>
      <c r="J750" t="s">
        <v>148</v>
      </c>
      <c r="K750" s="8"/>
    </row>
    <row r="751" spans="1:11" x14ac:dyDescent="0.25">
      <c r="A751" t="s">
        <v>134</v>
      </c>
      <c r="B751" t="s">
        <v>115</v>
      </c>
      <c r="C751" t="s">
        <v>149</v>
      </c>
      <c r="E751" t="s">
        <v>862</v>
      </c>
      <c r="F751" t="s">
        <v>17</v>
      </c>
      <c r="G751">
        <v>1</v>
      </c>
      <c r="H751" s="8"/>
      <c r="I751" s="33"/>
      <c r="J751" t="s">
        <v>88</v>
      </c>
      <c r="K751" s="8"/>
    </row>
    <row r="752" spans="1:11" x14ac:dyDescent="0.25">
      <c r="A752" t="s">
        <v>134</v>
      </c>
      <c r="B752" t="s">
        <v>115</v>
      </c>
      <c r="C752" t="s">
        <v>150</v>
      </c>
      <c r="E752" t="s">
        <v>863</v>
      </c>
      <c r="F752" t="s">
        <v>17</v>
      </c>
      <c r="G752" s="5">
        <v>0</v>
      </c>
      <c r="H752" s="8"/>
      <c r="I752" s="33"/>
      <c r="J752" t="s">
        <v>70</v>
      </c>
      <c r="K752" s="8"/>
    </row>
    <row r="753" spans="1:11" x14ac:dyDescent="0.25">
      <c r="A753" t="s">
        <v>134</v>
      </c>
      <c r="B753" t="s">
        <v>115</v>
      </c>
      <c r="C753" s="32" t="s">
        <v>526</v>
      </c>
      <c r="E753" t="s">
        <v>864</v>
      </c>
      <c r="F753" t="s">
        <v>17</v>
      </c>
      <c r="G753" s="5">
        <v>0</v>
      </c>
      <c r="H753" s="8"/>
      <c r="I753" s="33"/>
      <c r="J753" t="s">
        <v>151</v>
      </c>
      <c r="K753" s="8"/>
    </row>
    <row r="754" spans="1:11" x14ac:dyDescent="0.25">
      <c r="A754" t="s">
        <v>134</v>
      </c>
      <c r="B754" t="s">
        <v>116</v>
      </c>
      <c r="C754" t="s">
        <v>135</v>
      </c>
      <c r="E754" t="s">
        <v>865</v>
      </c>
      <c r="F754" s="32" t="s">
        <v>20</v>
      </c>
      <c r="G754" s="5">
        <v>0</v>
      </c>
      <c r="H754" s="8"/>
      <c r="I754" s="33" t="s">
        <v>866</v>
      </c>
      <c r="K754" s="8"/>
    </row>
    <row r="755" spans="1:11" x14ac:dyDescent="0.25">
      <c r="A755" t="s">
        <v>134</v>
      </c>
      <c r="B755" t="s">
        <v>116</v>
      </c>
      <c r="C755" t="s">
        <v>136</v>
      </c>
      <c r="E755" t="s">
        <v>867</v>
      </c>
      <c r="F755" t="s">
        <v>20</v>
      </c>
      <c r="G755" s="5">
        <v>0</v>
      </c>
      <c r="H755" s="8"/>
      <c r="I755" s="33" t="s">
        <v>532</v>
      </c>
      <c r="K755" s="8"/>
    </row>
    <row r="756" spans="1:11" x14ac:dyDescent="0.25">
      <c r="A756" t="s">
        <v>134</v>
      </c>
      <c r="B756" t="s">
        <v>116</v>
      </c>
      <c r="C756" s="32" t="s">
        <v>137</v>
      </c>
      <c r="E756" t="s">
        <v>868</v>
      </c>
      <c r="F756" s="32" t="s">
        <v>36</v>
      </c>
      <c r="G756" s="5">
        <v>0</v>
      </c>
      <c r="H756" s="8"/>
      <c r="I756" s="33" t="s">
        <v>796</v>
      </c>
      <c r="J756" t="s">
        <v>524</v>
      </c>
      <c r="K756" s="8"/>
    </row>
    <row r="757" spans="1:11" x14ac:dyDescent="0.25">
      <c r="A757" t="s">
        <v>134</v>
      </c>
      <c r="B757" t="s">
        <v>116</v>
      </c>
      <c r="C757" s="32" t="s">
        <v>525</v>
      </c>
      <c r="E757" t="s">
        <v>869</v>
      </c>
      <c r="F757" s="32" t="s">
        <v>20</v>
      </c>
      <c r="G757">
        <v>1</v>
      </c>
      <c r="H757" s="8"/>
      <c r="I757" s="33" t="s">
        <v>614</v>
      </c>
      <c r="K757" s="8"/>
    </row>
    <row r="758" spans="1:11" x14ac:dyDescent="0.25">
      <c r="A758" t="s">
        <v>134</v>
      </c>
      <c r="B758" t="s">
        <v>116</v>
      </c>
      <c r="C758" t="s">
        <v>140</v>
      </c>
      <c r="E758" t="s">
        <v>870</v>
      </c>
      <c r="F758" s="32" t="s">
        <v>20</v>
      </c>
      <c r="G758">
        <v>1</v>
      </c>
      <c r="H758" t="s">
        <v>141</v>
      </c>
      <c r="I758" s="33" t="s">
        <v>142</v>
      </c>
      <c r="K758" s="8"/>
    </row>
    <row r="759" spans="1:11" x14ac:dyDescent="0.25">
      <c r="A759" t="s">
        <v>134</v>
      </c>
      <c r="B759" t="s">
        <v>116</v>
      </c>
      <c r="C759" t="s">
        <v>144</v>
      </c>
      <c r="E759" t="s">
        <v>871</v>
      </c>
      <c r="F759" t="s">
        <v>17</v>
      </c>
      <c r="G759">
        <v>1</v>
      </c>
      <c r="H759" s="8"/>
      <c r="I759" s="33"/>
      <c r="J759" t="s">
        <v>145</v>
      </c>
      <c r="K759" s="8"/>
    </row>
    <row r="760" spans="1:11" x14ac:dyDescent="0.25">
      <c r="A760" t="s">
        <v>134</v>
      </c>
      <c r="B760" t="s">
        <v>116</v>
      </c>
      <c r="C760" t="s">
        <v>146</v>
      </c>
      <c r="E760" t="s">
        <v>872</v>
      </c>
      <c r="F760" t="s">
        <v>17</v>
      </c>
      <c r="G760">
        <v>1</v>
      </c>
      <c r="H760" s="8"/>
      <c r="I760" s="33"/>
      <c r="J760" t="s">
        <v>88</v>
      </c>
      <c r="K760" s="8"/>
    </row>
    <row r="761" spans="1:11" x14ac:dyDescent="0.25">
      <c r="A761" t="s">
        <v>134</v>
      </c>
      <c r="B761" t="s">
        <v>116</v>
      </c>
      <c r="C761" t="s">
        <v>147</v>
      </c>
      <c r="E761" t="s">
        <v>873</v>
      </c>
      <c r="F761" t="s">
        <v>17</v>
      </c>
      <c r="G761">
        <v>1</v>
      </c>
      <c r="H761" s="8"/>
      <c r="I761" s="33"/>
      <c r="J761" t="s">
        <v>148</v>
      </c>
      <c r="K761" s="8"/>
    </row>
    <row r="762" spans="1:11" x14ac:dyDescent="0.25">
      <c r="A762" t="s">
        <v>134</v>
      </c>
      <c r="B762" t="s">
        <v>116</v>
      </c>
      <c r="C762" t="s">
        <v>149</v>
      </c>
      <c r="E762" t="s">
        <v>874</v>
      </c>
      <c r="F762" t="s">
        <v>17</v>
      </c>
      <c r="G762" s="5">
        <v>0</v>
      </c>
      <c r="H762" s="8"/>
      <c r="I762" s="33"/>
      <c r="J762" t="s">
        <v>88</v>
      </c>
      <c r="K762" s="8"/>
    </row>
    <row r="763" spans="1:11" x14ac:dyDescent="0.25">
      <c r="A763" t="s">
        <v>134</v>
      </c>
      <c r="B763" t="s">
        <v>116</v>
      </c>
      <c r="C763" t="s">
        <v>150</v>
      </c>
      <c r="E763" t="s">
        <v>875</v>
      </c>
      <c r="F763" t="s">
        <v>17</v>
      </c>
      <c r="G763" s="5">
        <v>0</v>
      </c>
      <c r="H763" s="8"/>
      <c r="I763" s="33"/>
      <c r="J763" t="s">
        <v>70</v>
      </c>
      <c r="K763" s="8"/>
    </row>
    <row r="764" spans="1:11" x14ac:dyDescent="0.25">
      <c r="A764" t="s">
        <v>134</v>
      </c>
      <c r="B764" t="s">
        <v>116</v>
      </c>
      <c r="C764" s="32" t="s">
        <v>526</v>
      </c>
      <c r="E764" t="s">
        <v>876</v>
      </c>
      <c r="F764" t="s">
        <v>17</v>
      </c>
      <c r="G764" s="5">
        <v>0</v>
      </c>
      <c r="H764" s="8"/>
      <c r="I764" s="33"/>
      <c r="J764" t="s">
        <v>151</v>
      </c>
      <c r="K764" s="8"/>
    </row>
    <row r="765" spans="1:11" x14ac:dyDescent="0.25">
      <c r="A765" t="s">
        <v>134</v>
      </c>
      <c r="B765" t="s">
        <v>117</v>
      </c>
      <c r="C765" t="s">
        <v>135</v>
      </c>
      <c r="E765" t="s">
        <v>877</v>
      </c>
      <c r="F765" s="32" t="s">
        <v>20</v>
      </c>
      <c r="G765" s="5">
        <v>0</v>
      </c>
      <c r="H765" s="8"/>
      <c r="I765" s="33" t="s">
        <v>878</v>
      </c>
      <c r="K765" s="8"/>
    </row>
    <row r="766" spans="1:11" x14ac:dyDescent="0.25">
      <c r="A766" t="s">
        <v>134</v>
      </c>
      <c r="B766" t="s">
        <v>117</v>
      </c>
      <c r="C766" t="s">
        <v>136</v>
      </c>
      <c r="E766" t="s">
        <v>879</v>
      </c>
      <c r="F766" t="s">
        <v>20</v>
      </c>
      <c r="G766" s="5">
        <v>0</v>
      </c>
      <c r="H766" s="8"/>
      <c r="I766" s="33" t="s">
        <v>532</v>
      </c>
      <c r="K766" s="8"/>
    </row>
    <row r="767" spans="1:11" x14ac:dyDescent="0.25">
      <c r="A767" t="s">
        <v>134</v>
      </c>
      <c r="B767" t="s">
        <v>117</v>
      </c>
      <c r="C767" s="32" t="s">
        <v>137</v>
      </c>
      <c r="E767" t="s">
        <v>880</v>
      </c>
      <c r="F767" s="32" t="s">
        <v>36</v>
      </c>
      <c r="G767">
        <v>1</v>
      </c>
      <c r="H767" s="8"/>
      <c r="I767" s="33" t="s">
        <v>881</v>
      </c>
      <c r="J767" t="s">
        <v>524</v>
      </c>
      <c r="K767" s="8"/>
    </row>
    <row r="768" spans="1:11" x14ac:dyDescent="0.25">
      <c r="A768" t="s">
        <v>134</v>
      </c>
      <c r="B768" t="s">
        <v>117</v>
      </c>
      <c r="C768" s="32" t="s">
        <v>525</v>
      </c>
      <c r="E768" t="s">
        <v>882</v>
      </c>
      <c r="F768" s="32" t="s">
        <v>20</v>
      </c>
      <c r="G768">
        <v>1</v>
      </c>
      <c r="H768" s="8"/>
      <c r="I768" s="33" t="s">
        <v>536</v>
      </c>
      <c r="K768" s="8"/>
    </row>
    <row r="769" spans="1:11" x14ac:dyDescent="0.25">
      <c r="A769" t="s">
        <v>134</v>
      </c>
      <c r="B769" t="s">
        <v>117</v>
      </c>
      <c r="C769" t="s">
        <v>140</v>
      </c>
      <c r="E769" t="s">
        <v>883</v>
      </c>
      <c r="F769" s="32" t="s">
        <v>20</v>
      </c>
      <c r="G769">
        <v>1</v>
      </c>
      <c r="H769" t="s">
        <v>141</v>
      </c>
      <c r="I769" s="33" t="s">
        <v>142</v>
      </c>
      <c r="K769" s="8"/>
    </row>
    <row r="770" spans="1:11" x14ac:dyDescent="0.25">
      <c r="A770" t="s">
        <v>134</v>
      </c>
      <c r="B770" t="s">
        <v>117</v>
      </c>
      <c r="C770" t="s">
        <v>144</v>
      </c>
      <c r="E770" t="s">
        <v>884</v>
      </c>
      <c r="F770" t="s">
        <v>17</v>
      </c>
      <c r="G770">
        <v>1</v>
      </c>
      <c r="H770" s="8"/>
      <c r="I770" s="33"/>
      <c r="J770" t="s">
        <v>145</v>
      </c>
      <c r="K770" s="8"/>
    </row>
    <row r="771" spans="1:11" x14ac:dyDescent="0.25">
      <c r="A771" t="s">
        <v>134</v>
      </c>
      <c r="B771" t="s">
        <v>117</v>
      </c>
      <c r="C771" t="s">
        <v>146</v>
      </c>
      <c r="E771" t="s">
        <v>885</v>
      </c>
      <c r="F771" t="s">
        <v>17</v>
      </c>
      <c r="G771">
        <v>1</v>
      </c>
      <c r="H771" s="8"/>
      <c r="I771" s="33"/>
      <c r="J771" t="s">
        <v>88</v>
      </c>
      <c r="K771" s="8"/>
    </row>
    <row r="772" spans="1:11" x14ac:dyDescent="0.25">
      <c r="A772" t="s">
        <v>134</v>
      </c>
      <c r="B772" t="s">
        <v>117</v>
      </c>
      <c r="C772" t="s">
        <v>147</v>
      </c>
      <c r="E772" t="s">
        <v>886</v>
      </c>
      <c r="F772" t="s">
        <v>17</v>
      </c>
      <c r="G772" s="5">
        <v>0</v>
      </c>
      <c r="H772" s="8"/>
      <c r="I772" s="33"/>
      <c r="J772" t="s">
        <v>148</v>
      </c>
      <c r="K772" s="8"/>
    </row>
    <row r="773" spans="1:11" x14ac:dyDescent="0.25">
      <c r="A773" t="s">
        <v>134</v>
      </c>
      <c r="B773" t="s">
        <v>117</v>
      </c>
      <c r="C773" t="s">
        <v>149</v>
      </c>
      <c r="E773" t="s">
        <v>887</v>
      </c>
      <c r="F773" t="s">
        <v>17</v>
      </c>
      <c r="G773" s="5">
        <v>0</v>
      </c>
      <c r="H773" s="8"/>
      <c r="I773" s="33"/>
      <c r="J773" t="s">
        <v>88</v>
      </c>
      <c r="K773" s="8"/>
    </row>
    <row r="774" spans="1:11" x14ac:dyDescent="0.25">
      <c r="A774" t="s">
        <v>134</v>
      </c>
      <c r="B774" t="s">
        <v>117</v>
      </c>
      <c r="C774" t="s">
        <v>150</v>
      </c>
      <c r="E774" t="s">
        <v>888</v>
      </c>
      <c r="F774" t="s">
        <v>17</v>
      </c>
      <c r="G774" s="5">
        <v>0</v>
      </c>
      <c r="H774" s="8"/>
      <c r="I774" s="33"/>
      <c r="J774" t="s">
        <v>70</v>
      </c>
      <c r="K774" s="8"/>
    </row>
    <row r="775" spans="1:11" x14ac:dyDescent="0.25">
      <c r="A775" t="s">
        <v>134</v>
      </c>
      <c r="B775" t="s">
        <v>117</v>
      </c>
      <c r="C775" s="32" t="s">
        <v>526</v>
      </c>
      <c r="E775" t="s">
        <v>889</v>
      </c>
      <c r="F775" t="s">
        <v>17</v>
      </c>
      <c r="G775" s="5">
        <v>0</v>
      </c>
      <c r="H775" s="8"/>
      <c r="I775" s="33"/>
      <c r="J775" t="s">
        <v>151</v>
      </c>
      <c r="K775" s="8"/>
    </row>
    <row r="776" spans="1:11" x14ac:dyDescent="0.25">
      <c r="A776" t="s">
        <v>134</v>
      </c>
      <c r="B776" t="s">
        <v>118</v>
      </c>
      <c r="C776" t="s">
        <v>135</v>
      </c>
      <c r="E776" t="s">
        <v>890</v>
      </c>
      <c r="F776" s="32" t="s">
        <v>20</v>
      </c>
      <c r="G776" s="5">
        <v>0</v>
      </c>
      <c r="H776" s="8"/>
      <c r="I776" s="33" t="s">
        <v>891</v>
      </c>
      <c r="K776" s="8"/>
    </row>
    <row r="777" spans="1:11" x14ac:dyDescent="0.25">
      <c r="A777" t="s">
        <v>134</v>
      </c>
      <c r="B777" t="s">
        <v>118</v>
      </c>
      <c r="C777" t="s">
        <v>136</v>
      </c>
      <c r="E777" t="s">
        <v>892</v>
      </c>
      <c r="F777" t="s">
        <v>20</v>
      </c>
      <c r="G777">
        <v>1</v>
      </c>
      <c r="H777" s="8"/>
      <c r="I777" s="33" t="s">
        <v>532</v>
      </c>
      <c r="K777" s="8"/>
    </row>
    <row r="778" spans="1:11" x14ac:dyDescent="0.25">
      <c r="A778" t="s">
        <v>134</v>
      </c>
      <c r="B778" t="s">
        <v>118</v>
      </c>
      <c r="C778" s="32" t="s">
        <v>137</v>
      </c>
      <c r="E778" t="s">
        <v>893</v>
      </c>
      <c r="F778" s="32" t="s">
        <v>36</v>
      </c>
      <c r="G778">
        <v>1</v>
      </c>
      <c r="H778" s="8"/>
      <c r="I778" s="33" t="s">
        <v>881</v>
      </c>
      <c r="J778" t="s">
        <v>524</v>
      </c>
      <c r="K778" s="8"/>
    </row>
    <row r="779" spans="1:11" x14ac:dyDescent="0.25">
      <c r="A779" t="s">
        <v>134</v>
      </c>
      <c r="B779" t="s">
        <v>118</v>
      </c>
      <c r="C779" s="32" t="s">
        <v>525</v>
      </c>
      <c r="E779" t="s">
        <v>894</v>
      </c>
      <c r="F779" s="32" t="s">
        <v>20</v>
      </c>
      <c r="G779">
        <v>1</v>
      </c>
      <c r="H779" s="8"/>
      <c r="I779" s="33" t="s">
        <v>549</v>
      </c>
      <c r="K779" s="8"/>
    </row>
    <row r="780" spans="1:11" x14ac:dyDescent="0.25">
      <c r="A780" t="s">
        <v>134</v>
      </c>
      <c r="B780" t="s">
        <v>118</v>
      </c>
      <c r="C780" t="s">
        <v>140</v>
      </c>
      <c r="E780" t="s">
        <v>895</v>
      </c>
      <c r="F780" s="32" t="s">
        <v>20</v>
      </c>
      <c r="G780">
        <v>1</v>
      </c>
      <c r="H780" t="s">
        <v>141</v>
      </c>
      <c r="I780" s="33" t="s">
        <v>142</v>
      </c>
      <c r="K780" s="8"/>
    </row>
    <row r="781" spans="1:11" x14ac:dyDescent="0.25">
      <c r="A781" t="s">
        <v>134</v>
      </c>
      <c r="B781" t="s">
        <v>118</v>
      </c>
      <c r="C781" t="s">
        <v>144</v>
      </c>
      <c r="E781" t="s">
        <v>896</v>
      </c>
      <c r="F781" t="s">
        <v>17</v>
      </c>
      <c r="G781">
        <v>1</v>
      </c>
      <c r="H781" s="8"/>
      <c r="I781" s="33"/>
      <c r="J781" t="s">
        <v>145</v>
      </c>
      <c r="K781" s="8"/>
    </row>
    <row r="782" spans="1:11" x14ac:dyDescent="0.25">
      <c r="A782" t="s">
        <v>134</v>
      </c>
      <c r="B782" t="s">
        <v>118</v>
      </c>
      <c r="C782" t="s">
        <v>146</v>
      </c>
      <c r="E782" t="s">
        <v>897</v>
      </c>
      <c r="F782" t="s">
        <v>17</v>
      </c>
      <c r="G782" s="5">
        <v>0</v>
      </c>
      <c r="H782" s="8"/>
      <c r="I782" s="33"/>
      <c r="J782" t="s">
        <v>88</v>
      </c>
      <c r="K782" s="8"/>
    </row>
    <row r="783" spans="1:11" x14ac:dyDescent="0.25">
      <c r="A783" t="s">
        <v>134</v>
      </c>
      <c r="B783" t="s">
        <v>118</v>
      </c>
      <c r="C783" t="s">
        <v>147</v>
      </c>
      <c r="E783" t="s">
        <v>898</v>
      </c>
      <c r="F783" t="s">
        <v>17</v>
      </c>
      <c r="G783" s="5">
        <v>0</v>
      </c>
      <c r="I783" s="33"/>
      <c r="J783" t="s">
        <v>148</v>
      </c>
    </row>
    <row r="784" spans="1:11" x14ac:dyDescent="0.25">
      <c r="A784" t="s">
        <v>134</v>
      </c>
      <c r="B784" t="s">
        <v>118</v>
      </c>
      <c r="C784" t="s">
        <v>149</v>
      </c>
      <c r="E784" t="s">
        <v>899</v>
      </c>
      <c r="F784" t="s">
        <v>17</v>
      </c>
      <c r="G784" s="5">
        <v>0</v>
      </c>
      <c r="I784" s="33"/>
      <c r="J784" t="s">
        <v>88</v>
      </c>
    </row>
    <row r="785" spans="1:11" x14ac:dyDescent="0.25">
      <c r="A785" t="s">
        <v>134</v>
      </c>
      <c r="B785" t="s">
        <v>118</v>
      </c>
      <c r="C785" t="s">
        <v>150</v>
      </c>
      <c r="E785" t="s">
        <v>900</v>
      </c>
      <c r="F785" t="s">
        <v>17</v>
      </c>
      <c r="G785" s="5">
        <v>0</v>
      </c>
      <c r="I785" s="33"/>
      <c r="J785" t="s">
        <v>70</v>
      </c>
    </row>
    <row r="786" spans="1:11" x14ac:dyDescent="0.25">
      <c r="A786" t="s">
        <v>134</v>
      </c>
      <c r="B786" t="s">
        <v>118</v>
      </c>
      <c r="C786" s="32" t="s">
        <v>526</v>
      </c>
      <c r="E786" t="s">
        <v>901</v>
      </c>
      <c r="F786" t="s">
        <v>17</v>
      </c>
      <c r="G786" s="5">
        <v>0</v>
      </c>
      <c r="I786" s="33"/>
      <c r="J786" t="s">
        <v>151</v>
      </c>
    </row>
    <row r="787" spans="1:11" x14ac:dyDescent="0.25">
      <c r="A787" t="s">
        <v>134</v>
      </c>
      <c r="B787" t="s">
        <v>119</v>
      </c>
      <c r="C787" t="s">
        <v>135</v>
      </c>
      <c r="E787" t="s">
        <v>902</v>
      </c>
      <c r="F787" s="32" t="s">
        <v>20</v>
      </c>
      <c r="G787">
        <v>1</v>
      </c>
      <c r="I787" s="33" t="s">
        <v>903</v>
      </c>
    </row>
    <row r="788" spans="1:11" x14ac:dyDescent="0.25">
      <c r="A788" t="s">
        <v>134</v>
      </c>
      <c r="B788" t="s">
        <v>119</v>
      </c>
      <c r="C788" t="s">
        <v>136</v>
      </c>
      <c r="E788" t="s">
        <v>904</v>
      </c>
      <c r="F788" t="s">
        <v>20</v>
      </c>
      <c r="G788">
        <v>1</v>
      </c>
      <c r="I788" s="33" t="s">
        <v>532</v>
      </c>
    </row>
    <row r="789" spans="1:11" x14ac:dyDescent="0.25">
      <c r="A789" t="s">
        <v>134</v>
      </c>
      <c r="B789" t="s">
        <v>119</v>
      </c>
      <c r="C789" s="32" t="s">
        <v>137</v>
      </c>
      <c r="E789" t="s">
        <v>905</v>
      </c>
      <c r="F789" s="32" t="s">
        <v>36</v>
      </c>
      <c r="G789">
        <v>1</v>
      </c>
      <c r="I789" s="33" t="s">
        <v>881</v>
      </c>
      <c r="J789" t="s">
        <v>524</v>
      </c>
    </row>
    <row r="790" spans="1:11" x14ac:dyDescent="0.25">
      <c r="A790" t="s">
        <v>134</v>
      </c>
      <c r="B790" t="s">
        <v>119</v>
      </c>
      <c r="C790" s="32" t="s">
        <v>525</v>
      </c>
      <c r="E790" t="s">
        <v>906</v>
      </c>
      <c r="F790" s="32" t="s">
        <v>20</v>
      </c>
      <c r="G790">
        <v>1</v>
      </c>
      <c r="I790" s="33" t="s">
        <v>562</v>
      </c>
    </row>
    <row r="791" spans="1:11" x14ac:dyDescent="0.25">
      <c r="A791" t="s">
        <v>134</v>
      </c>
      <c r="B791" t="s">
        <v>119</v>
      </c>
      <c r="C791" t="s">
        <v>140</v>
      </c>
      <c r="E791" t="s">
        <v>907</v>
      </c>
      <c r="F791" s="32" t="s">
        <v>20</v>
      </c>
      <c r="G791">
        <v>1</v>
      </c>
      <c r="H791" t="s">
        <v>141</v>
      </c>
      <c r="I791" s="33" t="s">
        <v>142</v>
      </c>
      <c r="K791" s="6"/>
    </row>
    <row r="792" spans="1:11" x14ac:dyDescent="0.25">
      <c r="A792" t="s">
        <v>134</v>
      </c>
      <c r="B792" t="s">
        <v>119</v>
      </c>
      <c r="C792" t="s">
        <v>144</v>
      </c>
      <c r="E792" t="s">
        <v>908</v>
      </c>
      <c r="F792" t="s">
        <v>17</v>
      </c>
      <c r="G792" s="5">
        <v>1</v>
      </c>
      <c r="H792" s="3"/>
      <c r="I792" s="33"/>
      <c r="J792" t="s">
        <v>145</v>
      </c>
      <c r="K792" s="7"/>
    </row>
    <row r="793" spans="1:11" x14ac:dyDescent="0.25">
      <c r="A793" t="s">
        <v>134</v>
      </c>
      <c r="B793" t="s">
        <v>119</v>
      </c>
      <c r="C793" t="s">
        <v>146</v>
      </c>
      <c r="E793" t="s">
        <v>909</v>
      </c>
      <c r="F793" t="s">
        <v>17</v>
      </c>
      <c r="G793" s="5">
        <v>1</v>
      </c>
      <c r="H793" s="8"/>
      <c r="I793" s="33"/>
      <c r="J793" t="s">
        <v>88</v>
      </c>
      <c r="K793" s="9"/>
    </row>
    <row r="794" spans="1:11" x14ac:dyDescent="0.25">
      <c r="A794" t="s">
        <v>134</v>
      </c>
      <c r="B794" t="s">
        <v>119</v>
      </c>
      <c r="C794" t="s">
        <v>147</v>
      </c>
      <c r="E794" t="s">
        <v>910</v>
      </c>
      <c r="F794" t="s">
        <v>17</v>
      </c>
      <c r="G794" s="5">
        <v>1</v>
      </c>
      <c r="I794" s="33"/>
      <c r="J794" t="s">
        <v>148</v>
      </c>
    </row>
    <row r="795" spans="1:11" x14ac:dyDescent="0.25">
      <c r="A795" t="s">
        <v>134</v>
      </c>
      <c r="B795" t="s">
        <v>119</v>
      </c>
      <c r="C795" t="s">
        <v>149</v>
      </c>
      <c r="E795" t="s">
        <v>911</v>
      </c>
      <c r="F795" t="s">
        <v>17</v>
      </c>
      <c r="G795" s="5">
        <v>0</v>
      </c>
      <c r="I795" s="33"/>
      <c r="J795" t="s">
        <v>88</v>
      </c>
    </row>
    <row r="796" spans="1:11" x14ac:dyDescent="0.25">
      <c r="A796" t="s">
        <v>134</v>
      </c>
      <c r="B796" t="s">
        <v>119</v>
      </c>
      <c r="C796" t="s">
        <v>150</v>
      </c>
      <c r="E796" t="s">
        <v>912</v>
      </c>
      <c r="F796" t="s">
        <v>17</v>
      </c>
      <c r="G796" s="5">
        <v>0</v>
      </c>
      <c r="I796" s="33"/>
      <c r="J796" t="s">
        <v>70</v>
      </c>
    </row>
    <row r="797" spans="1:11" x14ac:dyDescent="0.25">
      <c r="A797" t="s">
        <v>134</v>
      </c>
      <c r="B797" t="s">
        <v>119</v>
      </c>
      <c r="C797" s="32" t="s">
        <v>526</v>
      </c>
      <c r="E797" t="s">
        <v>913</v>
      </c>
      <c r="F797" t="s">
        <v>17</v>
      </c>
      <c r="G797">
        <v>1</v>
      </c>
      <c r="I797" s="33"/>
      <c r="J797" t="s">
        <v>151</v>
      </c>
    </row>
    <row r="798" spans="1:11" x14ac:dyDescent="0.25">
      <c r="A798" t="s">
        <v>134</v>
      </c>
      <c r="B798" t="s">
        <v>120</v>
      </c>
      <c r="C798" t="s">
        <v>135</v>
      </c>
      <c r="E798" t="s">
        <v>914</v>
      </c>
      <c r="F798" s="32" t="s">
        <v>20</v>
      </c>
      <c r="G798">
        <v>1</v>
      </c>
      <c r="I798" s="33" t="s">
        <v>915</v>
      </c>
    </row>
    <row r="799" spans="1:11" x14ac:dyDescent="0.25">
      <c r="A799" t="s">
        <v>134</v>
      </c>
      <c r="B799" t="s">
        <v>120</v>
      </c>
      <c r="C799" t="s">
        <v>136</v>
      </c>
      <c r="E799" t="s">
        <v>916</v>
      </c>
      <c r="F799" t="s">
        <v>20</v>
      </c>
      <c r="G799">
        <v>1</v>
      </c>
      <c r="I799" s="33" t="s">
        <v>532</v>
      </c>
    </row>
    <row r="800" spans="1:11" x14ac:dyDescent="0.25">
      <c r="A800" t="s">
        <v>134</v>
      </c>
      <c r="B800" t="s">
        <v>120</v>
      </c>
      <c r="C800" s="32" t="s">
        <v>137</v>
      </c>
      <c r="E800" t="s">
        <v>917</v>
      </c>
      <c r="F800" s="32" t="s">
        <v>36</v>
      </c>
      <c r="G800">
        <v>1</v>
      </c>
      <c r="I800" s="33" t="s">
        <v>881</v>
      </c>
      <c r="J800" t="s">
        <v>524</v>
      </c>
    </row>
    <row r="801" spans="1:11" x14ac:dyDescent="0.25">
      <c r="A801" t="s">
        <v>134</v>
      </c>
      <c r="B801" t="s">
        <v>120</v>
      </c>
      <c r="C801" s="32" t="s">
        <v>525</v>
      </c>
      <c r="E801" t="s">
        <v>918</v>
      </c>
      <c r="F801" s="32" t="s">
        <v>20</v>
      </c>
      <c r="G801">
        <v>1</v>
      </c>
      <c r="I801" s="33" t="s">
        <v>575</v>
      </c>
    </row>
    <row r="802" spans="1:11" x14ac:dyDescent="0.25">
      <c r="A802" t="s">
        <v>134</v>
      </c>
      <c r="B802" t="s">
        <v>120</v>
      </c>
      <c r="C802" t="s">
        <v>140</v>
      </c>
      <c r="E802" t="s">
        <v>919</v>
      </c>
      <c r="F802" s="32" t="s">
        <v>20</v>
      </c>
      <c r="G802" s="5">
        <v>0</v>
      </c>
      <c r="H802" t="s">
        <v>141</v>
      </c>
      <c r="I802" s="33" t="s">
        <v>142</v>
      </c>
      <c r="K802" s="6"/>
    </row>
    <row r="803" spans="1:11" x14ac:dyDescent="0.25">
      <c r="A803" t="s">
        <v>134</v>
      </c>
      <c r="B803" t="s">
        <v>120</v>
      </c>
      <c r="C803" t="s">
        <v>144</v>
      </c>
      <c r="E803" t="s">
        <v>920</v>
      </c>
      <c r="F803" t="s">
        <v>17</v>
      </c>
      <c r="G803" s="5">
        <v>0</v>
      </c>
      <c r="H803" s="3"/>
      <c r="I803" s="33"/>
      <c r="J803" t="s">
        <v>145</v>
      </c>
      <c r="K803" s="7"/>
    </row>
    <row r="804" spans="1:11" x14ac:dyDescent="0.25">
      <c r="A804" t="s">
        <v>134</v>
      </c>
      <c r="B804" t="s">
        <v>120</v>
      </c>
      <c r="C804" t="s">
        <v>146</v>
      </c>
      <c r="E804" t="s">
        <v>921</v>
      </c>
      <c r="F804" t="s">
        <v>17</v>
      </c>
      <c r="G804" s="5">
        <v>0</v>
      </c>
      <c r="H804" s="8"/>
      <c r="I804" s="33"/>
      <c r="J804" t="s">
        <v>88</v>
      </c>
      <c r="K804" s="9"/>
    </row>
    <row r="805" spans="1:11" x14ac:dyDescent="0.25">
      <c r="A805" t="s">
        <v>134</v>
      </c>
      <c r="B805" t="s">
        <v>120</v>
      </c>
      <c r="C805" t="s">
        <v>147</v>
      </c>
      <c r="E805" t="s">
        <v>922</v>
      </c>
      <c r="F805" t="s">
        <v>17</v>
      </c>
      <c r="G805" s="5">
        <v>0</v>
      </c>
      <c r="I805" s="33"/>
      <c r="J805" t="s">
        <v>148</v>
      </c>
    </row>
    <row r="806" spans="1:11" x14ac:dyDescent="0.25">
      <c r="A806" t="s">
        <v>134</v>
      </c>
      <c r="B806" t="s">
        <v>120</v>
      </c>
      <c r="C806" t="s">
        <v>149</v>
      </c>
      <c r="E806" t="s">
        <v>923</v>
      </c>
      <c r="F806" t="s">
        <v>17</v>
      </c>
      <c r="G806" s="5">
        <v>0</v>
      </c>
      <c r="I806" s="33"/>
      <c r="J806" t="s">
        <v>88</v>
      </c>
    </row>
    <row r="807" spans="1:11" x14ac:dyDescent="0.25">
      <c r="A807" t="s">
        <v>134</v>
      </c>
      <c r="B807" t="s">
        <v>120</v>
      </c>
      <c r="C807" t="s">
        <v>150</v>
      </c>
      <c r="E807" t="s">
        <v>924</v>
      </c>
      <c r="F807" t="s">
        <v>17</v>
      </c>
      <c r="G807">
        <v>1</v>
      </c>
      <c r="I807" s="33"/>
      <c r="J807" t="s">
        <v>70</v>
      </c>
    </row>
    <row r="808" spans="1:11" x14ac:dyDescent="0.25">
      <c r="A808" t="s">
        <v>134</v>
      </c>
      <c r="B808" t="s">
        <v>120</v>
      </c>
      <c r="C808" s="32" t="s">
        <v>526</v>
      </c>
      <c r="E808" t="s">
        <v>925</v>
      </c>
      <c r="F808" t="s">
        <v>17</v>
      </c>
      <c r="G808">
        <v>1</v>
      </c>
      <c r="I808" s="33"/>
      <c r="J808" t="s">
        <v>151</v>
      </c>
    </row>
    <row r="809" spans="1:11" x14ac:dyDescent="0.25">
      <c r="A809" t="s">
        <v>134</v>
      </c>
      <c r="B809" t="s">
        <v>121</v>
      </c>
      <c r="C809" t="s">
        <v>135</v>
      </c>
      <c r="E809" t="s">
        <v>926</v>
      </c>
      <c r="F809" s="32" t="s">
        <v>20</v>
      </c>
      <c r="G809">
        <v>1</v>
      </c>
      <c r="I809" s="33" t="s">
        <v>927</v>
      </c>
    </row>
    <row r="810" spans="1:11" x14ac:dyDescent="0.25">
      <c r="A810" t="s">
        <v>134</v>
      </c>
      <c r="B810" t="s">
        <v>121</v>
      </c>
      <c r="C810" t="s">
        <v>136</v>
      </c>
      <c r="E810" t="s">
        <v>928</v>
      </c>
      <c r="F810" t="s">
        <v>20</v>
      </c>
      <c r="G810">
        <v>1</v>
      </c>
      <c r="I810" s="33" t="s">
        <v>532</v>
      </c>
    </row>
    <row r="811" spans="1:11" x14ac:dyDescent="0.25">
      <c r="A811" t="s">
        <v>134</v>
      </c>
      <c r="B811" t="s">
        <v>121</v>
      </c>
      <c r="C811" s="32" t="s">
        <v>137</v>
      </c>
      <c r="E811" t="s">
        <v>929</v>
      </c>
      <c r="F811" s="32" t="s">
        <v>36</v>
      </c>
      <c r="G811">
        <v>1</v>
      </c>
      <c r="I811" s="33" t="s">
        <v>881</v>
      </c>
      <c r="J811" t="s">
        <v>524</v>
      </c>
    </row>
    <row r="812" spans="1:11" x14ac:dyDescent="0.25">
      <c r="A812" t="s">
        <v>134</v>
      </c>
      <c r="B812" t="s">
        <v>121</v>
      </c>
      <c r="C812" s="32" t="s">
        <v>525</v>
      </c>
      <c r="E812" t="s">
        <v>930</v>
      </c>
      <c r="F812" s="32" t="s">
        <v>20</v>
      </c>
      <c r="G812" s="5">
        <v>0</v>
      </c>
      <c r="I812" s="33" t="s">
        <v>588</v>
      </c>
    </row>
    <row r="813" spans="1:11" x14ac:dyDescent="0.25">
      <c r="A813" t="s">
        <v>134</v>
      </c>
      <c r="B813" t="s">
        <v>121</v>
      </c>
      <c r="C813" t="s">
        <v>140</v>
      </c>
      <c r="E813" t="s">
        <v>931</v>
      </c>
      <c r="F813" s="32" t="s">
        <v>20</v>
      </c>
      <c r="G813" s="5">
        <v>0</v>
      </c>
      <c r="H813" t="s">
        <v>141</v>
      </c>
      <c r="I813" s="33" t="s">
        <v>142</v>
      </c>
      <c r="K813" s="6"/>
    </row>
    <row r="814" spans="1:11" x14ac:dyDescent="0.25">
      <c r="A814" t="s">
        <v>134</v>
      </c>
      <c r="B814" t="s">
        <v>121</v>
      </c>
      <c r="C814" t="s">
        <v>144</v>
      </c>
      <c r="E814" t="s">
        <v>932</v>
      </c>
      <c r="F814" t="s">
        <v>17</v>
      </c>
      <c r="G814" s="5">
        <v>0</v>
      </c>
      <c r="H814" s="3"/>
      <c r="I814" s="33"/>
      <c r="J814" t="s">
        <v>145</v>
      </c>
      <c r="K814" s="7"/>
    </row>
    <row r="815" spans="1:11" x14ac:dyDescent="0.25">
      <c r="A815" t="s">
        <v>134</v>
      </c>
      <c r="B815" t="s">
        <v>121</v>
      </c>
      <c r="C815" t="s">
        <v>146</v>
      </c>
      <c r="E815" t="s">
        <v>933</v>
      </c>
      <c r="F815" t="s">
        <v>17</v>
      </c>
      <c r="G815" s="5">
        <v>0</v>
      </c>
      <c r="H815" s="8"/>
      <c r="I815" s="33"/>
      <c r="J815" t="s">
        <v>88</v>
      </c>
      <c r="K815" s="9"/>
    </row>
    <row r="816" spans="1:11" x14ac:dyDescent="0.25">
      <c r="A816" t="s">
        <v>134</v>
      </c>
      <c r="B816" t="s">
        <v>121</v>
      </c>
      <c r="C816" t="s">
        <v>147</v>
      </c>
      <c r="E816" t="s">
        <v>934</v>
      </c>
      <c r="F816" t="s">
        <v>17</v>
      </c>
      <c r="G816" s="5">
        <v>0</v>
      </c>
      <c r="H816" s="8"/>
      <c r="I816" s="33"/>
      <c r="J816" t="s">
        <v>148</v>
      </c>
      <c r="K816" s="8"/>
    </row>
    <row r="817" spans="1:11" x14ac:dyDescent="0.25">
      <c r="A817" t="s">
        <v>134</v>
      </c>
      <c r="B817" t="s">
        <v>121</v>
      </c>
      <c r="C817" t="s">
        <v>149</v>
      </c>
      <c r="E817" t="s">
        <v>935</v>
      </c>
      <c r="F817" t="s">
        <v>17</v>
      </c>
      <c r="G817">
        <v>1</v>
      </c>
      <c r="H817" s="8"/>
      <c r="I817" s="33"/>
      <c r="J817" t="s">
        <v>88</v>
      </c>
      <c r="K817" s="8"/>
    </row>
    <row r="818" spans="1:11" x14ac:dyDescent="0.25">
      <c r="A818" t="s">
        <v>134</v>
      </c>
      <c r="B818" t="s">
        <v>121</v>
      </c>
      <c r="C818" t="s">
        <v>150</v>
      </c>
      <c r="E818" t="s">
        <v>936</v>
      </c>
      <c r="F818" t="s">
        <v>17</v>
      </c>
      <c r="G818">
        <v>1</v>
      </c>
      <c r="H818" s="8"/>
      <c r="I818" s="33"/>
      <c r="J818" t="s">
        <v>70</v>
      </c>
      <c r="K818" s="8"/>
    </row>
    <row r="819" spans="1:11" x14ac:dyDescent="0.25">
      <c r="A819" t="s">
        <v>134</v>
      </c>
      <c r="B819" t="s">
        <v>121</v>
      </c>
      <c r="C819" s="32" t="s">
        <v>526</v>
      </c>
      <c r="E819" t="s">
        <v>937</v>
      </c>
      <c r="F819" t="s">
        <v>17</v>
      </c>
      <c r="G819">
        <v>1</v>
      </c>
      <c r="H819" s="8"/>
      <c r="I819" s="33"/>
      <c r="J819" t="s">
        <v>151</v>
      </c>
      <c r="K819" s="8"/>
    </row>
    <row r="820" spans="1:11" x14ac:dyDescent="0.25">
      <c r="A820" t="s">
        <v>134</v>
      </c>
      <c r="B820" t="s">
        <v>122</v>
      </c>
      <c r="C820" t="s">
        <v>135</v>
      </c>
      <c r="E820" t="s">
        <v>938</v>
      </c>
      <c r="F820" s="32" t="s">
        <v>20</v>
      </c>
      <c r="G820">
        <v>1</v>
      </c>
      <c r="H820" s="8"/>
      <c r="I820" s="33" t="s">
        <v>939</v>
      </c>
      <c r="K820" s="8"/>
    </row>
    <row r="821" spans="1:11" x14ac:dyDescent="0.25">
      <c r="A821" t="s">
        <v>134</v>
      </c>
      <c r="B821" t="s">
        <v>122</v>
      </c>
      <c r="C821" t="s">
        <v>136</v>
      </c>
      <c r="E821" t="s">
        <v>940</v>
      </c>
      <c r="F821" t="s">
        <v>20</v>
      </c>
      <c r="G821">
        <v>1</v>
      </c>
      <c r="H821" s="8"/>
      <c r="I821" s="33" t="s">
        <v>532</v>
      </c>
      <c r="K821" s="8"/>
    </row>
    <row r="822" spans="1:11" x14ac:dyDescent="0.25">
      <c r="A822" t="s">
        <v>134</v>
      </c>
      <c r="B822" t="s">
        <v>122</v>
      </c>
      <c r="C822" s="32" t="s">
        <v>137</v>
      </c>
      <c r="E822" t="s">
        <v>941</v>
      </c>
      <c r="F822" s="32" t="s">
        <v>36</v>
      </c>
      <c r="G822" s="5">
        <v>0</v>
      </c>
      <c r="H822" s="8"/>
      <c r="I822" s="33" t="s">
        <v>881</v>
      </c>
      <c r="J822" t="s">
        <v>524</v>
      </c>
      <c r="K822" s="8"/>
    </row>
    <row r="823" spans="1:11" x14ac:dyDescent="0.25">
      <c r="A823" t="s">
        <v>134</v>
      </c>
      <c r="B823" t="s">
        <v>122</v>
      </c>
      <c r="C823" s="32" t="s">
        <v>525</v>
      </c>
      <c r="E823" t="s">
        <v>942</v>
      </c>
      <c r="F823" s="32" t="s">
        <v>20</v>
      </c>
      <c r="G823" s="5">
        <v>0</v>
      </c>
      <c r="H823" s="8"/>
      <c r="I823" s="33" t="s">
        <v>601</v>
      </c>
      <c r="K823" s="8"/>
    </row>
    <row r="824" spans="1:11" x14ac:dyDescent="0.25">
      <c r="A824" t="s">
        <v>134</v>
      </c>
      <c r="B824" t="s">
        <v>122</v>
      </c>
      <c r="C824" t="s">
        <v>140</v>
      </c>
      <c r="E824" t="s">
        <v>943</v>
      </c>
      <c r="F824" s="32" t="s">
        <v>20</v>
      </c>
      <c r="G824" s="5">
        <v>0</v>
      </c>
      <c r="H824" t="s">
        <v>141</v>
      </c>
      <c r="I824" s="33" t="s">
        <v>142</v>
      </c>
      <c r="K824" s="8"/>
    </row>
    <row r="825" spans="1:11" x14ac:dyDescent="0.25">
      <c r="A825" t="s">
        <v>134</v>
      </c>
      <c r="B825" t="s">
        <v>122</v>
      </c>
      <c r="C825" t="s">
        <v>144</v>
      </c>
      <c r="E825" t="s">
        <v>944</v>
      </c>
      <c r="F825" t="s">
        <v>17</v>
      </c>
      <c r="G825" s="5">
        <v>0</v>
      </c>
      <c r="H825" s="8"/>
      <c r="I825" s="33"/>
      <c r="J825" t="s">
        <v>145</v>
      </c>
      <c r="K825" s="8"/>
    </row>
    <row r="826" spans="1:11" x14ac:dyDescent="0.25">
      <c r="A826" t="s">
        <v>134</v>
      </c>
      <c r="B826" t="s">
        <v>122</v>
      </c>
      <c r="C826" t="s">
        <v>146</v>
      </c>
      <c r="E826" t="s">
        <v>945</v>
      </c>
      <c r="F826" t="s">
        <v>17</v>
      </c>
      <c r="G826" s="5">
        <v>0</v>
      </c>
      <c r="H826" s="8"/>
      <c r="I826" s="33"/>
      <c r="J826" t="s">
        <v>88</v>
      </c>
      <c r="K826" s="8"/>
    </row>
    <row r="827" spans="1:11" x14ac:dyDescent="0.25">
      <c r="A827" t="s">
        <v>134</v>
      </c>
      <c r="B827" t="s">
        <v>122</v>
      </c>
      <c r="C827" t="s">
        <v>147</v>
      </c>
      <c r="E827" t="s">
        <v>946</v>
      </c>
      <c r="F827" t="s">
        <v>17</v>
      </c>
      <c r="G827">
        <v>1</v>
      </c>
      <c r="H827" s="8"/>
      <c r="I827" s="33"/>
      <c r="J827" t="s">
        <v>148</v>
      </c>
      <c r="K827" s="8"/>
    </row>
    <row r="828" spans="1:11" x14ac:dyDescent="0.25">
      <c r="A828" t="s">
        <v>134</v>
      </c>
      <c r="B828" t="s">
        <v>122</v>
      </c>
      <c r="C828" t="s">
        <v>149</v>
      </c>
      <c r="E828" t="s">
        <v>947</v>
      </c>
      <c r="F828" t="s">
        <v>17</v>
      </c>
      <c r="G828">
        <v>1</v>
      </c>
      <c r="H828" s="8"/>
      <c r="I828" s="33"/>
      <c r="J828" t="s">
        <v>88</v>
      </c>
      <c r="K828" s="8"/>
    </row>
    <row r="829" spans="1:11" x14ac:dyDescent="0.25">
      <c r="A829" t="s">
        <v>134</v>
      </c>
      <c r="B829" t="s">
        <v>122</v>
      </c>
      <c r="C829" t="s">
        <v>150</v>
      </c>
      <c r="E829" t="s">
        <v>948</v>
      </c>
      <c r="F829" t="s">
        <v>17</v>
      </c>
      <c r="G829">
        <v>1</v>
      </c>
      <c r="H829" s="8"/>
      <c r="I829" s="33"/>
      <c r="J829" t="s">
        <v>70</v>
      </c>
      <c r="K829" s="8"/>
    </row>
    <row r="830" spans="1:11" x14ac:dyDescent="0.25">
      <c r="A830" t="s">
        <v>134</v>
      </c>
      <c r="B830" t="s">
        <v>122</v>
      </c>
      <c r="C830" s="32" t="s">
        <v>526</v>
      </c>
      <c r="E830" t="s">
        <v>949</v>
      </c>
      <c r="F830" t="s">
        <v>17</v>
      </c>
      <c r="G830">
        <v>1</v>
      </c>
      <c r="H830" s="8"/>
      <c r="I830" s="33"/>
      <c r="J830" t="s">
        <v>151</v>
      </c>
      <c r="K830" s="8"/>
    </row>
    <row r="831" spans="1:11" x14ac:dyDescent="0.25">
      <c r="A831" t="s">
        <v>134</v>
      </c>
      <c r="B831" t="s">
        <v>123</v>
      </c>
      <c r="C831" t="s">
        <v>135</v>
      </c>
      <c r="E831" t="s">
        <v>950</v>
      </c>
      <c r="F831" s="32" t="s">
        <v>20</v>
      </c>
      <c r="G831">
        <v>1</v>
      </c>
      <c r="H831" s="8"/>
      <c r="I831" s="33" t="s">
        <v>951</v>
      </c>
      <c r="K831" s="8"/>
    </row>
    <row r="832" spans="1:11" x14ac:dyDescent="0.25">
      <c r="A832" t="s">
        <v>134</v>
      </c>
      <c r="B832" t="s">
        <v>123</v>
      </c>
      <c r="C832" t="s">
        <v>136</v>
      </c>
      <c r="E832" t="s">
        <v>952</v>
      </c>
      <c r="F832" t="s">
        <v>20</v>
      </c>
      <c r="G832" s="5">
        <v>0</v>
      </c>
      <c r="H832" s="8"/>
      <c r="I832" s="33" t="s">
        <v>532</v>
      </c>
      <c r="K832" s="8"/>
    </row>
    <row r="833" spans="1:11" x14ac:dyDescent="0.25">
      <c r="A833" t="s">
        <v>134</v>
      </c>
      <c r="B833" t="s">
        <v>123</v>
      </c>
      <c r="C833" s="32" t="s">
        <v>137</v>
      </c>
      <c r="E833" t="s">
        <v>953</v>
      </c>
      <c r="F833" s="32" t="s">
        <v>36</v>
      </c>
      <c r="G833" s="5">
        <v>0</v>
      </c>
      <c r="H833" s="8"/>
      <c r="I833" s="33" t="s">
        <v>881</v>
      </c>
      <c r="J833" t="s">
        <v>524</v>
      </c>
      <c r="K833" s="8"/>
    </row>
    <row r="834" spans="1:11" x14ac:dyDescent="0.25">
      <c r="A834" t="s">
        <v>134</v>
      </c>
      <c r="B834" t="s">
        <v>123</v>
      </c>
      <c r="C834" s="32" t="s">
        <v>525</v>
      </c>
      <c r="E834" t="s">
        <v>954</v>
      </c>
      <c r="F834" s="32" t="s">
        <v>20</v>
      </c>
      <c r="G834" s="5">
        <v>0</v>
      </c>
      <c r="H834" s="8"/>
      <c r="I834" s="33" t="s">
        <v>614</v>
      </c>
      <c r="K834" s="8"/>
    </row>
    <row r="835" spans="1:11" x14ac:dyDescent="0.25">
      <c r="A835" t="s">
        <v>134</v>
      </c>
      <c r="B835" t="s">
        <v>123</v>
      </c>
      <c r="C835" t="s">
        <v>140</v>
      </c>
      <c r="E835" t="s">
        <v>955</v>
      </c>
      <c r="F835" s="32" t="s">
        <v>20</v>
      </c>
      <c r="G835" s="5">
        <v>0</v>
      </c>
      <c r="H835" t="s">
        <v>141</v>
      </c>
      <c r="I835" s="33" t="s">
        <v>142</v>
      </c>
      <c r="K835" s="8"/>
    </row>
    <row r="836" spans="1:11" x14ac:dyDescent="0.25">
      <c r="A836" t="s">
        <v>134</v>
      </c>
      <c r="B836" t="s">
        <v>123</v>
      </c>
      <c r="C836" t="s">
        <v>144</v>
      </c>
      <c r="E836" t="s">
        <v>956</v>
      </c>
      <c r="F836" t="s">
        <v>17</v>
      </c>
      <c r="G836" s="5">
        <v>0</v>
      </c>
      <c r="H836" s="8"/>
      <c r="I836" s="33"/>
      <c r="J836" t="s">
        <v>145</v>
      </c>
      <c r="K836" s="8"/>
    </row>
    <row r="837" spans="1:11" x14ac:dyDescent="0.25">
      <c r="A837" t="s">
        <v>134</v>
      </c>
      <c r="B837" t="s">
        <v>123</v>
      </c>
      <c r="C837" t="s">
        <v>146</v>
      </c>
      <c r="E837" t="s">
        <v>957</v>
      </c>
      <c r="F837" t="s">
        <v>17</v>
      </c>
      <c r="G837">
        <v>1</v>
      </c>
      <c r="H837" s="8"/>
      <c r="I837" s="33"/>
      <c r="J837" t="s">
        <v>88</v>
      </c>
      <c r="K837" s="8"/>
    </row>
    <row r="838" spans="1:11" x14ac:dyDescent="0.25">
      <c r="A838" t="s">
        <v>134</v>
      </c>
      <c r="B838" t="s">
        <v>123</v>
      </c>
      <c r="C838" t="s">
        <v>147</v>
      </c>
      <c r="E838" t="s">
        <v>958</v>
      </c>
      <c r="F838" t="s">
        <v>17</v>
      </c>
      <c r="G838">
        <v>1</v>
      </c>
      <c r="H838" s="8"/>
      <c r="I838" s="33"/>
      <c r="J838" t="s">
        <v>148</v>
      </c>
      <c r="K838" s="8"/>
    </row>
    <row r="839" spans="1:11" x14ac:dyDescent="0.25">
      <c r="A839" t="s">
        <v>134</v>
      </c>
      <c r="B839" t="s">
        <v>123</v>
      </c>
      <c r="C839" t="s">
        <v>149</v>
      </c>
      <c r="E839" t="s">
        <v>959</v>
      </c>
      <c r="F839" t="s">
        <v>17</v>
      </c>
      <c r="G839">
        <v>1</v>
      </c>
      <c r="H839" s="8"/>
      <c r="I839" s="33"/>
      <c r="J839" t="s">
        <v>88</v>
      </c>
      <c r="K839" s="8"/>
    </row>
    <row r="840" spans="1:11" x14ac:dyDescent="0.25">
      <c r="A840" t="s">
        <v>134</v>
      </c>
      <c r="B840" t="s">
        <v>123</v>
      </c>
      <c r="C840" t="s">
        <v>150</v>
      </c>
      <c r="E840" t="s">
        <v>960</v>
      </c>
      <c r="F840" t="s">
        <v>17</v>
      </c>
      <c r="G840">
        <v>1</v>
      </c>
      <c r="H840" s="8"/>
      <c r="I840" s="33"/>
      <c r="J840" t="s">
        <v>70</v>
      </c>
      <c r="K840" s="8"/>
    </row>
    <row r="841" spans="1:11" x14ac:dyDescent="0.25">
      <c r="A841" t="s">
        <v>134</v>
      </c>
      <c r="B841" t="s">
        <v>123</v>
      </c>
      <c r="C841" s="32" t="s">
        <v>526</v>
      </c>
      <c r="E841" t="s">
        <v>961</v>
      </c>
      <c r="F841" t="s">
        <v>17</v>
      </c>
      <c r="G841">
        <v>1</v>
      </c>
      <c r="H841" s="8"/>
      <c r="I841" s="33"/>
      <c r="J841" t="s">
        <v>151</v>
      </c>
      <c r="K841" s="8"/>
    </row>
    <row r="842" spans="1:11" x14ac:dyDescent="0.25">
      <c r="A842" t="s">
        <v>134</v>
      </c>
      <c r="B842" t="s">
        <v>124</v>
      </c>
      <c r="C842" t="s">
        <v>135</v>
      </c>
      <c r="E842" t="s">
        <v>962</v>
      </c>
      <c r="F842" s="32" t="s">
        <v>20</v>
      </c>
      <c r="G842" s="5">
        <v>0</v>
      </c>
      <c r="H842" s="8"/>
      <c r="I842" s="33" t="s">
        <v>963</v>
      </c>
      <c r="K842" s="8"/>
    </row>
    <row r="843" spans="1:11" x14ac:dyDescent="0.25">
      <c r="A843" t="s">
        <v>134</v>
      </c>
      <c r="B843" t="s">
        <v>124</v>
      </c>
      <c r="C843" t="s">
        <v>136</v>
      </c>
      <c r="E843" t="s">
        <v>964</v>
      </c>
      <c r="F843" t="s">
        <v>20</v>
      </c>
      <c r="G843" s="5">
        <v>0</v>
      </c>
      <c r="H843" s="8"/>
      <c r="I843" s="33" t="s">
        <v>532</v>
      </c>
      <c r="K843" s="8"/>
    </row>
    <row r="844" spans="1:11" x14ac:dyDescent="0.25">
      <c r="A844" t="s">
        <v>134</v>
      </c>
      <c r="B844" t="s">
        <v>124</v>
      </c>
      <c r="C844" s="32" t="s">
        <v>137</v>
      </c>
      <c r="E844" t="s">
        <v>965</v>
      </c>
      <c r="F844" s="32" t="s">
        <v>36</v>
      </c>
      <c r="G844" s="5">
        <v>0</v>
      </c>
      <c r="H844" s="8"/>
      <c r="I844" s="33" t="s">
        <v>966</v>
      </c>
      <c r="J844" t="s">
        <v>524</v>
      </c>
      <c r="K844" s="8"/>
    </row>
    <row r="845" spans="1:11" x14ac:dyDescent="0.25">
      <c r="A845" t="s">
        <v>134</v>
      </c>
      <c r="B845" t="s">
        <v>124</v>
      </c>
      <c r="C845" s="32" t="s">
        <v>525</v>
      </c>
      <c r="E845" t="s">
        <v>967</v>
      </c>
      <c r="F845" s="32" t="s">
        <v>20</v>
      </c>
      <c r="G845" s="5">
        <v>0</v>
      </c>
      <c r="H845" s="8"/>
      <c r="I845" s="33" t="s">
        <v>536</v>
      </c>
      <c r="K845" s="8"/>
    </row>
    <row r="846" spans="1:11" x14ac:dyDescent="0.25">
      <c r="A846" t="s">
        <v>134</v>
      </c>
      <c r="B846" t="s">
        <v>124</v>
      </c>
      <c r="C846" t="s">
        <v>140</v>
      </c>
      <c r="E846" t="s">
        <v>968</v>
      </c>
      <c r="F846" s="32" t="s">
        <v>20</v>
      </c>
      <c r="G846" s="5">
        <v>0</v>
      </c>
      <c r="H846" t="s">
        <v>141</v>
      </c>
      <c r="I846" s="33" t="s">
        <v>142</v>
      </c>
      <c r="K846" s="8"/>
    </row>
    <row r="847" spans="1:11" x14ac:dyDescent="0.25">
      <c r="A847" t="s">
        <v>134</v>
      </c>
      <c r="B847" t="s">
        <v>124</v>
      </c>
      <c r="C847" t="s">
        <v>144</v>
      </c>
      <c r="E847" t="s">
        <v>969</v>
      </c>
      <c r="F847" t="s">
        <v>17</v>
      </c>
      <c r="G847">
        <v>1</v>
      </c>
      <c r="H847" s="8"/>
      <c r="I847" s="33"/>
      <c r="J847" t="s">
        <v>145</v>
      </c>
      <c r="K847" s="8"/>
    </row>
    <row r="848" spans="1:11" x14ac:dyDescent="0.25">
      <c r="A848" t="s">
        <v>134</v>
      </c>
      <c r="B848" t="s">
        <v>124</v>
      </c>
      <c r="C848" t="s">
        <v>146</v>
      </c>
      <c r="E848" t="s">
        <v>970</v>
      </c>
      <c r="F848" t="s">
        <v>17</v>
      </c>
      <c r="G848">
        <v>1</v>
      </c>
      <c r="H848" s="8"/>
      <c r="I848" s="33"/>
      <c r="J848" t="s">
        <v>88</v>
      </c>
      <c r="K848" s="8"/>
    </row>
    <row r="849" spans="1:11" x14ac:dyDescent="0.25">
      <c r="A849" t="s">
        <v>134</v>
      </c>
      <c r="B849" t="s">
        <v>124</v>
      </c>
      <c r="C849" t="s">
        <v>147</v>
      </c>
      <c r="E849" t="s">
        <v>971</v>
      </c>
      <c r="F849" t="s">
        <v>17</v>
      </c>
      <c r="G849">
        <v>1</v>
      </c>
      <c r="H849" s="8"/>
      <c r="I849" s="33"/>
      <c r="J849" t="s">
        <v>148</v>
      </c>
      <c r="K849" s="8"/>
    </row>
    <row r="850" spans="1:11" x14ac:dyDescent="0.25">
      <c r="A850" t="s">
        <v>134</v>
      </c>
      <c r="B850" t="s">
        <v>124</v>
      </c>
      <c r="C850" t="s">
        <v>149</v>
      </c>
      <c r="E850" t="s">
        <v>972</v>
      </c>
      <c r="F850" t="s">
        <v>17</v>
      </c>
      <c r="G850">
        <v>1</v>
      </c>
      <c r="H850" s="8"/>
      <c r="I850" s="33"/>
      <c r="J850" t="s">
        <v>88</v>
      </c>
      <c r="K850" s="8"/>
    </row>
    <row r="851" spans="1:11" x14ac:dyDescent="0.25">
      <c r="A851" t="s">
        <v>134</v>
      </c>
      <c r="B851" t="s">
        <v>124</v>
      </c>
      <c r="C851" t="s">
        <v>150</v>
      </c>
      <c r="E851" t="s">
        <v>973</v>
      </c>
      <c r="F851" t="s">
        <v>17</v>
      </c>
      <c r="G851">
        <v>1</v>
      </c>
      <c r="H851" s="8"/>
      <c r="I851" s="33"/>
      <c r="J851" t="s">
        <v>70</v>
      </c>
      <c r="K851" s="8"/>
    </row>
    <row r="852" spans="1:11" x14ac:dyDescent="0.25">
      <c r="A852" t="s">
        <v>134</v>
      </c>
      <c r="B852" t="s">
        <v>124</v>
      </c>
      <c r="C852" s="32" t="s">
        <v>526</v>
      </c>
      <c r="E852" t="s">
        <v>974</v>
      </c>
      <c r="F852" t="s">
        <v>17</v>
      </c>
      <c r="G852" s="5">
        <v>0</v>
      </c>
      <c r="H852" s="8"/>
      <c r="I852" s="33"/>
      <c r="J852" t="s">
        <v>151</v>
      </c>
      <c r="K852" s="8"/>
    </row>
    <row r="853" spans="1:11" x14ac:dyDescent="0.25">
      <c r="A853" t="s">
        <v>134</v>
      </c>
      <c r="B853" t="s">
        <v>125</v>
      </c>
      <c r="C853" t="s">
        <v>135</v>
      </c>
      <c r="E853" t="s">
        <v>975</v>
      </c>
      <c r="F853" s="32" t="s">
        <v>20</v>
      </c>
      <c r="G853" s="5">
        <v>0</v>
      </c>
      <c r="H853" s="8"/>
      <c r="I853" s="33" t="s">
        <v>976</v>
      </c>
      <c r="K853" s="8"/>
    </row>
    <row r="854" spans="1:11" x14ac:dyDescent="0.25">
      <c r="A854" t="s">
        <v>134</v>
      </c>
      <c r="B854" t="s">
        <v>125</v>
      </c>
      <c r="C854" t="s">
        <v>136</v>
      </c>
      <c r="E854" t="s">
        <v>977</v>
      </c>
      <c r="F854" t="s">
        <v>20</v>
      </c>
      <c r="G854" s="5">
        <v>0</v>
      </c>
      <c r="H854" s="8"/>
      <c r="I854" s="33" t="s">
        <v>532</v>
      </c>
      <c r="K854" s="8"/>
    </row>
    <row r="855" spans="1:11" x14ac:dyDescent="0.25">
      <c r="A855" t="s">
        <v>134</v>
      </c>
      <c r="B855" t="s">
        <v>125</v>
      </c>
      <c r="C855" s="32" t="s">
        <v>137</v>
      </c>
      <c r="E855" t="s">
        <v>978</v>
      </c>
      <c r="F855" s="32" t="s">
        <v>36</v>
      </c>
      <c r="G855" s="5">
        <v>0</v>
      </c>
      <c r="H855" s="8"/>
      <c r="I855" s="33" t="s">
        <v>966</v>
      </c>
      <c r="J855" t="s">
        <v>524</v>
      </c>
      <c r="K855" s="8"/>
    </row>
    <row r="856" spans="1:11" x14ac:dyDescent="0.25">
      <c r="A856" t="s">
        <v>134</v>
      </c>
      <c r="B856" t="s">
        <v>125</v>
      </c>
      <c r="C856" s="32" t="s">
        <v>525</v>
      </c>
      <c r="E856" t="s">
        <v>979</v>
      </c>
      <c r="F856" s="32" t="s">
        <v>20</v>
      </c>
      <c r="G856" s="5">
        <v>0</v>
      </c>
      <c r="H856" s="8"/>
      <c r="I856" s="33" t="s">
        <v>549</v>
      </c>
      <c r="K856" s="8"/>
    </row>
    <row r="857" spans="1:11" x14ac:dyDescent="0.25">
      <c r="A857" t="s">
        <v>134</v>
      </c>
      <c r="B857" t="s">
        <v>125</v>
      </c>
      <c r="C857" t="s">
        <v>140</v>
      </c>
      <c r="E857" t="s">
        <v>980</v>
      </c>
      <c r="F857" s="32" t="s">
        <v>20</v>
      </c>
      <c r="G857">
        <v>1</v>
      </c>
      <c r="H857" t="s">
        <v>141</v>
      </c>
      <c r="I857" s="33" t="s">
        <v>142</v>
      </c>
      <c r="K857" s="8"/>
    </row>
    <row r="858" spans="1:11" x14ac:dyDescent="0.25">
      <c r="A858" t="s">
        <v>134</v>
      </c>
      <c r="B858" t="s">
        <v>125</v>
      </c>
      <c r="C858" t="s">
        <v>144</v>
      </c>
      <c r="E858" t="s">
        <v>981</v>
      </c>
      <c r="F858" t="s">
        <v>17</v>
      </c>
      <c r="G858">
        <v>1</v>
      </c>
      <c r="H858" s="8"/>
      <c r="I858" s="33"/>
      <c r="J858" t="s">
        <v>145</v>
      </c>
      <c r="K858" s="8"/>
    </row>
    <row r="859" spans="1:11" x14ac:dyDescent="0.25">
      <c r="A859" t="s">
        <v>134</v>
      </c>
      <c r="B859" t="s">
        <v>125</v>
      </c>
      <c r="C859" t="s">
        <v>146</v>
      </c>
      <c r="E859" t="s">
        <v>982</v>
      </c>
      <c r="F859" t="s">
        <v>17</v>
      </c>
      <c r="G859">
        <v>1</v>
      </c>
      <c r="H859" s="8"/>
      <c r="I859" s="33"/>
      <c r="J859" t="s">
        <v>88</v>
      </c>
      <c r="K859" s="8"/>
    </row>
    <row r="860" spans="1:11" x14ac:dyDescent="0.25">
      <c r="A860" t="s">
        <v>134</v>
      </c>
      <c r="B860" t="s">
        <v>125</v>
      </c>
      <c r="C860" t="s">
        <v>147</v>
      </c>
      <c r="E860" t="s">
        <v>983</v>
      </c>
      <c r="F860" t="s">
        <v>17</v>
      </c>
      <c r="G860">
        <v>1</v>
      </c>
      <c r="H860" s="8"/>
      <c r="I860" s="33"/>
      <c r="J860" t="s">
        <v>148</v>
      </c>
      <c r="K860" s="8"/>
    </row>
    <row r="861" spans="1:11" x14ac:dyDescent="0.25">
      <c r="A861" t="s">
        <v>134</v>
      </c>
      <c r="B861" t="s">
        <v>125</v>
      </c>
      <c r="C861" t="s">
        <v>149</v>
      </c>
      <c r="E861" t="s">
        <v>984</v>
      </c>
      <c r="F861" t="s">
        <v>17</v>
      </c>
      <c r="G861">
        <v>1</v>
      </c>
      <c r="H861" s="8"/>
      <c r="I861" s="33"/>
      <c r="J861" t="s">
        <v>88</v>
      </c>
      <c r="K861" s="8"/>
    </row>
    <row r="862" spans="1:11" x14ac:dyDescent="0.25">
      <c r="A862" t="s">
        <v>134</v>
      </c>
      <c r="B862" t="s">
        <v>125</v>
      </c>
      <c r="C862" t="s">
        <v>150</v>
      </c>
      <c r="E862" t="s">
        <v>985</v>
      </c>
      <c r="F862" t="s">
        <v>17</v>
      </c>
      <c r="G862" s="5">
        <v>0</v>
      </c>
      <c r="H862" s="8"/>
      <c r="I862" s="33"/>
      <c r="J862" t="s">
        <v>70</v>
      </c>
      <c r="K862" s="8"/>
    </row>
    <row r="863" spans="1:11" x14ac:dyDescent="0.25">
      <c r="A863" t="s">
        <v>134</v>
      </c>
      <c r="B863" t="s">
        <v>125</v>
      </c>
      <c r="C863" s="32" t="s">
        <v>526</v>
      </c>
      <c r="E863" t="s">
        <v>986</v>
      </c>
      <c r="F863" t="s">
        <v>17</v>
      </c>
      <c r="G863" s="5">
        <v>0</v>
      </c>
      <c r="H863" s="8"/>
      <c r="I863" s="33"/>
      <c r="J863" t="s">
        <v>151</v>
      </c>
      <c r="K863" s="8"/>
    </row>
    <row r="864" spans="1:11" x14ac:dyDescent="0.25">
      <c r="A864" t="s">
        <v>134</v>
      </c>
      <c r="B864" t="s">
        <v>126</v>
      </c>
      <c r="C864" t="s">
        <v>135</v>
      </c>
      <c r="E864" t="s">
        <v>987</v>
      </c>
      <c r="F864" s="32" t="s">
        <v>20</v>
      </c>
      <c r="G864" s="5">
        <v>0</v>
      </c>
      <c r="H864" s="8"/>
      <c r="I864" s="33" t="s">
        <v>988</v>
      </c>
      <c r="K864" s="8"/>
    </row>
    <row r="865" spans="1:11" x14ac:dyDescent="0.25">
      <c r="A865" t="s">
        <v>134</v>
      </c>
      <c r="B865" t="s">
        <v>126</v>
      </c>
      <c r="C865" t="s">
        <v>136</v>
      </c>
      <c r="E865" t="s">
        <v>989</v>
      </c>
      <c r="F865" t="s">
        <v>20</v>
      </c>
      <c r="G865" s="5">
        <v>0</v>
      </c>
      <c r="H865" s="8"/>
      <c r="I865" s="33" t="s">
        <v>532</v>
      </c>
      <c r="K865" s="8"/>
    </row>
    <row r="866" spans="1:11" x14ac:dyDescent="0.25">
      <c r="A866" t="s">
        <v>134</v>
      </c>
      <c r="B866" t="s">
        <v>126</v>
      </c>
      <c r="C866" s="32" t="s">
        <v>137</v>
      </c>
      <c r="E866" t="s">
        <v>990</v>
      </c>
      <c r="F866" s="32" t="s">
        <v>36</v>
      </c>
      <c r="G866" s="5">
        <v>0</v>
      </c>
      <c r="H866" s="8"/>
      <c r="I866" s="33" t="s">
        <v>966</v>
      </c>
      <c r="J866" t="s">
        <v>524</v>
      </c>
      <c r="K866" s="8"/>
    </row>
    <row r="867" spans="1:11" x14ac:dyDescent="0.25">
      <c r="A867" t="s">
        <v>134</v>
      </c>
      <c r="B867" t="s">
        <v>126</v>
      </c>
      <c r="C867" s="32" t="s">
        <v>525</v>
      </c>
      <c r="E867" t="s">
        <v>991</v>
      </c>
      <c r="F867" s="32" t="s">
        <v>20</v>
      </c>
      <c r="G867">
        <v>1</v>
      </c>
      <c r="H867" s="8"/>
      <c r="I867" s="33" t="s">
        <v>562</v>
      </c>
      <c r="K867" s="8"/>
    </row>
    <row r="868" spans="1:11" x14ac:dyDescent="0.25">
      <c r="A868" t="s">
        <v>134</v>
      </c>
      <c r="B868" t="s">
        <v>126</v>
      </c>
      <c r="C868" t="s">
        <v>140</v>
      </c>
      <c r="E868" t="s">
        <v>992</v>
      </c>
      <c r="F868" s="32" t="s">
        <v>20</v>
      </c>
      <c r="G868">
        <v>1</v>
      </c>
      <c r="H868" t="s">
        <v>141</v>
      </c>
      <c r="I868" s="33" t="s">
        <v>142</v>
      </c>
      <c r="K868" s="8"/>
    </row>
    <row r="869" spans="1:11" x14ac:dyDescent="0.25">
      <c r="A869" t="s">
        <v>134</v>
      </c>
      <c r="B869" t="s">
        <v>126</v>
      </c>
      <c r="C869" t="s">
        <v>144</v>
      </c>
      <c r="E869" t="s">
        <v>993</v>
      </c>
      <c r="F869" t="s">
        <v>17</v>
      </c>
      <c r="G869">
        <v>1</v>
      </c>
      <c r="H869" s="8"/>
      <c r="I869" s="33"/>
      <c r="J869" t="s">
        <v>145</v>
      </c>
      <c r="K869" s="8"/>
    </row>
    <row r="870" spans="1:11" x14ac:dyDescent="0.25">
      <c r="A870" t="s">
        <v>134</v>
      </c>
      <c r="B870" t="s">
        <v>126</v>
      </c>
      <c r="C870" t="s">
        <v>146</v>
      </c>
      <c r="E870" t="s">
        <v>994</v>
      </c>
      <c r="F870" t="s">
        <v>17</v>
      </c>
      <c r="G870">
        <v>1</v>
      </c>
      <c r="H870" s="8"/>
      <c r="I870" s="33"/>
      <c r="J870" t="s">
        <v>88</v>
      </c>
      <c r="K870" s="8"/>
    </row>
    <row r="871" spans="1:11" x14ac:dyDescent="0.25">
      <c r="A871" t="s">
        <v>134</v>
      </c>
      <c r="B871" t="s">
        <v>126</v>
      </c>
      <c r="C871" t="s">
        <v>147</v>
      </c>
      <c r="E871" t="s">
        <v>995</v>
      </c>
      <c r="F871" t="s">
        <v>17</v>
      </c>
      <c r="G871">
        <v>1</v>
      </c>
      <c r="H871" s="8"/>
      <c r="I871" s="33"/>
      <c r="J871" t="s">
        <v>148</v>
      </c>
      <c r="K871" s="8"/>
    </row>
    <row r="872" spans="1:11" x14ac:dyDescent="0.25">
      <c r="A872" t="s">
        <v>134</v>
      </c>
      <c r="B872" t="s">
        <v>126</v>
      </c>
      <c r="C872" t="s">
        <v>149</v>
      </c>
      <c r="E872" t="s">
        <v>996</v>
      </c>
      <c r="F872" t="s">
        <v>17</v>
      </c>
      <c r="G872" s="5">
        <v>0</v>
      </c>
      <c r="H872" s="8"/>
      <c r="I872" s="33"/>
      <c r="J872" t="s">
        <v>88</v>
      </c>
      <c r="K872" s="8"/>
    </row>
    <row r="873" spans="1:11" x14ac:dyDescent="0.25">
      <c r="A873" t="s">
        <v>134</v>
      </c>
      <c r="B873" t="s">
        <v>126</v>
      </c>
      <c r="C873" t="s">
        <v>150</v>
      </c>
      <c r="E873" t="s">
        <v>997</v>
      </c>
      <c r="F873" t="s">
        <v>17</v>
      </c>
      <c r="G873" s="5">
        <v>0</v>
      </c>
      <c r="H873" s="8"/>
      <c r="I873" s="33"/>
      <c r="J873" t="s">
        <v>70</v>
      </c>
      <c r="K873" s="8"/>
    </row>
    <row r="874" spans="1:11" x14ac:dyDescent="0.25">
      <c r="A874" t="s">
        <v>134</v>
      </c>
      <c r="B874" t="s">
        <v>126</v>
      </c>
      <c r="C874" s="32" t="s">
        <v>526</v>
      </c>
      <c r="E874" t="s">
        <v>998</v>
      </c>
      <c r="F874" t="s">
        <v>17</v>
      </c>
      <c r="G874" s="5">
        <v>0</v>
      </c>
      <c r="H874" s="8"/>
      <c r="I874" s="33"/>
      <c r="J874" t="s">
        <v>151</v>
      </c>
      <c r="K874" s="8"/>
    </row>
    <row r="875" spans="1:11" x14ac:dyDescent="0.25">
      <c r="A875" t="s">
        <v>134</v>
      </c>
      <c r="B875" t="s">
        <v>127</v>
      </c>
      <c r="C875" t="s">
        <v>135</v>
      </c>
      <c r="E875" t="s">
        <v>999</v>
      </c>
      <c r="F875" s="32" t="s">
        <v>20</v>
      </c>
      <c r="G875" s="5">
        <v>0</v>
      </c>
      <c r="H875" s="8"/>
      <c r="I875" s="33" t="s">
        <v>1000</v>
      </c>
      <c r="K875" s="8"/>
    </row>
    <row r="876" spans="1:11" x14ac:dyDescent="0.25">
      <c r="A876" t="s">
        <v>134</v>
      </c>
      <c r="B876" t="s">
        <v>127</v>
      </c>
      <c r="C876" t="s">
        <v>136</v>
      </c>
      <c r="E876" t="s">
        <v>1001</v>
      </c>
      <c r="F876" t="s">
        <v>20</v>
      </c>
      <c r="G876" s="5">
        <v>0</v>
      </c>
      <c r="I876" s="33" t="s">
        <v>532</v>
      </c>
    </row>
    <row r="877" spans="1:11" x14ac:dyDescent="0.25">
      <c r="A877" t="s">
        <v>134</v>
      </c>
      <c r="B877" t="s">
        <v>127</v>
      </c>
      <c r="C877" s="32" t="s">
        <v>137</v>
      </c>
      <c r="E877" t="s">
        <v>1002</v>
      </c>
      <c r="F877" s="32" t="s">
        <v>36</v>
      </c>
      <c r="G877">
        <v>1</v>
      </c>
      <c r="I877" s="33" t="s">
        <v>966</v>
      </c>
      <c r="J877" t="s">
        <v>524</v>
      </c>
    </row>
    <row r="878" spans="1:11" x14ac:dyDescent="0.25">
      <c r="A878" t="s">
        <v>134</v>
      </c>
      <c r="B878" t="s">
        <v>127</v>
      </c>
      <c r="C878" s="32" t="s">
        <v>525</v>
      </c>
      <c r="E878" t="s">
        <v>1003</v>
      </c>
      <c r="F878" s="32" t="s">
        <v>20</v>
      </c>
      <c r="G878">
        <v>1</v>
      </c>
      <c r="I878" s="33" t="s">
        <v>575</v>
      </c>
    </row>
    <row r="879" spans="1:11" x14ac:dyDescent="0.25">
      <c r="A879" t="s">
        <v>134</v>
      </c>
      <c r="B879" t="s">
        <v>127</v>
      </c>
      <c r="C879" t="s">
        <v>140</v>
      </c>
      <c r="E879" t="s">
        <v>1004</v>
      </c>
      <c r="F879" s="32" t="s">
        <v>20</v>
      </c>
      <c r="G879">
        <v>1</v>
      </c>
      <c r="H879" t="s">
        <v>141</v>
      </c>
      <c r="I879" s="33" t="s">
        <v>142</v>
      </c>
    </row>
    <row r="880" spans="1:11" x14ac:dyDescent="0.25">
      <c r="A880" t="s">
        <v>134</v>
      </c>
      <c r="B880" t="s">
        <v>127</v>
      </c>
      <c r="C880" t="s">
        <v>144</v>
      </c>
      <c r="E880" t="s">
        <v>1005</v>
      </c>
      <c r="F880" t="s">
        <v>17</v>
      </c>
      <c r="G880">
        <v>1</v>
      </c>
      <c r="I880" s="33"/>
      <c r="J880" t="s">
        <v>145</v>
      </c>
    </row>
    <row r="881" spans="1:11" x14ac:dyDescent="0.25">
      <c r="A881" t="s">
        <v>134</v>
      </c>
      <c r="B881" t="s">
        <v>127</v>
      </c>
      <c r="C881" t="s">
        <v>146</v>
      </c>
      <c r="E881" t="s">
        <v>1006</v>
      </c>
      <c r="F881" t="s">
        <v>17</v>
      </c>
      <c r="G881">
        <v>1</v>
      </c>
      <c r="I881" s="33"/>
      <c r="J881" t="s">
        <v>88</v>
      </c>
    </row>
    <row r="882" spans="1:11" x14ac:dyDescent="0.25">
      <c r="A882" t="s">
        <v>134</v>
      </c>
      <c r="B882" t="s">
        <v>127</v>
      </c>
      <c r="C882" t="s">
        <v>147</v>
      </c>
      <c r="E882" t="s">
        <v>1007</v>
      </c>
      <c r="F882" t="s">
        <v>17</v>
      </c>
      <c r="G882" s="5">
        <v>0</v>
      </c>
      <c r="I882" s="33"/>
      <c r="J882" t="s">
        <v>148</v>
      </c>
    </row>
    <row r="883" spans="1:11" x14ac:dyDescent="0.25">
      <c r="A883" t="s">
        <v>134</v>
      </c>
      <c r="B883" t="s">
        <v>127</v>
      </c>
      <c r="C883" t="s">
        <v>149</v>
      </c>
      <c r="E883" t="s">
        <v>1008</v>
      </c>
      <c r="F883" t="s">
        <v>17</v>
      </c>
      <c r="G883" s="5">
        <v>0</v>
      </c>
      <c r="I883" s="33"/>
      <c r="J883" t="s">
        <v>88</v>
      </c>
    </row>
    <row r="884" spans="1:11" x14ac:dyDescent="0.25">
      <c r="A884" t="s">
        <v>134</v>
      </c>
      <c r="B884" t="s">
        <v>127</v>
      </c>
      <c r="C884" t="s">
        <v>150</v>
      </c>
      <c r="E884" t="s">
        <v>1009</v>
      </c>
      <c r="F884" t="s">
        <v>17</v>
      </c>
      <c r="G884" s="5">
        <v>0</v>
      </c>
      <c r="I884" s="33"/>
      <c r="J884" t="s">
        <v>70</v>
      </c>
      <c r="K884" s="6"/>
    </row>
    <row r="885" spans="1:11" x14ac:dyDescent="0.25">
      <c r="A885" t="s">
        <v>134</v>
      </c>
      <c r="B885" t="s">
        <v>127</v>
      </c>
      <c r="C885" s="32" t="s">
        <v>526</v>
      </c>
      <c r="E885" t="s">
        <v>1010</v>
      </c>
      <c r="F885" t="s">
        <v>17</v>
      </c>
      <c r="G885" s="5">
        <v>0</v>
      </c>
      <c r="H885" s="3"/>
      <c r="I885" s="33"/>
      <c r="J885" t="s">
        <v>151</v>
      </c>
      <c r="K885" s="7"/>
    </row>
    <row r="886" spans="1:11" x14ac:dyDescent="0.25">
      <c r="A886" t="s">
        <v>134</v>
      </c>
      <c r="B886" t="s">
        <v>128</v>
      </c>
      <c r="C886" t="s">
        <v>135</v>
      </c>
      <c r="E886" t="s">
        <v>1011</v>
      </c>
      <c r="F886" s="32" t="s">
        <v>20</v>
      </c>
      <c r="G886" s="5">
        <v>0</v>
      </c>
      <c r="H886" s="8"/>
      <c r="I886" s="33" t="s">
        <v>1012</v>
      </c>
      <c r="K886" s="9"/>
    </row>
    <row r="887" spans="1:11" x14ac:dyDescent="0.25">
      <c r="A887" t="s">
        <v>134</v>
      </c>
      <c r="B887" t="s">
        <v>128</v>
      </c>
      <c r="C887" t="s">
        <v>136</v>
      </c>
      <c r="E887" t="s">
        <v>1013</v>
      </c>
      <c r="F887" t="s">
        <v>20</v>
      </c>
      <c r="G887">
        <v>1</v>
      </c>
      <c r="I887" s="33" t="s">
        <v>532</v>
      </c>
    </row>
    <row r="888" spans="1:11" x14ac:dyDescent="0.25">
      <c r="A888" t="s">
        <v>134</v>
      </c>
      <c r="B888" t="s">
        <v>128</v>
      </c>
      <c r="C888" s="32" t="s">
        <v>137</v>
      </c>
      <c r="E888" t="s">
        <v>1014</v>
      </c>
      <c r="F888" s="32" t="s">
        <v>36</v>
      </c>
      <c r="G888">
        <v>1</v>
      </c>
      <c r="I888" s="33" t="s">
        <v>966</v>
      </c>
      <c r="J888" t="s">
        <v>524</v>
      </c>
    </row>
    <row r="889" spans="1:11" x14ac:dyDescent="0.25">
      <c r="A889" t="s">
        <v>134</v>
      </c>
      <c r="B889" t="s">
        <v>128</v>
      </c>
      <c r="C889" s="32" t="s">
        <v>525</v>
      </c>
      <c r="E889" t="s">
        <v>1015</v>
      </c>
      <c r="F889" s="32" t="s">
        <v>20</v>
      </c>
      <c r="G889">
        <v>1</v>
      </c>
      <c r="I889" s="33" t="s">
        <v>588</v>
      </c>
    </row>
    <row r="890" spans="1:11" x14ac:dyDescent="0.25">
      <c r="A890" t="s">
        <v>134</v>
      </c>
      <c r="B890" t="s">
        <v>128</v>
      </c>
      <c r="C890" t="s">
        <v>140</v>
      </c>
      <c r="E890" t="s">
        <v>1016</v>
      </c>
      <c r="F890" s="32" t="s">
        <v>20</v>
      </c>
      <c r="G890">
        <v>1</v>
      </c>
      <c r="H890" t="s">
        <v>141</v>
      </c>
      <c r="I890" s="33" t="s">
        <v>142</v>
      </c>
    </row>
    <row r="891" spans="1:11" x14ac:dyDescent="0.25">
      <c r="A891" t="s">
        <v>134</v>
      </c>
      <c r="B891" t="s">
        <v>128</v>
      </c>
      <c r="C891" t="s">
        <v>144</v>
      </c>
      <c r="E891" t="s">
        <v>1017</v>
      </c>
      <c r="F891" t="s">
        <v>17</v>
      </c>
      <c r="G891">
        <v>1</v>
      </c>
      <c r="I891" s="33"/>
      <c r="J891" t="s">
        <v>145</v>
      </c>
    </row>
    <row r="892" spans="1:11" x14ac:dyDescent="0.25">
      <c r="A892" t="s">
        <v>134</v>
      </c>
      <c r="B892" t="s">
        <v>128</v>
      </c>
      <c r="C892" t="s">
        <v>146</v>
      </c>
      <c r="E892" t="s">
        <v>1018</v>
      </c>
      <c r="F892" t="s">
        <v>17</v>
      </c>
      <c r="G892" s="5">
        <v>0</v>
      </c>
      <c r="I892" s="33"/>
      <c r="J892" t="s">
        <v>88</v>
      </c>
    </row>
    <row r="893" spans="1:11" x14ac:dyDescent="0.25">
      <c r="A893" t="s">
        <v>134</v>
      </c>
      <c r="B893" t="s">
        <v>128</v>
      </c>
      <c r="C893" t="s">
        <v>147</v>
      </c>
      <c r="E893" t="s">
        <v>1019</v>
      </c>
      <c r="F893" t="s">
        <v>17</v>
      </c>
      <c r="G893" s="5">
        <v>0</v>
      </c>
      <c r="I893" s="33"/>
      <c r="J893" t="s">
        <v>148</v>
      </c>
    </row>
    <row r="894" spans="1:11" x14ac:dyDescent="0.25">
      <c r="A894" t="s">
        <v>134</v>
      </c>
      <c r="B894" t="s">
        <v>128</v>
      </c>
      <c r="C894" t="s">
        <v>149</v>
      </c>
      <c r="E894" t="s">
        <v>1020</v>
      </c>
      <c r="F894" t="s">
        <v>17</v>
      </c>
      <c r="G894" s="5">
        <v>0</v>
      </c>
      <c r="I894" s="33"/>
      <c r="J894" t="s">
        <v>88</v>
      </c>
    </row>
    <row r="895" spans="1:11" x14ac:dyDescent="0.25">
      <c r="A895" t="s">
        <v>134</v>
      </c>
      <c r="B895" t="s">
        <v>128</v>
      </c>
      <c r="C895" t="s">
        <v>150</v>
      </c>
      <c r="E895" t="s">
        <v>1021</v>
      </c>
      <c r="F895" t="s">
        <v>17</v>
      </c>
      <c r="G895" s="5">
        <v>0</v>
      </c>
      <c r="I895" s="33"/>
      <c r="J895" t="s">
        <v>70</v>
      </c>
      <c r="K895" s="6"/>
    </row>
    <row r="896" spans="1:11" x14ac:dyDescent="0.25">
      <c r="A896" t="s">
        <v>134</v>
      </c>
      <c r="B896" t="s">
        <v>128</v>
      </c>
      <c r="C896" s="32" t="s">
        <v>526</v>
      </c>
      <c r="E896" t="s">
        <v>1022</v>
      </c>
      <c r="F896" t="s">
        <v>17</v>
      </c>
      <c r="G896" s="5">
        <v>0</v>
      </c>
      <c r="H896" s="3"/>
      <c r="I896" s="33"/>
      <c r="J896" t="s">
        <v>151</v>
      </c>
      <c r="K896" s="7"/>
    </row>
    <row r="897" spans="1:11" x14ac:dyDescent="0.25">
      <c r="A897" t="s">
        <v>134</v>
      </c>
      <c r="B897" t="s">
        <v>129</v>
      </c>
      <c r="C897" t="s">
        <v>135</v>
      </c>
      <c r="E897" t="s">
        <v>1023</v>
      </c>
      <c r="F897" s="32" t="s">
        <v>20</v>
      </c>
      <c r="G897">
        <v>1</v>
      </c>
      <c r="H897" s="8"/>
      <c r="I897" s="33" t="s">
        <v>1024</v>
      </c>
      <c r="K897" s="9"/>
    </row>
    <row r="898" spans="1:11" x14ac:dyDescent="0.25">
      <c r="A898" t="s">
        <v>134</v>
      </c>
      <c r="B898" t="s">
        <v>129</v>
      </c>
      <c r="C898" t="s">
        <v>136</v>
      </c>
      <c r="E898" t="s">
        <v>1025</v>
      </c>
      <c r="F898" t="s">
        <v>20</v>
      </c>
      <c r="G898">
        <v>1</v>
      </c>
      <c r="I898" s="33" t="s">
        <v>532</v>
      </c>
    </row>
    <row r="899" spans="1:11" x14ac:dyDescent="0.25">
      <c r="A899" t="s">
        <v>134</v>
      </c>
      <c r="B899" t="s">
        <v>129</v>
      </c>
      <c r="C899" s="32" t="s">
        <v>137</v>
      </c>
      <c r="E899" t="s">
        <v>1026</v>
      </c>
      <c r="F899" s="32" t="s">
        <v>36</v>
      </c>
      <c r="G899">
        <v>1</v>
      </c>
      <c r="I899" s="33" t="s">
        <v>966</v>
      </c>
      <c r="J899" t="s">
        <v>524</v>
      </c>
    </row>
    <row r="900" spans="1:11" x14ac:dyDescent="0.25">
      <c r="A900" t="s">
        <v>134</v>
      </c>
      <c r="B900" t="s">
        <v>129</v>
      </c>
      <c r="C900" s="32" t="s">
        <v>525</v>
      </c>
      <c r="E900" t="s">
        <v>1027</v>
      </c>
      <c r="F900" s="32" t="s">
        <v>20</v>
      </c>
      <c r="G900">
        <v>1</v>
      </c>
      <c r="I900" s="33" t="s">
        <v>601</v>
      </c>
    </row>
    <row r="901" spans="1:11" x14ac:dyDescent="0.25">
      <c r="A901" t="s">
        <v>134</v>
      </c>
      <c r="B901" t="s">
        <v>129</v>
      </c>
      <c r="C901" t="s">
        <v>140</v>
      </c>
      <c r="E901" t="s">
        <v>1028</v>
      </c>
      <c r="F901" s="32" t="s">
        <v>20</v>
      </c>
      <c r="G901">
        <v>1</v>
      </c>
      <c r="H901" t="s">
        <v>141</v>
      </c>
      <c r="I901" s="33" t="s">
        <v>142</v>
      </c>
    </row>
    <row r="902" spans="1:11" x14ac:dyDescent="0.25">
      <c r="A902" t="s">
        <v>134</v>
      </c>
      <c r="B902" t="s">
        <v>129</v>
      </c>
      <c r="C902" t="s">
        <v>144</v>
      </c>
      <c r="E902" t="s">
        <v>1029</v>
      </c>
      <c r="F902" t="s">
        <v>17</v>
      </c>
      <c r="G902" s="5">
        <v>1</v>
      </c>
      <c r="I902" s="33"/>
      <c r="J902" t="s">
        <v>145</v>
      </c>
    </row>
    <row r="903" spans="1:11" x14ac:dyDescent="0.25">
      <c r="A903" t="s">
        <v>134</v>
      </c>
      <c r="B903" t="s">
        <v>129</v>
      </c>
      <c r="C903" t="s">
        <v>146</v>
      </c>
      <c r="E903" t="s">
        <v>1030</v>
      </c>
      <c r="F903" t="s">
        <v>17</v>
      </c>
      <c r="G903" s="5">
        <v>1</v>
      </c>
      <c r="I903" s="33"/>
      <c r="J903" t="s">
        <v>88</v>
      </c>
    </row>
    <row r="904" spans="1:11" x14ac:dyDescent="0.25">
      <c r="A904" t="s">
        <v>134</v>
      </c>
      <c r="B904" t="s">
        <v>129</v>
      </c>
      <c r="C904" t="s">
        <v>147</v>
      </c>
      <c r="E904" t="s">
        <v>1031</v>
      </c>
      <c r="F904" t="s">
        <v>17</v>
      </c>
      <c r="G904" s="5">
        <v>1</v>
      </c>
      <c r="I904" s="33"/>
      <c r="J904" t="s">
        <v>148</v>
      </c>
    </row>
    <row r="905" spans="1:11" x14ac:dyDescent="0.25">
      <c r="A905" t="s">
        <v>134</v>
      </c>
      <c r="B905" t="s">
        <v>129</v>
      </c>
      <c r="C905" t="s">
        <v>149</v>
      </c>
      <c r="E905" t="s">
        <v>1032</v>
      </c>
      <c r="F905" t="s">
        <v>17</v>
      </c>
      <c r="G905" s="5">
        <v>0</v>
      </c>
      <c r="I905" s="33"/>
      <c r="J905" t="s">
        <v>88</v>
      </c>
    </row>
    <row r="906" spans="1:11" x14ac:dyDescent="0.25">
      <c r="A906" t="s">
        <v>134</v>
      </c>
      <c r="B906" t="s">
        <v>129</v>
      </c>
      <c r="C906" t="s">
        <v>150</v>
      </c>
      <c r="E906" t="s">
        <v>1033</v>
      </c>
      <c r="F906" t="s">
        <v>17</v>
      </c>
      <c r="G906" s="5">
        <v>0</v>
      </c>
      <c r="I906" s="33"/>
      <c r="J906" t="s">
        <v>70</v>
      </c>
      <c r="K906" s="6"/>
    </row>
    <row r="907" spans="1:11" x14ac:dyDescent="0.25">
      <c r="A907" t="s">
        <v>134</v>
      </c>
      <c r="B907" t="s">
        <v>129</v>
      </c>
      <c r="C907" s="32" t="s">
        <v>526</v>
      </c>
      <c r="E907" t="s">
        <v>1034</v>
      </c>
      <c r="F907" t="s">
        <v>17</v>
      </c>
      <c r="G907">
        <v>1</v>
      </c>
      <c r="H907" s="3"/>
      <c r="I907" s="33"/>
      <c r="J907" t="s">
        <v>151</v>
      </c>
      <c r="K907" s="7"/>
    </row>
    <row r="908" spans="1:11" x14ac:dyDescent="0.25">
      <c r="A908" t="s">
        <v>134</v>
      </c>
      <c r="B908" t="s">
        <v>130</v>
      </c>
      <c r="C908" t="s">
        <v>135</v>
      </c>
      <c r="E908" t="s">
        <v>1035</v>
      </c>
      <c r="F908" s="32" t="s">
        <v>20</v>
      </c>
      <c r="G908">
        <v>1</v>
      </c>
      <c r="H908" s="8"/>
      <c r="I908" s="33" t="s">
        <v>1036</v>
      </c>
      <c r="K908" s="9"/>
    </row>
    <row r="909" spans="1:11" x14ac:dyDescent="0.25">
      <c r="A909" t="s">
        <v>134</v>
      </c>
      <c r="B909" t="s">
        <v>130</v>
      </c>
      <c r="C909" t="s">
        <v>136</v>
      </c>
      <c r="E909" t="s">
        <v>1037</v>
      </c>
      <c r="F909" t="s">
        <v>20</v>
      </c>
      <c r="G909">
        <v>1</v>
      </c>
      <c r="H909" s="8"/>
      <c r="I909" s="33" t="s">
        <v>532</v>
      </c>
      <c r="K909" s="8"/>
    </row>
    <row r="910" spans="1:11" x14ac:dyDescent="0.25">
      <c r="A910" t="s">
        <v>134</v>
      </c>
      <c r="B910" t="s">
        <v>130</v>
      </c>
      <c r="C910" s="32" t="s">
        <v>137</v>
      </c>
      <c r="E910" t="s">
        <v>1038</v>
      </c>
      <c r="F910" s="32" t="s">
        <v>36</v>
      </c>
      <c r="G910">
        <v>1</v>
      </c>
      <c r="H910" s="8"/>
      <c r="I910" s="33" t="s">
        <v>966</v>
      </c>
      <c r="J910" t="s">
        <v>524</v>
      </c>
      <c r="K910" s="8"/>
    </row>
    <row r="911" spans="1:11" x14ac:dyDescent="0.25">
      <c r="A911" t="s">
        <v>134</v>
      </c>
      <c r="B911" t="s">
        <v>130</v>
      </c>
      <c r="C911" s="32" t="s">
        <v>525</v>
      </c>
      <c r="E911" t="s">
        <v>1039</v>
      </c>
      <c r="F911" s="32" t="s">
        <v>20</v>
      </c>
      <c r="G911">
        <v>1</v>
      </c>
      <c r="H911" s="8"/>
      <c r="I911" s="33" t="s">
        <v>614</v>
      </c>
      <c r="K911" s="8"/>
    </row>
    <row r="912" spans="1:11" x14ac:dyDescent="0.25">
      <c r="A912" t="s">
        <v>134</v>
      </c>
      <c r="B912" t="s">
        <v>130</v>
      </c>
      <c r="C912" t="s">
        <v>140</v>
      </c>
      <c r="E912" t="s">
        <v>1040</v>
      </c>
      <c r="F912" s="32" t="s">
        <v>20</v>
      </c>
      <c r="G912" s="5">
        <v>0</v>
      </c>
      <c r="H912" t="s">
        <v>141</v>
      </c>
      <c r="I912" s="33" t="s">
        <v>142</v>
      </c>
      <c r="K912" s="8"/>
    </row>
    <row r="913" spans="1:11" x14ac:dyDescent="0.25">
      <c r="A913" t="s">
        <v>134</v>
      </c>
      <c r="B913" t="s">
        <v>130</v>
      </c>
      <c r="C913" t="s">
        <v>144</v>
      </c>
      <c r="E913" t="s">
        <v>1041</v>
      </c>
      <c r="F913" t="s">
        <v>17</v>
      </c>
      <c r="G913" s="5">
        <v>0</v>
      </c>
      <c r="H913" s="8"/>
      <c r="I913" s="33"/>
      <c r="J913" t="s">
        <v>145</v>
      </c>
      <c r="K913" s="8"/>
    </row>
    <row r="914" spans="1:11" x14ac:dyDescent="0.25">
      <c r="A914" t="s">
        <v>134</v>
      </c>
      <c r="B914" t="s">
        <v>130</v>
      </c>
      <c r="C914" t="s">
        <v>146</v>
      </c>
      <c r="E914" t="s">
        <v>1042</v>
      </c>
      <c r="F914" t="s">
        <v>17</v>
      </c>
      <c r="G914" s="5">
        <v>0</v>
      </c>
      <c r="H914" s="8"/>
      <c r="I914" s="33"/>
      <c r="J914" t="s">
        <v>88</v>
      </c>
      <c r="K914" s="8"/>
    </row>
    <row r="915" spans="1:11" x14ac:dyDescent="0.25">
      <c r="A915" t="s">
        <v>134</v>
      </c>
      <c r="B915" t="s">
        <v>130</v>
      </c>
      <c r="C915" t="s">
        <v>147</v>
      </c>
      <c r="E915" t="s">
        <v>1043</v>
      </c>
      <c r="F915" t="s">
        <v>17</v>
      </c>
      <c r="G915" s="5">
        <v>0</v>
      </c>
      <c r="H915" s="8"/>
      <c r="I915" s="33"/>
      <c r="J915" t="s">
        <v>148</v>
      </c>
      <c r="K915" s="8"/>
    </row>
    <row r="916" spans="1:11" x14ac:dyDescent="0.25">
      <c r="A916" t="s">
        <v>134</v>
      </c>
      <c r="B916" t="s">
        <v>130</v>
      </c>
      <c r="C916" t="s">
        <v>149</v>
      </c>
      <c r="E916" t="s">
        <v>1044</v>
      </c>
      <c r="F916" t="s">
        <v>17</v>
      </c>
      <c r="G916" s="5">
        <v>0</v>
      </c>
      <c r="H916" s="8"/>
      <c r="I916" s="33"/>
      <c r="J916" t="s">
        <v>88</v>
      </c>
      <c r="K916" s="8"/>
    </row>
    <row r="917" spans="1:11" x14ac:dyDescent="0.25">
      <c r="A917" t="s">
        <v>134</v>
      </c>
      <c r="B917" t="s">
        <v>130</v>
      </c>
      <c r="C917" t="s">
        <v>150</v>
      </c>
      <c r="E917" t="s">
        <v>1045</v>
      </c>
      <c r="F917" t="s">
        <v>17</v>
      </c>
      <c r="G917">
        <v>1</v>
      </c>
      <c r="H917" s="8"/>
      <c r="I917" s="33"/>
      <c r="J917" t="s">
        <v>70</v>
      </c>
      <c r="K917" s="8"/>
    </row>
    <row r="918" spans="1:11" x14ac:dyDescent="0.25">
      <c r="A918" t="s">
        <v>134</v>
      </c>
      <c r="B918" t="s">
        <v>130</v>
      </c>
      <c r="C918" s="32" t="s">
        <v>526</v>
      </c>
      <c r="E918" t="s">
        <v>1046</v>
      </c>
      <c r="F918" t="s">
        <v>17</v>
      </c>
      <c r="G918">
        <v>1</v>
      </c>
      <c r="H918" s="8"/>
      <c r="I918" s="33"/>
      <c r="J918" t="s">
        <v>151</v>
      </c>
      <c r="K918" s="8"/>
    </row>
    <row r="919" spans="1:11" x14ac:dyDescent="0.25">
      <c r="A919" t="s">
        <v>134</v>
      </c>
      <c r="B919" t="s">
        <v>131</v>
      </c>
      <c r="C919" t="s">
        <v>135</v>
      </c>
      <c r="E919" t="s">
        <v>1047</v>
      </c>
      <c r="F919" s="32" t="s">
        <v>20</v>
      </c>
      <c r="G919">
        <v>1</v>
      </c>
      <c r="H919" s="8"/>
      <c r="I919" s="33" t="s">
        <v>1048</v>
      </c>
      <c r="K919" s="8"/>
    </row>
    <row r="920" spans="1:11" x14ac:dyDescent="0.25">
      <c r="A920" t="s">
        <v>134</v>
      </c>
      <c r="B920" t="s">
        <v>131</v>
      </c>
      <c r="C920" t="s">
        <v>136</v>
      </c>
      <c r="E920" t="s">
        <v>1049</v>
      </c>
      <c r="F920" t="s">
        <v>20</v>
      </c>
      <c r="G920">
        <v>1</v>
      </c>
      <c r="H920" s="8"/>
      <c r="I920" s="33" t="s">
        <v>1050</v>
      </c>
      <c r="K920" s="8"/>
    </row>
    <row r="921" spans="1:11" x14ac:dyDescent="0.25">
      <c r="A921" t="s">
        <v>134</v>
      </c>
      <c r="B921" t="s">
        <v>131</v>
      </c>
      <c r="C921" s="32" t="s">
        <v>137</v>
      </c>
      <c r="E921" t="s">
        <v>1051</v>
      </c>
      <c r="F921" s="32" t="s">
        <v>36</v>
      </c>
      <c r="G921">
        <v>1</v>
      </c>
      <c r="H921" s="8"/>
      <c r="I921" s="33" t="s">
        <v>1052</v>
      </c>
      <c r="J921" t="s">
        <v>524</v>
      </c>
      <c r="K921" s="8"/>
    </row>
    <row r="922" spans="1:11" x14ac:dyDescent="0.25">
      <c r="A922" t="s">
        <v>134</v>
      </c>
      <c r="B922" t="s">
        <v>131</v>
      </c>
      <c r="C922" s="32" t="s">
        <v>525</v>
      </c>
      <c r="E922" t="s">
        <v>1053</v>
      </c>
      <c r="F922" s="32" t="s">
        <v>20</v>
      </c>
      <c r="G922" s="5">
        <v>0</v>
      </c>
      <c r="H922" s="8"/>
      <c r="I922" s="33" t="s">
        <v>536</v>
      </c>
      <c r="K922" s="8"/>
    </row>
    <row r="923" spans="1:11" x14ac:dyDescent="0.25">
      <c r="A923" t="s">
        <v>134</v>
      </c>
      <c r="B923" t="s">
        <v>131</v>
      </c>
      <c r="C923" t="s">
        <v>140</v>
      </c>
      <c r="E923" t="s">
        <v>1054</v>
      </c>
      <c r="F923" s="32" t="s">
        <v>20</v>
      </c>
      <c r="G923" s="5">
        <v>0</v>
      </c>
      <c r="H923" t="s">
        <v>141</v>
      </c>
      <c r="I923" s="33" t="s">
        <v>142</v>
      </c>
      <c r="K923" s="8"/>
    </row>
    <row r="924" spans="1:11" x14ac:dyDescent="0.25">
      <c r="A924" t="s">
        <v>134</v>
      </c>
      <c r="B924" t="s">
        <v>131</v>
      </c>
      <c r="C924" t="s">
        <v>144</v>
      </c>
      <c r="E924" t="s">
        <v>1055</v>
      </c>
      <c r="F924" t="s">
        <v>17</v>
      </c>
      <c r="G924" s="5">
        <v>0</v>
      </c>
      <c r="H924" s="8"/>
      <c r="I924" s="33"/>
      <c r="J924" t="s">
        <v>145</v>
      </c>
      <c r="K924" s="8"/>
    </row>
    <row r="925" spans="1:11" x14ac:dyDescent="0.25">
      <c r="A925" t="s">
        <v>134</v>
      </c>
      <c r="B925" t="s">
        <v>131</v>
      </c>
      <c r="C925" t="s">
        <v>146</v>
      </c>
      <c r="E925" t="s">
        <v>1056</v>
      </c>
      <c r="F925" t="s">
        <v>17</v>
      </c>
      <c r="G925" s="5">
        <v>0</v>
      </c>
      <c r="H925" s="8"/>
      <c r="I925" s="33"/>
      <c r="J925" t="s">
        <v>88</v>
      </c>
      <c r="K925" s="8"/>
    </row>
    <row r="926" spans="1:11" x14ac:dyDescent="0.25">
      <c r="A926" t="s">
        <v>134</v>
      </c>
      <c r="B926" t="s">
        <v>131</v>
      </c>
      <c r="C926" t="s">
        <v>147</v>
      </c>
      <c r="E926" t="s">
        <v>1057</v>
      </c>
      <c r="F926" t="s">
        <v>17</v>
      </c>
      <c r="G926" s="5">
        <v>0</v>
      </c>
      <c r="H926" s="8"/>
      <c r="I926" s="33"/>
      <c r="J926" t="s">
        <v>148</v>
      </c>
      <c r="K926" s="8"/>
    </row>
    <row r="927" spans="1:11" x14ac:dyDescent="0.25">
      <c r="A927" t="s">
        <v>134</v>
      </c>
      <c r="B927" t="s">
        <v>131</v>
      </c>
      <c r="C927" t="s">
        <v>149</v>
      </c>
      <c r="E927" t="s">
        <v>1058</v>
      </c>
      <c r="F927" t="s">
        <v>17</v>
      </c>
      <c r="G927">
        <v>1</v>
      </c>
      <c r="H927" s="8"/>
      <c r="I927" s="33"/>
      <c r="J927" t="s">
        <v>88</v>
      </c>
      <c r="K927" s="8"/>
    </row>
    <row r="928" spans="1:11" x14ac:dyDescent="0.25">
      <c r="A928" t="s">
        <v>134</v>
      </c>
      <c r="B928" t="s">
        <v>131</v>
      </c>
      <c r="C928" t="s">
        <v>150</v>
      </c>
      <c r="E928" t="s">
        <v>1059</v>
      </c>
      <c r="F928" t="s">
        <v>17</v>
      </c>
      <c r="G928">
        <v>1</v>
      </c>
      <c r="H928" s="8"/>
      <c r="I928" s="33"/>
      <c r="J928" t="s">
        <v>70</v>
      </c>
      <c r="K928" s="8"/>
    </row>
    <row r="929" spans="1:11" x14ac:dyDescent="0.25">
      <c r="A929" t="s">
        <v>134</v>
      </c>
      <c r="B929" t="s">
        <v>131</v>
      </c>
      <c r="C929" s="32" t="s">
        <v>526</v>
      </c>
      <c r="E929" t="s">
        <v>1060</v>
      </c>
      <c r="F929" t="s">
        <v>17</v>
      </c>
      <c r="G929">
        <v>1</v>
      </c>
      <c r="H929" s="8"/>
      <c r="I929" s="33"/>
      <c r="J929" t="s">
        <v>151</v>
      </c>
      <c r="K929" s="8"/>
    </row>
    <row r="930" spans="1:11" x14ac:dyDescent="0.25">
      <c r="A930" t="s">
        <v>134</v>
      </c>
      <c r="B930" t="s">
        <v>132</v>
      </c>
      <c r="C930" t="s">
        <v>135</v>
      </c>
      <c r="E930" t="s">
        <v>1061</v>
      </c>
      <c r="F930" s="32" t="s">
        <v>20</v>
      </c>
      <c r="G930">
        <v>1</v>
      </c>
      <c r="H930" s="8"/>
      <c r="I930" s="33" t="s">
        <v>1062</v>
      </c>
      <c r="K930" s="8"/>
    </row>
    <row r="931" spans="1:11" x14ac:dyDescent="0.25">
      <c r="A931" t="s">
        <v>134</v>
      </c>
      <c r="B931" t="s">
        <v>132</v>
      </c>
      <c r="C931" t="s">
        <v>136</v>
      </c>
      <c r="E931" t="s">
        <v>1063</v>
      </c>
      <c r="F931" t="s">
        <v>20</v>
      </c>
      <c r="G931">
        <v>1</v>
      </c>
      <c r="H931" s="8"/>
      <c r="I931" s="33" t="s">
        <v>1050</v>
      </c>
      <c r="K931" s="8"/>
    </row>
    <row r="932" spans="1:11" x14ac:dyDescent="0.25">
      <c r="A932" t="s">
        <v>134</v>
      </c>
      <c r="B932" t="s">
        <v>132</v>
      </c>
      <c r="C932" s="32" t="s">
        <v>137</v>
      </c>
      <c r="E932" t="s">
        <v>1064</v>
      </c>
      <c r="F932" s="32" t="s">
        <v>36</v>
      </c>
      <c r="G932" s="5">
        <v>0</v>
      </c>
      <c r="H932" s="8"/>
      <c r="I932" s="33" t="s">
        <v>1052</v>
      </c>
      <c r="J932" t="s">
        <v>524</v>
      </c>
      <c r="K932" s="8"/>
    </row>
    <row r="933" spans="1:11" x14ac:dyDescent="0.25">
      <c r="A933" t="s">
        <v>134</v>
      </c>
      <c r="B933" t="s">
        <v>132</v>
      </c>
      <c r="C933" s="32" t="s">
        <v>525</v>
      </c>
      <c r="E933" t="s">
        <v>1065</v>
      </c>
      <c r="F933" s="32" t="s">
        <v>20</v>
      </c>
      <c r="G933" s="5">
        <v>0</v>
      </c>
      <c r="H933" s="8"/>
      <c r="I933" s="33" t="s">
        <v>549</v>
      </c>
      <c r="K933" s="8"/>
    </row>
    <row r="934" spans="1:11" x14ac:dyDescent="0.25">
      <c r="A934" t="s">
        <v>134</v>
      </c>
      <c r="B934" t="s">
        <v>132</v>
      </c>
      <c r="C934" t="s">
        <v>140</v>
      </c>
      <c r="E934" t="s">
        <v>1066</v>
      </c>
      <c r="F934" s="32" t="s">
        <v>20</v>
      </c>
      <c r="G934" s="5">
        <v>0</v>
      </c>
      <c r="H934" t="s">
        <v>141</v>
      </c>
      <c r="I934" s="33" t="s">
        <v>142</v>
      </c>
      <c r="K934" s="8"/>
    </row>
    <row r="935" spans="1:11" x14ac:dyDescent="0.25">
      <c r="A935" t="s">
        <v>134</v>
      </c>
      <c r="B935" t="s">
        <v>132</v>
      </c>
      <c r="C935" t="s">
        <v>144</v>
      </c>
      <c r="E935" t="s">
        <v>1067</v>
      </c>
      <c r="F935" t="s">
        <v>17</v>
      </c>
      <c r="G935" s="5">
        <v>0</v>
      </c>
      <c r="H935" s="8"/>
      <c r="I935" s="33"/>
      <c r="J935" t="s">
        <v>145</v>
      </c>
      <c r="K935" s="8"/>
    </row>
    <row r="936" spans="1:11" x14ac:dyDescent="0.25">
      <c r="A936" t="s">
        <v>134</v>
      </c>
      <c r="B936" t="s">
        <v>132</v>
      </c>
      <c r="C936" t="s">
        <v>146</v>
      </c>
      <c r="E936" t="s">
        <v>1068</v>
      </c>
      <c r="F936" t="s">
        <v>17</v>
      </c>
      <c r="G936" s="5">
        <v>0</v>
      </c>
      <c r="H936" s="8"/>
      <c r="I936" s="33"/>
      <c r="J936" t="s">
        <v>88</v>
      </c>
      <c r="K936" s="8"/>
    </row>
    <row r="937" spans="1:11" x14ac:dyDescent="0.25">
      <c r="A937" t="s">
        <v>134</v>
      </c>
      <c r="B937" t="s">
        <v>132</v>
      </c>
      <c r="C937" t="s">
        <v>147</v>
      </c>
      <c r="E937" t="s">
        <v>1069</v>
      </c>
      <c r="F937" t="s">
        <v>17</v>
      </c>
      <c r="G937">
        <v>1</v>
      </c>
      <c r="H937" s="8"/>
      <c r="I937" s="33"/>
      <c r="J937" t="s">
        <v>148</v>
      </c>
      <c r="K937" s="8"/>
    </row>
    <row r="938" spans="1:11" x14ac:dyDescent="0.25">
      <c r="A938" t="s">
        <v>134</v>
      </c>
      <c r="B938" t="s">
        <v>132</v>
      </c>
      <c r="C938" t="s">
        <v>149</v>
      </c>
      <c r="E938" t="s">
        <v>1070</v>
      </c>
      <c r="F938" t="s">
        <v>17</v>
      </c>
      <c r="G938">
        <v>1</v>
      </c>
      <c r="H938" s="8"/>
      <c r="I938" s="33"/>
      <c r="J938" t="s">
        <v>88</v>
      </c>
      <c r="K938" s="8"/>
    </row>
    <row r="939" spans="1:11" x14ac:dyDescent="0.25">
      <c r="A939" t="s">
        <v>134</v>
      </c>
      <c r="B939" t="s">
        <v>132</v>
      </c>
      <c r="C939" t="s">
        <v>150</v>
      </c>
      <c r="E939" t="s">
        <v>1071</v>
      </c>
      <c r="F939" t="s">
        <v>17</v>
      </c>
      <c r="G939">
        <v>1</v>
      </c>
      <c r="H939" s="8"/>
      <c r="I939" s="33"/>
      <c r="J939" t="s">
        <v>70</v>
      </c>
      <c r="K939" s="8"/>
    </row>
    <row r="940" spans="1:11" x14ac:dyDescent="0.25">
      <c r="A940" t="s">
        <v>134</v>
      </c>
      <c r="B940" t="s">
        <v>132</v>
      </c>
      <c r="C940" s="32" t="s">
        <v>526</v>
      </c>
      <c r="E940" t="s">
        <v>1072</v>
      </c>
      <c r="F940" t="s">
        <v>17</v>
      </c>
      <c r="G940">
        <v>1</v>
      </c>
      <c r="H940" s="8"/>
      <c r="I940" s="33"/>
      <c r="J940" t="s">
        <v>151</v>
      </c>
      <c r="K940" s="8"/>
    </row>
    <row r="941" spans="1:11" x14ac:dyDescent="0.25">
      <c r="A941" t="s">
        <v>134</v>
      </c>
      <c r="B941" t="s">
        <v>133</v>
      </c>
      <c r="C941" t="s">
        <v>135</v>
      </c>
      <c r="E941" t="s">
        <v>1073</v>
      </c>
      <c r="F941" s="32" t="s">
        <v>20</v>
      </c>
      <c r="G941">
        <v>1</v>
      </c>
      <c r="H941" s="8"/>
      <c r="I941" s="33" t="s">
        <v>1074</v>
      </c>
      <c r="K941" s="8"/>
    </row>
    <row r="942" spans="1:11" x14ac:dyDescent="0.25">
      <c r="A942" t="s">
        <v>134</v>
      </c>
      <c r="B942" t="s">
        <v>133</v>
      </c>
      <c r="C942" t="s">
        <v>136</v>
      </c>
      <c r="E942" t="s">
        <v>1075</v>
      </c>
      <c r="F942" t="s">
        <v>20</v>
      </c>
      <c r="G942" s="5">
        <v>0</v>
      </c>
      <c r="H942" s="8"/>
      <c r="I942" s="33" t="s">
        <v>1050</v>
      </c>
      <c r="K942" s="8"/>
    </row>
    <row r="943" spans="1:11" x14ac:dyDescent="0.25">
      <c r="A943" t="s">
        <v>134</v>
      </c>
      <c r="B943" t="s">
        <v>133</v>
      </c>
      <c r="C943" s="32" t="s">
        <v>137</v>
      </c>
      <c r="E943" t="s">
        <v>1076</v>
      </c>
      <c r="F943" s="32" t="s">
        <v>36</v>
      </c>
      <c r="G943" s="5">
        <v>0</v>
      </c>
      <c r="H943" s="8"/>
      <c r="I943" s="33" t="s">
        <v>1052</v>
      </c>
      <c r="J943" t="s">
        <v>524</v>
      </c>
      <c r="K943" s="8"/>
    </row>
    <row r="944" spans="1:11" x14ac:dyDescent="0.25">
      <c r="A944" t="s">
        <v>134</v>
      </c>
      <c r="B944" t="s">
        <v>133</v>
      </c>
      <c r="C944" s="32" t="s">
        <v>525</v>
      </c>
      <c r="E944" t="s">
        <v>1077</v>
      </c>
      <c r="F944" s="32" t="s">
        <v>20</v>
      </c>
      <c r="G944" s="5">
        <v>0</v>
      </c>
      <c r="H944" s="8"/>
      <c r="I944" s="33" t="s">
        <v>562</v>
      </c>
      <c r="K944" s="8"/>
    </row>
    <row r="945" spans="1:11" x14ac:dyDescent="0.25">
      <c r="A945" t="s">
        <v>134</v>
      </c>
      <c r="B945" t="s">
        <v>133</v>
      </c>
      <c r="C945" t="s">
        <v>140</v>
      </c>
      <c r="E945" t="s">
        <v>1078</v>
      </c>
      <c r="F945" s="32" t="s">
        <v>20</v>
      </c>
      <c r="G945" s="5">
        <v>0</v>
      </c>
      <c r="H945" t="s">
        <v>141</v>
      </c>
      <c r="I945" s="33" t="s">
        <v>142</v>
      </c>
      <c r="K945" s="8"/>
    </row>
    <row r="946" spans="1:11" x14ac:dyDescent="0.25">
      <c r="A946" t="s">
        <v>134</v>
      </c>
      <c r="B946" t="s">
        <v>133</v>
      </c>
      <c r="C946" t="s">
        <v>144</v>
      </c>
      <c r="E946" t="s">
        <v>1079</v>
      </c>
      <c r="F946" t="s">
        <v>17</v>
      </c>
      <c r="G946" s="5">
        <v>0</v>
      </c>
      <c r="H946" s="8"/>
      <c r="I946" s="33"/>
      <c r="J946" t="s">
        <v>145</v>
      </c>
      <c r="K946" s="8"/>
    </row>
    <row r="947" spans="1:11" x14ac:dyDescent="0.25">
      <c r="A947" t="s">
        <v>134</v>
      </c>
      <c r="B947" t="s">
        <v>133</v>
      </c>
      <c r="C947" t="s">
        <v>146</v>
      </c>
      <c r="E947" t="s">
        <v>1080</v>
      </c>
      <c r="F947" t="s">
        <v>17</v>
      </c>
      <c r="G947">
        <v>1</v>
      </c>
      <c r="H947" s="8"/>
      <c r="I947" s="33"/>
      <c r="J947" t="s">
        <v>88</v>
      </c>
      <c r="K947" s="8"/>
    </row>
    <row r="948" spans="1:11" x14ac:dyDescent="0.25">
      <c r="A948" t="s">
        <v>134</v>
      </c>
      <c r="B948" t="s">
        <v>133</v>
      </c>
      <c r="C948" t="s">
        <v>147</v>
      </c>
      <c r="E948" t="s">
        <v>1081</v>
      </c>
      <c r="F948" t="s">
        <v>17</v>
      </c>
      <c r="G948">
        <v>1</v>
      </c>
      <c r="H948" s="8"/>
      <c r="I948" s="33"/>
      <c r="J948" t="s">
        <v>148</v>
      </c>
      <c r="K948" s="8"/>
    </row>
    <row r="949" spans="1:11" x14ac:dyDescent="0.25">
      <c r="A949" t="s">
        <v>134</v>
      </c>
      <c r="B949" t="s">
        <v>133</v>
      </c>
      <c r="C949" t="s">
        <v>149</v>
      </c>
      <c r="E949" t="s">
        <v>1082</v>
      </c>
      <c r="F949" t="s">
        <v>17</v>
      </c>
      <c r="G949">
        <v>1</v>
      </c>
      <c r="H949" s="8"/>
      <c r="I949" s="33"/>
      <c r="J949" t="s">
        <v>88</v>
      </c>
      <c r="K949" s="8"/>
    </row>
    <row r="950" spans="1:11" x14ac:dyDescent="0.25">
      <c r="A950" t="s">
        <v>134</v>
      </c>
      <c r="B950" t="s">
        <v>133</v>
      </c>
      <c r="C950" t="s">
        <v>150</v>
      </c>
      <c r="E950" t="s">
        <v>1083</v>
      </c>
      <c r="F950" t="s">
        <v>17</v>
      </c>
      <c r="G950">
        <v>1</v>
      </c>
      <c r="H950" s="8"/>
      <c r="I950" s="33"/>
      <c r="J950" t="s">
        <v>70</v>
      </c>
      <c r="K950" s="8"/>
    </row>
    <row r="951" spans="1:11" x14ac:dyDescent="0.25">
      <c r="A951" t="s">
        <v>134</v>
      </c>
      <c r="B951" t="s">
        <v>133</v>
      </c>
      <c r="C951" s="32" t="s">
        <v>526</v>
      </c>
      <c r="E951" t="s">
        <v>1084</v>
      </c>
      <c r="F951" t="s">
        <v>17</v>
      </c>
      <c r="G951">
        <v>1</v>
      </c>
      <c r="H951" s="8"/>
      <c r="I951" s="33"/>
      <c r="J951" t="s">
        <v>151</v>
      </c>
      <c r="K951" s="8"/>
    </row>
    <row r="952" spans="1:11" x14ac:dyDescent="0.25">
      <c r="A952" t="s">
        <v>134</v>
      </c>
      <c r="B952" t="s">
        <v>1085</v>
      </c>
      <c r="C952" t="s">
        <v>135</v>
      </c>
      <c r="E952" t="s">
        <v>1086</v>
      </c>
      <c r="F952" s="32" t="s">
        <v>20</v>
      </c>
      <c r="G952" s="5">
        <v>0</v>
      </c>
      <c r="H952" s="8"/>
      <c r="I952" s="33" t="s">
        <v>1087</v>
      </c>
      <c r="K952" s="8"/>
    </row>
    <row r="953" spans="1:11" x14ac:dyDescent="0.25">
      <c r="A953" t="s">
        <v>134</v>
      </c>
      <c r="B953" t="s">
        <v>1085</v>
      </c>
      <c r="C953" t="s">
        <v>136</v>
      </c>
      <c r="E953" t="s">
        <v>1088</v>
      </c>
      <c r="F953" t="s">
        <v>20</v>
      </c>
      <c r="G953" s="5">
        <v>0</v>
      </c>
      <c r="H953" s="8"/>
      <c r="I953" s="33" t="s">
        <v>1050</v>
      </c>
      <c r="K953" s="8"/>
    </row>
    <row r="954" spans="1:11" x14ac:dyDescent="0.25">
      <c r="A954" t="s">
        <v>134</v>
      </c>
      <c r="B954" t="s">
        <v>1085</v>
      </c>
      <c r="C954" s="32" t="s">
        <v>137</v>
      </c>
      <c r="E954" t="s">
        <v>1089</v>
      </c>
      <c r="F954" s="32" t="s">
        <v>36</v>
      </c>
      <c r="G954" s="5">
        <v>0</v>
      </c>
      <c r="H954" s="8"/>
      <c r="I954" s="33" t="s">
        <v>1052</v>
      </c>
      <c r="J954" t="s">
        <v>524</v>
      </c>
      <c r="K954" s="8"/>
    </row>
    <row r="955" spans="1:11" x14ac:dyDescent="0.25">
      <c r="A955" t="s">
        <v>134</v>
      </c>
      <c r="B955" t="s">
        <v>1085</v>
      </c>
      <c r="C955" s="32" t="s">
        <v>525</v>
      </c>
      <c r="E955" t="s">
        <v>1090</v>
      </c>
      <c r="F955" s="32" t="s">
        <v>20</v>
      </c>
      <c r="G955" s="5">
        <v>0</v>
      </c>
      <c r="H955" s="8"/>
      <c r="I955" s="33" t="s">
        <v>575</v>
      </c>
      <c r="K955" s="8"/>
    </row>
    <row r="956" spans="1:11" x14ac:dyDescent="0.25">
      <c r="A956" t="s">
        <v>134</v>
      </c>
      <c r="B956" t="s">
        <v>1085</v>
      </c>
      <c r="C956" t="s">
        <v>140</v>
      </c>
      <c r="E956" t="s">
        <v>1091</v>
      </c>
      <c r="F956" s="32" t="s">
        <v>20</v>
      </c>
      <c r="G956" s="5">
        <v>0</v>
      </c>
      <c r="H956" t="s">
        <v>141</v>
      </c>
      <c r="I956" s="33" t="s">
        <v>142</v>
      </c>
      <c r="K956" s="8"/>
    </row>
    <row r="957" spans="1:11" x14ac:dyDescent="0.25">
      <c r="A957" t="s">
        <v>134</v>
      </c>
      <c r="B957" t="s">
        <v>1085</v>
      </c>
      <c r="C957" t="s">
        <v>144</v>
      </c>
      <c r="E957" t="s">
        <v>1092</v>
      </c>
      <c r="F957" t="s">
        <v>17</v>
      </c>
      <c r="G957">
        <v>1</v>
      </c>
      <c r="H957" s="8"/>
      <c r="I957" s="33"/>
      <c r="J957" t="s">
        <v>145</v>
      </c>
      <c r="K957" s="8"/>
    </row>
    <row r="958" spans="1:11" x14ac:dyDescent="0.25">
      <c r="A958" t="s">
        <v>134</v>
      </c>
      <c r="B958" t="s">
        <v>1085</v>
      </c>
      <c r="C958" t="s">
        <v>146</v>
      </c>
      <c r="E958" t="s">
        <v>1093</v>
      </c>
      <c r="F958" t="s">
        <v>17</v>
      </c>
      <c r="G958">
        <v>1</v>
      </c>
      <c r="H958" s="8"/>
      <c r="I958" s="33"/>
      <c r="J958" t="s">
        <v>88</v>
      </c>
      <c r="K958" s="8"/>
    </row>
    <row r="959" spans="1:11" x14ac:dyDescent="0.25">
      <c r="A959" t="s">
        <v>134</v>
      </c>
      <c r="B959" t="s">
        <v>1085</v>
      </c>
      <c r="C959" t="s">
        <v>147</v>
      </c>
      <c r="E959" t="s">
        <v>1094</v>
      </c>
      <c r="F959" t="s">
        <v>17</v>
      </c>
      <c r="G959">
        <v>1</v>
      </c>
      <c r="H959" s="8"/>
      <c r="I959" s="33"/>
      <c r="J959" t="s">
        <v>148</v>
      </c>
      <c r="K959" s="8"/>
    </row>
    <row r="960" spans="1:11" x14ac:dyDescent="0.25">
      <c r="A960" t="s">
        <v>134</v>
      </c>
      <c r="B960" t="s">
        <v>1085</v>
      </c>
      <c r="C960" t="s">
        <v>149</v>
      </c>
      <c r="E960" t="s">
        <v>1095</v>
      </c>
      <c r="F960" t="s">
        <v>17</v>
      </c>
      <c r="G960">
        <v>1</v>
      </c>
      <c r="H960" s="8"/>
      <c r="I960" s="33"/>
      <c r="J960" t="s">
        <v>88</v>
      </c>
      <c r="K960" s="8"/>
    </row>
    <row r="961" spans="1:11" x14ac:dyDescent="0.25">
      <c r="A961" t="s">
        <v>134</v>
      </c>
      <c r="B961" t="s">
        <v>1085</v>
      </c>
      <c r="C961" t="s">
        <v>150</v>
      </c>
      <c r="E961" t="s">
        <v>1096</v>
      </c>
      <c r="F961" t="s">
        <v>17</v>
      </c>
      <c r="G961">
        <v>1</v>
      </c>
      <c r="H961" s="8"/>
      <c r="I961" s="33"/>
      <c r="J961" t="s">
        <v>70</v>
      </c>
      <c r="K961" s="8"/>
    </row>
    <row r="962" spans="1:11" x14ac:dyDescent="0.25">
      <c r="A962" t="s">
        <v>134</v>
      </c>
      <c r="B962" t="s">
        <v>1085</v>
      </c>
      <c r="C962" s="32" t="s">
        <v>526</v>
      </c>
      <c r="E962" t="s">
        <v>1097</v>
      </c>
      <c r="F962" t="s">
        <v>17</v>
      </c>
      <c r="G962" s="5">
        <v>0</v>
      </c>
      <c r="H962" s="8"/>
      <c r="I962" s="33"/>
      <c r="J962" t="s">
        <v>151</v>
      </c>
      <c r="K962" s="8"/>
    </row>
    <row r="963" spans="1:11" x14ac:dyDescent="0.25">
      <c r="A963" t="s">
        <v>134</v>
      </c>
      <c r="B963" t="s">
        <v>1098</v>
      </c>
      <c r="C963" t="s">
        <v>135</v>
      </c>
      <c r="E963" t="s">
        <v>1099</v>
      </c>
      <c r="F963" s="32" t="s">
        <v>20</v>
      </c>
      <c r="G963" s="5">
        <v>0</v>
      </c>
      <c r="H963" s="8"/>
      <c r="I963" s="33" t="s">
        <v>1100</v>
      </c>
      <c r="K963" s="8"/>
    </row>
    <row r="964" spans="1:11" x14ac:dyDescent="0.25">
      <c r="A964" t="s">
        <v>134</v>
      </c>
      <c r="B964" t="s">
        <v>1098</v>
      </c>
      <c r="C964" t="s">
        <v>136</v>
      </c>
      <c r="E964" t="s">
        <v>1101</v>
      </c>
      <c r="F964" t="s">
        <v>20</v>
      </c>
      <c r="G964" s="5">
        <v>0</v>
      </c>
      <c r="H964" s="8"/>
      <c r="I964" s="33" t="s">
        <v>1050</v>
      </c>
      <c r="K964" s="8"/>
    </row>
    <row r="965" spans="1:11" x14ac:dyDescent="0.25">
      <c r="A965" t="s">
        <v>134</v>
      </c>
      <c r="B965" t="s">
        <v>1098</v>
      </c>
      <c r="C965" s="32" t="s">
        <v>137</v>
      </c>
      <c r="E965" t="s">
        <v>1102</v>
      </c>
      <c r="F965" s="32" t="s">
        <v>36</v>
      </c>
      <c r="G965" s="5">
        <v>0</v>
      </c>
      <c r="H965" s="8"/>
      <c r="I965" s="33" t="s">
        <v>1052</v>
      </c>
      <c r="J965" t="s">
        <v>524</v>
      </c>
      <c r="K965" s="8"/>
    </row>
    <row r="966" spans="1:11" x14ac:dyDescent="0.25">
      <c r="A966" t="s">
        <v>134</v>
      </c>
      <c r="B966" t="s">
        <v>1098</v>
      </c>
      <c r="C966" s="32" t="s">
        <v>525</v>
      </c>
      <c r="E966" t="s">
        <v>1103</v>
      </c>
      <c r="F966" s="32" t="s">
        <v>20</v>
      </c>
      <c r="G966" s="5">
        <v>0</v>
      </c>
      <c r="H966" s="8"/>
      <c r="I966" s="33" t="s">
        <v>588</v>
      </c>
      <c r="K966" s="8"/>
    </row>
    <row r="967" spans="1:11" x14ac:dyDescent="0.25">
      <c r="A967" t="s">
        <v>134</v>
      </c>
      <c r="B967" t="s">
        <v>1098</v>
      </c>
      <c r="C967" t="s">
        <v>140</v>
      </c>
      <c r="E967" t="s">
        <v>1104</v>
      </c>
      <c r="F967" s="32" t="s">
        <v>20</v>
      </c>
      <c r="G967">
        <v>1</v>
      </c>
      <c r="H967" t="s">
        <v>141</v>
      </c>
      <c r="I967" s="33" t="s">
        <v>142</v>
      </c>
      <c r="K967" s="8"/>
    </row>
    <row r="968" spans="1:11" x14ac:dyDescent="0.25">
      <c r="A968" t="s">
        <v>134</v>
      </c>
      <c r="B968" t="s">
        <v>1098</v>
      </c>
      <c r="C968" t="s">
        <v>144</v>
      </c>
      <c r="E968" t="s">
        <v>1105</v>
      </c>
      <c r="F968" t="s">
        <v>17</v>
      </c>
      <c r="G968">
        <v>1</v>
      </c>
      <c r="H968" s="8"/>
      <c r="I968" s="33"/>
      <c r="J968" t="s">
        <v>145</v>
      </c>
      <c r="K968" s="8"/>
    </row>
    <row r="969" spans="1:11" x14ac:dyDescent="0.25">
      <c r="A969" t="s">
        <v>134</v>
      </c>
      <c r="B969" t="s">
        <v>1098</v>
      </c>
      <c r="C969" t="s">
        <v>146</v>
      </c>
      <c r="E969" t="s">
        <v>1106</v>
      </c>
      <c r="F969" t="s">
        <v>17</v>
      </c>
      <c r="G969">
        <v>1</v>
      </c>
      <c r="I969" s="33"/>
      <c r="J969" t="s">
        <v>88</v>
      </c>
    </row>
    <row r="970" spans="1:11" x14ac:dyDescent="0.25">
      <c r="A970" t="s">
        <v>134</v>
      </c>
      <c r="B970" t="s">
        <v>1098</v>
      </c>
      <c r="C970" t="s">
        <v>147</v>
      </c>
      <c r="E970" t="s">
        <v>1107</v>
      </c>
      <c r="F970" t="s">
        <v>17</v>
      </c>
      <c r="G970">
        <v>1</v>
      </c>
      <c r="I970" s="33"/>
      <c r="J970" t="s">
        <v>148</v>
      </c>
    </row>
    <row r="971" spans="1:11" x14ac:dyDescent="0.25">
      <c r="A971" t="s">
        <v>134</v>
      </c>
      <c r="B971" t="s">
        <v>1098</v>
      </c>
      <c r="C971" t="s">
        <v>149</v>
      </c>
      <c r="E971" t="s">
        <v>1108</v>
      </c>
      <c r="F971" t="s">
        <v>17</v>
      </c>
      <c r="G971">
        <v>1</v>
      </c>
      <c r="I971" s="33"/>
      <c r="J971" t="s">
        <v>88</v>
      </c>
    </row>
    <row r="972" spans="1:11" x14ac:dyDescent="0.25">
      <c r="A972" t="s">
        <v>134</v>
      </c>
      <c r="B972" t="s">
        <v>1098</v>
      </c>
      <c r="C972" t="s">
        <v>150</v>
      </c>
      <c r="E972" t="s">
        <v>1109</v>
      </c>
      <c r="F972" t="s">
        <v>17</v>
      </c>
      <c r="G972" s="5">
        <v>0</v>
      </c>
      <c r="I972" s="33"/>
      <c r="J972" t="s">
        <v>70</v>
      </c>
    </row>
    <row r="973" spans="1:11" x14ac:dyDescent="0.25">
      <c r="A973" t="s">
        <v>134</v>
      </c>
      <c r="B973" t="s">
        <v>1098</v>
      </c>
      <c r="C973" s="32" t="s">
        <v>526</v>
      </c>
      <c r="E973" t="s">
        <v>1110</v>
      </c>
      <c r="F973" t="s">
        <v>17</v>
      </c>
      <c r="G973" s="5">
        <v>0</v>
      </c>
      <c r="I973" s="33"/>
      <c r="J973" t="s">
        <v>151</v>
      </c>
    </row>
    <row r="974" spans="1:11" x14ac:dyDescent="0.25">
      <c r="A974" t="s">
        <v>134</v>
      </c>
      <c r="B974" t="s">
        <v>1111</v>
      </c>
      <c r="C974" t="s">
        <v>135</v>
      </c>
      <c r="E974" t="s">
        <v>1112</v>
      </c>
      <c r="F974" s="32" t="s">
        <v>20</v>
      </c>
      <c r="G974" s="5">
        <v>0</v>
      </c>
      <c r="I974" s="33" t="s">
        <v>1113</v>
      </c>
    </row>
    <row r="975" spans="1:11" x14ac:dyDescent="0.25">
      <c r="A975" t="s">
        <v>134</v>
      </c>
      <c r="B975" t="s">
        <v>1111</v>
      </c>
      <c r="C975" t="s">
        <v>136</v>
      </c>
      <c r="E975" t="s">
        <v>1114</v>
      </c>
      <c r="F975" t="s">
        <v>20</v>
      </c>
      <c r="G975" s="5">
        <v>0</v>
      </c>
      <c r="I975" s="33" t="s">
        <v>1050</v>
      </c>
    </row>
    <row r="976" spans="1:11" x14ac:dyDescent="0.25">
      <c r="A976" t="s">
        <v>134</v>
      </c>
      <c r="B976" t="s">
        <v>1111</v>
      </c>
      <c r="C976" s="32" t="s">
        <v>137</v>
      </c>
      <c r="E976" t="s">
        <v>1115</v>
      </c>
      <c r="F976" s="32" t="s">
        <v>36</v>
      </c>
      <c r="G976" s="5">
        <v>0</v>
      </c>
      <c r="I976" s="33" t="s">
        <v>1052</v>
      </c>
      <c r="J976" t="s">
        <v>524</v>
      </c>
    </row>
    <row r="977" spans="1:11" x14ac:dyDescent="0.25">
      <c r="A977" t="s">
        <v>134</v>
      </c>
      <c r="B977" t="s">
        <v>1111</v>
      </c>
      <c r="C977" s="32" t="s">
        <v>525</v>
      </c>
      <c r="E977" t="s">
        <v>1116</v>
      </c>
      <c r="F977" s="32" t="s">
        <v>20</v>
      </c>
      <c r="G977">
        <v>1</v>
      </c>
      <c r="I977" s="33" t="s">
        <v>601</v>
      </c>
      <c r="K977" s="6"/>
    </row>
    <row r="978" spans="1:11" x14ac:dyDescent="0.25">
      <c r="A978" t="s">
        <v>134</v>
      </c>
      <c r="B978" t="s">
        <v>1111</v>
      </c>
      <c r="C978" t="s">
        <v>140</v>
      </c>
      <c r="E978" t="s">
        <v>1117</v>
      </c>
      <c r="F978" s="32" t="s">
        <v>20</v>
      </c>
      <c r="G978">
        <v>1</v>
      </c>
      <c r="H978" t="s">
        <v>141</v>
      </c>
      <c r="I978" s="33" t="s">
        <v>142</v>
      </c>
      <c r="K978" s="7"/>
    </row>
    <row r="979" spans="1:11" x14ac:dyDescent="0.25">
      <c r="A979" t="s">
        <v>134</v>
      </c>
      <c r="B979" t="s">
        <v>1111</v>
      </c>
      <c r="C979" t="s">
        <v>144</v>
      </c>
      <c r="E979" t="s">
        <v>1118</v>
      </c>
      <c r="F979" t="s">
        <v>17</v>
      </c>
      <c r="G979">
        <v>1</v>
      </c>
      <c r="H979" s="8"/>
      <c r="I979" s="33"/>
      <c r="J979" t="s">
        <v>145</v>
      </c>
      <c r="K979" s="9"/>
    </row>
    <row r="980" spans="1:11" x14ac:dyDescent="0.25">
      <c r="A980" t="s">
        <v>134</v>
      </c>
      <c r="B980" t="s">
        <v>1111</v>
      </c>
      <c r="C980" t="s">
        <v>146</v>
      </c>
      <c r="E980" t="s">
        <v>1119</v>
      </c>
      <c r="F980" t="s">
        <v>17</v>
      </c>
      <c r="G980">
        <v>1</v>
      </c>
      <c r="I980" s="33"/>
      <c r="J980" t="s">
        <v>88</v>
      </c>
    </row>
    <row r="981" spans="1:11" x14ac:dyDescent="0.25">
      <c r="A981" t="s">
        <v>134</v>
      </c>
      <c r="B981" t="s">
        <v>1111</v>
      </c>
      <c r="C981" t="s">
        <v>147</v>
      </c>
      <c r="E981" t="s">
        <v>1120</v>
      </c>
      <c r="F981" t="s">
        <v>17</v>
      </c>
      <c r="G981">
        <v>1</v>
      </c>
      <c r="I981" s="33"/>
      <c r="J981" t="s">
        <v>148</v>
      </c>
    </row>
    <row r="982" spans="1:11" x14ac:dyDescent="0.25">
      <c r="A982" t="s">
        <v>134</v>
      </c>
      <c r="B982" t="s">
        <v>1111</v>
      </c>
      <c r="C982" t="s">
        <v>149</v>
      </c>
      <c r="E982" t="s">
        <v>1121</v>
      </c>
      <c r="F982" t="s">
        <v>17</v>
      </c>
      <c r="G982" s="5">
        <v>0</v>
      </c>
      <c r="I982" s="33"/>
      <c r="J982" t="s">
        <v>88</v>
      </c>
    </row>
    <row r="983" spans="1:11" x14ac:dyDescent="0.25">
      <c r="A983" t="s">
        <v>134</v>
      </c>
      <c r="B983" t="s">
        <v>1111</v>
      </c>
      <c r="C983" t="s">
        <v>150</v>
      </c>
      <c r="E983" t="s">
        <v>1122</v>
      </c>
      <c r="F983" t="s">
        <v>17</v>
      </c>
      <c r="G983" s="5">
        <v>0</v>
      </c>
      <c r="I983" s="33"/>
      <c r="J983" t="s">
        <v>70</v>
      </c>
    </row>
    <row r="984" spans="1:11" x14ac:dyDescent="0.25">
      <c r="A984" t="s">
        <v>134</v>
      </c>
      <c r="B984" t="s">
        <v>1111</v>
      </c>
      <c r="C984" s="32" t="s">
        <v>526</v>
      </c>
      <c r="E984" t="s">
        <v>1123</v>
      </c>
      <c r="F984" t="s">
        <v>17</v>
      </c>
      <c r="G984" s="5">
        <v>0</v>
      </c>
      <c r="I984" s="33"/>
      <c r="J984" t="s">
        <v>151</v>
      </c>
    </row>
    <row r="985" spans="1:11" x14ac:dyDescent="0.25">
      <c r="A985" t="s">
        <v>134</v>
      </c>
      <c r="B985" t="s">
        <v>1124</v>
      </c>
      <c r="C985" t="s">
        <v>135</v>
      </c>
      <c r="E985" t="s">
        <v>1125</v>
      </c>
      <c r="F985" s="32" t="s">
        <v>20</v>
      </c>
      <c r="G985" s="5">
        <v>0</v>
      </c>
      <c r="I985" s="33" t="s">
        <v>1126</v>
      </c>
    </row>
    <row r="986" spans="1:11" x14ac:dyDescent="0.25">
      <c r="A986" t="s">
        <v>134</v>
      </c>
      <c r="B986" t="s">
        <v>1124</v>
      </c>
      <c r="C986" t="s">
        <v>136</v>
      </c>
      <c r="E986" t="s">
        <v>1127</v>
      </c>
      <c r="F986" t="s">
        <v>20</v>
      </c>
      <c r="G986" s="5">
        <v>0</v>
      </c>
      <c r="I986" s="33" t="s">
        <v>1050</v>
      </c>
    </row>
    <row r="987" spans="1:11" x14ac:dyDescent="0.25">
      <c r="A987" t="s">
        <v>134</v>
      </c>
      <c r="B987" t="s">
        <v>1124</v>
      </c>
      <c r="C987" s="32" t="s">
        <v>137</v>
      </c>
      <c r="E987" t="s">
        <v>1128</v>
      </c>
      <c r="F987" s="32" t="s">
        <v>36</v>
      </c>
      <c r="G987">
        <v>1</v>
      </c>
      <c r="I987" s="33" t="s">
        <v>1052</v>
      </c>
      <c r="J987" t="s">
        <v>524</v>
      </c>
    </row>
    <row r="988" spans="1:11" x14ac:dyDescent="0.25">
      <c r="A988" t="s">
        <v>134</v>
      </c>
      <c r="B988" t="s">
        <v>1124</v>
      </c>
      <c r="C988" s="32" t="s">
        <v>525</v>
      </c>
      <c r="E988" t="s">
        <v>1129</v>
      </c>
      <c r="F988" s="32" t="s">
        <v>20</v>
      </c>
      <c r="G988">
        <v>1</v>
      </c>
      <c r="I988" s="33" t="s">
        <v>614</v>
      </c>
      <c r="K988" s="6"/>
    </row>
    <row r="989" spans="1:11" x14ac:dyDescent="0.25">
      <c r="A989" t="s">
        <v>134</v>
      </c>
      <c r="B989" t="s">
        <v>1124</v>
      </c>
      <c r="C989" t="s">
        <v>140</v>
      </c>
      <c r="E989" t="s">
        <v>1130</v>
      </c>
      <c r="F989" s="32" t="s">
        <v>20</v>
      </c>
      <c r="G989">
        <v>1</v>
      </c>
      <c r="H989" t="s">
        <v>141</v>
      </c>
      <c r="I989" s="33" t="s">
        <v>142</v>
      </c>
      <c r="K989" s="7"/>
    </row>
    <row r="990" spans="1:11" x14ac:dyDescent="0.25">
      <c r="A990" t="s">
        <v>134</v>
      </c>
      <c r="B990" t="s">
        <v>1124</v>
      </c>
      <c r="C990" t="s">
        <v>144</v>
      </c>
      <c r="E990" t="s">
        <v>1131</v>
      </c>
      <c r="F990" t="s">
        <v>17</v>
      </c>
      <c r="G990">
        <v>1</v>
      </c>
      <c r="H990" s="8"/>
      <c r="I990" s="33"/>
      <c r="J990" t="s">
        <v>145</v>
      </c>
      <c r="K990" s="9"/>
    </row>
    <row r="991" spans="1:11" x14ac:dyDescent="0.25">
      <c r="A991" t="s">
        <v>134</v>
      </c>
      <c r="B991" t="s">
        <v>1124</v>
      </c>
      <c r="C991" t="s">
        <v>146</v>
      </c>
      <c r="E991" t="s">
        <v>1132</v>
      </c>
      <c r="F991" t="s">
        <v>17</v>
      </c>
      <c r="G991">
        <v>1</v>
      </c>
      <c r="I991" s="33"/>
      <c r="J991" t="s">
        <v>88</v>
      </c>
    </row>
    <row r="992" spans="1:11" x14ac:dyDescent="0.25">
      <c r="A992" t="s">
        <v>134</v>
      </c>
      <c r="B992" t="s">
        <v>1124</v>
      </c>
      <c r="C992" t="s">
        <v>147</v>
      </c>
      <c r="E992" t="s">
        <v>1133</v>
      </c>
      <c r="F992" t="s">
        <v>17</v>
      </c>
      <c r="G992" s="5">
        <v>0</v>
      </c>
      <c r="I992" s="33"/>
      <c r="J992" t="s">
        <v>148</v>
      </c>
    </row>
    <row r="993" spans="1:11" x14ac:dyDescent="0.25">
      <c r="A993" t="s">
        <v>134</v>
      </c>
      <c r="B993" t="s">
        <v>1124</v>
      </c>
      <c r="C993" t="s">
        <v>149</v>
      </c>
      <c r="E993" t="s">
        <v>1134</v>
      </c>
      <c r="F993" t="s">
        <v>17</v>
      </c>
      <c r="G993" s="5">
        <v>0</v>
      </c>
      <c r="I993" s="33"/>
      <c r="J993" t="s">
        <v>88</v>
      </c>
    </row>
    <row r="994" spans="1:11" x14ac:dyDescent="0.25">
      <c r="A994" t="s">
        <v>134</v>
      </c>
      <c r="B994" t="s">
        <v>1124</v>
      </c>
      <c r="C994" t="s">
        <v>150</v>
      </c>
      <c r="E994" t="s">
        <v>1135</v>
      </c>
      <c r="F994" t="s">
        <v>17</v>
      </c>
      <c r="G994" s="5">
        <v>0</v>
      </c>
      <c r="I994" s="33"/>
      <c r="J994" t="s">
        <v>70</v>
      </c>
    </row>
    <row r="995" spans="1:11" x14ac:dyDescent="0.25">
      <c r="A995" t="s">
        <v>134</v>
      </c>
      <c r="B995" t="s">
        <v>1124</v>
      </c>
      <c r="C995" s="32" t="s">
        <v>526</v>
      </c>
      <c r="E995" t="s">
        <v>1136</v>
      </c>
      <c r="F995" t="s">
        <v>17</v>
      </c>
      <c r="G995" s="5">
        <v>0</v>
      </c>
      <c r="I995" s="33"/>
      <c r="J995" t="s">
        <v>151</v>
      </c>
    </row>
    <row r="996" spans="1:11" x14ac:dyDescent="0.25">
      <c r="A996" t="s">
        <v>134</v>
      </c>
      <c r="B996" t="s">
        <v>1137</v>
      </c>
      <c r="C996" t="s">
        <v>135</v>
      </c>
      <c r="E996" t="s">
        <v>1138</v>
      </c>
      <c r="F996" s="32" t="s">
        <v>20</v>
      </c>
      <c r="G996" s="5">
        <v>0</v>
      </c>
      <c r="I996" s="33" t="s">
        <v>1139</v>
      </c>
    </row>
    <row r="997" spans="1:11" x14ac:dyDescent="0.25">
      <c r="A997" t="s">
        <v>134</v>
      </c>
      <c r="B997" t="s">
        <v>1137</v>
      </c>
      <c r="C997" t="s">
        <v>136</v>
      </c>
      <c r="E997" t="s">
        <v>1140</v>
      </c>
      <c r="F997" t="s">
        <v>20</v>
      </c>
      <c r="G997">
        <v>1</v>
      </c>
      <c r="I997" s="33" t="s">
        <v>1050</v>
      </c>
    </row>
    <row r="998" spans="1:11" x14ac:dyDescent="0.25">
      <c r="A998" t="s">
        <v>134</v>
      </c>
      <c r="B998" t="s">
        <v>1137</v>
      </c>
      <c r="C998" s="32" t="s">
        <v>137</v>
      </c>
      <c r="E998" t="s">
        <v>1141</v>
      </c>
      <c r="F998" s="32" t="s">
        <v>36</v>
      </c>
      <c r="G998">
        <v>1</v>
      </c>
      <c r="I998" s="33" t="s">
        <v>1142</v>
      </c>
      <c r="J998" t="s">
        <v>524</v>
      </c>
    </row>
    <row r="999" spans="1:11" x14ac:dyDescent="0.25">
      <c r="A999" t="s">
        <v>134</v>
      </c>
      <c r="B999" t="s">
        <v>1137</v>
      </c>
      <c r="C999" s="32" t="s">
        <v>525</v>
      </c>
      <c r="E999" t="s">
        <v>1143</v>
      </c>
      <c r="F999" s="32" t="s">
        <v>20</v>
      </c>
      <c r="G999">
        <v>1</v>
      </c>
      <c r="I999" s="33" t="s">
        <v>536</v>
      </c>
      <c r="K999" s="6"/>
    </row>
    <row r="1000" spans="1:11" x14ac:dyDescent="0.25">
      <c r="A1000" t="s">
        <v>134</v>
      </c>
      <c r="B1000" t="s">
        <v>1137</v>
      </c>
      <c r="C1000" t="s">
        <v>140</v>
      </c>
      <c r="E1000" t="s">
        <v>1144</v>
      </c>
      <c r="F1000" s="32" t="s">
        <v>20</v>
      </c>
      <c r="G1000">
        <v>1</v>
      </c>
      <c r="H1000" t="s">
        <v>141</v>
      </c>
      <c r="I1000" s="33" t="s">
        <v>142</v>
      </c>
      <c r="K1000" s="7"/>
    </row>
    <row r="1001" spans="1:11" x14ac:dyDescent="0.25">
      <c r="A1001" t="s">
        <v>134</v>
      </c>
      <c r="B1001" t="s">
        <v>1137</v>
      </c>
      <c r="C1001" t="s">
        <v>144</v>
      </c>
      <c r="E1001" t="s">
        <v>1145</v>
      </c>
      <c r="F1001" t="s">
        <v>17</v>
      </c>
      <c r="G1001">
        <v>1</v>
      </c>
      <c r="H1001" s="8"/>
      <c r="I1001" s="33"/>
      <c r="J1001" t="s">
        <v>145</v>
      </c>
      <c r="K1001" s="9"/>
    </row>
    <row r="1002" spans="1:11" x14ac:dyDescent="0.25">
      <c r="A1002" t="s">
        <v>134</v>
      </c>
      <c r="B1002" t="s">
        <v>1137</v>
      </c>
      <c r="C1002" t="s">
        <v>146</v>
      </c>
      <c r="E1002" t="s">
        <v>1146</v>
      </c>
      <c r="F1002" t="s">
        <v>17</v>
      </c>
      <c r="G1002" s="5">
        <v>0</v>
      </c>
      <c r="H1002" s="8"/>
      <c r="I1002" s="33"/>
      <c r="J1002" t="s">
        <v>88</v>
      </c>
      <c r="K1002" s="8"/>
    </row>
    <row r="1003" spans="1:11" x14ac:dyDescent="0.25">
      <c r="A1003" t="s">
        <v>134</v>
      </c>
      <c r="B1003" t="s">
        <v>1137</v>
      </c>
      <c r="C1003" t="s">
        <v>147</v>
      </c>
      <c r="E1003" t="s">
        <v>1147</v>
      </c>
      <c r="F1003" t="s">
        <v>17</v>
      </c>
      <c r="G1003" s="5">
        <v>0</v>
      </c>
      <c r="H1003" s="8"/>
      <c r="I1003" s="33"/>
      <c r="J1003" t="s">
        <v>148</v>
      </c>
      <c r="K1003" s="8"/>
    </row>
    <row r="1004" spans="1:11" x14ac:dyDescent="0.25">
      <c r="A1004" t="s">
        <v>134</v>
      </c>
      <c r="B1004" t="s">
        <v>1137</v>
      </c>
      <c r="C1004" t="s">
        <v>149</v>
      </c>
      <c r="E1004" t="s">
        <v>1148</v>
      </c>
      <c r="F1004" t="s">
        <v>17</v>
      </c>
      <c r="G1004" s="5">
        <v>0</v>
      </c>
      <c r="H1004" s="8"/>
      <c r="I1004" s="33"/>
      <c r="J1004" t="s">
        <v>88</v>
      </c>
      <c r="K1004" s="8"/>
    </row>
    <row r="1005" spans="1:11" x14ac:dyDescent="0.25">
      <c r="A1005" t="s">
        <v>134</v>
      </c>
      <c r="B1005" t="s">
        <v>1137</v>
      </c>
      <c r="C1005" t="s">
        <v>150</v>
      </c>
      <c r="E1005" t="s">
        <v>1149</v>
      </c>
      <c r="F1005" t="s">
        <v>17</v>
      </c>
      <c r="G1005" s="5">
        <v>0</v>
      </c>
      <c r="H1005" s="8"/>
      <c r="I1005" s="33"/>
      <c r="J1005" t="s">
        <v>70</v>
      </c>
      <c r="K1005" s="8"/>
    </row>
    <row r="1006" spans="1:11" x14ac:dyDescent="0.25">
      <c r="A1006" t="s">
        <v>134</v>
      </c>
      <c r="B1006" t="s">
        <v>1137</v>
      </c>
      <c r="C1006" s="32" t="s">
        <v>526</v>
      </c>
      <c r="E1006" t="s">
        <v>1150</v>
      </c>
      <c r="F1006" t="s">
        <v>17</v>
      </c>
      <c r="G1006" s="5">
        <v>0</v>
      </c>
      <c r="H1006" s="8"/>
      <c r="I1006" s="33"/>
      <c r="J1006" t="s">
        <v>151</v>
      </c>
      <c r="K1006" s="8"/>
    </row>
    <row r="1007" spans="1:11" x14ac:dyDescent="0.25">
      <c r="A1007" t="s">
        <v>134</v>
      </c>
      <c r="B1007" t="s">
        <v>1151</v>
      </c>
      <c r="C1007" t="s">
        <v>135</v>
      </c>
      <c r="E1007" t="s">
        <v>1152</v>
      </c>
      <c r="F1007" s="32" t="s">
        <v>20</v>
      </c>
      <c r="G1007">
        <v>1</v>
      </c>
      <c r="H1007" s="8"/>
      <c r="I1007" s="33" t="s">
        <v>1153</v>
      </c>
      <c r="K1007" s="8"/>
    </row>
    <row r="1008" spans="1:11" x14ac:dyDescent="0.25">
      <c r="A1008" t="s">
        <v>134</v>
      </c>
      <c r="B1008" t="s">
        <v>1151</v>
      </c>
      <c r="C1008" t="s">
        <v>136</v>
      </c>
      <c r="E1008" t="s">
        <v>1154</v>
      </c>
      <c r="F1008" t="s">
        <v>20</v>
      </c>
      <c r="G1008">
        <v>1</v>
      </c>
      <c r="H1008" s="8"/>
      <c r="I1008" s="33" t="s">
        <v>1050</v>
      </c>
      <c r="K1008" s="8"/>
    </row>
    <row r="1009" spans="1:11" x14ac:dyDescent="0.25">
      <c r="A1009" t="s">
        <v>134</v>
      </c>
      <c r="B1009" t="s">
        <v>1151</v>
      </c>
      <c r="C1009" s="32" t="s">
        <v>137</v>
      </c>
      <c r="E1009" t="s">
        <v>1155</v>
      </c>
      <c r="F1009" s="32" t="s">
        <v>36</v>
      </c>
      <c r="G1009">
        <v>1</v>
      </c>
      <c r="H1009" s="8"/>
      <c r="I1009" s="33" t="s">
        <v>1142</v>
      </c>
      <c r="J1009" t="s">
        <v>524</v>
      </c>
      <c r="K1009" s="8"/>
    </row>
    <row r="1010" spans="1:11" x14ac:dyDescent="0.25">
      <c r="A1010" t="s">
        <v>134</v>
      </c>
      <c r="B1010" t="s">
        <v>1151</v>
      </c>
      <c r="C1010" s="32" t="s">
        <v>525</v>
      </c>
      <c r="E1010" t="s">
        <v>1156</v>
      </c>
      <c r="F1010" s="32" t="s">
        <v>20</v>
      </c>
      <c r="G1010">
        <v>1</v>
      </c>
      <c r="H1010" s="8"/>
      <c r="I1010" s="33" t="s">
        <v>549</v>
      </c>
      <c r="K1010" s="8"/>
    </row>
    <row r="1011" spans="1:11" x14ac:dyDescent="0.25">
      <c r="A1011" t="s">
        <v>134</v>
      </c>
      <c r="B1011" t="s">
        <v>1151</v>
      </c>
      <c r="C1011" t="s">
        <v>140</v>
      </c>
      <c r="E1011" t="s">
        <v>1157</v>
      </c>
      <c r="F1011" s="32" t="s">
        <v>20</v>
      </c>
      <c r="G1011">
        <v>1</v>
      </c>
      <c r="H1011" t="s">
        <v>141</v>
      </c>
      <c r="I1011" s="33" t="s">
        <v>142</v>
      </c>
      <c r="K1011" s="8"/>
    </row>
    <row r="1012" spans="1:11" x14ac:dyDescent="0.25">
      <c r="A1012" t="s">
        <v>134</v>
      </c>
      <c r="B1012" t="s">
        <v>1151</v>
      </c>
      <c r="C1012" t="s">
        <v>144</v>
      </c>
      <c r="E1012" t="s">
        <v>1158</v>
      </c>
      <c r="F1012" t="s">
        <v>17</v>
      </c>
      <c r="G1012" s="5">
        <v>1</v>
      </c>
      <c r="H1012" s="8"/>
      <c r="I1012" s="33"/>
      <c r="J1012" t="s">
        <v>145</v>
      </c>
      <c r="K1012" s="8"/>
    </row>
    <row r="1013" spans="1:11" x14ac:dyDescent="0.25">
      <c r="A1013" t="s">
        <v>134</v>
      </c>
      <c r="B1013" t="s">
        <v>1151</v>
      </c>
      <c r="C1013" t="s">
        <v>146</v>
      </c>
      <c r="E1013" t="s">
        <v>1159</v>
      </c>
      <c r="F1013" t="s">
        <v>17</v>
      </c>
      <c r="G1013" s="5">
        <v>1</v>
      </c>
      <c r="H1013" s="8"/>
      <c r="I1013" s="33"/>
      <c r="J1013" t="s">
        <v>88</v>
      </c>
      <c r="K1013" s="8"/>
    </row>
    <row r="1014" spans="1:11" x14ac:dyDescent="0.25">
      <c r="A1014" t="s">
        <v>134</v>
      </c>
      <c r="B1014" t="s">
        <v>1151</v>
      </c>
      <c r="C1014" t="s">
        <v>147</v>
      </c>
      <c r="E1014" t="s">
        <v>1160</v>
      </c>
      <c r="F1014" t="s">
        <v>17</v>
      </c>
      <c r="G1014" s="5">
        <v>1</v>
      </c>
      <c r="H1014" s="8"/>
      <c r="I1014" s="33"/>
      <c r="J1014" t="s">
        <v>148</v>
      </c>
      <c r="K1014" s="8"/>
    </row>
    <row r="1015" spans="1:11" x14ac:dyDescent="0.25">
      <c r="A1015" t="s">
        <v>134</v>
      </c>
      <c r="B1015" t="s">
        <v>1151</v>
      </c>
      <c r="C1015" t="s">
        <v>149</v>
      </c>
      <c r="E1015" t="s">
        <v>1161</v>
      </c>
      <c r="F1015" t="s">
        <v>17</v>
      </c>
      <c r="G1015" s="5">
        <v>0</v>
      </c>
      <c r="H1015" s="8"/>
      <c r="I1015" s="33"/>
      <c r="J1015" t="s">
        <v>88</v>
      </c>
      <c r="K1015" s="8"/>
    </row>
    <row r="1016" spans="1:11" x14ac:dyDescent="0.25">
      <c r="A1016" t="s">
        <v>134</v>
      </c>
      <c r="B1016" t="s">
        <v>1151</v>
      </c>
      <c r="C1016" t="s">
        <v>150</v>
      </c>
      <c r="E1016" t="s">
        <v>1162</v>
      </c>
      <c r="F1016" t="s">
        <v>17</v>
      </c>
      <c r="G1016" s="5">
        <v>0</v>
      </c>
      <c r="H1016" s="8"/>
      <c r="I1016" s="33"/>
      <c r="J1016" t="s">
        <v>70</v>
      </c>
      <c r="K1016" s="8"/>
    </row>
    <row r="1017" spans="1:11" x14ac:dyDescent="0.25">
      <c r="A1017" t="s">
        <v>134</v>
      </c>
      <c r="B1017" t="s">
        <v>1151</v>
      </c>
      <c r="C1017" s="32" t="s">
        <v>526</v>
      </c>
      <c r="E1017" t="s">
        <v>1163</v>
      </c>
      <c r="F1017" t="s">
        <v>17</v>
      </c>
      <c r="G1017">
        <v>1</v>
      </c>
      <c r="H1017" s="8"/>
      <c r="I1017" s="33"/>
      <c r="J1017" t="s">
        <v>151</v>
      </c>
      <c r="K1017" s="8"/>
    </row>
    <row r="1018" spans="1:11" x14ac:dyDescent="0.25">
      <c r="A1018" t="s">
        <v>134</v>
      </c>
      <c r="B1018" t="s">
        <v>1164</v>
      </c>
      <c r="C1018" t="s">
        <v>135</v>
      </c>
      <c r="E1018" t="s">
        <v>1165</v>
      </c>
      <c r="F1018" s="32" t="s">
        <v>20</v>
      </c>
      <c r="G1018">
        <v>1</v>
      </c>
      <c r="H1018" s="8"/>
      <c r="I1018" s="33" t="s">
        <v>1166</v>
      </c>
      <c r="K1018" s="8"/>
    </row>
    <row r="1019" spans="1:11" x14ac:dyDescent="0.25">
      <c r="A1019" t="s">
        <v>134</v>
      </c>
      <c r="B1019" t="s">
        <v>1164</v>
      </c>
      <c r="C1019" t="s">
        <v>136</v>
      </c>
      <c r="E1019" t="s">
        <v>1167</v>
      </c>
      <c r="F1019" t="s">
        <v>20</v>
      </c>
      <c r="G1019">
        <v>1</v>
      </c>
      <c r="H1019" s="8"/>
      <c r="I1019" s="33" t="s">
        <v>1050</v>
      </c>
      <c r="K1019" s="8"/>
    </row>
    <row r="1020" spans="1:11" x14ac:dyDescent="0.25">
      <c r="A1020" t="s">
        <v>134</v>
      </c>
      <c r="B1020" t="s">
        <v>1164</v>
      </c>
      <c r="C1020" s="32" t="s">
        <v>137</v>
      </c>
      <c r="E1020" t="s">
        <v>1168</v>
      </c>
      <c r="F1020" s="32" t="s">
        <v>36</v>
      </c>
      <c r="G1020">
        <v>1</v>
      </c>
      <c r="H1020" s="8"/>
      <c r="I1020" s="33" t="s">
        <v>1142</v>
      </c>
      <c r="J1020" t="s">
        <v>524</v>
      </c>
      <c r="K1020" s="8"/>
    </row>
    <row r="1021" spans="1:11" x14ac:dyDescent="0.25">
      <c r="A1021" t="s">
        <v>134</v>
      </c>
      <c r="B1021" t="s">
        <v>1164</v>
      </c>
      <c r="C1021" s="32" t="s">
        <v>525</v>
      </c>
      <c r="E1021" t="s">
        <v>1169</v>
      </c>
      <c r="F1021" s="32" t="s">
        <v>20</v>
      </c>
      <c r="G1021">
        <v>1</v>
      </c>
      <c r="H1021" s="8"/>
      <c r="I1021" s="33" t="s">
        <v>562</v>
      </c>
      <c r="K1021" s="8"/>
    </row>
    <row r="1022" spans="1:11" x14ac:dyDescent="0.25">
      <c r="A1022" t="s">
        <v>134</v>
      </c>
      <c r="B1022" t="s">
        <v>1164</v>
      </c>
      <c r="C1022" t="s">
        <v>140</v>
      </c>
      <c r="E1022" t="s">
        <v>1170</v>
      </c>
      <c r="F1022" s="32" t="s">
        <v>20</v>
      </c>
      <c r="G1022" s="5">
        <v>0</v>
      </c>
      <c r="H1022" t="s">
        <v>141</v>
      </c>
      <c r="I1022" s="33" t="s">
        <v>142</v>
      </c>
      <c r="K1022" s="8"/>
    </row>
    <row r="1023" spans="1:11" x14ac:dyDescent="0.25">
      <c r="A1023" t="s">
        <v>134</v>
      </c>
      <c r="B1023" t="s">
        <v>1164</v>
      </c>
      <c r="C1023" t="s">
        <v>144</v>
      </c>
      <c r="E1023" t="s">
        <v>1171</v>
      </c>
      <c r="F1023" t="s">
        <v>17</v>
      </c>
      <c r="G1023" s="5">
        <v>0</v>
      </c>
      <c r="H1023" s="8"/>
      <c r="I1023" s="33"/>
      <c r="J1023" t="s">
        <v>145</v>
      </c>
      <c r="K1023" s="8"/>
    </row>
    <row r="1024" spans="1:11" x14ac:dyDescent="0.25">
      <c r="A1024" t="s">
        <v>134</v>
      </c>
      <c r="B1024" t="s">
        <v>1164</v>
      </c>
      <c r="C1024" t="s">
        <v>146</v>
      </c>
      <c r="E1024" t="s">
        <v>1172</v>
      </c>
      <c r="F1024" t="s">
        <v>17</v>
      </c>
      <c r="G1024" s="5">
        <v>0</v>
      </c>
      <c r="H1024" s="8"/>
      <c r="I1024" s="33"/>
      <c r="J1024" t="s">
        <v>88</v>
      </c>
      <c r="K1024" s="8"/>
    </row>
    <row r="1025" spans="1:11" x14ac:dyDescent="0.25">
      <c r="A1025" t="s">
        <v>134</v>
      </c>
      <c r="B1025" t="s">
        <v>1164</v>
      </c>
      <c r="C1025" t="s">
        <v>147</v>
      </c>
      <c r="E1025" t="s">
        <v>1173</v>
      </c>
      <c r="F1025" t="s">
        <v>17</v>
      </c>
      <c r="G1025" s="5">
        <v>0</v>
      </c>
      <c r="H1025" s="8"/>
      <c r="I1025" s="33"/>
      <c r="J1025" t="s">
        <v>148</v>
      </c>
      <c r="K1025" s="8"/>
    </row>
    <row r="1026" spans="1:11" x14ac:dyDescent="0.25">
      <c r="A1026" t="s">
        <v>134</v>
      </c>
      <c r="B1026" t="s">
        <v>1164</v>
      </c>
      <c r="C1026" t="s">
        <v>149</v>
      </c>
      <c r="E1026" t="s">
        <v>1174</v>
      </c>
      <c r="F1026" t="s">
        <v>17</v>
      </c>
      <c r="G1026" s="5">
        <v>0</v>
      </c>
      <c r="H1026" s="8"/>
      <c r="I1026" s="33"/>
      <c r="J1026" t="s">
        <v>88</v>
      </c>
      <c r="K1026" s="8"/>
    </row>
    <row r="1027" spans="1:11" x14ac:dyDescent="0.25">
      <c r="A1027" t="s">
        <v>134</v>
      </c>
      <c r="B1027" t="s">
        <v>1164</v>
      </c>
      <c r="C1027" t="s">
        <v>150</v>
      </c>
      <c r="E1027" t="s">
        <v>1175</v>
      </c>
      <c r="F1027" t="s">
        <v>17</v>
      </c>
      <c r="G1027">
        <v>1</v>
      </c>
      <c r="H1027" s="8"/>
      <c r="I1027" s="33"/>
      <c r="J1027" t="s">
        <v>70</v>
      </c>
      <c r="K1027" s="8"/>
    </row>
    <row r="1028" spans="1:11" x14ac:dyDescent="0.25">
      <c r="A1028" t="s">
        <v>134</v>
      </c>
      <c r="B1028" t="s">
        <v>1164</v>
      </c>
      <c r="C1028" s="32" t="s">
        <v>526</v>
      </c>
      <c r="E1028" t="s">
        <v>1176</v>
      </c>
      <c r="F1028" t="s">
        <v>17</v>
      </c>
      <c r="G1028">
        <v>1</v>
      </c>
      <c r="H1028" s="8"/>
      <c r="I1028" s="33"/>
      <c r="J1028" t="s">
        <v>151</v>
      </c>
      <c r="K1028" s="8"/>
    </row>
    <row r="1029" spans="1:11" x14ac:dyDescent="0.25">
      <c r="A1029" t="s">
        <v>134</v>
      </c>
      <c r="B1029" t="s">
        <v>1177</v>
      </c>
      <c r="C1029" t="s">
        <v>135</v>
      </c>
      <c r="E1029" t="s">
        <v>1178</v>
      </c>
      <c r="F1029" s="32" t="s">
        <v>20</v>
      </c>
      <c r="G1029">
        <v>1</v>
      </c>
      <c r="H1029" s="8"/>
      <c r="I1029" s="33" t="s">
        <v>1179</v>
      </c>
      <c r="K1029" s="8"/>
    </row>
    <row r="1030" spans="1:11" x14ac:dyDescent="0.25">
      <c r="A1030" t="s">
        <v>134</v>
      </c>
      <c r="B1030" t="s">
        <v>1177</v>
      </c>
      <c r="C1030" t="s">
        <v>136</v>
      </c>
      <c r="E1030" t="s">
        <v>1180</v>
      </c>
      <c r="F1030" t="s">
        <v>20</v>
      </c>
      <c r="G1030">
        <v>1</v>
      </c>
      <c r="H1030" s="8"/>
      <c r="I1030" s="33" t="s">
        <v>1050</v>
      </c>
      <c r="K1030" s="8"/>
    </row>
    <row r="1031" spans="1:11" x14ac:dyDescent="0.25">
      <c r="A1031" t="s">
        <v>134</v>
      </c>
      <c r="B1031" t="s">
        <v>1177</v>
      </c>
      <c r="C1031" s="32" t="s">
        <v>137</v>
      </c>
      <c r="E1031" t="s">
        <v>1181</v>
      </c>
      <c r="F1031" s="32" t="s">
        <v>36</v>
      </c>
      <c r="G1031">
        <v>1</v>
      </c>
      <c r="H1031" s="8"/>
      <c r="I1031" s="33" t="s">
        <v>1142</v>
      </c>
      <c r="J1031" t="s">
        <v>524</v>
      </c>
      <c r="K1031" s="8"/>
    </row>
    <row r="1032" spans="1:11" x14ac:dyDescent="0.25">
      <c r="A1032" t="s">
        <v>134</v>
      </c>
      <c r="B1032" t="s">
        <v>1177</v>
      </c>
      <c r="C1032" s="32" t="s">
        <v>525</v>
      </c>
      <c r="E1032" t="s">
        <v>1182</v>
      </c>
      <c r="F1032" s="32" t="s">
        <v>20</v>
      </c>
      <c r="G1032" s="5">
        <v>0</v>
      </c>
      <c r="H1032" s="8"/>
      <c r="I1032" s="33" t="s">
        <v>575</v>
      </c>
      <c r="K1032" s="8"/>
    </row>
    <row r="1033" spans="1:11" x14ac:dyDescent="0.25">
      <c r="A1033" t="s">
        <v>134</v>
      </c>
      <c r="B1033" t="s">
        <v>1177</v>
      </c>
      <c r="C1033" t="s">
        <v>140</v>
      </c>
      <c r="E1033" t="s">
        <v>1183</v>
      </c>
      <c r="F1033" s="32" t="s">
        <v>20</v>
      </c>
      <c r="G1033" s="5">
        <v>0</v>
      </c>
      <c r="H1033" t="s">
        <v>141</v>
      </c>
      <c r="I1033" s="33" t="s">
        <v>142</v>
      </c>
      <c r="K1033" s="8"/>
    </row>
    <row r="1034" spans="1:11" x14ac:dyDescent="0.25">
      <c r="A1034" t="s">
        <v>134</v>
      </c>
      <c r="B1034" t="s">
        <v>1177</v>
      </c>
      <c r="C1034" t="s">
        <v>144</v>
      </c>
      <c r="E1034" t="s">
        <v>1184</v>
      </c>
      <c r="F1034" t="s">
        <v>17</v>
      </c>
      <c r="G1034" s="5">
        <v>0</v>
      </c>
      <c r="H1034" s="8"/>
      <c r="I1034" s="33"/>
      <c r="J1034" t="s">
        <v>145</v>
      </c>
      <c r="K1034" s="8"/>
    </row>
    <row r="1035" spans="1:11" x14ac:dyDescent="0.25">
      <c r="A1035" t="s">
        <v>134</v>
      </c>
      <c r="B1035" t="s">
        <v>1177</v>
      </c>
      <c r="C1035" t="s">
        <v>146</v>
      </c>
      <c r="E1035" t="s">
        <v>1185</v>
      </c>
      <c r="F1035" t="s">
        <v>17</v>
      </c>
      <c r="G1035" s="5">
        <v>0</v>
      </c>
      <c r="H1035" s="8"/>
      <c r="I1035" s="33"/>
      <c r="J1035" t="s">
        <v>88</v>
      </c>
      <c r="K1035" s="8"/>
    </row>
    <row r="1036" spans="1:11" x14ac:dyDescent="0.25">
      <c r="A1036" t="s">
        <v>134</v>
      </c>
      <c r="B1036" t="s">
        <v>1177</v>
      </c>
      <c r="C1036" t="s">
        <v>147</v>
      </c>
      <c r="E1036" t="s">
        <v>1186</v>
      </c>
      <c r="F1036" t="s">
        <v>17</v>
      </c>
      <c r="G1036" s="5">
        <v>0</v>
      </c>
      <c r="H1036" s="8"/>
      <c r="I1036" s="33"/>
      <c r="J1036" t="s">
        <v>148</v>
      </c>
      <c r="K1036" s="8"/>
    </row>
    <row r="1037" spans="1:11" x14ac:dyDescent="0.25">
      <c r="A1037" t="s">
        <v>134</v>
      </c>
      <c r="B1037" t="s">
        <v>1177</v>
      </c>
      <c r="C1037" t="s">
        <v>149</v>
      </c>
      <c r="E1037" t="s">
        <v>1187</v>
      </c>
      <c r="F1037" t="s">
        <v>17</v>
      </c>
      <c r="G1037">
        <v>1</v>
      </c>
      <c r="H1037" s="8"/>
      <c r="I1037" s="33"/>
      <c r="J1037" t="s">
        <v>88</v>
      </c>
      <c r="K1037" s="8"/>
    </row>
    <row r="1038" spans="1:11" x14ac:dyDescent="0.25">
      <c r="A1038" t="s">
        <v>134</v>
      </c>
      <c r="B1038" t="s">
        <v>1177</v>
      </c>
      <c r="C1038" t="s">
        <v>150</v>
      </c>
      <c r="E1038" t="s">
        <v>1188</v>
      </c>
      <c r="F1038" t="s">
        <v>17</v>
      </c>
      <c r="G1038">
        <v>1</v>
      </c>
      <c r="H1038" s="8"/>
      <c r="I1038" s="33"/>
      <c r="J1038" t="s">
        <v>70</v>
      </c>
      <c r="K1038" s="8"/>
    </row>
    <row r="1039" spans="1:11" x14ac:dyDescent="0.25">
      <c r="A1039" t="s">
        <v>134</v>
      </c>
      <c r="B1039" t="s">
        <v>1177</v>
      </c>
      <c r="C1039" s="32" t="s">
        <v>526</v>
      </c>
      <c r="E1039" t="s">
        <v>1189</v>
      </c>
      <c r="F1039" t="s">
        <v>17</v>
      </c>
      <c r="G1039">
        <v>1</v>
      </c>
      <c r="H1039" s="8"/>
      <c r="I1039" s="33"/>
      <c r="J1039" t="s">
        <v>151</v>
      </c>
      <c r="K1039" s="8"/>
    </row>
    <row r="1040" spans="1:11" x14ac:dyDescent="0.25">
      <c r="A1040" t="s">
        <v>134</v>
      </c>
      <c r="B1040" t="s">
        <v>1190</v>
      </c>
      <c r="C1040" t="s">
        <v>135</v>
      </c>
      <c r="E1040" t="s">
        <v>1191</v>
      </c>
      <c r="F1040" s="32" t="s">
        <v>20</v>
      </c>
      <c r="G1040">
        <v>1</v>
      </c>
      <c r="H1040" s="8"/>
      <c r="I1040" s="33" t="s">
        <v>1192</v>
      </c>
      <c r="K1040" s="8"/>
    </row>
    <row r="1041" spans="1:11" x14ac:dyDescent="0.25">
      <c r="A1041" t="s">
        <v>134</v>
      </c>
      <c r="B1041" t="s">
        <v>1190</v>
      </c>
      <c r="C1041" t="s">
        <v>136</v>
      </c>
      <c r="E1041" t="s">
        <v>1193</v>
      </c>
      <c r="F1041" t="s">
        <v>20</v>
      </c>
      <c r="G1041">
        <v>1</v>
      </c>
      <c r="H1041" s="8"/>
      <c r="I1041" s="33" t="s">
        <v>1050</v>
      </c>
      <c r="K1041" s="8"/>
    </row>
    <row r="1042" spans="1:11" x14ac:dyDescent="0.25">
      <c r="A1042" t="s">
        <v>134</v>
      </c>
      <c r="B1042" t="s">
        <v>1190</v>
      </c>
      <c r="C1042" s="32" t="s">
        <v>137</v>
      </c>
      <c r="E1042" t="s">
        <v>1194</v>
      </c>
      <c r="F1042" s="32" t="s">
        <v>36</v>
      </c>
      <c r="G1042" s="5">
        <v>0</v>
      </c>
      <c r="H1042" s="8"/>
      <c r="I1042" s="33" t="s">
        <v>1142</v>
      </c>
      <c r="J1042" t="s">
        <v>524</v>
      </c>
      <c r="K1042" s="8"/>
    </row>
    <row r="1043" spans="1:11" x14ac:dyDescent="0.25">
      <c r="A1043" t="s">
        <v>134</v>
      </c>
      <c r="B1043" t="s">
        <v>1190</v>
      </c>
      <c r="C1043" s="32" t="s">
        <v>525</v>
      </c>
      <c r="E1043" t="s">
        <v>1195</v>
      </c>
      <c r="F1043" s="32" t="s">
        <v>20</v>
      </c>
      <c r="G1043" s="5">
        <v>0</v>
      </c>
      <c r="H1043" s="8"/>
      <c r="I1043" s="33" t="s">
        <v>588</v>
      </c>
      <c r="K1043" s="8"/>
    </row>
    <row r="1044" spans="1:11" x14ac:dyDescent="0.25">
      <c r="A1044" t="s">
        <v>134</v>
      </c>
      <c r="B1044" t="s">
        <v>1190</v>
      </c>
      <c r="C1044" t="s">
        <v>140</v>
      </c>
      <c r="E1044" t="s">
        <v>1196</v>
      </c>
      <c r="F1044" s="32" t="s">
        <v>20</v>
      </c>
      <c r="G1044" s="5">
        <v>0</v>
      </c>
      <c r="H1044" t="s">
        <v>141</v>
      </c>
      <c r="I1044" s="33" t="s">
        <v>142</v>
      </c>
      <c r="K1044" s="8"/>
    </row>
    <row r="1045" spans="1:11" x14ac:dyDescent="0.25">
      <c r="A1045" t="s">
        <v>134</v>
      </c>
      <c r="B1045" t="s">
        <v>1190</v>
      </c>
      <c r="C1045" t="s">
        <v>144</v>
      </c>
      <c r="E1045" t="s">
        <v>1197</v>
      </c>
      <c r="F1045" t="s">
        <v>17</v>
      </c>
      <c r="G1045" s="5">
        <v>0</v>
      </c>
      <c r="H1045" s="8"/>
      <c r="I1045" s="33"/>
      <c r="J1045" t="s">
        <v>145</v>
      </c>
      <c r="K1045" s="8"/>
    </row>
    <row r="1046" spans="1:11" x14ac:dyDescent="0.25">
      <c r="A1046" t="s">
        <v>134</v>
      </c>
      <c r="B1046" t="s">
        <v>1190</v>
      </c>
      <c r="C1046" t="s">
        <v>146</v>
      </c>
      <c r="E1046" t="s">
        <v>1198</v>
      </c>
      <c r="F1046" t="s">
        <v>17</v>
      </c>
      <c r="G1046" s="5">
        <v>0</v>
      </c>
      <c r="H1046" s="8"/>
      <c r="I1046" s="33"/>
      <c r="J1046" t="s">
        <v>88</v>
      </c>
      <c r="K1046" s="8"/>
    </row>
    <row r="1047" spans="1:11" x14ac:dyDescent="0.25">
      <c r="A1047" t="s">
        <v>134</v>
      </c>
      <c r="B1047" t="s">
        <v>1190</v>
      </c>
      <c r="C1047" t="s">
        <v>147</v>
      </c>
      <c r="E1047" t="s">
        <v>1199</v>
      </c>
      <c r="F1047" t="s">
        <v>17</v>
      </c>
      <c r="G1047">
        <v>1</v>
      </c>
      <c r="H1047" s="8"/>
      <c r="I1047" s="33"/>
      <c r="J1047" t="s">
        <v>148</v>
      </c>
      <c r="K1047" s="8"/>
    </row>
    <row r="1048" spans="1:11" x14ac:dyDescent="0.25">
      <c r="A1048" t="s">
        <v>134</v>
      </c>
      <c r="B1048" t="s">
        <v>1190</v>
      </c>
      <c r="C1048" t="s">
        <v>149</v>
      </c>
      <c r="E1048" t="s">
        <v>1200</v>
      </c>
      <c r="F1048" t="s">
        <v>17</v>
      </c>
      <c r="G1048">
        <v>1</v>
      </c>
      <c r="H1048" s="8"/>
      <c r="I1048" s="33"/>
      <c r="J1048" t="s">
        <v>88</v>
      </c>
      <c r="K1048" s="8"/>
    </row>
    <row r="1049" spans="1:11" x14ac:dyDescent="0.25">
      <c r="A1049" t="s">
        <v>134</v>
      </c>
      <c r="B1049" t="s">
        <v>1190</v>
      </c>
      <c r="C1049" t="s">
        <v>150</v>
      </c>
      <c r="E1049" t="s">
        <v>1201</v>
      </c>
      <c r="F1049" t="s">
        <v>17</v>
      </c>
      <c r="G1049">
        <v>1</v>
      </c>
      <c r="H1049" s="8"/>
      <c r="I1049" s="33"/>
      <c r="J1049" t="s">
        <v>70</v>
      </c>
      <c r="K1049" s="8"/>
    </row>
    <row r="1050" spans="1:11" x14ac:dyDescent="0.25">
      <c r="A1050" t="s">
        <v>134</v>
      </c>
      <c r="B1050" t="s">
        <v>1190</v>
      </c>
      <c r="C1050" s="32" t="s">
        <v>526</v>
      </c>
      <c r="E1050" t="s">
        <v>1202</v>
      </c>
      <c r="F1050" t="s">
        <v>17</v>
      </c>
      <c r="G1050">
        <v>1</v>
      </c>
      <c r="H1050" s="8"/>
      <c r="I1050" s="33"/>
      <c r="J1050" t="s">
        <v>151</v>
      </c>
      <c r="K1050" s="8"/>
    </row>
    <row r="1051" spans="1:11" x14ac:dyDescent="0.25">
      <c r="A1051" t="s">
        <v>134</v>
      </c>
      <c r="B1051" t="s">
        <v>1203</v>
      </c>
      <c r="C1051" t="s">
        <v>135</v>
      </c>
      <c r="E1051" t="s">
        <v>1204</v>
      </c>
      <c r="F1051" s="32" t="s">
        <v>20</v>
      </c>
      <c r="G1051">
        <v>1</v>
      </c>
      <c r="H1051" s="8"/>
      <c r="I1051" s="33" t="s">
        <v>1205</v>
      </c>
      <c r="K1051" s="8"/>
    </row>
    <row r="1052" spans="1:11" x14ac:dyDescent="0.25">
      <c r="A1052" t="s">
        <v>134</v>
      </c>
      <c r="B1052" t="s">
        <v>1203</v>
      </c>
      <c r="C1052" t="s">
        <v>136</v>
      </c>
      <c r="E1052" t="s">
        <v>1206</v>
      </c>
      <c r="F1052" t="s">
        <v>20</v>
      </c>
      <c r="G1052" s="5">
        <v>0</v>
      </c>
      <c r="H1052" s="8"/>
      <c r="I1052" s="33" t="s">
        <v>1050</v>
      </c>
      <c r="K1052" s="8"/>
    </row>
    <row r="1053" spans="1:11" x14ac:dyDescent="0.25">
      <c r="A1053" t="s">
        <v>134</v>
      </c>
      <c r="B1053" t="s">
        <v>1203</v>
      </c>
      <c r="C1053" s="32" t="s">
        <v>137</v>
      </c>
      <c r="E1053" t="s">
        <v>1207</v>
      </c>
      <c r="F1053" s="32" t="s">
        <v>36</v>
      </c>
      <c r="G1053" s="5">
        <v>0</v>
      </c>
      <c r="H1053" s="8"/>
      <c r="I1053" s="33" t="s">
        <v>1142</v>
      </c>
      <c r="J1053" t="s">
        <v>524</v>
      </c>
      <c r="K1053" s="8"/>
    </row>
    <row r="1054" spans="1:11" x14ac:dyDescent="0.25">
      <c r="A1054" t="s">
        <v>134</v>
      </c>
      <c r="B1054" t="s">
        <v>1203</v>
      </c>
      <c r="C1054" s="32" t="s">
        <v>525</v>
      </c>
      <c r="E1054" t="s">
        <v>1208</v>
      </c>
      <c r="F1054" s="32" t="s">
        <v>20</v>
      </c>
      <c r="G1054" s="5">
        <v>0</v>
      </c>
      <c r="H1054" s="8"/>
      <c r="I1054" s="33" t="s">
        <v>601</v>
      </c>
      <c r="K1054" s="8"/>
    </row>
    <row r="1055" spans="1:11" x14ac:dyDescent="0.25">
      <c r="A1055" t="s">
        <v>134</v>
      </c>
      <c r="B1055" t="s">
        <v>1203</v>
      </c>
      <c r="C1055" t="s">
        <v>140</v>
      </c>
      <c r="E1055" t="s">
        <v>1209</v>
      </c>
      <c r="F1055" s="32" t="s">
        <v>20</v>
      </c>
      <c r="G1055" s="5">
        <v>0</v>
      </c>
      <c r="H1055" t="s">
        <v>141</v>
      </c>
      <c r="I1055" s="33" t="s">
        <v>142</v>
      </c>
      <c r="K1055" s="8"/>
    </row>
    <row r="1056" spans="1:11" x14ac:dyDescent="0.25">
      <c r="A1056" t="s">
        <v>134</v>
      </c>
      <c r="B1056" t="s">
        <v>1203</v>
      </c>
      <c r="C1056" t="s">
        <v>144</v>
      </c>
      <c r="E1056" t="s">
        <v>1210</v>
      </c>
      <c r="F1056" t="s">
        <v>17</v>
      </c>
      <c r="G1056" s="5">
        <v>0</v>
      </c>
      <c r="H1056" s="8"/>
      <c r="I1056" s="33"/>
      <c r="J1056" t="s">
        <v>145</v>
      </c>
      <c r="K1056" s="8"/>
    </row>
    <row r="1057" spans="1:11" x14ac:dyDescent="0.25">
      <c r="A1057" t="s">
        <v>134</v>
      </c>
      <c r="B1057" t="s">
        <v>1203</v>
      </c>
      <c r="C1057" t="s">
        <v>146</v>
      </c>
      <c r="E1057" t="s">
        <v>1211</v>
      </c>
      <c r="F1057" t="s">
        <v>17</v>
      </c>
      <c r="G1057">
        <v>1</v>
      </c>
      <c r="H1057" s="8"/>
      <c r="I1057" s="33"/>
      <c r="J1057" t="s">
        <v>88</v>
      </c>
      <c r="K1057" s="8"/>
    </row>
    <row r="1058" spans="1:11" x14ac:dyDescent="0.25">
      <c r="A1058" t="s">
        <v>134</v>
      </c>
      <c r="B1058" t="s">
        <v>1203</v>
      </c>
      <c r="C1058" t="s">
        <v>147</v>
      </c>
      <c r="E1058" t="s">
        <v>1212</v>
      </c>
      <c r="F1058" t="s">
        <v>17</v>
      </c>
      <c r="G1058">
        <v>1</v>
      </c>
      <c r="H1058" s="8"/>
      <c r="I1058" s="33"/>
      <c r="J1058" t="s">
        <v>148</v>
      </c>
      <c r="K1058" s="8"/>
    </row>
    <row r="1059" spans="1:11" x14ac:dyDescent="0.25">
      <c r="A1059" t="s">
        <v>134</v>
      </c>
      <c r="B1059" t="s">
        <v>1203</v>
      </c>
      <c r="C1059" t="s">
        <v>149</v>
      </c>
      <c r="E1059" t="s">
        <v>1213</v>
      </c>
      <c r="F1059" t="s">
        <v>17</v>
      </c>
      <c r="G1059">
        <v>1</v>
      </c>
      <c r="H1059" s="8"/>
      <c r="I1059" s="33"/>
      <c r="J1059" t="s">
        <v>88</v>
      </c>
      <c r="K1059" s="8"/>
    </row>
    <row r="1060" spans="1:11" x14ac:dyDescent="0.25">
      <c r="A1060" t="s">
        <v>134</v>
      </c>
      <c r="B1060" t="s">
        <v>1203</v>
      </c>
      <c r="C1060" t="s">
        <v>150</v>
      </c>
      <c r="E1060" t="s">
        <v>1214</v>
      </c>
      <c r="F1060" t="s">
        <v>17</v>
      </c>
      <c r="G1060">
        <v>1</v>
      </c>
      <c r="H1060" s="8"/>
      <c r="I1060" s="33"/>
      <c r="J1060" t="s">
        <v>70</v>
      </c>
      <c r="K1060" s="8"/>
    </row>
    <row r="1061" spans="1:11" x14ac:dyDescent="0.25">
      <c r="A1061" t="s">
        <v>134</v>
      </c>
      <c r="B1061" t="s">
        <v>1203</v>
      </c>
      <c r="C1061" s="32" t="s">
        <v>526</v>
      </c>
      <c r="E1061" t="s">
        <v>1215</v>
      </c>
      <c r="F1061" t="s">
        <v>17</v>
      </c>
      <c r="G1061">
        <v>1</v>
      </c>
      <c r="H1061" s="8"/>
      <c r="I1061" s="33"/>
      <c r="J1061" t="s">
        <v>151</v>
      </c>
      <c r="K1061" s="8"/>
    </row>
    <row r="1062" spans="1:11" x14ac:dyDescent="0.25">
      <c r="A1062" t="s">
        <v>134</v>
      </c>
      <c r="B1062" t="s">
        <v>1216</v>
      </c>
      <c r="C1062" t="s">
        <v>135</v>
      </c>
      <c r="E1062" t="s">
        <v>1217</v>
      </c>
      <c r="F1062" s="32" t="s">
        <v>20</v>
      </c>
      <c r="G1062" s="5">
        <v>0</v>
      </c>
      <c r="H1062" s="8"/>
      <c r="I1062" s="33" t="s">
        <v>1218</v>
      </c>
      <c r="K1062" s="8"/>
    </row>
    <row r="1063" spans="1:11" x14ac:dyDescent="0.25">
      <c r="A1063" t="s">
        <v>134</v>
      </c>
      <c r="B1063" t="s">
        <v>1216</v>
      </c>
      <c r="C1063" t="s">
        <v>136</v>
      </c>
      <c r="E1063" t="s">
        <v>1219</v>
      </c>
      <c r="F1063" t="s">
        <v>20</v>
      </c>
      <c r="G1063" s="5">
        <v>0</v>
      </c>
      <c r="H1063" s="8"/>
      <c r="I1063" s="33" t="s">
        <v>1050</v>
      </c>
      <c r="K1063" s="8"/>
    </row>
    <row r="1064" spans="1:11" x14ac:dyDescent="0.25">
      <c r="A1064" t="s">
        <v>134</v>
      </c>
      <c r="B1064" t="s">
        <v>1216</v>
      </c>
      <c r="C1064" s="32" t="s">
        <v>137</v>
      </c>
      <c r="E1064" t="s">
        <v>1220</v>
      </c>
      <c r="F1064" s="32" t="s">
        <v>36</v>
      </c>
      <c r="G1064" s="5">
        <v>0</v>
      </c>
      <c r="H1064" s="8"/>
      <c r="I1064" s="33" t="s">
        <v>1142</v>
      </c>
      <c r="J1064" t="s">
        <v>524</v>
      </c>
      <c r="K1064" s="8"/>
    </row>
    <row r="1065" spans="1:11" x14ac:dyDescent="0.25">
      <c r="A1065" t="s">
        <v>134</v>
      </c>
      <c r="B1065" t="s">
        <v>1216</v>
      </c>
      <c r="C1065" s="32" t="s">
        <v>525</v>
      </c>
      <c r="E1065" t="s">
        <v>1221</v>
      </c>
      <c r="F1065" s="32" t="s">
        <v>20</v>
      </c>
      <c r="G1065" s="5">
        <v>0</v>
      </c>
      <c r="H1065" s="8"/>
      <c r="I1065" s="33" t="s">
        <v>614</v>
      </c>
      <c r="K1065" s="8"/>
    </row>
    <row r="1066" spans="1:11" x14ac:dyDescent="0.25">
      <c r="A1066" t="s">
        <v>134</v>
      </c>
      <c r="B1066" t="s">
        <v>1216</v>
      </c>
      <c r="C1066" t="s">
        <v>140</v>
      </c>
      <c r="E1066" t="s">
        <v>1222</v>
      </c>
      <c r="F1066" s="32" t="s">
        <v>20</v>
      </c>
      <c r="G1066" s="5">
        <v>0</v>
      </c>
      <c r="H1066" t="s">
        <v>141</v>
      </c>
      <c r="I1066" s="33" t="s">
        <v>142</v>
      </c>
      <c r="K1066" s="8"/>
    </row>
    <row r="1067" spans="1:11" x14ac:dyDescent="0.25">
      <c r="A1067" t="s">
        <v>134</v>
      </c>
      <c r="B1067" t="s">
        <v>1216</v>
      </c>
      <c r="C1067" t="s">
        <v>144</v>
      </c>
      <c r="E1067" t="s">
        <v>1223</v>
      </c>
      <c r="F1067" t="s">
        <v>17</v>
      </c>
      <c r="G1067">
        <v>1</v>
      </c>
      <c r="H1067" s="8"/>
      <c r="I1067" s="33"/>
      <c r="J1067" t="s">
        <v>145</v>
      </c>
      <c r="K1067" s="8"/>
    </row>
    <row r="1068" spans="1:11" x14ac:dyDescent="0.25">
      <c r="A1068" t="s">
        <v>134</v>
      </c>
      <c r="B1068" t="s">
        <v>1216</v>
      </c>
      <c r="C1068" t="s">
        <v>146</v>
      </c>
      <c r="E1068" t="s">
        <v>1224</v>
      </c>
      <c r="F1068" t="s">
        <v>17</v>
      </c>
      <c r="G1068">
        <v>1</v>
      </c>
      <c r="H1068" s="8"/>
      <c r="I1068" s="33"/>
      <c r="J1068" t="s">
        <v>88</v>
      </c>
      <c r="K1068" s="8"/>
    </row>
    <row r="1069" spans="1:11" x14ac:dyDescent="0.25">
      <c r="A1069" t="s">
        <v>134</v>
      </c>
      <c r="B1069" t="s">
        <v>1216</v>
      </c>
      <c r="C1069" t="s">
        <v>147</v>
      </c>
      <c r="E1069" t="s">
        <v>1225</v>
      </c>
      <c r="F1069" t="s">
        <v>17</v>
      </c>
      <c r="G1069">
        <v>1</v>
      </c>
      <c r="H1069" s="8"/>
      <c r="I1069" s="33"/>
      <c r="J1069" t="s">
        <v>148</v>
      </c>
      <c r="K1069" s="8"/>
    </row>
    <row r="1070" spans="1:11" x14ac:dyDescent="0.25">
      <c r="A1070" t="s">
        <v>134</v>
      </c>
      <c r="B1070" t="s">
        <v>1216</v>
      </c>
      <c r="C1070" t="s">
        <v>149</v>
      </c>
      <c r="E1070" t="s">
        <v>1226</v>
      </c>
      <c r="F1070" t="s">
        <v>17</v>
      </c>
      <c r="G1070">
        <v>1</v>
      </c>
      <c r="H1070" s="8"/>
      <c r="I1070" s="33"/>
      <c r="J1070" t="s">
        <v>88</v>
      </c>
      <c r="K1070" s="8"/>
    </row>
    <row r="1071" spans="1:11" x14ac:dyDescent="0.25">
      <c r="A1071" t="s">
        <v>134</v>
      </c>
      <c r="B1071" t="s">
        <v>1216</v>
      </c>
      <c r="C1071" t="s">
        <v>150</v>
      </c>
      <c r="E1071" t="s">
        <v>1227</v>
      </c>
      <c r="F1071" t="s">
        <v>17</v>
      </c>
      <c r="G1071">
        <v>1</v>
      </c>
      <c r="H1071" s="8"/>
      <c r="I1071" s="33"/>
      <c r="J1071" t="s">
        <v>70</v>
      </c>
      <c r="K1071" s="8"/>
    </row>
    <row r="1072" spans="1:11" x14ac:dyDescent="0.25">
      <c r="A1072" t="s">
        <v>134</v>
      </c>
      <c r="B1072" t="s">
        <v>1216</v>
      </c>
      <c r="C1072" s="32" t="s">
        <v>526</v>
      </c>
      <c r="E1072" t="s">
        <v>1228</v>
      </c>
      <c r="F1072" t="s">
        <v>17</v>
      </c>
      <c r="G1072" s="5">
        <v>0</v>
      </c>
      <c r="H1072" s="8"/>
      <c r="I1072" s="33"/>
      <c r="J1072" t="s">
        <v>151</v>
      </c>
      <c r="K1072" s="8"/>
    </row>
    <row r="1073" spans="1:11" x14ac:dyDescent="0.25">
      <c r="A1073" t="s">
        <v>152</v>
      </c>
      <c r="C1073" t="s">
        <v>155</v>
      </c>
      <c r="E1073" t="s">
        <v>156</v>
      </c>
      <c r="F1073" t="s">
        <v>17</v>
      </c>
      <c r="G1073">
        <v>0</v>
      </c>
      <c r="H1073" t="e">
        <v>#REF!</v>
      </c>
      <c r="J1073" t="s">
        <v>148</v>
      </c>
      <c r="K1073" s="8" t="s">
        <v>1771</v>
      </c>
    </row>
    <row r="1074" spans="1:11" x14ac:dyDescent="0.25">
      <c r="A1074" t="s">
        <v>152</v>
      </c>
      <c r="C1074" t="s">
        <v>157</v>
      </c>
      <c r="E1074" t="s">
        <v>158</v>
      </c>
      <c r="F1074" t="s">
        <v>17</v>
      </c>
      <c r="G1074">
        <v>0</v>
      </c>
      <c r="H1074" t="e">
        <v>#REF!</v>
      </c>
      <c r="J1074" t="s">
        <v>148</v>
      </c>
      <c r="K1074" s="8" t="s">
        <v>1460</v>
      </c>
    </row>
    <row r="1075" spans="1:11" x14ac:dyDescent="0.25">
      <c r="A1075" t="s">
        <v>152</v>
      </c>
      <c r="C1075" t="s">
        <v>159</v>
      </c>
      <c r="E1075" t="s">
        <v>160</v>
      </c>
      <c r="F1075" t="s">
        <v>17</v>
      </c>
      <c r="G1075">
        <v>0</v>
      </c>
      <c r="H1075" t="e">
        <v>#REF!</v>
      </c>
      <c r="J1075" t="s">
        <v>88</v>
      </c>
      <c r="K1075" s="8" t="s">
        <v>1456</v>
      </c>
    </row>
    <row r="1076" spans="1:11" x14ac:dyDescent="0.25">
      <c r="A1076" t="s">
        <v>152</v>
      </c>
      <c r="C1076" t="s">
        <v>161</v>
      </c>
      <c r="E1076" t="s">
        <v>162</v>
      </c>
      <c r="F1076" t="s">
        <v>17</v>
      </c>
      <c r="G1076">
        <v>0</v>
      </c>
      <c r="H1076" t="e">
        <v>#REF!</v>
      </c>
      <c r="J1076" t="s">
        <v>88</v>
      </c>
      <c r="K1076" s="8">
        <v>0</v>
      </c>
    </row>
    <row r="1104" collapsed="1" x14ac:dyDescent="0.25"/>
    <row r="1105" spans="8:8" x14ac:dyDescent="0.25">
      <c r="H1105" s="18"/>
    </row>
    <row r="1106" spans="8:8" outlineLevel="1" x14ac:dyDescent="0.25">
      <c r="H1106" s="18"/>
    </row>
    <row r="1107" spans="8:8" outlineLevel="1" x14ac:dyDescent="0.25">
      <c r="H1107" s="18"/>
    </row>
    <row r="1108" spans="8:8" outlineLevel="1" x14ac:dyDescent="0.25">
      <c r="H1108" s="18"/>
    </row>
    <row r="1111" spans="8:8" x14ac:dyDescent="0.25">
      <c r="H1111" s="18"/>
    </row>
    <row r="1112" spans="8:8" outlineLevel="1" collapsed="1" x14ac:dyDescent="0.25"/>
    <row r="1113" spans="8:8" outlineLevel="1" x14ac:dyDescent="0.25"/>
    <row r="1114" spans="8:8" outlineLevel="1" x14ac:dyDescent="0.25">
      <c r="H1114" s="18"/>
    </row>
    <row r="1115" spans="8:8" outlineLevel="1" collapsed="1" x14ac:dyDescent="0.25"/>
    <row r="1116" spans="8:8" outlineLevel="1" x14ac:dyDescent="0.25"/>
    <row r="1117" spans="8:8" outlineLevel="1" x14ac:dyDescent="0.25">
      <c r="H1117" s="18"/>
    </row>
    <row r="1118" spans="8:8" outlineLevel="1" collapsed="1" x14ac:dyDescent="0.25"/>
    <row r="1119" spans="8:8" outlineLevel="1" x14ac:dyDescent="0.25"/>
    <row r="1120" spans="8:8" outlineLevel="1" x14ac:dyDescent="0.25">
      <c r="H1120" s="18"/>
    </row>
    <row r="1122" spans="8:8" outlineLevel="1" x14ac:dyDescent="0.25"/>
    <row r="1123" spans="8:8" outlineLevel="1" x14ac:dyDescent="0.25"/>
    <row r="1124" spans="8:8" outlineLevel="1" x14ac:dyDescent="0.25"/>
    <row r="1125" spans="8:8" x14ac:dyDescent="0.25">
      <c r="H1125" s="18"/>
    </row>
    <row r="1126" spans="8:8" x14ac:dyDescent="0.25">
      <c r="H1126" s="18"/>
    </row>
    <row r="1128" spans="8:8" x14ac:dyDescent="0.25">
      <c r="H1128" s="18"/>
    </row>
    <row r="1130" spans="8:8" x14ac:dyDescent="0.25">
      <c r="H1130" s="18"/>
    </row>
    <row r="1131" spans="8:8" x14ac:dyDescent="0.25">
      <c r="H1131" s="18"/>
    </row>
    <row r="1132" spans="8:8" x14ac:dyDescent="0.25">
      <c r="H1132" s="18"/>
    </row>
    <row r="1133" spans="8:8" x14ac:dyDescent="0.25">
      <c r="H1133" s="18"/>
    </row>
    <row r="1134" spans="8:8" x14ac:dyDescent="0.25">
      <c r="H1134" s="18"/>
    </row>
    <row r="1135" spans="8:8" x14ac:dyDescent="0.25">
      <c r="H1135" s="18"/>
    </row>
    <row r="1139" spans="8:8" x14ac:dyDescent="0.25">
      <c r="H1139" s="18"/>
    </row>
    <row r="1140" spans="8:8" x14ac:dyDescent="0.25">
      <c r="H1140" s="18"/>
    </row>
    <row r="1142" spans="8:8" outlineLevel="1" x14ac:dyDescent="0.25">
      <c r="H1142" s="18"/>
    </row>
    <row r="1143" spans="8:8" outlineLevel="1" x14ac:dyDescent="0.25"/>
    <row r="1144" spans="8:8" outlineLevel="1" x14ac:dyDescent="0.25">
      <c r="H1144" s="18"/>
    </row>
    <row r="1145" spans="8:8" outlineLevel="1" x14ac:dyDescent="0.25"/>
    <row r="1146" spans="8:8" outlineLevel="1" x14ac:dyDescent="0.25">
      <c r="H1146" s="18"/>
    </row>
    <row r="1147" spans="8:8" outlineLevel="1" x14ac:dyDescent="0.25"/>
    <row r="1148" spans="8:8" outlineLevel="1" x14ac:dyDescent="0.25">
      <c r="H1148" s="18"/>
    </row>
    <row r="1149" spans="8:8" outlineLevel="1" x14ac:dyDescent="0.25"/>
    <row r="1150" spans="8:8" outlineLevel="1" x14ac:dyDescent="0.25">
      <c r="H1150" s="18"/>
    </row>
    <row r="1151" spans="8:8" outlineLevel="1" x14ac:dyDescent="0.25"/>
    <row r="1152" spans="8:8" outlineLevel="1" x14ac:dyDescent="0.25">
      <c r="H1152" s="18"/>
    </row>
    <row r="1153" spans="8:8" outlineLevel="1" x14ac:dyDescent="0.25"/>
    <row r="1154" spans="8:8" outlineLevel="1" x14ac:dyDescent="0.25">
      <c r="H1154" s="18"/>
    </row>
    <row r="1155" spans="8:8" outlineLevel="1" x14ac:dyDescent="0.25"/>
    <row r="1156" spans="8:8" outlineLevel="1" x14ac:dyDescent="0.25">
      <c r="H1156" s="18"/>
    </row>
    <row r="1157" spans="8:8" outlineLevel="1" x14ac:dyDescent="0.25"/>
    <row r="1158" spans="8:8" outlineLevel="1" x14ac:dyDescent="0.25">
      <c r="H1158" s="18"/>
    </row>
    <row r="1159" spans="8:8" outlineLevel="1" x14ac:dyDescent="0.25"/>
    <row r="1167" spans="8:8" x14ac:dyDescent="0.25">
      <c r="H1167" s="18"/>
    </row>
    <row r="1170" spans="8:8" x14ac:dyDescent="0.25">
      <c r="H1170" s="18"/>
    </row>
    <row r="1171" spans="8:8" x14ac:dyDescent="0.25">
      <c r="H1171" s="18"/>
    </row>
  </sheetData>
  <autoFilter ref="A1:AP1076" xr:uid="{00000000-0001-0000-0900-000000000000}"/>
  <conditionalFormatting sqref="E5">
    <cfRule type="duplicateValues" dxfId="64" priority="9"/>
  </conditionalFormatting>
  <conditionalFormatting sqref="E456">
    <cfRule type="duplicateValues" dxfId="63" priority="2"/>
  </conditionalFormatting>
  <conditionalFormatting sqref="E1073:E1076">
    <cfRule type="duplicateValues" dxfId="62" priority="7"/>
  </conditionalFormatting>
  <conditionalFormatting sqref="E1160">
    <cfRule type="duplicateValues" dxfId="61" priority="12"/>
  </conditionalFormatting>
  <conditionalFormatting sqref="E1161">
    <cfRule type="duplicateValues" dxfId="60" priority="11"/>
  </conditionalFormatting>
  <conditionalFormatting sqref="E1162">
    <cfRule type="duplicateValues" dxfId="59" priority="10"/>
  </conditionalFormatting>
  <conditionalFormatting sqref="E1163:E1048576 E1:E4 F2:F4 E1077:E1159">
    <cfRule type="duplicateValues" dxfId="58" priority="13"/>
  </conditionalFormatting>
  <conditionalFormatting sqref="F7 E6:E15">
    <cfRule type="duplicateValues" dxfId="57" priority="5"/>
  </conditionalFormatting>
  <conditionalFormatting sqref="F17 F27 F37 F47 F57 F67 F77 F87 F97 E16:E105">
    <cfRule type="duplicateValues" dxfId="56" priority="4"/>
  </conditionalFormatting>
  <conditionalFormatting sqref="F447 F297 F157 F107 F117 F127 F137 F147 F167 F177 F187 F197 F207 F217 F227 F237 F247 F257 F267 F277 F287 F307 F317 F327 F337 F347 F357 F367 F377 F387 F397 F407 F417 F427 F437 E106:E455">
    <cfRule type="duplicateValues" dxfId="55" priority="3"/>
  </conditionalFormatting>
  <conditionalFormatting sqref="F458 F469 F480 F491 F502 F513 F524 F535 F546 F557 F568 F579 F590 F601 F612 F623 F634 F645 F656 F667 F678 F689 F700 F711 F722 F733 F744 F755 F766 F777 F788 F799 F810 F821 F832 F843 F854 F865 F876 F887 F898 F909 F920 F931 F942 F953 F964 F975 F986 F997 F1008 F1019 F1030 F1041 F1052 F1063 E457:E1072">
    <cfRule type="duplicateValues" dxfId="54" priority="1"/>
  </conditionalFormatting>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72ABC-BCAF-48B7-ACBC-82D0747188B2}">
  <sheetPr>
    <tabColor theme="9"/>
  </sheetPr>
  <dimension ref="A1:P2378"/>
  <sheetViews>
    <sheetView topLeftCell="A475" zoomScale="65" zoomScaleNormal="85" workbookViewId="0">
      <selection activeCell="K483" sqref="K481:K483"/>
    </sheetView>
  </sheetViews>
  <sheetFormatPr baseColWidth="10" defaultRowHeight="15" outlineLevelRow="1" x14ac:dyDescent="0.25"/>
  <cols>
    <col min="1" max="2" width="27.5703125" customWidth="1"/>
    <col min="3" max="3" width="84.42578125" customWidth="1"/>
    <col min="4" max="4" width="12.7109375" customWidth="1"/>
    <col min="5" max="5" width="28.42578125" customWidth="1"/>
    <col min="8" max="8" width="26.5703125" customWidth="1"/>
    <col min="9" max="9" width="17.7109375" customWidth="1"/>
    <col min="11" max="11" width="18.28515625" customWidth="1"/>
    <col min="12" max="12" width="14.7109375" customWidth="1"/>
    <col min="13" max="13" width="16.5703125" customWidth="1"/>
    <col min="14" max="14" width="22.42578125"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s="1"/>
      <c r="C2" t="s">
        <v>15</v>
      </c>
      <c r="D2" s="1"/>
      <c r="E2" t="s">
        <v>16</v>
      </c>
      <c r="F2" t="s">
        <v>17</v>
      </c>
      <c r="G2">
        <v>1</v>
      </c>
      <c r="H2">
        <v>2028</v>
      </c>
      <c r="N2">
        <v>1</v>
      </c>
    </row>
    <row r="3" spans="1:14" x14ac:dyDescent="0.25">
      <c r="A3" t="s">
        <v>14</v>
      </c>
      <c r="C3" t="s">
        <v>18</v>
      </c>
      <c r="E3" t="s">
        <v>19</v>
      </c>
      <c r="F3" t="s">
        <v>20</v>
      </c>
      <c r="G3">
        <v>0</v>
      </c>
      <c r="H3" t="s">
        <v>21</v>
      </c>
      <c r="K3" t="s">
        <v>21</v>
      </c>
      <c r="N3">
        <v>1</v>
      </c>
    </row>
    <row r="4" spans="1:14" x14ac:dyDescent="0.25">
      <c r="A4" t="s">
        <v>14</v>
      </c>
      <c r="C4" t="s">
        <v>23</v>
      </c>
      <c r="E4" t="s">
        <v>24</v>
      </c>
      <c r="F4" t="s">
        <v>17</v>
      </c>
      <c r="G4">
        <v>0</v>
      </c>
      <c r="H4">
        <v>999999999</v>
      </c>
    </row>
    <row r="5" spans="1:14" x14ac:dyDescent="0.25">
      <c r="A5" t="s">
        <v>14</v>
      </c>
      <c r="C5" t="s">
        <v>25</v>
      </c>
      <c r="E5" t="s">
        <v>26</v>
      </c>
      <c r="F5" t="s">
        <v>17</v>
      </c>
      <c r="G5">
        <v>1</v>
      </c>
      <c r="J5" t="s">
        <v>27</v>
      </c>
      <c r="K5" t="e">
        <v>#REF!</v>
      </c>
    </row>
    <row r="6" spans="1:14" x14ac:dyDescent="0.25">
      <c r="A6" t="s">
        <v>14</v>
      </c>
      <c r="C6" t="s">
        <v>28</v>
      </c>
      <c r="E6" t="s">
        <v>29</v>
      </c>
      <c r="F6" t="s">
        <v>17</v>
      </c>
      <c r="G6">
        <v>1</v>
      </c>
      <c r="J6" s="2" t="s">
        <v>30</v>
      </c>
      <c r="K6" t="e">
        <v>#REF!</v>
      </c>
    </row>
    <row r="7" spans="1:14" x14ac:dyDescent="0.25">
      <c r="A7" t="s">
        <v>14</v>
      </c>
      <c r="C7" t="s">
        <v>31</v>
      </c>
      <c r="E7" t="s">
        <v>32</v>
      </c>
      <c r="F7" t="s">
        <v>17</v>
      </c>
      <c r="G7">
        <v>1</v>
      </c>
      <c r="J7" t="s">
        <v>33</v>
      </c>
      <c r="K7" t="e">
        <v>#REF!</v>
      </c>
    </row>
    <row r="8" spans="1:14" x14ac:dyDescent="0.25">
      <c r="A8" t="s">
        <v>14</v>
      </c>
      <c r="C8" t="s">
        <v>34</v>
      </c>
      <c r="E8" t="s">
        <v>35</v>
      </c>
      <c r="F8" t="s">
        <v>36</v>
      </c>
      <c r="G8">
        <v>0</v>
      </c>
      <c r="I8" t="s">
        <v>38</v>
      </c>
    </row>
    <row r="9" spans="1:14" x14ac:dyDescent="0.25">
      <c r="A9" t="s">
        <v>14</v>
      </c>
      <c r="C9" t="s">
        <v>39</v>
      </c>
      <c r="E9" t="s">
        <v>40</v>
      </c>
      <c r="F9" t="s">
        <v>17</v>
      </c>
      <c r="G9">
        <f>IF(H8="Territoire polarisé autour de plusieurs communes",1,0)</f>
        <v>0</v>
      </c>
      <c r="H9">
        <v>0</v>
      </c>
      <c r="J9" t="s">
        <v>41</v>
      </c>
    </row>
    <row r="10" spans="1:14" x14ac:dyDescent="0.25">
      <c r="A10" t="s">
        <v>14</v>
      </c>
      <c r="C10" t="s">
        <v>42</v>
      </c>
      <c r="E10" t="s">
        <v>43</v>
      </c>
      <c r="F10" t="s">
        <v>17</v>
      </c>
      <c r="G10">
        <v>1</v>
      </c>
      <c r="J10" t="s">
        <v>27</v>
      </c>
    </row>
    <row r="11" spans="1:14" x14ac:dyDescent="0.25">
      <c r="A11" t="s">
        <v>14</v>
      </c>
      <c r="C11" t="s">
        <v>44</v>
      </c>
      <c r="E11" t="s">
        <v>45</v>
      </c>
      <c r="F11" t="s">
        <v>17</v>
      </c>
      <c r="G11">
        <f>IF($H$9&gt;1,1,0)</f>
        <v>0</v>
      </c>
      <c r="J11" t="s">
        <v>27</v>
      </c>
    </row>
    <row r="12" spans="1:14" x14ac:dyDescent="0.25">
      <c r="A12" t="s">
        <v>14</v>
      </c>
      <c r="C12" t="s">
        <v>46</v>
      </c>
      <c r="E12" t="s">
        <v>47</v>
      </c>
      <c r="F12" t="s">
        <v>17</v>
      </c>
      <c r="G12">
        <f>IF($H$9&gt;2,1,0)</f>
        <v>0</v>
      </c>
      <c r="J12" t="s">
        <v>27</v>
      </c>
    </row>
    <row r="13" spans="1:14" x14ac:dyDescent="0.25">
      <c r="A13" t="s">
        <v>14</v>
      </c>
      <c r="C13" t="s">
        <v>48</v>
      </c>
      <c r="E13" t="s">
        <v>49</v>
      </c>
      <c r="F13" t="s">
        <v>17</v>
      </c>
      <c r="G13">
        <f>IF($H$9&gt;3,1,0)</f>
        <v>0</v>
      </c>
      <c r="J13" t="s">
        <v>27</v>
      </c>
    </row>
    <row r="14" spans="1:14" x14ac:dyDescent="0.25">
      <c r="A14" t="s">
        <v>14</v>
      </c>
      <c r="C14" t="s">
        <v>50</v>
      </c>
      <c r="E14" t="s">
        <v>51</v>
      </c>
      <c r="F14" t="s">
        <v>17</v>
      </c>
      <c r="G14">
        <f>IF($H$9&gt;4,1,0)</f>
        <v>0</v>
      </c>
      <c r="J14" t="s">
        <v>27</v>
      </c>
    </row>
    <row r="15" spans="1:14" x14ac:dyDescent="0.25">
      <c r="A15" t="s">
        <v>14</v>
      </c>
      <c r="C15" t="s">
        <v>52</v>
      </c>
      <c r="E15" t="s">
        <v>53</v>
      </c>
      <c r="F15" t="s">
        <v>36</v>
      </c>
      <c r="G15">
        <v>0</v>
      </c>
      <c r="H15" t="s">
        <v>54</v>
      </c>
      <c r="I15" t="s">
        <v>55</v>
      </c>
    </row>
    <row r="16" spans="1:14" x14ac:dyDescent="0.25">
      <c r="A16" t="s">
        <v>14</v>
      </c>
      <c r="C16" t="s">
        <v>56</v>
      </c>
      <c r="E16" t="s">
        <v>57</v>
      </c>
      <c r="F16" t="s">
        <v>36</v>
      </c>
      <c r="G16">
        <v>0</v>
      </c>
      <c r="H16" t="s">
        <v>54</v>
      </c>
      <c r="I16" t="s">
        <v>55</v>
      </c>
    </row>
    <row r="17" spans="1:14" x14ac:dyDescent="0.25">
      <c r="A17" t="s">
        <v>14</v>
      </c>
      <c r="C17" t="s">
        <v>58</v>
      </c>
      <c r="E17" t="s">
        <v>59</v>
      </c>
      <c r="F17" t="s">
        <v>60</v>
      </c>
      <c r="G17">
        <v>0</v>
      </c>
      <c r="H17" t="s">
        <v>61</v>
      </c>
      <c r="I17" t="s">
        <v>62</v>
      </c>
      <c r="N17">
        <v>1</v>
      </c>
    </row>
    <row r="18" spans="1:14" x14ac:dyDescent="0.25">
      <c r="A18" t="s">
        <v>14</v>
      </c>
      <c r="C18" t="s">
        <v>63</v>
      </c>
      <c r="E18" s="2" t="s">
        <v>64</v>
      </c>
      <c r="F18" t="s">
        <v>60</v>
      </c>
      <c r="G18">
        <v>0</v>
      </c>
      <c r="H18" t="s">
        <v>61</v>
      </c>
      <c r="I18" t="s">
        <v>62</v>
      </c>
      <c r="N18">
        <v>1</v>
      </c>
    </row>
    <row r="19" spans="1:14" x14ac:dyDescent="0.25">
      <c r="A19" t="s">
        <v>65</v>
      </c>
      <c r="C19" t="s">
        <v>66</v>
      </c>
      <c r="E19" t="s">
        <v>67</v>
      </c>
      <c r="F19" t="s">
        <v>36</v>
      </c>
      <c r="G19">
        <v>1</v>
      </c>
      <c r="H19" t="s">
        <v>54</v>
      </c>
      <c r="I19" t="s">
        <v>55</v>
      </c>
    </row>
    <row r="20" spans="1:14" x14ac:dyDescent="0.25">
      <c r="A20" t="s">
        <v>65</v>
      </c>
      <c r="C20" t="s">
        <v>68</v>
      </c>
      <c r="E20" t="s">
        <v>69</v>
      </c>
      <c r="F20" t="s">
        <v>17</v>
      </c>
      <c r="G20">
        <f>IF(H19="Oui",1,0)</f>
        <v>1</v>
      </c>
      <c r="H20" s="3">
        <v>1</v>
      </c>
      <c r="J20" t="s">
        <v>70</v>
      </c>
    </row>
    <row r="21" spans="1:14" x14ac:dyDescent="0.25">
      <c r="A21" t="s">
        <v>65</v>
      </c>
      <c r="C21" t="s">
        <v>71</v>
      </c>
      <c r="E21" t="s">
        <v>72</v>
      </c>
      <c r="F21" t="s">
        <v>36</v>
      </c>
      <c r="G21">
        <v>1</v>
      </c>
      <c r="H21" t="s">
        <v>54</v>
      </c>
      <c r="I21" t="s">
        <v>55</v>
      </c>
    </row>
    <row r="22" spans="1:14" x14ac:dyDescent="0.25">
      <c r="A22" t="s">
        <v>65</v>
      </c>
      <c r="C22" t="s">
        <v>73</v>
      </c>
      <c r="E22" t="s">
        <v>74</v>
      </c>
      <c r="F22" t="s">
        <v>17</v>
      </c>
      <c r="G22">
        <f>IF(H21="Oui",1,0)</f>
        <v>1</v>
      </c>
      <c r="H22" t="s">
        <v>457</v>
      </c>
      <c r="I22" t="s">
        <v>75</v>
      </c>
    </row>
    <row r="23" spans="1:14" x14ac:dyDescent="0.25">
      <c r="A23" t="s">
        <v>76</v>
      </c>
      <c r="B23" t="s">
        <v>77</v>
      </c>
      <c r="C23" t="s">
        <v>78</v>
      </c>
      <c r="E23" t="str">
        <f>_xlfn.CONCAT("FretRout",LEFT(B23,3),RIGHT(B23,1),"Nom")</f>
        <v>FretRoutCat1Nom</v>
      </c>
      <c r="F23" t="s">
        <v>20</v>
      </c>
      <c r="G23">
        <v>1</v>
      </c>
      <c r="H23" s="4"/>
      <c r="I23" s="4" t="s">
        <v>382</v>
      </c>
      <c r="K23" s="4" t="str">
        <f t="shared" ref="K23:K29" si="0">I23</f>
        <v>VUL Electrique (Crit'Air E)</v>
      </c>
      <c r="L23" s="2"/>
    </row>
    <row r="24" spans="1:14" x14ac:dyDescent="0.25">
      <c r="A24" t="s">
        <v>76</v>
      </c>
      <c r="B24" t="s">
        <v>77</v>
      </c>
      <c r="C24" t="s">
        <v>79</v>
      </c>
      <c r="E24" t="str">
        <f>_xlfn.CONCAT("FretRout",LEFT(B24,3),RIGHT(B24,1),"Type")</f>
        <v>FretRoutCat1Type</v>
      </c>
      <c r="F24" t="s">
        <v>20</v>
      </c>
      <c r="G24">
        <v>1</v>
      </c>
      <c r="I24" t="s">
        <v>1770</v>
      </c>
      <c r="K24" s="4" t="str">
        <f t="shared" si="0"/>
        <v>VUL</v>
      </c>
      <c r="L24" s="2"/>
    </row>
    <row r="25" spans="1:14" x14ac:dyDescent="0.25">
      <c r="A25" t="s">
        <v>76</v>
      </c>
      <c r="B25" t="s">
        <v>77</v>
      </c>
      <c r="C25" t="s">
        <v>80</v>
      </c>
      <c r="E25" t="str">
        <f>_xlfn.CONCAT("FretRout",LEFT(B25,3),RIGHT(B25,1),"PTAC")</f>
        <v>FretRoutCat1PTAC</v>
      </c>
      <c r="F25" t="s">
        <v>36</v>
      </c>
      <c r="G25">
        <v>1</v>
      </c>
      <c r="I25" t="s">
        <v>1451</v>
      </c>
      <c r="K25" s="4" t="str">
        <f t="shared" si="0"/>
        <v>&lt;=3,5t</v>
      </c>
      <c r="L25" s="2"/>
    </row>
    <row r="26" spans="1:14" x14ac:dyDescent="0.25">
      <c r="A26" t="s">
        <v>76</v>
      </c>
      <c r="B26" t="s">
        <v>77</v>
      </c>
      <c r="C26" t="s">
        <v>81</v>
      </c>
      <c r="E26" t="str">
        <f>_xlfn.CONCAT("FretRout",LEFT(B26,3),RIGHT(B26,1),"Mot")</f>
        <v>FretRoutCat1Mot</v>
      </c>
      <c r="F26" t="s">
        <v>36</v>
      </c>
      <c r="G26">
        <v>1</v>
      </c>
      <c r="H26" s="2"/>
      <c r="I26" t="s">
        <v>456</v>
      </c>
      <c r="K26" s="4" t="str">
        <f t="shared" si="0"/>
        <v>Electrique</v>
      </c>
      <c r="L26" s="2"/>
    </row>
    <row r="27" spans="1:14" x14ac:dyDescent="0.25">
      <c r="A27" t="s">
        <v>76</v>
      </c>
      <c r="B27" t="s">
        <v>77</v>
      </c>
      <c r="C27" t="s">
        <v>82</v>
      </c>
      <c r="E27" t="str">
        <f>_xlfn.CONCAT("FretRout",LEFT(B27,3),RIGHT(B27,1),"Carb")</f>
        <v>FretRoutCat1Carb</v>
      </c>
      <c r="F27" t="s">
        <v>36</v>
      </c>
      <c r="G27">
        <v>1</v>
      </c>
      <c r="I27" t="s">
        <v>1452</v>
      </c>
      <c r="K27" s="4" t="str">
        <f t="shared" si="0"/>
        <v xml:space="preserve"> -   </v>
      </c>
      <c r="L27" s="2"/>
    </row>
    <row r="28" spans="1:14" x14ac:dyDescent="0.25">
      <c r="A28" t="s">
        <v>76</v>
      </c>
      <c r="B28" t="s">
        <v>77</v>
      </c>
      <c r="C28" t="s">
        <v>83</v>
      </c>
      <c r="E28" t="str">
        <f>_xlfn.CONCAT("FretRout",LEFT(B28,3),RIGHT(B28,1),"Euro")</f>
        <v>FretRoutCat1Euro</v>
      </c>
      <c r="F28" t="s">
        <v>36</v>
      </c>
      <c r="G28">
        <v>1</v>
      </c>
      <c r="I28">
        <v>0</v>
      </c>
      <c r="K28" s="4">
        <f t="shared" si="0"/>
        <v>0</v>
      </c>
      <c r="L28" s="2"/>
    </row>
    <row r="29" spans="1:14" x14ac:dyDescent="0.25">
      <c r="A29" t="s">
        <v>76</v>
      </c>
      <c r="B29" t="s">
        <v>77</v>
      </c>
      <c r="C29" t="s">
        <v>84</v>
      </c>
      <c r="E29" t="str">
        <f>_xlfn.CONCAT("FretRout",LEFT(B29,3),RIGHT(B29,1),"CritAir")</f>
        <v>FretRoutCat1CritAir</v>
      </c>
      <c r="F29" t="s">
        <v>36</v>
      </c>
      <c r="G29">
        <v>1</v>
      </c>
      <c r="H29" s="2"/>
      <c r="I29" t="s">
        <v>1453</v>
      </c>
      <c r="K29" s="4" t="str">
        <f t="shared" si="0"/>
        <v>E</v>
      </c>
      <c r="L29" s="2"/>
    </row>
    <row r="30" spans="1:14" x14ac:dyDescent="0.25">
      <c r="A30" t="s">
        <v>76</v>
      </c>
      <c r="B30" t="s">
        <v>77</v>
      </c>
      <c r="C30" t="s">
        <v>85</v>
      </c>
      <c r="E30" t="str">
        <f>_xlfn.CONCAT("FretRout",LEFT(B30,3),RIGHT(B30,1),"Nb")</f>
        <v>FretRoutCat1Nb</v>
      </c>
      <c r="F30" t="s">
        <v>17</v>
      </c>
      <c r="G30">
        <v>1</v>
      </c>
      <c r="J30" t="s">
        <v>86</v>
      </c>
      <c r="K30">
        <v>0</v>
      </c>
      <c r="L30" s="2"/>
    </row>
    <row r="31" spans="1:14" x14ac:dyDescent="0.25">
      <c r="A31" t="s">
        <v>76</v>
      </c>
      <c r="B31" t="s">
        <v>77</v>
      </c>
      <c r="C31" t="s">
        <v>87</v>
      </c>
      <c r="E31" t="str">
        <f>_xlfn.CONCAT("FretRout",LEFT(B31,3),RIGHT(B31,1),"Dist")</f>
        <v>FretRoutCat1Dist</v>
      </c>
      <c r="F31" t="s">
        <v>17</v>
      </c>
      <c r="G31">
        <v>1</v>
      </c>
      <c r="H31" s="2"/>
      <c r="J31" t="s">
        <v>88</v>
      </c>
      <c r="K31">
        <v>7694</v>
      </c>
      <c r="L31" s="2"/>
    </row>
    <row r="32" spans="1:14" x14ac:dyDescent="0.25">
      <c r="A32" t="s">
        <v>76</v>
      </c>
      <c r="B32" t="s">
        <v>77</v>
      </c>
      <c r="C32" s="2" t="s">
        <v>89</v>
      </c>
      <c r="E32" t="str">
        <f>_xlfn.CONCAT("FretRout",LEFT(B32,3),RIGHT(B32,1),"Rempl")</f>
        <v>FretRoutCat1Rempl</v>
      </c>
      <c r="F32" t="s">
        <v>17</v>
      </c>
      <c r="G32">
        <v>1</v>
      </c>
      <c r="H32" s="3"/>
      <c r="J32" t="s">
        <v>70</v>
      </c>
      <c r="K32">
        <v>0</v>
      </c>
      <c r="L32" s="2"/>
    </row>
    <row r="33" spans="1:12" x14ac:dyDescent="0.25">
      <c r="A33" t="s">
        <v>76</v>
      </c>
      <c r="B33" s="2" t="s">
        <v>90</v>
      </c>
      <c r="C33" t="s">
        <v>78</v>
      </c>
      <c r="E33" t="str">
        <f>_xlfn.CONCAT("FretRout",LEFT(B33,3),RIGHT(B33,1),"Nom")</f>
        <v>FretRoutCat2Nom</v>
      </c>
      <c r="F33" t="s">
        <v>20</v>
      </c>
      <c r="G33">
        <v>1</v>
      </c>
      <c r="H33" s="4"/>
      <c r="I33" s="4" t="s">
        <v>386</v>
      </c>
      <c r="K33" s="4" t="str">
        <f t="shared" ref="K33:K39" si="1">I33</f>
        <v>VUL Diesel (Crit'Air 2)</v>
      </c>
      <c r="L33" s="2"/>
    </row>
    <row r="34" spans="1:12" x14ac:dyDescent="0.25">
      <c r="A34" t="s">
        <v>76</v>
      </c>
      <c r="B34" s="2" t="s">
        <v>90</v>
      </c>
      <c r="C34" t="s">
        <v>79</v>
      </c>
      <c r="E34" t="str">
        <f>_xlfn.CONCAT("FretRout",LEFT(B34,3),RIGHT(B34,1),"Type")</f>
        <v>FretRoutCat2Type</v>
      </c>
      <c r="F34" t="s">
        <v>20</v>
      </c>
      <c r="G34">
        <v>1</v>
      </c>
      <c r="I34" t="s">
        <v>1770</v>
      </c>
      <c r="K34" s="4" t="str">
        <f t="shared" si="1"/>
        <v>VUL</v>
      </c>
      <c r="L34" s="2"/>
    </row>
    <row r="35" spans="1:12" x14ac:dyDescent="0.25">
      <c r="A35" t="s">
        <v>76</v>
      </c>
      <c r="B35" s="2" t="s">
        <v>90</v>
      </c>
      <c r="C35" t="s">
        <v>80</v>
      </c>
      <c r="E35" t="str">
        <f>_xlfn.CONCAT("FretRout",LEFT(B35,3),RIGHT(B35,1),"PTAC")</f>
        <v>FretRoutCat2PTAC</v>
      </c>
      <c r="F35" t="s">
        <v>36</v>
      </c>
      <c r="G35">
        <v>1</v>
      </c>
      <c r="I35" t="s">
        <v>1451</v>
      </c>
      <c r="K35" s="4" t="str">
        <f t="shared" si="1"/>
        <v>&lt;=3,5t</v>
      </c>
      <c r="L35" s="2"/>
    </row>
    <row r="36" spans="1:12" x14ac:dyDescent="0.25">
      <c r="A36" t="s">
        <v>76</v>
      </c>
      <c r="B36" s="2" t="s">
        <v>90</v>
      </c>
      <c r="C36" t="s">
        <v>81</v>
      </c>
      <c r="E36" t="str">
        <f>_xlfn.CONCAT("FretRout",LEFT(B36,3),RIGHT(B36,1),"Mot")</f>
        <v>FretRoutCat2Mot</v>
      </c>
      <c r="F36" t="s">
        <v>36</v>
      </c>
      <c r="G36">
        <v>1</v>
      </c>
      <c r="H36" s="2"/>
      <c r="I36" t="s">
        <v>138</v>
      </c>
      <c r="K36" s="4" t="str">
        <f t="shared" si="1"/>
        <v>Diesel</v>
      </c>
      <c r="L36" s="2"/>
    </row>
    <row r="37" spans="1:12" x14ac:dyDescent="0.25">
      <c r="A37" t="s">
        <v>76</v>
      </c>
      <c r="B37" s="2" t="s">
        <v>90</v>
      </c>
      <c r="C37" t="s">
        <v>82</v>
      </c>
      <c r="E37" t="str">
        <f>_xlfn.CONCAT("FretRout",LEFT(B37,3),RIGHT(B37,1),"Carb")</f>
        <v>FretRoutCat2Carb</v>
      </c>
      <c r="F37" t="s">
        <v>36</v>
      </c>
      <c r="G37">
        <v>1</v>
      </c>
      <c r="I37" t="s">
        <v>1449</v>
      </c>
      <c r="K37" s="4" t="str">
        <f t="shared" si="1"/>
        <v>Gazole à la pompe</v>
      </c>
      <c r="L37" s="2"/>
    </row>
    <row r="38" spans="1:12" x14ac:dyDescent="0.25">
      <c r="A38" t="s">
        <v>76</v>
      </c>
      <c r="B38" s="2" t="s">
        <v>90</v>
      </c>
      <c r="C38" t="s">
        <v>83</v>
      </c>
      <c r="E38" t="str">
        <f>_xlfn.CONCAT("FretRout",LEFT(B38,3),RIGHT(B38,1),"Euro")</f>
        <v>FretRoutCat2Euro</v>
      </c>
      <c r="F38" t="s">
        <v>36</v>
      </c>
      <c r="G38">
        <v>1</v>
      </c>
      <c r="I38">
        <v>0</v>
      </c>
      <c r="K38" s="4">
        <f t="shared" si="1"/>
        <v>0</v>
      </c>
      <c r="L38" s="2"/>
    </row>
    <row r="39" spans="1:12" x14ac:dyDescent="0.25">
      <c r="A39" t="s">
        <v>76</v>
      </c>
      <c r="B39" s="2" t="s">
        <v>90</v>
      </c>
      <c r="C39" t="s">
        <v>84</v>
      </c>
      <c r="E39" t="str">
        <f>_xlfn.CONCAT("FretRout",LEFT(B39,3),RIGHT(B39,1),"CritAir")</f>
        <v>FretRoutCat2CritAir</v>
      </c>
      <c r="F39" t="s">
        <v>36</v>
      </c>
      <c r="G39">
        <v>1</v>
      </c>
      <c r="H39" s="2"/>
      <c r="I39">
        <v>2</v>
      </c>
      <c r="K39" s="4">
        <f t="shared" si="1"/>
        <v>2</v>
      </c>
      <c r="L39" s="2"/>
    </row>
    <row r="40" spans="1:12" x14ac:dyDescent="0.25">
      <c r="A40" t="s">
        <v>76</v>
      </c>
      <c r="B40" s="2" t="s">
        <v>90</v>
      </c>
      <c r="C40" t="s">
        <v>85</v>
      </c>
      <c r="E40" t="str">
        <f>_xlfn.CONCAT("FretRout",LEFT(B40,3),RIGHT(B40,1),"Nb")</f>
        <v>FretRoutCat2Nb</v>
      </c>
      <c r="F40" t="s">
        <v>17</v>
      </c>
      <c r="G40">
        <v>1</v>
      </c>
      <c r="J40" t="s">
        <v>86</v>
      </c>
      <c r="K40">
        <v>0</v>
      </c>
      <c r="L40" s="2"/>
    </row>
    <row r="41" spans="1:12" x14ac:dyDescent="0.25">
      <c r="A41" t="s">
        <v>76</v>
      </c>
      <c r="B41" s="2" t="s">
        <v>90</v>
      </c>
      <c r="C41" t="s">
        <v>87</v>
      </c>
      <c r="E41" t="str">
        <f>_xlfn.CONCAT("FretRout",LEFT(B41,3),RIGHT(B41,1),"Dist")</f>
        <v>FretRoutCat2Dist</v>
      </c>
      <c r="F41" t="s">
        <v>17</v>
      </c>
      <c r="G41">
        <v>1</v>
      </c>
      <c r="H41" s="2"/>
      <c r="J41" t="s">
        <v>88</v>
      </c>
      <c r="K41">
        <v>17855</v>
      </c>
      <c r="L41" s="2"/>
    </row>
    <row r="42" spans="1:12" x14ac:dyDescent="0.25">
      <c r="A42" t="s">
        <v>76</v>
      </c>
      <c r="B42" s="2" t="s">
        <v>90</v>
      </c>
      <c r="C42" s="2" t="s">
        <v>89</v>
      </c>
      <c r="E42" t="str">
        <f>_xlfn.CONCAT("FretRout",LEFT(B42,3),RIGHT(B42,1),"Rempl")</f>
        <v>FretRoutCat2Rempl</v>
      </c>
      <c r="F42" t="s">
        <v>17</v>
      </c>
      <c r="G42">
        <v>1</v>
      </c>
      <c r="H42" s="3"/>
      <c r="J42" t="s">
        <v>70</v>
      </c>
      <c r="K42">
        <v>0</v>
      </c>
      <c r="L42" s="2"/>
    </row>
    <row r="43" spans="1:12" x14ac:dyDescent="0.25">
      <c r="A43" t="s">
        <v>76</v>
      </c>
      <c r="B43" s="2" t="s">
        <v>91</v>
      </c>
      <c r="C43" t="s">
        <v>78</v>
      </c>
      <c r="E43" t="str">
        <f>_xlfn.CONCAT("FretRout",LEFT(B43,3),RIGHT(B43,1),"Nom")</f>
        <v>FretRoutCat3Nom</v>
      </c>
      <c r="F43" t="s">
        <v>20</v>
      </c>
      <c r="G43">
        <v>1</v>
      </c>
      <c r="H43" s="4"/>
      <c r="I43" s="4" t="s">
        <v>388</v>
      </c>
      <c r="K43" s="4" t="str">
        <f t="shared" ref="K43:K49" si="2">I43</f>
        <v>VUL Diesel (Crit'Air 3)</v>
      </c>
      <c r="L43" s="2"/>
    </row>
    <row r="44" spans="1:12" x14ac:dyDescent="0.25">
      <c r="A44" t="s">
        <v>76</v>
      </c>
      <c r="B44" s="2" t="s">
        <v>91</v>
      </c>
      <c r="C44" t="s">
        <v>79</v>
      </c>
      <c r="E44" t="str">
        <f>_xlfn.CONCAT("FretRout",LEFT(B44,3),RIGHT(B44,1),"Type")</f>
        <v>FretRoutCat3Type</v>
      </c>
      <c r="F44" t="s">
        <v>20</v>
      </c>
      <c r="G44">
        <v>1</v>
      </c>
      <c r="I44" t="s">
        <v>1770</v>
      </c>
      <c r="K44" s="4" t="str">
        <f t="shared" si="2"/>
        <v>VUL</v>
      </c>
      <c r="L44" s="2"/>
    </row>
    <row r="45" spans="1:12" x14ac:dyDescent="0.25">
      <c r="A45" t="s">
        <v>76</v>
      </c>
      <c r="B45" s="2" t="s">
        <v>91</v>
      </c>
      <c r="C45" t="s">
        <v>80</v>
      </c>
      <c r="E45" t="str">
        <f>_xlfn.CONCAT("FretRout",LEFT(B45,3),RIGHT(B45,1),"PTAC")</f>
        <v>FretRoutCat3PTAC</v>
      </c>
      <c r="F45" t="s">
        <v>36</v>
      </c>
      <c r="G45">
        <v>1</v>
      </c>
      <c r="I45" t="s">
        <v>1451</v>
      </c>
      <c r="K45" s="4" t="str">
        <f t="shared" si="2"/>
        <v>&lt;=3,5t</v>
      </c>
      <c r="L45" s="2"/>
    </row>
    <row r="46" spans="1:12" x14ac:dyDescent="0.25">
      <c r="A46" t="s">
        <v>76</v>
      </c>
      <c r="B46" s="2" t="s">
        <v>91</v>
      </c>
      <c r="C46" t="s">
        <v>81</v>
      </c>
      <c r="E46" t="str">
        <f>_xlfn.CONCAT("FretRout",LEFT(B46,3),RIGHT(B46,1),"Mot")</f>
        <v>FretRoutCat3Mot</v>
      </c>
      <c r="F46" t="s">
        <v>36</v>
      </c>
      <c r="G46">
        <v>1</v>
      </c>
      <c r="H46" s="2"/>
      <c r="I46" t="s">
        <v>138</v>
      </c>
      <c r="K46" s="4" t="str">
        <f t="shared" si="2"/>
        <v>Diesel</v>
      </c>
      <c r="L46" s="2"/>
    </row>
    <row r="47" spans="1:12" x14ac:dyDescent="0.25">
      <c r="A47" t="s">
        <v>76</v>
      </c>
      <c r="B47" s="2" t="s">
        <v>91</v>
      </c>
      <c r="C47" t="s">
        <v>82</v>
      </c>
      <c r="E47" t="str">
        <f>_xlfn.CONCAT("FretRout",LEFT(B47,3),RIGHT(B47,1),"Carb")</f>
        <v>FretRoutCat3Carb</v>
      </c>
      <c r="F47" t="s">
        <v>36</v>
      </c>
      <c r="G47">
        <v>1</v>
      </c>
      <c r="I47" t="s">
        <v>1449</v>
      </c>
      <c r="K47" s="4" t="str">
        <f t="shared" si="2"/>
        <v>Gazole à la pompe</v>
      </c>
      <c r="L47" s="2"/>
    </row>
    <row r="48" spans="1:12" x14ac:dyDescent="0.25">
      <c r="A48" t="s">
        <v>76</v>
      </c>
      <c r="B48" s="2" t="s">
        <v>91</v>
      </c>
      <c r="C48" t="s">
        <v>83</v>
      </c>
      <c r="E48" t="str">
        <f>_xlfn.CONCAT("FretRout",LEFT(B48,3),RIGHT(B48,1),"Euro")</f>
        <v>FretRoutCat3Euro</v>
      </c>
      <c r="F48" t="s">
        <v>36</v>
      </c>
      <c r="G48">
        <v>1</v>
      </c>
      <c r="I48">
        <v>0</v>
      </c>
      <c r="K48" s="4">
        <f t="shared" si="2"/>
        <v>0</v>
      </c>
      <c r="L48" s="2"/>
    </row>
    <row r="49" spans="1:12" x14ac:dyDescent="0.25">
      <c r="A49" t="s">
        <v>76</v>
      </c>
      <c r="B49" s="2" t="s">
        <v>91</v>
      </c>
      <c r="C49" t="s">
        <v>84</v>
      </c>
      <c r="E49" t="str">
        <f>_xlfn.CONCAT("FretRout",LEFT(B49,3),RIGHT(B49,1),"CritAir")</f>
        <v>FretRoutCat3CritAir</v>
      </c>
      <c r="F49" t="s">
        <v>36</v>
      </c>
      <c r="G49">
        <v>1</v>
      </c>
      <c r="H49" s="2"/>
      <c r="I49">
        <v>3</v>
      </c>
      <c r="K49" s="4">
        <f t="shared" si="2"/>
        <v>3</v>
      </c>
      <c r="L49" s="2"/>
    </row>
    <row r="50" spans="1:12" x14ac:dyDescent="0.25">
      <c r="A50" t="s">
        <v>76</v>
      </c>
      <c r="B50" s="2" t="s">
        <v>91</v>
      </c>
      <c r="C50" t="s">
        <v>85</v>
      </c>
      <c r="E50" t="str">
        <f>_xlfn.CONCAT("FretRout",LEFT(B50,3),RIGHT(B50,1),"Nb")</f>
        <v>FretRoutCat3Nb</v>
      </c>
      <c r="F50" t="s">
        <v>17</v>
      </c>
      <c r="G50">
        <v>1</v>
      </c>
      <c r="J50" t="s">
        <v>86</v>
      </c>
      <c r="K50">
        <v>0</v>
      </c>
      <c r="L50" s="2"/>
    </row>
    <row r="51" spans="1:12" x14ac:dyDescent="0.25">
      <c r="A51" t="s">
        <v>76</v>
      </c>
      <c r="B51" s="2" t="s">
        <v>91</v>
      </c>
      <c r="C51" t="s">
        <v>87</v>
      </c>
      <c r="E51" t="str">
        <f>_xlfn.CONCAT("FretRout",LEFT(B51,3),RIGHT(B51,1),"Dist")</f>
        <v>FretRoutCat3Dist</v>
      </c>
      <c r="F51" t="s">
        <v>17</v>
      </c>
      <c r="G51">
        <v>1</v>
      </c>
      <c r="H51" s="2"/>
      <c r="J51" t="s">
        <v>88</v>
      </c>
      <c r="K51">
        <v>17855</v>
      </c>
      <c r="L51" s="2"/>
    </row>
    <row r="52" spans="1:12" x14ac:dyDescent="0.25">
      <c r="A52" t="s">
        <v>76</v>
      </c>
      <c r="B52" s="2" t="s">
        <v>91</v>
      </c>
      <c r="C52" s="2" t="s">
        <v>89</v>
      </c>
      <c r="E52" t="str">
        <f>_xlfn.CONCAT("FretRout",LEFT(B52,3),RIGHT(B52,1),"Rempl")</f>
        <v>FretRoutCat3Rempl</v>
      </c>
      <c r="F52" t="s">
        <v>17</v>
      </c>
      <c r="G52">
        <v>1</v>
      </c>
      <c r="H52" s="3"/>
      <c r="J52" t="s">
        <v>70</v>
      </c>
      <c r="K52">
        <v>0</v>
      </c>
      <c r="L52" s="2"/>
    </row>
    <row r="53" spans="1:12" x14ac:dyDescent="0.25">
      <c r="A53" t="s">
        <v>76</v>
      </c>
      <c r="B53" s="2" t="s">
        <v>92</v>
      </c>
      <c r="C53" t="s">
        <v>78</v>
      </c>
      <c r="E53" t="str">
        <f>_xlfn.CONCAT("FretRout",LEFT(B53,3),RIGHT(B53,1),"Nom")</f>
        <v>FretRoutCat4Nom</v>
      </c>
      <c r="F53" t="s">
        <v>20</v>
      </c>
      <c r="G53">
        <v>1</v>
      </c>
      <c r="H53" s="4"/>
      <c r="I53" s="4" t="s">
        <v>389</v>
      </c>
      <c r="K53" s="4" t="str">
        <f t="shared" ref="K53:K59" si="3">I53</f>
        <v>VUL Diesel (Crit'Air 4)</v>
      </c>
      <c r="L53" s="2"/>
    </row>
    <row r="54" spans="1:12" outlineLevel="1" x14ac:dyDescent="0.25">
      <c r="A54" t="s">
        <v>76</v>
      </c>
      <c r="B54" s="2" t="s">
        <v>92</v>
      </c>
      <c r="C54" t="s">
        <v>79</v>
      </c>
      <c r="E54" t="str">
        <f>_xlfn.CONCAT("FretRout",LEFT(B54,3),RIGHT(B54,1),"Type")</f>
        <v>FretRoutCat4Type</v>
      </c>
      <c r="F54" t="s">
        <v>20</v>
      </c>
      <c r="G54">
        <v>1</v>
      </c>
      <c r="I54" t="s">
        <v>1770</v>
      </c>
      <c r="K54" s="4" t="str">
        <f t="shared" si="3"/>
        <v>VUL</v>
      </c>
      <c r="L54" s="2"/>
    </row>
    <row r="55" spans="1:12" outlineLevel="1" x14ac:dyDescent="0.25">
      <c r="A55" t="s">
        <v>76</v>
      </c>
      <c r="B55" s="2" t="s">
        <v>92</v>
      </c>
      <c r="C55" t="s">
        <v>80</v>
      </c>
      <c r="E55" t="str">
        <f>_xlfn.CONCAT("FretRout",LEFT(B55,3),RIGHT(B55,1),"PTAC")</f>
        <v>FretRoutCat4PTAC</v>
      </c>
      <c r="F55" t="s">
        <v>36</v>
      </c>
      <c r="G55">
        <v>1</v>
      </c>
      <c r="I55" t="s">
        <v>1451</v>
      </c>
      <c r="K55" s="4" t="str">
        <f t="shared" si="3"/>
        <v>&lt;=3,5t</v>
      </c>
      <c r="L55" s="2"/>
    </row>
    <row r="56" spans="1:12" outlineLevel="1" x14ac:dyDescent="0.25">
      <c r="A56" t="s">
        <v>76</v>
      </c>
      <c r="B56" s="2" t="s">
        <v>92</v>
      </c>
      <c r="C56" t="s">
        <v>81</v>
      </c>
      <c r="E56" t="str">
        <f>_xlfn.CONCAT("FretRout",LEFT(B56,3),RIGHT(B56,1),"Mot")</f>
        <v>FretRoutCat4Mot</v>
      </c>
      <c r="F56" t="s">
        <v>36</v>
      </c>
      <c r="G56">
        <v>1</v>
      </c>
      <c r="H56" s="2"/>
      <c r="I56" t="s">
        <v>138</v>
      </c>
      <c r="K56" s="4" t="str">
        <f t="shared" si="3"/>
        <v>Diesel</v>
      </c>
      <c r="L56" s="2"/>
    </row>
    <row r="57" spans="1:12" outlineLevel="1" x14ac:dyDescent="0.25">
      <c r="A57" t="s">
        <v>76</v>
      </c>
      <c r="B57" s="2" t="s">
        <v>92</v>
      </c>
      <c r="C57" t="s">
        <v>82</v>
      </c>
      <c r="E57" t="str">
        <f>_xlfn.CONCAT("FretRout",LEFT(B57,3),RIGHT(B57,1),"Carb")</f>
        <v>FretRoutCat4Carb</v>
      </c>
      <c r="F57" t="s">
        <v>36</v>
      </c>
      <c r="G57">
        <v>1</v>
      </c>
      <c r="I57" t="s">
        <v>1449</v>
      </c>
      <c r="K57" s="4" t="str">
        <f t="shared" si="3"/>
        <v>Gazole à la pompe</v>
      </c>
      <c r="L57" s="2"/>
    </row>
    <row r="58" spans="1:12" outlineLevel="1" x14ac:dyDescent="0.25">
      <c r="A58" t="s">
        <v>76</v>
      </c>
      <c r="B58" s="2" t="s">
        <v>92</v>
      </c>
      <c r="C58" t="s">
        <v>83</v>
      </c>
      <c r="E58" t="str">
        <f>_xlfn.CONCAT("FretRout",LEFT(B58,3),RIGHT(B58,1),"Euro")</f>
        <v>FretRoutCat4Euro</v>
      </c>
      <c r="F58" t="s">
        <v>36</v>
      </c>
      <c r="G58">
        <v>1</v>
      </c>
      <c r="I58">
        <v>0</v>
      </c>
      <c r="K58" s="4">
        <f t="shared" si="3"/>
        <v>0</v>
      </c>
      <c r="L58" s="2"/>
    </row>
    <row r="59" spans="1:12" outlineLevel="1" x14ac:dyDescent="0.25">
      <c r="A59" t="s">
        <v>76</v>
      </c>
      <c r="B59" s="2" t="s">
        <v>92</v>
      </c>
      <c r="C59" t="s">
        <v>84</v>
      </c>
      <c r="E59" t="str">
        <f>_xlfn.CONCAT("FretRout",LEFT(B59,3),RIGHT(B59,1),"CritAir")</f>
        <v>FretRoutCat4CritAir</v>
      </c>
      <c r="F59" t="s">
        <v>36</v>
      </c>
      <c r="G59">
        <v>1</v>
      </c>
      <c r="H59" s="2"/>
      <c r="I59">
        <v>4</v>
      </c>
      <c r="K59" s="4">
        <f t="shared" si="3"/>
        <v>4</v>
      </c>
      <c r="L59" s="2"/>
    </row>
    <row r="60" spans="1:12" outlineLevel="1" x14ac:dyDescent="0.25">
      <c r="A60" t="s">
        <v>76</v>
      </c>
      <c r="B60" s="2" t="s">
        <v>92</v>
      </c>
      <c r="C60" t="s">
        <v>85</v>
      </c>
      <c r="E60" t="str">
        <f>_xlfn.CONCAT("FretRout",LEFT(B60,3),RIGHT(B60,1),"Nb")</f>
        <v>FretRoutCat4Nb</v>
      </c>
      <c r="F60" t="s">
        <v>17</v>
      </c>
      <c r="G60">
        <v>1</v>
      </c>
      <c r="J60" t="s">
        <v>86</v>
      </c>
      <c r="K60">
        <v>0</v>
      </c>
      <c r="L60" s="2"/>
    </row>
    <row r="61" spans="1:12" outlineLevel="1" x14ac:dyDescent="0.25">
      <c r="A61" t="s">
        <v>76</v>
      </c>
      <c r="B61" s="2" t="s">
        <v>92</v>
      </c>
      <c r="C61" t="s">
        <v>87</v>
      </c>
      <c r="E61" t="str">
        <f>_xlfn.CONCAT("FretRout",LEFT(B61,3),RIGHT(B61,1),"Dist")</f>
        <v>FretRoutCat4Dist</v>
      </c>
      <c r="F61" t="s">
        <v>17</v>
      </c>
      <c r="G61">
        <v>1</v>
      </c>
      <c r="H61" s="2"/>
      <c r="J61" t="s">
        <v>88</v>
      </c>
      <c r="K61">
        <v>17855</v>
      </c>
      <c r="L61" s="2"/>
    </row>
    <row r="62" spans="1:12" outlineLevel="1" x14ac:dyDescent="0.25">
      <c r="A62" t="s">
        <v>76</v>
      </c>
      <c r="B62" s="2" t="s">
        <v>92</v>
      </c>
      <c r="C62" s="2" t="s">
        <v>89</v>
      </c>
      <c r="E62" t="str">
        <f>_xlfn.CONCAT("FretRout",LEFT(B62,3),RIGHT(B62,1),"Rempl")</f>
        <v>FretRoutCat4Rempl</v>
      </c>
      <c r="F62" t="s">
        <v>17</v>
      </c>
      <c r="G62">
        <v>1</v>
      </c>
      <c r="H62" s="3"/>
      <c r="J62" t="s">
        <v>70</v>
      </c>
      <c r="K62">
        <v>0</v>
      </c>
      <c r="L62" s="2"/>
    </row>
    <row r="63" spans="1:12" outlineLevel="1" x14ac:dyDescent="0.25">
      <c r="A63" t="s">
        <v>76</v>
      </c>
      <c r="B63" s="2" t="s">
        <v>93</v>
      </c>
      <c r="C63" t="s">
        <v>78</v>
      </c>
      <c r="E63" t="str">
        <f>_xlfn.CONCAT("FretRout",LEFT(B63,3),RIGHT(B63,1),"Nom")</f>
        <v>FretRoutCat5Nom</v>
      </c>
      <c r="F63" t="s">
        <v>20</v>
      </c>
      <c r="G63">
        <v>1</v>
      </c>
      <c r="H63" s="4"/>
      <c r="I63" s="4" t="s">
        <v>390</v>
      </c>
      <c r="K63" s="4" t="str">
        <f t="shared" ref="K63:K69" si="4">I63</f>
        <v>VUL Diesel (Crit'Air 5)</v>
      </c>
      <c r="L63" s="2"/>
    </row>
    <row r="64" spans="1:12" outlineLevel="1" x14ac:dyDescent="0.25">
      <c r="A64" t="s">
        <v>76</v>
      </c>
      <c r="B64" s="2" t="s">
        <v>93</v>
      </c>
      <c r="C64" t="s">
        <v>79</v>
      </c>
      <c r="E64" t="str">
        <f>_xlfn.CONCAT("FretRout",LEFT(B64,3),RIGHT(B64,1),"Type")</f>
        <v>FretRoutCat5Type</v>
      </c>
      <c r="F64" t="s">
        <v>20</v>
      </c>
      <c r="G64">
        <v>1</v>
      </c>
      <c r="I64" t="s">
        <v>1770</v>
      </c>
      <c r="K64" s="4" t="str">
        <f t="shared" si="4"/>
        <v>VUL</v>
      </c>
      <c r="L64" s="2"/>
    </row>
    <row r="65" spans="1:12" outlineLevel="1" x14ac:dyDescent="0.25">
      <c r="A65" t="s">
        <v>76</v>
      </c>
      <c r="B65" s="2" t="s">
        <v>93</v>
      </c>
      <c r="C65" t="s">
        <v>80</v>
      </c>
      <c r="E65" t="str">
        <f>_xlfn.CONCAT("FretRout",LEFT(B65,3),RIGHT(B65,1),"PTAC")</f>
        <v>FretRoutCat5PTAC</v>
      </c>
      <c r="F65" t="s">
        <v>36</v>
      </c>
      <c r="G65">
        <v>1</v>
      </c>
      <c r="I65" t="s">
        <v>1451</v>
      </c>
      <c r="K65" s="4" t="str">
        <f t="shared" si="4"/>
        <v>&lt;=3,5t</v>
      </c>
      <c r="L65" s="2"/>
    </row>
    <row r="66" spans="1:12" outlineLevel="1" x14ac:dyDescent="0.25">
      <c r="A66" t="s">
        <v>76</v>
      </c>
      <c r="B66" s="2" t="s">
        <v>93</v>
      </c>
      <c r="C66" t="s">
        <v>81</v>
      </c>
      <c r="E66" t="str">
        <f>_xlfn.CONCAT("FretRout",LEFT(B66,3),RIGHT(B66,1),"Mot")</f>
        <v>FretRoutCat5Mot</v>
      </c>
      <c r="F66" t="s">
        <v>36</v>
      </c>
      <c r="G66">
        <v>1</v>
      </c>
      <c r="H66" s="2"/>
      <c r="I66" t="s">
        <v>138</v>
      </c>
      <c r="K66" s="4" t="str">
        <f t="shared" si="4"/>
        <v>Diesel</v>
      </c>
      <c r="L66" s="2"/>
    </row>
    <row r="67" spans="1:12" outlineLevel="1" x14ac:dyDescent="0.25">
      <c r="A67" t="s">
        <v>76</v>
      </c>
      <c r="B67" s="2" t="s">
        <v>93</v>
      </c>
      <c r="C67" t="s">
        <v>82</v>
      </c>
      <c r="E67" t="str">
        <f>_xlfn.CONCAT("FretRout",LEFT(B67,3),RIGHT(B67,1),"Carb")</f>
        <v>FretRoutCat5Carb</v>
      </c>
      <c r="F67" t="s">
        <v>36</v>
      </c>
      <c r="G67">
        <v>1</v>
      </c>
      <c r="I67" t="s">
        <v>1449</v>
      </c>
      <c r="K67" s="4" t="str">
        <f t="shared" si="4"/>
        <v>Gazole à la pompe</v>
      </c>
      <c r="L67" s="2"/>
    </row>
    <row r="68" spans="1:12" outlineLevel="1" x14ac:dyDescent="0.25">
      <c r="A68" t="s">
        <v>76</v>
      </c>
      <c r="B68" s="2" t="s">
        <v>93</v>
      </c>
      <c r="C68" t="s">
        <v>83</v>
      </c>
      <c r="E68" t="str">
        <f>_xlfn.CONCAT("FretRout",LEFT(B68,3),RIGHT(B68,1),"Euro")</f>
        <v>FretRoutCat5Euro</v>
      </c>
      <c r="F68" t="s">
        <v>36</v>
      </c>
      <c r="G68">
        <v>1</v>
      </c>
      <c r="I68">
        <v>0</v>
      </c>
      <c r="K68" s="4">
        <f t="shared" si="4"/>
        <v>0</v>
      </c>
      <c r="L68" s="2"/>
    </row>
    <row r="69" spans="1:12" outlineLevel="1" x14ac:dyDescent="0.25">
      <c r="A69" t="s">
        <v>76</v>
      </c>
      <c r="B69" s="2" t="s">
        <v>93</v>
      </c>
      <c r="C69" t="s">
        <v>84</v>
      </c>
      <c r="E69" t="str">
        <f>_xlfn.CONCAT("FretRout",LEFT(B69,3),RIGHT(B69,1),"CritAir")</f>
        <v>FretRoutCat5CritAir</v>
      </c>
      <c r="F69" t="s">
        <v>36</v>
      </c>
      <c r="G69">
        <v>1</v>
      </c>
      <c r="H69" s="2"/>
      <c r="I69">
        <v>5</v>
      </c>
      <c r="K69" s="4">
        <f t="shared" si="4"/>
        <v>5</v>
      </c>
      <c r="L69" s="2"/>
    </row>
    <row r="70" spans="1:12" outlineLevel="1" x14ac:dyDescent="0.25">
      <c r="A70" t="s">
        <v>76</v>
      </c>
      <c r="B70" s="2" t="s">
        <v>93</v>
      </c>
      <c r="C70" t="s">
        <v>85</v>
      </c>
      <c r="E70" t="str">
        <f>_xlfn.CONCAT("FretRout",LEFT(B70,3),RIGHT(B70,1),"Nb")</f>
        <v>FretRoutCat5Nb</v>
      </c>
      <c r="F70" t="s">
        <v>17</v>
      </c>
      <c r="G70">
        <v>1</v>
      </c>
      <c r="J70" t="s">
        <v>86</v>
      </c>
      <c r="K70">
        <v>0</v>
      </c>
      <c r="L70" s="2"/>
    </row>
    <row r="71" spans="1:12" outlineLevel="1" x14ac:dyDescent="0.25">
      <c r="A71" t="s">
        <v>76</v>
      </c>
      <c r="B71" s="2" t="s">
        <v>93</v>
      </c>
      <c r="C71" t="s">
        <v>87</v>
      </c>
      <c r="E71" t="str">
        <f>_xlfn.CONCAT("FretRout",LEFT(B71,3),RIGHT(B71,1),"Dist")</f>
        <v>FretRoutCat5Dist</v>
      </c>
      <c r="F71" t="s">
        <v>17</v>
      </c>
      <c r="G71">
        <v>1</v>
      </c>
      <c r="H71" s="2"/>
      <c r="J71" t="s">
        <v>88</v>
      </c>
      <c r="K71">
        <v>17855</v>
      </c>
      <c r="L71" s="2"/>
    </row>
    <row r="72" spans="1:12" outlineLevel="1" x14ac:dyDescent="0.25">
      <c r="A72" t="s">
        <v>76</v>
      </c>
      <c r="B72" s="2" t="s">
        <v>93</v>
      </c>
      <c r="C72" s="2" t="s">
        <v>89</v>
      </c>
      <c r="E72" t="str">
        <f>_xlfn.CONCAT("FretRout",LEFT(B72,3),RIGHT(B72,1),"Rempl")</f>
        <v>FretRoutCat5Rempl</v>
      </c>
      <c r="F72" t="s">
        <v>17</v>
      </c>
      <c r="G72">
        <v>1</v>
      </c>
      <c r="H72" s="3"/>
      <c r="J72" t="s">
        <v>70</v>
      </c>
      <c r="K72">
        <v>0</v>
      </c>
      <c r="L72" s="2"/>
    </row>
    <row r="73" spans="1:12" outlineLevel="1" x14ac:dyDescent="0.25">
      <c r="A73" t="s">
        <v>76</v>
      </c>
      <c r="B73" s="2" t="s">
        <v>94</v>
      </c>
      <c r="C73" t="s">
        <v>78</v>
      </c>
      <c r="E73" t="str">
        <f>_xlfn.CONCAT("FretRout",LEFT(B73,3),RIGHT(B73,1),"Nom")</f>
        <v>FretRoutCat6Nom</v>
      </c>
      <c r="F73" t="s">
        <v>20</v>
      </c>
      <c r="G73">
        <v>1</v>
      </c>
      <c r="H73" s="4"/>
      <c r="I73" s="4" t="s">
        <v>391</v>
      </c>
      <c r="K73" s="4" t="str">
        <f t="shared" ref="K73:K79" si="5">I73</f>
        <v>VUL Essence (Crit'Air 1)</v>
      </c>
      <c r="L73" s="2"/>
    </row>
    <row r="74" spans="1:12" outlineLevel="1" x14ac:dyDescent="0.25">
      <c r="A74" t="s">
        <v>76</v>
      </c>
      <c r="B74" s="2" t="s">
        <v>94</v>
      </c>
      <c r="C74" t="s">
        <v>79</v>
      </c>
      <c r="E74" t="str">
        <f>_xlfn.CONCAT("FretRout",LEFT(B74,3),RIGHT(B74,1),"Type")</f>
        <v>FretRoutCat6Type</v>
      </c>
      <c r="F74" t="s">
        <v>20</v>
      </c>
      <c r="G74">
        <v>1</v>
      </c>
      <c r="I74" t="s">
        <v>1770</v>
      </c>
      <c r="K74" s="4" t="str">
        <f t="shared" si="5"/>
        <v>VUL</v>
      </c>
      <c r="L74" s="2"/>
    </row>
    <row r="75" spans="1:12" outlineLevel="1" x14ac:dyDescent="0.25">
      <c r="A75" t="s">
        <v>76</v>
      </c>
      <c r="B75" s="2" t="s">
        <v>94</v>
      </c>
      <c r="C75" t="s">
        <v>80</v>
      </c>
      <c r="E75" t="str">
        <f>_xlfn.CONCAT("FretRout",LEFT(B75,3),RIGHT(B75,1),"PTAC")</f>
        <v>FretRoutCat6PTAC</v>
      </c>
      <c r="F75" t="s">
        <v>36</v>
      </c>
      <c r="G75">
        <v>1</v>
      </c>
      <c r="I75" t="s">
        <v>1451</v>
      </c>
      <c r="K75" s="4" t="str">
        <f t="shared" si="5"/>
        <v>&lt;=3,5t</v>
      </c>
      <c r="L75" s="2"/>
    </row>
    <row r="76" spans="1:12" outlineLevel="1" x14ac:dyDescent="0.25">
      <c r="A76" t="s">
        <v>76</v>
      </c>
      <c r="B76" s="2" t="s">
        <v>94</v>
      </c>
      <c r="C76" t="s">
        <v>81</v>
      </c>
      <c r="E76" t="str">
        <f>_xlfn.CONCAT("FretRout",LEFT(B76,3),RIGHT(B76,1),"Mot")</f>
        <v>FretRoutCat6Mot</v>
      </c>
      <c r="F76" t="s">
        <v>36</v>
      </c>
      <c r="G76">
        <v>1</v>
      </c>
      <c r="H76" s="2"/>
      <c r="I76" t="s">
        <v>1454</v>
      </c>
      <c r="K76" s="4" t="str">
        <f t="shared" si="5"/>
        <v>Essence</v>
      </c>
      <c r="L76" s="2"/>
    </row>
    <row r="77" spans="1:12" outlineLevel="1" x14ac:dyDescent="0.25">
      <c r="A77" t="s">
        <v>76</v>
      </c>
      <c r="B77" s="2" t="s">
        <v>94</v>
      </c>
      <c r="C77" t="s">
        <v>82</v>
      </c>
      <c r="E77" t="str">
        <f>_xlfn.CONCAT("FretRout",LEFT(B77,3),RIGHT(B77,1),"Carb")</f>
        <v>FretRoutCat6Carb</v>
      </c>
      <c r="F77" t="s">
        <v>36</v>
      </c>
      <c r="G77">
        <v>1</v>
      </c>
      <c r="I77" t="s">
        <v>1455</v>
      </c>
      <c r="K77" s="4" t="str">
        <f t="shared" si="5"/>
        <v>Essence à la pompe</v>
      </c>
      <c r="L77" s="2"/>
    </row>
    <row r="78" spans="1:12" outlineLevel="1" x14ac:dyDescent="0.25">
      <c r="A78" t="s">
        <v>76</v>
      </c>
      <c r="B78" s="2" t="s">
        <v>94</v>
      </c>
      <c r="C78" t="s">
        <v>83</v>
      </c>
      <c r="E78" t="str">
        <f>_xlfn.CONCAT("FretRout",LEFT(B78,3),RIGHT(B78,1),"Euro")</f>
        <v>FretRoutCat6Euro</v>
      </c>
      <c r="F78" t="s">
        <v>36</v>
      </c>
      <c r="G78">
        <v>1</v>
      </c>
      <c r="I78">
        <v>0</v>
      </c>
      <c r="K78" s="4">
        <f t="shared" si="5"/>
        <v>0</v>
      </c>
      <c r="L78" s="2"/>
    </row>
    <row r="79" spans="1:12" outlineLevel="1" x14ac:dyDescent="0.25">
      <c r="A79" t="s">
        <v>76</v>
      </c>
      <c r="B79" s="2" t="s">
        <v>94</v>
      </c>
      <c r="C79" t="s">
        <v>84</v>
      </c>
      <c r="E79" t="str">
        <f>_xlfn.CONCAT("FretRout",LEFT(B79,3),RIGHT(B79,1),"CritAir")</f>
        <v>FretRoutCat6CritAir</v>
      </c>
      <c r="F79" t="s">
        <v>36</v>
      </c>
      <c r="G79">
        <v>1</v>
      </c>
      <c r="H79" s="2"/>
      <c r="I79">
        <v>1</v>
      </c>
      <c r="K79" s="4">
        <f t="shared" si="5"/>
        <v>1</v>
      </c>
      <c r="L79" s="2"/>
    </row>
    <row r="80" spans="1:12" outlineLevel="1" x14ac:dyDescent="0.25">
      <c r="A80" t="s">
        <v>76</v>
      </c>
      <c r="B80" s="2" t="s">
        <v>94</v>
      </c>
      <c r="C80" t="s">
        <v>85</v>
      </c>
      <c r="E80" t="str">
        <f>_xlfn.CONCAT("FretRout",LEFT(B80,3),RIGHT(B80,1),"Nb")</f>
        <v>FretRoutCat6Nb</v>
      </c>
      <c r="F80" t="s">
        <v>17</v>
      </c>
      <c r="G80">
        <v>1</v>
      </c>
      <c r="J80" t="s">
        <v>86</v>
      </c>
      <c r="K80">
        <v>0</v>
      </c>
      <c r="L80" s="2"/>
    </row>
    <row r="81" spans="1:12" outlineLevel="1" x14ac:dyDescent="0.25">
      <c r="A81" t="s">
        <v>76</v>
      </c>
      <c r="B81" s="2" t="s">
        <v>94</v>
      </c>
      <c r="C81" t="s">
        <v>87</v>
      </c>
      <c r="E81" t="str">
        <f>_xlfn.CONCAT("FretRout",LEFT(B81,3),RIGHT(B81,1),"Dist")</f>
        <v>FretRoutCat6Dist</v>
      </c>
      <c r="F81" t="s">
        <v>17</v>
      </c>
      <c r="G81">
        <v>1</v>
      </c>
      <c r="H81" s="2"/>
      <c r="J81" t="s">
        <v>88</v>
      </c>
      <c r="K81">
        <v>11201</v>
      </c>
      <c r="L81" s="2"/>
    </row>
    <row r="82" spans="1:12" outlineLevel="1" x14ac:dyDescent="0.25">
      <c r="A82" t="s">
        <v>76</v>
      </c>
      <c r="B82" s="2" t="s">
        <v>94</v>
      </c>
      <c r="C82" s="2" t="s">
        <v>89</v>
      </c>
      <c r="E82" t="str">
        <f>_xlfn.CONCAT("FretRout",LEFT(B82,3),RIGHT(B82,1),"Rempl")</f>
        <v>FretRoutCat6Rempl</v>
      </c>
      <c r="F82" t="s">
        <v>17</v>
      </c>
      <c r="G82">
        <v>1</v>
      </c>
      <c r="H82" s="3"/>
      <c r="J82" t="s">
        <v>70</v>
      </c>
      <c r="K82">
        <v>0</v>
      </c>
      <c r="L82" s="2"/>
    </row>
    <row r="83" spans="1:12" outlineLevel="1" x14ac:dyDescent="0.25">
      <c r="A83" t="s">
        <v>76</v>
      </c>
      <c r="B83" s="2" t="s">
        <v>95</v>
      </c>
      <c r="C83" t="s">
        <v>78</v>
      </c>
      <c r="E83" t="str">
        <f>_xlfn.CONCAT("FretRout",LEFT(B83,3),RIGHT(B83,1),"Nom")</f>
        <v>FretRoutCat7Nom</v>
      </c>
      <c r="F83" t="s">
        <v>20</v>
      </c>
      <c r="G83">
        <v>1</v>
      </c>
      <c r="H83" s="4"/>
      <c r="I83" s="4" t="s">
        <v>392</v>
      </c>
      <c r="K83" s="4" t="str">
        <f t="shared" ref="K83:K89" si="6">I83</f>
        <v>VUL Essence &lt;=3,5t (Crit'Air 2)</v>
      </c>
      <c r="L83" s="2"/>
    </row>
    <row r="84" spans="1:12" outlineLevel="1" x14ac:dyDescent="0.25">
      <c r="A84" t="s">
        <v>76</v>
      </c>
      <c r="B84" s="2" t="s">
        <v>95</v>
      </c>
      <c r="C84" t="s">
        <v>79</v>
      </c>
      <c r="E84" t="str">
        <f>_xlfn.CONCAT("FretRout",LEFT(B84,3),RIGHT(B84,1),"Type")</f>
        <v>FretRoutCat7Type</v>
      </c>
      <c r="F84" t="s">
        <v>20</v>
      </c>
      <c r="G84">
        <v>1</v>
      </c>
      <c r="I84" t="s">
        <v>1770</v>
      </c>
      <c r="K84" s="4" t="str">
        <f t="shared" si="6"/>
        <v>VUL</v>
      </c>
      <c r="L84" s="2"/>
    </row>
    <row r="85" spans="1:12" outlineLevel="1" x14ac:dyDescent="0.25">
      <c r="A85" t="s">
        <v>76</v>
      </c>
      <c r="B85" s="2" t="s">
        <v>95</v>
      </c>
      <c r="C85" t="s">
        <v>80</v>
      </c>
      <c r="E85" t="str">
        <f>_xlfn.CONCAT("FretRout",LEFT(B85,3),RIGHT(B85,1),"PTAC")</f>
        <v>FretRoutCat7PTAC</v>
      </c>
      <c r="F85" t="s">
        <v>36</v>
      </c>
      <c r="G85">
        <v>1</v>
      </c>
      <c r="I85" t="s">
        <v>1451</v>
      </c>
      <c r="K85" s="4" t="str">
        <f t="shared" si="6"/>
        <v>&lt;=3,5t</v>
      </c>
      <c r="L85" s="2"/>
    </row>
    <row r="86" spans="1:12" outlineLevel="1" x14ac:dyDescent="0.25">
      <c r="A86" t="s">
        <v>76</v>
      </c>
      <c r="B86" s="2" t="s">
        <v>95</v>
      </c>
      <c r="C86" t="s">
        <v>81</v>
      </c>
      <c r="E86" t="str">
        <f>_xlfn.CONCAT("FretRout",LEFT(B86,3),RIGHT(B86,1),"Mot")</f>
        <v>FretRoutCat7Mot</v>
      </c>
      <c r="F86" t="s">
        <v>36</v>
      </c>
      <c r="G86">
        <v>1</v>
      </c>
      <c r="H86" s="2"/>
      <c r="I86" t="s">
        <v>1454</v>
      </c>
      <c r="K86" s="4" t="str">
        <f t="shared" si="6"/>
        <v>Essence</v>
      </c>
      <c r="L86" s="2"/>
    </row>
    <row r="87" spans="1:12" outlineLevel="1" x14ac:dyDescent="0.25">
      <c r="A87" t="s">
        <v>76</v>
      </c>
      <c r="B87" s="2" t="s">
        <v>95</v>
      </c>
      <c r="C87" t="s">
        <v>82</v>
      </c>
      <c r="E87" t="str">
        <f>_xlfn.CONCAT("FretRout",LEFT(B87,3),RIGHT(B87,1),"Carb")</f>
        <v>FretRoutCat7Carb</v>
      </c>
      <c r="F87" t="s">
        <v>36</v>
      </c>
      <c r="G87">
        <v>1</v>
      </c>
      <c r="I87" t="s">
        <v>1455</v>
      </c>
      <c r="K87" s="4" t="str">
        <f t="shared" si="6"/>
        <v>Essence à la pompe</v>
      </c>
      <c r="L87" s="2"/>
    </row>
    <row r="88" spans="1:12" outlineLevel="1" x14ac:dyDescent="0.25">
      <c r="A88" t="s">
        <v>76</v>
      </c>
      <c r="B88" s="2" t="s">
        <v>95</v>
      </c>
      <c r="C88" t="s">
        <v>83</v>
      </c>
      <c r="E88" t="str">
        <f>_xlfn.CONCAT("FretRout",LEFT(B88,3),RIGHT(B88,1),"Euro")</f>
        <v>FretRoutCat7Euro</v>
      </c>
      <c r="F88" t="s">
        <v>36</v>
      </c>
      <c r="G88">
        <v>1</v>
      </c>
      <c r="I88">
        <v>0</v>
      </c>
      <c r="K88" s="4">
        <f t="shared" si="6"/>
        <v>0</v>
      </c>
      <c r="L88" s="2"/>
    </row>
    <row r="89" spans="1:12" outlineLevel="1" x14ac:dyDescent="0.25">
      <c r="A89" t="s">
        <v>76</v>
      </c>
      <c r="B89" s="2" t="s">
        <v>95</v>
      </c>
      <c r="C89" t="s">
        <v>84</v>
      </c>
      <c r="E89" t="str">
        <f>_xlfn.CONCAT("FretRout",LEFT(B89,3),RIGHT(B89,1),"CritAir")</f>
        <v>FretRoutCat7CritAir</v>
      </c>
      <c r="F89" t="s">
        <v>36</v>
      </c>
      <c r="G89">
        <v>1</v>
      </c>
      <c r="H89" s="2"/>
      <c r="I89">
        <v>2</v>
      </c>
      <c r="K89" s="4">
        <f t="shared" si="6"/>
        <v>2</v>
      </c>
      <c r="L89" s="2"/>
    </row>
    <row r="90" spans="1:12" outlineLevel="1" x14ac:dyDescent="0.25">
      <c r="A90" t="s">
        <v>76</v>
      </c>
      <c r="B90" s="2" t="s">
        <v>95</v>
      </c>
      <c r="C90" t="s">
        <v>85</v>
      </c>
      <c r="E90" t="str">
        <f>_xlfn.CONCAT("FretRout",LEFT(B90,3),RIGHT(B90,1),"Nb")</f>
        <v>FretRoutCat7Nb</v>
      </c>
      <c r="F90" t="s">
        <v>17</v>
      </c>
      <c r="G90">
        <v>1</v>
      </c>
      <c r="J90" t="s">
        <v>86</v>
      </c>
      <c r="K90">
        <v>0</v>
      </c>
      <c r="L90" s="2"/>
    </row>
    <row r="91" spans="1:12" outlineLevel="1" x14ac:dyDescent="0.25">
      <c r="A91" t="s">
        <v>76</v>
      </c>
      <c r="B91" s="2" t="s">
        <v>95</v>
      </c>
      <c r="C91" t="s">
        <v>87</v>
      </c>
      <c r="E91" t="str">
        <f>_xlfn.CONCAT("FretRout",LEFT(B91,3),RIGHT(B91,1),"Dist")</f>
        <v>FretRoutCat7Dist</v>
      </c>
      <c r="F91" t="s">
        <v>17</v>
      </c>
      <c r="G91">
        <v>1</v>
      </c>
      <c r="H91" s="2"/>
      <c r="J91" t="s">
        <v>88</v>
      </c>
      <c r="K91">
        <v>11201</v>
      </c>
      <c r="L91" s="2"/>
    </row>
    <row r="92" spans="1:12" outlineLevel="1" x14ac:dyDescent="0.25">
      <c r="A92" t="s">
        <v>76</v>
      </c>
      <c r="B92" s="2" t="s">
        <v>95</v>
      </c>
      <c r="C92" s="2" t="s">
        <v>89</v>
      </c>
      <c r="E92" t="str">
        <f>_xlfn.CONCAT("FretRout",LEFT(B92,3),RIGHT(B92,1),"Rempl")</f>
        <v>FretRoutCat7Rempl</v>
      </c>
      <c r="F92" t="s">
        <v>17</v>
      </c>
      <c r="G92">
        <v>1</v>
      </c>
      <c r="H92" s="3"/>
      <c r="J92" t="s">
        <v>70</v>
      </c>
      <c r="K92">
        <v>0</v>
      </c>
      <c r="L92" s="2"/>
    </row>
    <row r="93" spans="1:12" outlineLevel="1" x14ac:dyDescent="0.25">
      <c r="A93" t="s">
        <v>76</v>
      </c>
      <c r="B93" s="2" t="s">
        <v>96</v>
      </c>
      <c r="C93" t="s">
        <v>78</v>
      </c>
      <c r="E93" t="str">
        <f>_xlfn.CONCAT("FretRout",LEFT(B93,3),RIGHT(B93,1),"Nom")</f>
        <v>FretRoutCat8Nom</v>
      </c>
      <c r="F93" t="s">
        <v>20</v>
      </c>
      <c r="G93">
        <v>1</v>
      </c>
      <c r="H93" s="4"/>
      <c r="I93" s="4" t="s">
        <v>393</v>
      </c>
      <c r="K93" s="4" t="str">
        <f t="shared" ref="K93:K99" si="7">I93</f>
        <v>VUL Essence &lt;=3,5t (Crit'Air 3)</v>
      </c>
      <c r="L93" s="2"/>
    </row>
    <row r="94" spans="1:12" outlineLevel="1" x14ac:dyDescent="0.25">
      <c r="A94" t="s">
        <v>76</v>
      </c>
      <c r="B94" s="2" t="s">
        <v>96</v>
      </c>
      <c r="C94" t="s">
        <v>79</v>
      </c>
      <c r="E94" t="str">
        <f>_xlfn.CONCAT("FretRout",LEFT(B94,3),RIGHT(B94,1),"Type")</f>
        <v>FretRoutCat8Type</v>
      </c>
      <c r="F94" t="s">
        <v>20</v>
      </c>
      <c r="G94">
        <v>1</v>
      </c>
      <c r="I94" t="s">
        <v>1770</v>
      </c>
      <c r="K94" s="4" t="str">
        <f t="shared" si="7"/>
        <v>VUL</v>
      </c>
      <c r="L94" s="2"/>
    </row>
    <row r="95" spans="1:12" outlineLevel="1" x14ac:dyDescent="0.25">
      <c r="A95" t="s">
        <v>76</v>
      </c>
      <c r="B95" s="2" t="s">
        <v>96</v>
      </c>
      <c r="C95" t="s">
        <v>80</v>
      </c>
      <c r="E95" t="str">
        <f>_xlfn.CONCAT("FretRout",LEFT(B95,3),RIGHT(B95,1),"PTAC")</f>
        <v>FretRoutCat8PTAC</v>
      </c>
      <c r="F95" t="s">
        <v>36</v>
      </c>
      <c r="G95">
        <v>1</v>
      </c>
      <c r="I95" t="s">
        <v>1451</v>
      </c>
      <c r="K95" s="4" t="str">
        <f t="shared" si="7"/>
        <v>&lt;=3,5t</v>
      </c>
      <c r="L95" s="2"/>
    </row>
    <row r="96" spans="1:12" outlineLevel="1" x14ac:dyDescent="0.25">
      <c r="A96" t="s">
        <v>76</v>
      </c>
      <c r="B96" s="2" t="s">
        <v>96</v>
      </c>
      <c r="C96" t="s">
        <v>81</v>
      </c>
      <c r="E96" t="str">
        <f>_xlfn.CONCAT("FretRout",LEFT(B96,3),RIGHT(B96,1),"Mot")</f>
        <v>FretRoutCat8Mot</v>
      </c>
      <c r="F96" t="s">
        <v>36</v>
      </c>
      <c r="G96">
        <v>1</v>
      </c>
      <c r="H96" s="2"/>
      <c r="I96" t="s">
        <v>1454</v>
      </c>
      <c r="K96" s="4" t="str">
        <f t="shared" si="7"/>
        <v>Essence</v>
      </c>
      <c r="L96" s="2"/>
    </row>
    <row r="97" spans="1:12" outlineLevel="1" x14ac:dyDescent="0.25">
      <c r="A97" t="s">
        <v>76</v>
      </c>
      <c r="B97" s="2" t="s">
        <v>96</v>
      </c>
      <c r="C97" t="s">
        <v>82</v>
      </c>
      <c r="E97" t="str">
        <f>_xlfn.CONCAT("FretRout",LEFT(B97,3),RIGHT(B97,1),"Carb")</f>
        <v>FretRoutCat8Carb</v>
      </c>
      <c r="F97" t="s">
        <v>36</v>
      </c>
      <c r="G97">
        <v>1</v>
      </c>
      <c r="I97" t="s">
        <v>1455</v>
      </c>
      <c r="K97" s="4" t="str">
        <f t="shared" si="7"/>
        <v>Essence à la pompe</v>
      </c>
      <c r="L97" s="2"/>
    </row>
    <row r="98" spans="1:12" outlineLevel="1" x14ac:dyDescent="0.25">
      <c r="A98" t="s">
        <v>76</v>
      </c>
      <c r="B98" s="2" t="s">
        <v>96</v>
      </c>
      <c r="C98" t="s">
        <v>83</v>
      </c>
      <c r="E98" t="str">
        <f>_xlfn.CONCAT("FretRout",LEFT(B98,3),RIGHT(B98,1),"Euro")</f>
        <v>FretRoutCat8Euro</v>
      </c>
      <c r="F98" t="s">
        <v>36</v>
      </c>
      <c r="G98">
        <v>1</v>
      </c>
      <c r="I98">
        <v>0</v>
      </c>
      <c r="K98" s="4">
        <f t="shared" si="7"/>
        <v>0</v>
      </c>
      <c r="L98" s="2"/>
    </row>
    <row r="99" spans="1:12" outlineLevel="1" x14ac:dyDescent="0.25">
      <c r="A99" t="s">
        <v>76</v>
      </c>
      <c r="B99" s="2" t="s">
        <v>96</v>
      </c>
      <c r="C99" t="s">
        <v>84</v>
      </c>
      <c r="E99" t="str">
        <f>_xlfn.CONCAT("FretRout",LEFT(B99,3),RIGHT(B99,1),"CritAir")</f>
        <v>FretRoutCat8CritAir</v>
      </c>
      <c r="F99" t="s">
        <v>36</v>
      </c>
      <c r="G99">
        <v>1</v>
      </c>
      <c r="H99" s="2"/>
      <c r="I99">
        <v>3</v>
      </c>
      <c r="K99" s="4">
        <f t="shared" si="7"/>
        <v>3</v>
      </c>
    </row>
    <row r="100" spans="1:12" outlineLevel="1" x14ac:dyDescent="0.25">
      <c r="A100" t="s">
        <v>76</v>
      </c>
      <c r="B100" s="2" t="s">
        <v>96</v>
      </c>
      <c r="C100" t="s">
        <v>85</v>
      </c>
      <c r="E100" t="str">
        <f>_xlfn.CONCAT("FretRout",LEFT(B100,3),RIGHT(B100,1),"Nb")</f>
        <v>FretRoutCat8Nb</v>
      </c>
      <c r="F100" t="s">
        <v>17</v>
      </c>
      <c r="G100">
        <v>1</v>
      </c>
      <c r="J100" t="s">
        <v>86</v>
      </c>
      <c r="K100">
        <v>0</v>
      </c>
    </row>
    <row r="101" spans="1:12" outlineLevel="1" x14ac:dyDescent="0.25">
      <c r="A101" t="s">
        <v>76</v>
      </c>
      <c r="B101" s="2" t="s">
        <v>96</v>
      </c>
      <c r="C101" t="s">
        <v>87</v>
      </c>
      <c r="E101" t="str">
        <f>_xlfn.CONCAT("FretRout",LEFT(B101,3),RIGHT(B101,1),"Dist")</f>
        <v>FretRoutCat8Dist</v>
      </c>
      <c r="F101" t="s">
        <v>17</v>
      </c>
      <c r="G101">
        <v>1</v>
      </c>
      <c r="H101" s="2"/>
      <c r="J101" t="s">
        <v>88</v>
      </c>
      <c r="K101">
        <v>11201</v>
      </c>
    </row>
    <row r="102" spans="1:12" outlineLevel="1" x14ac:dyDescent="0.25">
      <c r="A102" t="s">
        <v>76</v>
      </c>
      <c r="B102" s="2" t="s">
        <v>96</v>
      </c>
      <c r="C102" s="2" t="s">
        <v>89</v>
      </c>
      <c r="E102" t="str">
        <f>_xlfn.CONCAT("FretRout",LEFT(B102,3),RIGHT(B102,1),"Rempl")</f>
        <v>FretRoutCat8Rempl</v>
      </c>
      <c r="F102" t="s">
        <v>17</v>
      </c>
      <c r="G102">
        <v>1</v>
      </c>
      <c r="H102" s="3"/>
      <c r="J102" t="s">
        <v>70</v>
      </c>
      <c r="K102">
        <v>0</v>
      </c>
    </row>
    <row r="103" spans="1:12" outlineLevel="1" x14ac:dyDescent="0.25">
      <c r="A103" t="s">
        <v>76</v>
      </c>
      <c r="B103" s="2" t="s">
        <v>97</v>
      </c>
      <c r="C103" t="s">
        <v>78</v>
      </c>
      <c r="E103" t="str">
        <f>_xlfn.CONCAT("FretRout",LEFT(B103,3),RIGHT(B103,1),"Nom")</f>
        <v>FretRoutCat9Nom</v>
      </c>
      <c r="F103" t="s">
        <v>20</v>
      </c>
      <c r="G103">
        <v>1</v>
      </c>
      <c r="H103" s="4"/>
      <c r="I103" s="4" t="s">
        <v>394</v>
      </c>
      <c r="K103" s="4" t="str">
        <f t="shared" ref="K103:K109" si="8">I103</f>
        <v>VUL Gaz (GNC) (Crit'Air 1)</v>
      </c>
    </row>
    <row r="104" spans="1:12" outlineLevel="1" x14ac:dyDescent="0.25">
      <c r="A104" t="s">
        <v>76</v>
      </c>
      <c r="B104" s="2" t="s">
        <v>97</v>
      </c>
      <c r="C104" t="s">
        <v>79</v>
      </c>
      <c r="E104" t="str">
        <f>_xlfn.CONCAT("FretRout",LEFT(B104,3),RIGHT(B104,1),"Type")</f>
        <v>FretRoutCat9Type</v>
      </c>
      <c r="F104" t="s">
        <v>20</v>
      </c>
      <c r="G104">
        <v>1</v>
      </c>
      <c r="I104" t="s">
        <v>1770</v>
      </c>
      <c r="K104" s="4" t="str">
        <f t="shared" si="8"/>
        <v>VUL</v>
      </c>
    </row>
    <row r="105" spans="1:12" outlineLevel="1" x14ac:dyDescent="0.25">
      <c r="A105" t="s">
        <v>76</v>
      </c>
      <c r="B105" s="2" t="s">
        <v>97</v>
      </c>
      <c r="C105" t="s">
        <v>80</v>
      </c>
      <c r="E105" t="str">
        <f>_xlfn.CONCAT("FretRout",LEFT(B105,3),RIGHT(B105,1),"PTAC")</f>
        <v>FretRoutCat9PTAC</v>
      </c>
      <c r="F105" t="s">
        <v>36</v>
      </c>
      <c r="G105">
        <v>1</v>
      </c>
      <c r="I105" t="s">
        <v>1451</v>
      </c>
      <c r="K105" s="4" t="str">
        <f t="shared" si="8"/>
        <v>&lt;=3,5t</v>
      </c>
    </row>
    <row r="106" spans="1:12" outlineLevel="1" x14ac:dyDescent="0.25">
      <c r="A106" t="s">
        <v>76</v>
      </c>
      <c r="B106" s="2" t="s">
        <v>97</v>
      </c>
      <c r="C106" t="s">
        <v>81</v>
      </c>
      <c r="E106" t="str">
        <f>_xlfn.CONCAT("FretRout",LEFT(B106,3),RIGHT(B106,1),"Mot")</f>
        <v>FretRoutCat9Mot</v>
      </c>
      <c r="F106" t="s">
        <v>36</v>
      </c>
      <c r="G106">
        <v>1</v>
      </c>
      <c r="H106" s="2"/>
      <c r="I106" t="s">
        <v>1456</v>
      </c>
      <c r="K106" s="4" t="str">
        <f t="shared" si="8"/>
        <v>Gaz (GNC)</v>
      </c>
    </row>
    <row r="107" spans="1:12" outlineLevel="1" x14ac:dyDescent="0.25">
      <c r="A107" t="s">
        <v>76</v>
      </c>
      <c r="B107" s="2" t="s">
        <v>97</v>
      </c>
      <c r="C107" t="s">
        <v>82</v>
      </c>
      <c r="E107" t="str">
        <f>_xlfn.CONCAT("FretRout",LEFT(B107,3),RIGHT(B107,1),"Carb")</f>
        <v>FretRoutCat9Carb</v>
      </c>
      <c r="F107" t="s">
        <v>36</v>
      </c>
      <c r="G107">
        <v>1</v>
      </c>
      <c r="I107">
        <v>0</v>
      </c>
      <c r="K107" s="4">
        <f t="shared" si="8"/>
        <v>0</v>
      </c>
    </row>
    <row r="108" spans="1:12" outlineLevel="1" x14ac:dyDescent="0.25">
      <c r="A108" t="s">
        <v>76</v>
      </c>
      <c r="B108" s="2" t="s">
        <v>97</v>
      </c>
      <c r="C108" t="s">
        <v>83</v>
      </c>
      <c r="E108" t="str">
        <f>_xlfn.CONCAT("FretRout",LEFT(B108,3),RIGHT(B108,1),"Euro")</f>
        <v>FretRoutCat9Euro</v>
      </c>
      <c r="F108" t="s">
        <v>36</v>
      </c>
      <c r="G108">
        <v>1</v>
      </c>
      <c r="I108">
        <v>0</v>
      </c>
      <c r="K108" s="4">
        <f t="shared" si="8"/>
        <v>0</v>
      </c>
    </row>
    <row r="109" spans="1:12" outlineLevel="1" x14ac:dyDescent="0.25">
      <c r="A109" t="s">
        <v>76</v>
      </c>
      <c r="B109" s="2" t="s">
        <v>97</v>
      </c>
      <c r="C109" t="s">
        <v>84</v>
      </c>
      <c r="E109" t="str">
        <f>_xlfn.CONCAT("FretRout",LEFT(B109,3),RIGHT(B109,1),"CritAir")</f>
        <v>FretRoutCat9CritAir</v>
      </c>
      <c r="F109" t="s">
        <v>36</v>
      </c>
      <c r="G109">
        <v>1</v>
      </c>
      <c r="H109" s="2"/>
      <c r="I109">
        <v>1</v>
      </c>
      <c r="K109" s="4">
        <f t="shared" si="8"/>
        <v>1</v>
      </c>
    </row>
    <row r="110" spans="1:12" outlineLevel="1" x14ac:dyDescent="0.25">
      <c r="A110" t="s">
        <v>76</v>
      </c>
      <c r="B110" s="2" t="s">
        <v>97</v>
      </c>
      <c r="C110" t="s">
        <v>85</v>
      </c>
      <c r="E110" t="str">
        <f>_xlfn.CONCAT("FretRout",LEFT(B110,3),RIGHT(B110,1),"Nb")</f>
        <v>FretRoutCat9Nb</v>
      </c>
      <c r="F110" t="s">
        <v>17</v>
      </c>
      <c r="G110">
        <v>1</v>
      </c>
      <c r="J110" t="s">
        <v>86</v>
      </c>
      <c r="K110">
        <v>0</v>
      </c>
    </row>
    <row r="111" spans="1:12" outlineLevel="1" x14ac:dyDescent="0.25">
      <c r="A111" t="s">
        <v>76</v>
      </c>
      <c r="B111" s="2" t="s">
        <v>97</v>
      </c>
      <c r="C111" t="s">
        <v>87</v>
      </c>
      <c r="E111" t="str">
        <f>_xlfn.CONCAT("FretRout",LEFT(B111,3),RIGHT(B111,1),"Dist")</f>
        <v>FretRoutCat9Dist</v>
      </c>
      <c r="F111" t="s">
        <v>17</v>
      </c>
      <c r="G111">
        <v>1</v>
      </c>
      <c r="H111" s="2"/>
      <c r="J111" t="s">
        <v>88</v>
      </c>
      <c r="K111">
        <v>11205</v>
      </c>
    </row>
    <row r="112" spans="1:12" outlineLevel="1" x14ac:dyDescent="0.25">
      <c r="A112" t="s">
        <v>76</v>
      </c>
      <c r="B112" s="2" t="s">
        <v>97</v>
      </c>
      <c r="C112" s="2" t="s">
        <v>89</v>
      </c>
      <c r="E112" t="str">
        <f>_xlfn.CONCAT("FretRout",LEFT(B112,3),RIGHT(B112,1),"Rempl")</f>
        <v>FretRoutCat9Rempl</v>
      </c>
      <c r="F112" t="s">
        <v>17</v>
      </c>
      <c r="G112">
        <v>1</v>
      </c>
      <c r="H112" s="3"/>
      <c r="J112" t="s">
        <v>70</v>
      </c>
      <c r="K112">
        <v>0</v>
      </c>
    </row>
    <row r="113" spans="1:11" outlineLevel="1" x14ac:dyDescent="0.25">
      <c r="A113" t="s">
        <v>76</v>
      </c>
      <c r="B113" s="2" t="s">
        <v>98</v>
      </c>
      <c r="C113" t="s">
        <v>78</v>
      </c>
      <c r="E113" t="str">
        <f>_xlfn.CONCAT("FretRout",LEFT(B113,3),RIGHT(B113,2),"Nom")</f>
        <v>FretRoutCat10Nom</v>
      </c>
      <c r="F113" t="s">
        <v>20</v>
      </c>
      <c r="G113">
        <v>1</v>
      </c>
      <c r="H113" s="4"/>
      <c r="I113" s="4" t="s">
        <v>395</v>
      </c>
      <c r="K113" s="4" t="str">
        <f t="shared" ref="K113:K119" si="9">I113</f>
        <v>PL Electrique &lt;=7.5t (Crit'Air E)</v>
      </c>
    </row>
    <row r="114" spans="1:11" outlineLevel="1" x14ac:dyDescent="0.25">
      <c r="A114" t="s">
        <v>76</v>
      </c>
      <c r="B114" s="2" t="s">
        <v>98</v>
      </c>
      <c r="C114" t="s">
        <v>79</v>
      </c>
      <c r="E114" t="str">
        <f>_xlfn.CONCAT("FretRout",LEFT(B114,3),RIGHT(B114,2),"Type")</f>
        <v>FretRoutCat10Type</v>
      </c>
      <c r="F114" t="s">
        <v>20</v>
      </c>
      <c r="G114">
        <v>1</v>
      </c>
      <c r="I114" t="s">
        <v>1771</v>
      </c>
      <c r="K114" s="4" t="str">
        <f t="shared" si="9"/>
        <v>PL</v>
      </c>
    </row>
    <row r="115" spans="1:11" outlineLevel="1" x14ac:dyDescent="0.25">
      <c r="A115" t="s">
        <v>76</v>
      </c>
      <c r="B115" s="2" t="s">
        <v>98</v>
      </c>
      <c r="C115" t="s">
        <v>80</v>
      </c>
      <c r="E115" t="str">
        <f>_xlfn.CONCAT("FretRout",LEFT(B115,3),RIGHT(B115,2),"PTAC")</f>
        <v>FretRoutCat10PTAC</v>
      </c>
      <c r="F115" t="s">
        <v>36</v>
      </c>
      <c r="G115">
        <v>1</v>
      </c>
      <c r="I115" t="s">
        <v>1457</v>
      </c>
      <c r="K115" s="4" t="str">
        <f t="shared" si="9"/>
        <v>&lt;=7.5t</v>
      </c>
    </row>
    <row r="116" spans="1:11" outlineLevel="1" x14ac:dyDescent="0.25">
      <c r="A116" t="s">
        <v>76</v>
      </c>
      <c r="B116" s="2" t="s">
        <v>98</v>
      </c>
      <c r="C116" t="s">
        <v>81</v>
      </c>
      <c r="E116" t="str">
        <f>_xlfn.CONCAT("FretRout",LEFT(B116,3),RIGHT(B116,2),"Mot")</f>
        <v>FretRoutCat10Mot</v>
      </c>
      <c r="F116" t="s">
        <v>36</v>
      </c>
      <c r="G116">
        <v>1</v>
      </c>
      <c r="H116" s="2"/>
      <c r="I116" t="s">
        <v>456</v>
      </c>
      <c r="K116" s="4" t="str">
        <f t="shared" si="9"/>
        <v>Electrique</v>
      </c>
    </row>
    <row r="117" spans="1:11" outlineLevel="1" x14ac:dyDescent="0.25">
      <c r="A117" t="s">
        <v>76</v>
      </c>
      <c r="B117" s="2" t="s">
        <v>98</v>
      </c>
      <c r="C117" t="s">
        <v>82</v>
      </c>
      <c r="E117" t="str">
        <f>_xlfn.CONCAT("FretRout",LEFT(B117,3),RIGHT(B117,2),"Carb")</f>
        <v>FretRoutCat10Carb</v>
      </c>
      <c r="F117" t="s">
        <v>36</v>
      </c>
      <c r="G117">
        <v>1</v>
      </c>
      <c r="I117">
        <v>0</v>
      </c>
      <c r="K117" s="4">
        <f t="shared" si="9"/>
        <v>0</v>
      </c>
    </row>
    <row r="118" spans="1:11" outlineLevel="1" x14ac:dyDescent="0.25">
      <c r="A118" t="s">
        <v>76</v>
      </c>
      <c r="B118" s="2" t="s">
        <v>98</v>
      </c>
      <c r="C118" t="s">
        <v>83</v>
      </c>
      <c r="E118" t="str">
        <f>_xlfn.CONCAT("FretRout",LEFT(B118,3),RIGHT(B118,2),"Euro")</f>
        <v>FretRoutCat10Euro</v>
      </c>
      <c r="F118" t="s">
        <v>36</v>
      </c>
      <c r="G118">
        <v>1</v>
      </c>
      <c r="I118">
        <v>0</v>
      </c>
      <c r="K118" s="4">
        <f t="shared" si="9"/>
        <v>0</v>
      </c>
    </row>
    <row r="119" spans="1:11" outlineLevel="1" x14ac:dyDescent="0.25">
      <c r="A119" t="s">
        <v>76</v>
      </c>
      <c r="B119" s="2" t="s">
        <v>98</v>
      </c>
      <c r="C119" t="s">
        <v>84</v>
      </c>
      <c r="E119" t="str">
        <f>_xlfn.CONCAT("FretRout",LEFT(B119,3),RIGHT(B119,2),"CritAir")</f>
        <v>FretRoutCat10CritAir</v>
      </c>
      <c r="F119" t="s">
        <v>36</v>
      </c>
      <c r="G119">
        <v>1</v>
      </c>
      <c r="H119" s="2"/>
      <c r="I119" t="s">
        <v>1453</v>
      </c>
      <c r="K119" s="4" t="str">
        <f t="shared" si="9"/>
        <v>E</v>
      </c>
    </row>
    <row r="120" spans="1:11" outlineLevel="1" x14ac:dyDescent="0.25">
      <c r="A120" t="s">
        <v>76</v>
      </c>
      <c r="B120" s="2" t="s">
        <v>98</v>
      </c>
      <c r="C120" t="s">
        <v>85</v>
      </c>
      <c r="E120" t="str">
        <f>_xlfn.CONCAT("FretRout",LEFT(B120,3),RIGHT(B120,2),"Nb")</f>
        <v>FretRoutCat10Nb</v>
      </c>
      <c r="F120" t="s">
        <v>17</v>
      </c>
      <c r="G120">
        <v>1</v>
      </c>
      <c r="J120" t="s">
        <v>86</v>
      </c>
      <c r="K120">
        <v>0</v>
      </c>
    </row>
    <row r="121" spans="1:11" outlineLevel="1" x14ac:dyDescent="0.25">
      <c r="A121" t="s">
        <v>76</v>
      </c>
      <c r="B121" s="2" t="s">
        <v>98</v>
      </c>
      <c r="C121" t="s">
        <v>87</v>
      </c>
      <c r="E121" t="str">
        <f>_xlfn.CONCAT("FretRout",LEFT(B121,3),RIGHT(B121,2),"Dist")</f>
        <v>FretRoutCat10Dist</v>
      </c>
      <c r="F121" t="s">
        <v>17</v>
      </c>
      <c r="G121">
        <v>1</v>
      </c>
      <c r="H121" s="2"/>
      <c r="J121" t="s">
        <v>88</v>
      </c>
      <c r="K121">
        <v>12015</v>
      </c>
    </row>
    <row r="122" spans="1:11" outlineLevel="1" x14ac:dyDescent="0.25">
      <c r="A122" t="s">
        <v>76</v>
      </c>
      <c r="B122" s="2" t="s">
        <v>98</v>
      </c>
      <c r="C122" s="2" t="s">
        <v>89</v>
      </c>
      <c r="E122" t="str">
        <f>_xlfn.CONCAT("FretRout",LEFT(B122,3),RIGHT(B122,2),"Rempl")</f>
        <v>FretRoutCat10Rempl</v>
      </c>
      <c r="F122" t="s">
        <v>17</v>
      </c>
      <c r="G122">
        <v>1</v>
      </c>
      <c r="H122" s="3"/>
      <c r="J122" t="s">
        <v>70</v>
      </c>
      <c r="K122">
        <v>0</v>
      </c>
    </row>
    <row r="123" spans="1:11" outlineLevel="1" x14ac:dyDescent="0.25">
      <c r="A123" t="s">
        <v>76</v>
      </c>
      <c r="B123" s="2" t="s">
        <v>99</v>
      </c>
      <c r="C123" t="s">
        <v>78</v>
      </c>
      <c r="E123" t="str">
        <f>_xlfn.CONCAT("FretRout",LEFT(B123,3),RIGHT(B123,2),"Nom")</f>
        <v>FretRoutCat11Nom</v>
      </c>
      <c r="F123" t="s">
        <v>20</v>
      </c>
      <c r="G123">
        <v>1</v>
      </c>
      <c r="H123" s="4"/>
      <c r="I123" s="4" t="s">
        <v>396</v>
      </c>
      <c r="K123" s="4" t="str">
        <f t="shared" ref="K123:K129" si="10">I123</f>
        <v>PL Electrique &gt;7.5-12t (Crit'Air E)</v>
      </c>
    </row>
    <row r="124" spans="1:11" outlineLevel="1" x14ac:dyDescent="0.25">
      <c r="A124" t="s">
        <v>76</v>
      </c>
      <c r="B124" s="2" t="s">
        <v>99</v>
      </c>
      <c r="C124" t="s">
        <v>79</v>
      </c>
      <c r="E124" t="str">
        <f>_xlfn.CONCAT("FretRout",LEFT(B124,3),RIGHT(B124,2),"Type")</f>
        <v>FretRoutCat11Type</v>
      </c>
      <c r="F124" t="s">
        <v>20</v>
      </c>
      <c r="G124">
        <v>1</v>
      </c>
      <c r="I124" t="s">
        <v>1771</v>
      </c>
      <c r="K124" s="4" t="str">
        <f t="shared" si="10"/>
        <v>PL</v>
      </c>
    </row>
    <row r="125" spans="1:11" outlineLevel="1" x14ac:dyDescent="0.25">
      <c r="A125" t="s">
        <v>76</v>
      </c>
      <c r="B125" s="2" t="s">
        <v>99</v>
      </c>
      <c r="C125" t="s">
        <v>80</v>
      </c>
      <c r="E125" t="str">
        <f>_xlfn.CONCAT("FretRout",LEFT(B125,3),RIGHT(B125,2),"PTAC")</f>
        <v>FretRoutCat11PTAC</v>
      </c>
      <c r="F125" t="s">
        <v>36</v>
      </c>
      <c r="G125">
        <v>1</v>
      </c>
      <c r="I125" t="s">
        <v>1458</v>
      </c>
      <c r="K125" s="4" t="str">
        <f t="shared" si="10"/>
        <v>&gt;7.5-12t</v>
      </c>
    </row>
    <row r="126" spans="1:11" outlineLevel="1" x14ac:dyDescent="0.25">
      <c r="A126" t="s">
        <v>76</v>
      </c>
      <c r="B126" s="2" t="s">
        <v>99</v>
      </c>
      <c r="C126" t="s">
        <v>81</v>
      </c>
      <c r="E126" t="str">
        <f>_xlfn.CONCAT("FretRout",LEFT(B126,3),RIGHT(B126,2),"Mot")</f>
        <v>FretRoutCat11Mot</v>
      </c>
      <c r="F126" t="s">
        <v>36</v>
      </c>
      <c r="G126">
        <v>1</v>
      </c>
      <c r="H126" s="2"/>
      <c r="I126" t="s">
        <v>456</v>
      </c>
      <c r="K126" s="4" t="str">
        <f t="shared" si="10"/>
        <v>Electrique</v>
      </c>
    </row>
    <row r="127" spans="1:11" outlineLevel="1" x14ac:dyDescent="0.25">
      <c r="A127" t="s">
        <v>76</v>
      </c>
      <c r="B127" s="2" t="s">
        <v>99</v>
      </c>
      <c r="C127" t="s">
        <v>82</v>
      </c>
      <c r="E127" t="str">
        <f>_xlfn.CONCAT("FretRout",LEFT(B127,3),RIGHT(B127,2),"Carb")</f>
        <v>FretRoutCat11Carb</v>
      </c>
      <c r="F127" t="s">
        <v>36</v>
      </c>
      <c r="G127">
        <v>1</v>
      </c>
      <c r="I127">
        <v>0</v>
      </c>
      <c r="K127" s="4">
        <f t="shared" si="10"/>
        <v>0</v>
      </c>
    </row>
    <row r="128" spans="1:11" outlineLevel="1" x14ac:dyDescent="0.25">
      <c r="A128" t="s">
        <v>76</v>
      </c>
      <c r="B128" s="2" t="s">
        <v>99</v>
      </c>
      <c r="C128" t="s">
        <v>83</v>
      </c>
      <c r="E128" t="str">
        <f>_xlfn.CONCAT("FretRout",LEFT(B128,3),RIGHT(B128,2),"Euro")</f>
        <v>FretRoutCat11Euro</v>
      </c>
      <c r="F128" t="s">
        <v>36</v>
      </c>
      <c r="G128">
        <v>1</v>
      </c>
      <c r="I128">
        <v>0</v>
      </c>
      <c r="K128" s="4">
        <f t="shared" si="10"/>
        <v>0</v>
      </c>
    </row>
    <row r="129" spans="1:11" outlineLevel="1" x14ac:dyDescent="0.25">
      <c r="A129" t="s">
        <v>76</v>
      </c>
      <c r="B129" s="2" t="s">
        <v>99</v>
      </c>
      <c r="C129" t="s">
        <v>84</v>
      </c>
      <c r="E129" t="str">
        <f>_xlfn.CONCAT("FretRout",LEFT(B129,3),RIGHT(B129,2),"CritAir")</f>
        <v>FretRoutCat11CritAir</v>
      </c>
      <c r="F129" t="s">
        <v>36</v>
      </c>
      <c r="G129">
        <v>1</v>
      </c>
      <c r="H129" s="2"/>
      <c r="I129" t="s">
        <v>1453</v>
      </c>
      <c r="K129" s="4" t="str">
        <f t="shared" si="10"/>
        <v>E</v>
      </c>
    </row>
    <row r="130" spans="1:11" outlineLevel="1" x14ac:dyDescent="0.25">
      <c r="A130" t="s">
        <v>76</v>
      </c>
      <c r="B130" s="2" t="s">
        <v>99</v>
      </c>
      <c r="C130" t="s">
        <v>85</v>
      </c>
      <c r="E130" t="str">
        <f>_xlfn.CONCAT("FretRout",LEFT(B130,3),RIGHT(B130,2),"Nb")</f>
        <v>FretRoutCat11Nb</v>
      </c>
      <c r="F130" t="s">
        <v>17</v>
      </c>
      <c r="G130">
        <v>1</v>
      </c>
      <c r="J130" t="s">
        <v>86</v>
      </c>
      <c r="K130">
        <v>0</v>
      </c>
    </row>
    <row r="131" spans="1:11" outlineLevel="1" x14ac:dyDescent="0.25">
      <c r="A131" t="s">
        <v>76</v>
      </c>
      <c r="B131" s="2" t="s">
        <v>99</v>
      </c>
      <c r="C131" t="s">
        <v>87</v>
      </c>
      <c r="E131" t="str">
        <f>_xlfn.CONCAT("FretRout",LEFT(B131,3),RIGHT(B131,2),"Dist")</f>
        <v>FretRoutCat11Dist</v>
      </c>
      <c r="F131" t="s">
        <v>17</v>
      </c>
      <c r="G131">
        <v>1</v>
      </c>
      <c r="H131" s="2"/>
      <c r="J131" t="s">
        <v>88</v>
      </c>
      <c r="K131">
        <v>12015</v>
      </c>
    </row>
    <row r="132" spans="1:11" outlineLevel="1" x14ac:dyDescent="0.25">
      <c r="A132" t="s">
        <v>76</v>
      </c>
      <c r="B132" s="2" t="s">
        <v>99</v>
      </c>
      <c r="C132" s="2" t="s">
        <v>89</v>
      </c>
      <c r="E132" t="str">
        <f>_xlfn.CONCAT("FretRout",LEFT(B132,3),RIGHT(B132,2),"Rempl")</f>
        <v>FretRoutCat11Rempl</v>
      </c>
      <c r="F132" t="s">
        <v>17</v>
      </c>
      <c r="G132">
        <v>1</v>
      </c>
      <c r="H132" s="3"/>
      <c r="J132" t="s">
        <v>70</v>
      </c>
      <c r="K132">
        <v>0</v>
      </c>
    </row>
    <row r="133" spans="1:11" outlineLevel="1" x14ac:dyDescent="0.25">
      <c r="A133" t="s">
        <v>76</v>
      </c>
      <c r="B133" s="2" t="s">
        <v>100</v>
      </c>
      <c r="C133" t="s">
        <v>78</v>
      </c>
      <c r="E133" t="str">
        <f>_xlfn.CONCAT("FretRout",LEFT(B133,3),RIGHT(B133,2),"Nom")</f>
        <v>FretRoutCat12Nom</v>
      </c>
      <c r="F133" t="s">
        <v>20</v>
      </c>
      <c r="G133">
        <v>1</v>
      </c>
      <c r="H133" s="4"/>
      <c r="I133" s="4" t="s">
        <v>397</v>
      </c>
      <c r="K133" s="4" t="str">
        <f t="shared" ref="K133:K139" si="11">I133</f>
        <v>PL Electrique &gt;14-20t (Crit'Air E)</v>
      </c>
    </row>
    <row r="134" spans="1:11" outlineLevel="1" x14ac:dyDescent="0.25">
      <c r="A134" t="s">
        <v>76</v>
      </c>
      <c r="B134" s="2" t="s">
        <v>100</v>
      </c>
      <c r="C134" t="s">
        <v>79</v>
      </c>
      <c r="E134" t="str">
        <f>_xlfn.CONCAT("FretRout",LEFT(B134,3),RIGHT(B134,2),"Type")</f>
        <v>FretRoutCat12Type</v>
      </c>
      <c r="F134" t="s">
        <v>20</v>
      </c>
      <c r="G134">
        <v>1</v>
      </c>
      <c r="I134" t="s">
        <v>1771</v>
      </c>
      <c r="K134" s="4" t="str">
        <f t="shared" si="11"/>
        <v>PL</v>
      </c>
    </row>
    <row r="135" spans="1:11" outlineLevel="1" x14ac:dyDescent="0.25">
      <c r="A135" t="s">
        <v>76</v>
      </c>
      <c r="B135" s="2" t="s">
        <v>100</v>
      </c>
      <c r="C135" t="s">
        <v>80</v>
      </c>
      <c r="E135" t="str">
        <f>_xlfn.CONCAT("FretRout",LEFT(B135,3),RIGHT(B135,2),"PTAC")</f>
        <v>FretRoutCat12PTAC</v>
      </c>
      <c r="F135" t="s">
        <v>36</v>
      </c>
      <c r="G135">
        <v>1</v>
      </c>
      <c r="I135" t="s">
        <v>1459</v>
      </c>
      <c r="K135" s="4" t="str">
        <f t="shared" si="11"/>
        <v>&gt;14-20t</v>
      </c>
    </row>
    <row r="136" spans="1:11" outlineLevel="1" x14ac:dyDescent="0.25">
      <c r="A136" t="s">
        <v>76</v>
      </c>
      <c r="B136" s="2" t="s">
        <v>100</v>
      </c>
      <c r="C136" t="s">
        <v>81</v>
      </c>
      <c r="E136" t="str">
        <f>_xlfn.CONCAT("FretRout",LEFT(B136,3),RIGHT(B136,2),"Mot")</f>
        <v>FretRoutCat12Mot</v>
      </c>
      <c r="F136" t="s">
        <v>36</v>
      </c>
      <c r="G136">
        <v>1</v>
      </c>
      <c r="H136" s="2"/>
      <c r="I136" t="s">
        <v>456</v>
      </c>
      <c r="K136" s="4" t="str">
        <f t="shared" si="11"/>
        <v>Electrique</v>
      </c>
    </row>
    <row r="137" spans="1:11" outlineLevel="1" x14ac:dyDescent="0.25">
      <c r="A137" t="s">
        <v>76</v>
      </c>
      <c r="B137" s="2" t="s">
        <v>100</v>
      </c>
      <c r="C137" t="s">
        <v>82</v>
      </c>
      <c r="E137" t="str">
        <f>_xlfn.CONCAT("FretRout",LEFT(B137,3),RIGHT(B137,2),"Carb")</f>
        <v>FretRoutCat12Carb</v>
      </c>
      <c r="F137" t="s">
        <v>36</v>
      </c>
      <c r="G137">
        <v>1</v>
      </c>
      <c r="I137">
        <v>0</v>
      </c>
      <c r="K137" s="4">
        <f t="shared" si="11"/>
        <v>0</v>
      </c>
    </row>
    <row r="138" spans="1:11" outlineLevel="1" x14ac:dyDescent="0.25">
      <c r="A138" t="s">
        <v>76</v>
      </c>
      <c r="B138" s="2" t="s">
        <v>100</v>
      </c>
      <c r="C138" t="s">
        <v>83</v>
      </c>
      <c r="E138" t="str">
        <f>_xlfn.CONCAT("FretRout",LEFT(B138,3),RIGHT(B138,2),"Euro")</f>
        <v>FretRoutCat12Euro</v>
      </c>
      <c r="F138" t="s">
        <v>36</v>
      </c>
      <c r="G138">
        <v>1</v>
      </c>
      <c r="I138">
        <v>0</v>
      </c>
      <c r="K138" s="4">
        <f t="shared" si="11"/>
        <v>0</v>
      </c>
    </row>
    <row r="139" spans="1:11" outlineLevel="1" x14ac:dyDescent="0.25">
      <c r="A139" t="s">
        <v>76</v>
      </c>
      <c r="B139" s="2" t="s">
        <v>100</v>
      </c>
      <c r="C139" t="s">
        <v>84</v>
      </c>
      <c r="E139" t="str">
        <f>_xlfn.CONCAT("FretRout",LEFT(B139,3),RIGHT(B139,2),"CritAir")</f>
        <v>FretRoutCat12CritAir</v>
      </c>
      <c r="F139" t="s">
        <v>36</v>
      </c>
      <c r="G139">
        <v>1</v>
      </c>
      <c r="H139" s="2"/>
      <c r="I139" t="s">
        <v>1453</v>
      </c>
      <c r="K139" s="4" t="str">
        <f t="shared" si="11"/>
        <v>E</v>
      </c>
    </row>
    <row r="140" spans="1:11" outlineLevel="1" x14ac:dyDescent="0.25">
      <c r="A140" t="s">
        <v>76</v>
      </c>
      <c r="B140" s="2" t="s">
        <v>100</v>
      </c>
      <c r="C140" t="s">
        <v>85</v>
      </c>
      <c r="E140" t="str">
        <f>_xlfn.CONCAT("FretRout",LEFT(B140,3),RIGHT(B140,2),"Nb")</f>
        <v>FretRoutCat12Nb</v>
      </c>
      <c r="F140" t="s">
        <v>17</v>
      </c>
      <c r="G140">
        <v>1</v>
      </c>
      <c r="J140" t="s">
        <v>86</v>
      </c>
      <c r="K140">
        <v>0</v>
      </c>
    </row>
    <row r="141" spans="1:11" outlineLevel="1" x14ac:dyDescent="0.25">
      <c r="A141" t="s">
        <v>76</v>
      </c>
      <c r="B141" s="2" t="s">
        <v>100</v>
      </c>
      <c r="C141" t="s">
        <v>87</v>
      </c>
      <c r="E141" t="str">
        <f>_xlfn.CONCAT("FretRout",LEFT(B141,3),RIGHT(B141,2),"Dist")</f>
        <v>FretRoutCat12Dist</v>
      </c>
      <c r="F141" t="s">
        <v>17</v>
      </c>
      <c r="G141">
        <v>1</v>
      </c>
      <c r="H141" s="2"/>
      <c r="J141" t="s">
        <v>88</v>
      </c>
      <c r="K141">
        <v>12015</v>
      </c>
    </row>
    <row r="142" spans="1:11" outlineLevel="1" x14ac:dyDescent="0.25">
      <c r="A142" t="s">
        <v>76</v>
      </c>
      <c r="B142" s="2" t="s">
        <v>100</v>
      </c>
      <c r="C142" s="2" t="s">
        <v>89</v>
      </c>
      <c r="E142" t="str">
        <f>_xlfn.CONCAT("FretRout",LEFT(B142,3),RIGHT(B142,2),"Rempl")</f>
        <v>FretRoutCat12Rempl</v>
      </c>
      <c r="F142" t="s">
        <v>17</v>
      </c>
      <c r="G142">
        <v>1</v>
      </c>
      <c r="H142" s="3"/>
      <c r="J142" t="s">
        <v>70</v>
      </c>
      <c r="K142">
        <v>0</v>
      </c>
    </row>
    <row r="143" spans="1:11" outlineLevel="1" x14ac:dyDescent="0.25">
      <c r="A143" t="s">
        <v>76</v>
      </c>
      <c r="B143" s="2" t="s">
        <v>101</v>
      </c>
      <c r="C143" t="s">
        <v>78</v>
      </c>
      <c r="E143" t="str">
        <f>_xlfn.CONCAT("FretRout",LEFT(B143,3),RIGHT(B143,2),"Nom")</f>
        <v>FretRoutCat13Nom</v>
      </c>
      <c r="F143" t="s">
        <v>20</v>
      </c>
      <c r="G143">
        <v>1</v>
      </c>
      <c r="H143" s="4"/>
      <c r="I143" s="4" t="s">
        <v>398</v>
      </c>
      <c r="K143" s="4" t="str">
        <f t="shared" ref="K143:K149" si="12">I143</f>
        <v>PL Electrique &gt;20-26t (Crit'Air E)</v>
      </c>
    </row>
    <row r="144" spans="1:11" outlineLevel="1" x14ac:dyDescent="0.25">
      <c r="A144" t="s">
        <v>76</v>
      </c>
      <c r="B144" s="2" t="s">
        <v>101</v>
      </c>
      <c r="C144" t="s">
        <v>79</v>
      </c>
      <c r="E144" t="str">
        <f>_xlfn.CONCAT("FretRout",LEFT(B144,3),RIGHT(B144,2),"Type")</f>
        <v>FretRoutCat13Type</v>
      </c>
      <c r="F144" t="s">
        <v>20</v>
      </c>
      <c r="G144">
        <v>1</v>
      </c>
      <c r="I144" t="s">
        <v>1771</v>
      </c>
      <c r="K144" s="4" t="str">
        <f t="shared" si="12"/>
        <v>PL</v>
      </c>
    </row>
    <row r="145" spans="1:11" outlineLevel="1" x14ac:dyDescent="0.25">
      <c r="A145" t="s">
        <v>76</v>
      </c>
      <c r="B145" s="2" t="s">
        <v>101</v>
      </c>
      <c r="C145" t="s">
        <v>80</v>
      </c>
      <c r="E145" t="str">
        <f>_xlfn.CONCAT("FretRout",LEFT(B145,3),RIGHT(B145,2),"PTAC")</f>
        <v>FretRoutCat13PTAC</v>
      </c>
      <c r="F145" t="s">
        <v>36</v>
      </c>
      <c r="G145">
        <v>1</v>
      </c>
      <c r="I145" t="s">
        <v>1460</v>
      </c>
      <c r="K145" s="4" t="str">
        <f t="shared" si="12"/>
        <v>&gt;20-26t</v>
      </c>
    </row>
    <row r="146" spans="1:11" outlineLevel="1" x14ac:dyDescent="0.25">
      <c r="A146" t="s">
        <v>76</v>
      </c>
      <c r="B146" s="2" t="s">
        <v>101</v>
      </c>
      <c r="C146" t="s">
        <v>81</v>
      </c>
      <c r="E146" t="str">
        <f>_xlfn.CONCAT("FretRout",LEFT(B146,3),RIGHT(B146,2),"Mot")</f>
        <v>FretRoutCat13Mot</v>
      </c>
      <c r="F146" t="s">
        <v>36</v>
      </c>
      <c r="G146">
        <v>1</v>
      </c>
      <c r="H146" s="2"/>
      <c r="I146" t="s">
        <v>456</v>
      </c>
      <c r="K146" s="4" t="str">
        <f t="shared" si="12"/>
        <v>Electrique</v>
      </c>
    </row>
    <row r="147" spans="1:11" outlineLevel="1" x14ac:dyDescent="0.25">
      <c r="A147" t="s">
        <v>76</v>
      </c>
      <c r="B147" s="2" t="s">
        <v>101</v>
      </c>
      <c r="C147" t="s">
        <v>82</v>
      </c>
      <c r="E147" t="str">
        <f>_xlfn.CONCAT("FretRout",LEFT(B147,3),RIGHT(B147,2),"Carb")</f>
        <v>FretRoutCat13Carb</v>
      </c>
      <c r="F147" t="s">
        <v>36</v>
      </c>
      <c r="G147">
        <v>1</v>
      </c>
      <c r="I147">
        <v>0</v>
      </c>
      <c r="K147" s="4">
        <f t="shared" si="12"/>
        <v>0</v>
      </c>
    </row>
    <row r="148" spans="1:11" outlineLevel="1" x14ac:dyDescent="0.25">
      <c r="A148" t="s">
        <v>76</v>
      </c>
      <c r="B148" s="2" t="s">
        <v>101</v>
      </c>
      <c r="C148" t="s">
        <v>83</v>
      </c>
      <c r="E148" t="str">
        <f>_xlfn.CONCAT("FretRout",LEFT(B148,3),RIGHT(B148,2),"Euro")</f>
        <v>FretRoutCat13Euro</v>
      </c>
      <c r="F148" t="s">
        <v>36</v>
      </c>
      <c r="G148">
        <v>1</v>
      </c>
      <c r="I148">
        <v>0</v>
      </c>
      <c r="K148" s="4">
        <f t="shared" si="12"/>
        <v>0</v>
      </c>
    </row>
    <row r="149" spans="1:11" outlineLevel="1" x14ac:dyDescent="0.25">
      <c r="A149" t="s">
        <v>76</v>
      </c>
      <c r="B149" s="2" t="s">
        <v>101</v>
      </c>
      <c r="C149" t="s">
        <v>84</v>
      </c>
      <c r="E149" t="str">
        <f>_xlfn.CONCAT("FretRout",LEFT(B149,3),RIGHT(B149,2),"CritAir")</f>
        <v>FretRoutCat13CritAir</v>
      </c>
      <c r="F149" t="s">
        <v>36</v>
      </c>
      <c r="G149">
        <v>1</v>
      </c>
      <c r="H149" s="2"/>
      <c r="I149" t="s">
        <v>1453</v>
      </c>
      <c r="K149" s="4" t="str">
        <f t="shared" si="12"/>
        <v>E</v>
      </c>
    </row>
    <row r="150" spans="1:11" outlineLevel="1" x14ac:dyDescent="0.25">
      <c r="A150" t="s">
        <v>76</v>
      </c>
      <c r="B150" s="2" t="s">
        <v>101</v>
      </c>
      <c r="C150" t="s">
        <v>85</v>
      </c>
      <c r="E150" t="str">
        <f>_xlfn.CONCAT("FretRout",LEFT(B150,3),RIGHT(B150,2),"Nb")</f>
        <v>FretRoutCat13Nb</v>
      </c>
      <c r="F150" t="s">
        <v>17</v>
      </c>
      <c r="G150">
        <v>1</v>
      </c>
      <c r="J150" t="s">
        <v>86</v>
      </c>
      <c r="K150">
        <v>0</v>
      </c>
    </row>
    <row r="151" spans="1:11" outlineLevel="1" x14ac:dyDescent="0.25">
      <c r="A151" t="s">
        <v>76</v>
      </c>
      <c r="B151" s="2" t="s">
        <v>101</v>
      </c>
      <c r="C151" t="s">
        <v>87</v>
      </c>
      <c r="E151" t="str">
        <f>_xlfn.CONCAT("FretRout",LEFT(B151,3),RIGHT(B151,2),"Dist")</f>
        <v>FretRoutCat13Dist</v>
      </c>
      <c r="F151" t="s">
        <v>17</v>
      </c>
      <c r="G151">
        <v>1</v>
      </c>
      <c r="H151" s="2"/>
      <c r="J151" t="s">
        <v>88</v>
      </c>
      <c r="K151">
        <v>12015</v>
      </c>
    </row>
    <row r="152" spans="1:11" outlineLevel="1" x14ac:dyDescent="0.25">
      <c r="A152" t="s">
        <v>76</v>
      </c>
      <c r="B152" s="2" t="s">
        <v>101</v>
      </c>
      <c r="C152" s="2" t="s">
        <v>89</v>
      </c>
      <c r="E152" t="str">
        <f>_xlfn.CONCAT("FretRout",LEFT(B152,3),RIGHT(B152,2),"Rempl")</f>
        <v>FretRoutCat13Rempl</v>
      </c>
      <c r="F152" t="s">
        <v>17</v>
      </c>
      <c r="G152">
        <v>1</v>
      </c>
      <c r="H152" s="3"/>
      <c r="J152" t="s">
        <v>70</v>
      </c>
      <c r="K152">
        <v>0</v>
      </c>
    </row>
    <row r="153" spans="1:11" outlineLevel="1" x14ac:dyDescent="0.25">
      <c r="A153" t="s">
        <v>76</v>
      </c>
      <c r="B153" s="2" t="s">
        <v>102</v>
      </c>
      <c r="C153" t="s">
        <v>78</v>
      </c>
      <c r="E153" t="str">
        <f>_xlfn.CONCAT("FretRout",LEFT(B153,3),RIGHT(B153,2),"Nom")</f>
        <v>FretRoutCat14Nom</v>
      </c>
      <c r="F153" t="s">
        <v>20</v>
      </c>
      <c r="G153">
        <v>1</v>
      </c>
      <c r="H153" s="4"/>
      <c r="I153" s="4" t="s">
        <v>399</v>
      </c>
      <c r="K153" s="4" t="str">
        <f t="shared" ref="K153:K159" si="13">I153</f>
        <v>PL Electrique &gt;28-34t (Crit'Air E)</v>
      </c>
    </row>
    <row r="154" spans="1:11" outlineLevel="1" x14ac:dyDescent="0.25">
      <c r="A154" t="s">
        <v>76</v>
      </c>
      <c r="B154" s="2" t="s">
        <v>102</v>
      </c>
      <c r="C154" t="s">
        <v>79</v>
      </c>
      <c r="E154" t="str">
        <f>_xlfn.CONCAT("FretRout",LEFT(B154,3),RIGHT(B154,2),"Type")</f>
        <v>FretRoutCat14Type</v>
      </c>
      <c r="F154" t="s">
        <v>20</v>
      </c>
      <c r="G154">
        <v>1</v>
      </c>
      <c r="I154" t="s">
        <v>1771</v>
      </c>
      <c r="K154" s="4" t="str">
        <f t="shared" si="13"/>
        <v>PL</v>
      </c>
    </row>
    <row r="155" spans="1:11" outlineLevel="1" x14ac:dyDescent="0.25">
      <c r="A155" t="s">
        <v>76</v>
      </c>
      <c r="B155" s="2" t="s">
        <v>102</v>
      </c>
      <c r="C155" t="s">
        <v>80</v>
      </c>
      <c r="E155" t="str">
        <f>_xlfn.CONCAT("FretRout",LEFT(B155,3),RIGHT(B155,2),"PTAC")</f>
        <v>FretRoutCat14PTAC</v>
      </c>
      <c r="F155" t="s">
        <v>36</v>
      </c>
      <c r="G155">
        <v>1</v>
      </c>
      <c r="I155" t="s">
        <v>1461</v>
      </c>
      <c r="K155" s="4" t="str">
        <f t="shared" si="13"/>
        <v>&gt;28-34t</v>
      </c>
    </row>
    <row r="156" spans="1:11" outlineLevel="1" x14ac:dyDescent="0.25">
      <c r="A156" t="s">
        <v>76</v>
      </c>
      <c r="B156" s="2" t="s">
        <v>102</v>
      </c>
      <c r="C156" t="s">
        <v>81</v>
      </c>
      <c r="E156" t="str">
        <f>_xlfn.CONCAT("FretRout",LEFT(B156,3),RIGHT(B156,2),"Mot")</f>
        <v>FretRoutCat14Mot</v>
      </c>
      <c r="F156" t="s">
        <v>36</v>
      </c>
      <c r="G156">
        <v>1</v>
      </c>
      <c r="H156" s="2"/>
      <c r="I156" t="s">
        <v>456</v>
      </c>
      <c r="K156" s="4" t="str">
        <f t="shared" si="13"/>
        <v>Electrique</v>
      </c>
    </row>
    <row r="157" spans="1:11" outlineLevel="1" x14ac:dyDescent="0.25">
      <c r="A157" t="s">
        <v>76</v>
      </c>
      <c r="B157" s="2" t="s">
        <v>102</v>
      </c>
      <c r="C157" t="s">
        <v>82</v>
      </c>
      <c r="E157" t="str">
        <f>_xlfn.CONCAT("FretRout",LEFT(B157,3),RIGHT(B157,2),"Carb")</f>
        <v>FretRoutCat14Carb</v>
      </c>
      <c r="F157" t="s">
        <v>36</v>
      </c>
      <c r="G157">
        <v>1</v>
      </c>
      <c r="I157">
        <v>0</v>
      </c>
      <c r="K157" s="4">
        <f t="shared" si="13"/>
        <v>0</v>
      </c>
    </row>
    <row r="158" spans="1:11" outlineLevel="1" x14ac:dyDescent="0.25">
      <c r="A158" t="s">
        <v>76</v>
      </c>
      <c r="B158" s="2" t="s">
        <v>102</v>
      </c>
      <c r="C158" t="s">
        <v>83</v>
      </c>
      <c r="E158" t="str">
        <f>_xlfn.CONCAT("FretRout",LEFT(B158,3),RIGHT(B158,2),"Euro")</f>
        <v>FretRoutCat14Euro</v>
      </c>
      <c r="F158" t="s">
        <v>36</v>
      </c>
      <c r="G158">
        <v>1</v>
      </c>
      <c r="I158">
        <v>0</v>
      </c>
      <c r="K158" s="4">
        <f t="shared" si="13"/>
        <v>0</v>
      </c>
    </row>
    <row r="159" spans="1:11" outlineLevel="1" x14ac:dyDescent="0.25">
      <c r="A159" t="s">
        <v>76</v>
      </c>
      <c r="B159" s="2" t="s">
        <v>102</v>
      </c>
      <c r="C159" t="s">
        <v>84</v>
      </c>
      <c r="E159" t="str">
        <f>_xlfn.CONCAT("FretRout",LEFT(B159,3),RIGHT(B159,2),"CritAir")</f>
        <v>FretRoutCat14CritAir</v>
      </c>
      <c r="F159" t="s">
        <v>36</v>
      </c>
      <c r="G159">
        <v>1</v>
      </c>
      <c r="H159" s="2"/>
      <c r="I159" t="s">
        <v>1453</v>
      </c>
      <c r="K159" s="4" t="str">
        <f t="shared" si="13"/>
        <v>E</v>
      </c>
    </row>
    <row r="160" spans="1:11" outlineLevel="1" x14ac:dyDescent="0.25">
      <c r="A160" t="s">
        <v>76</v>
      </c>
      <c r="B160" s="2" t="s">
        <v>102</v>
      </c>
      <c r="C160" t="s">
        <v>85</v>
      </c>
      <c r="E160" t="str">
        <f>_xlfn.CONCAT("FretRout",LEFT(B160,3),RIGHT(B160,2),"Nb")</f>
        <v>FretRoutCat14Nb</v>
      </c>
      <c r="F160" t="s">
        <v>17</v>
      </c>
      <c r="G160">
        <v>1</v>
      </c>
      <c r="J160" t="s">
        <v>86</v>
      </c>
      <c r="K160">
        <v>0</v>
      </c>
    </row>
    <row r="161" spans="1:11" outlineLevel="1" x14ac:dyDescent="0.25">
      <c r="A161" t="s">
        <v>76</v>
      </c>
      <c r="B161" s="2" t="s">
        <v>102</v>
      </c>
      <c r="C161" t="s">
        <v>87</v>
      </c>
      <c r="E161" t="str">
        <f>_xlfn.CONCAT("FretRout",LEFT(B161,3),RIGHT(B161,2),"Dist")</f>
        <v>FretRoutCat14Dist</v>
      </c>
      <c r="F161" t="s">
        <v>17</v>
      </c>
      <c r="G161">
        <v>1</v>
      </c>
      <c r="H161" s="2"/>
      <c r="J161" t="s">
        <v>88</v>
      </c>
      <c r="K161">
        <v>12015</v>
      </c>
    </row>
    <row r="162" spans="1:11" outlineLevel="1" x14ac:dyDescent="0.25">
      <c r="A162" t="s">
        <v>76</v>
      </c>
      <c r="B162" s="2" t="s">
        <v>102</v>
      </c>
      <c r="C162" s="2" t="s">
        <v>89</v>
      </c>
      <c r="E162" t="str">
        <f>_xlfn.CONCAT("FretRout",LEFT(B162,3),RIGHT(B162,2),"Rempl")</f>
        <v>FretRoutCat14Rempl</v>
      </c>
      <c r="F162" t="s">
        <v>17</v>
      </c>
      <c r="G162">
        <v>1</v>
      </c>
      <c r="H162" s="3"/>
      <c r="J162" t="s">
        <v>70</v>
      </c>
      <c r="K162">
        <v>0</v>
      </c>
    </row>
    <row r="163" spans="1:11" outlineLevel="1" x14ac:dyDescent="0.25">
      <c r="A163" t="s">
        <v>76</v>
      </c>
      <c r="B163" s="2" t="s">
        <v>103</v>
      </c>
      <c r="C163" t="s">
        <v>78</v>
      </c>
      <c r="E163" t="str">
        <f>_xlfn.CONCAT("FretRout",LEFT(B163,3),RIGHT(B163,2),"Nom")</f>
        <v>FretRoutCat15Nom</v>
      </c>
      <c r="F163" t="s">
        <v>20</v>
      </c>
      <c r="G163">
        <v>1</v>
      </c>
      <c r="H163" s="4"/>
      <c r="I163" s="4" t="s">
        <v>400</v>
      </c>
      <c r="K163" s="4" t="str">
        <f t="shared" ref="K163:K169" si="14">I163</f>
        <v>PL Electrique &gt;34-40t (Crit'Air E)</v>
      </c>
    </row>
    <row r="164" spans="1:11" outlineLevel="1" x14ac:dyDescent="0.25">
      <c r="A164" t="s">
        <v>76</v>
      </c>
      <c r="B164" s="2" t="s">
        <v>103</v>
      </c>
      <c r="C164" t="s">
        <v>79</v>
      </c>
      <c r="E164" t="str">
        <f>_xlfn.CONCAT("FretRout",LEFT(B164,3),RIGHT(B164,2),"Type")</f>
        <v>FretRoutCat15Type</v>
      </c>
      <c r="F164" t="s">
        <v>20</v>
      </c>
      <c r="G164">
        <v>1</v>
      </c>
      <c r="I164" t="s">
        <v>1771</v>
      </c>
      <c r="K164" s="4" t="str">
        <f t="shared" si="14"/>
        <v>PL</v>
      </c>
    </row>
    <row r="165" spans="1:11" outlineLevel="1" x14ac:dyDescent="0.25">
      <c r="A165" t="s">
        <v>76</v>
      </c>
      <c r="B165" s="2" t="s">
        <v>103</v>
      </c>
      <c r="C165" t="s">
        <v>80</v>
      </c>
      <c r="E165" t="str">
        <f>_xlfn.CONCAT("FretRout",LEFT(B165,3),RIGHT(B165,2),"PTAC")</f>
        <v>FretRoutCat15PTAC</v>
      </c>
      <c r="F165" t="s">
        <v>36</v>
      </c>
      <c r="G165">
        <v>1</v>
      </c>
      <c r="I165" t="s">
        <v>1462</v>
      </c>
      <c r="K165" s="4" t="str">
        <f t="shared" si="14"/>
        <v>&gt;34-40t</v>
      </c>
    </row>
    <row r="166" spans="1:11" outlineLevel="1" x14ac:dyDescent="0.25">
      <c r="A166" t="s">
        <v>76</v>
      </c>
      <c r="B166" s="2" t="s">
        <v>103</v>
      </c>
      <c r="C166" t="s">
        <v>81</v>
      </c>
      <c r="E166" t="str">
        <f>_xlfn.CONCAT("FretRout",LEFT(B166,3),RIGHT(B166,2),"Mot")</f>
        <v>FretRoutCat15Mot</v>
      </c>
      <c r="F166" t="s">
        <v>36</v>
      </c>
      <c r="G166">
        <v>1</v>
      </c>
      <c r="H166" s="2"/>
      <c r="I166" t="s">
        <v>456</v>
      </c>
      <c r="K166" s="4" t="str">
        <f t="shared" si="14"/>
        <v>Electrique</v>
      </c>
    </row>
    <row r="167" spans="1:11" outlineLevel="1" x14ac:dyDescent="0.25">
      <c r="A167" t="s">
        <v>76</v>
      </c>
      <c r="B167" s="2" t="s">
        <v>103</v>
      </c>
      <c r="C167" t="s">
        <v>82</v>
      </c>
      <c r="E167" t="str">
        <f>_xlfn.CONCAT("FretRout",LEFT(B167,3),RIGHT(B167,2),"Carb")</f>
        <v>FretRoutCat15Carb</v>
      </c>
      <c r="F167" t="s">
        <v>36</v>
      </c>
      <c r="G167">
        <v>1</v>
      </c>
      <c r="I167">
        <v>0</v>
      </c>
      <c r="K167" s="4">
        <f t="shared" si="14"/>
        <v>0</v>
      </c>
    </row>
    <row r="168" spans="1:11" outlineLevel="1" x14ac:dyDescent="0.25">
      <c r="A168" t="s">
        <v>76</v>
      </c>
      <c r="B168" s="2" t="s">
        <v>103</v>
      </c>
      <c r="C168" t="s">
        <v>83</v>
      </c>
      <c r="E168" t="str">
        <f>_xlfn.CONCAT("FretRout",LEFT(B168,3),RIGHT(B168,2),"Euro")</f>
        <v>FretRoutCat15Euro</v>
      </c>
      <c r="F168" t="s">
        <v>36</v>
      </c>
      <c r="G168">
        <v>1</v>
      </c>
      <c r="I168">
        <v>0</v>
      </c>
      <c r="K168" s="4">
        <f t="shared" si="14"/>
        <v>0</v>
      </c>
    </row>
    <row r="169" spans="1:11" outlineLevel="1" x14ac:dyDescent="0.25">
      <c r="A169" t="s">
        <v>76</v>
      </c>
      <c r="B169" s="2" t="s">
        <v>103</v>
      </c>
      <c r="C169" t="s">
        <v>84</v>
      </c>
      <c r="E169" t="str">
        <f>_xlfn.CONCAT("FretRout",LEFT(B169,3),RIGHT(B169,2),"CritAir")</f>
        <v>FretRoutCat15CritAir</v>
      </c>
      <c r="F169" t="s">
        <v>36</v>
      </c>
      <c r="G169">
        <v>1</v>
      </c>
      <c r="H169" s="2"/>
      <c r="I169" t="s">
        <v>1453</v>
      </c>
      <c r="K169" s="4" t="str">
        <f t="shared" si="14"/>
        <v>E</v>
      </c>
    </row>
    <row r="170" spans="1:11" outlineLevel="1" x14ac:dyDescent="0.25">
      <c r="A170" t="s">
        <v>76</v>
      </c>
      <c r="B170" s="2" t="s">
        <v>103</v>
      </c>
      <c r="C170" t="s">
        <v>85</v>
      </c>
      <c r="E170" t="str">
        <f>_xlfn.CONCAT("FretRout",LEFT(B170,3),RIGHT(B170,2),"Nb")</f>
        <v>FretRoutCat15Nb</v>
      </c>
      <c r="F170" t="s">
        <v>17</v>
      </c>
      <c r="G170">
        <v>1</v>
      </c>
      <c r="J170" t="s">
        <v>86</v>
      </c>
      <c r="K170">
        <v>0</v>
      </c>
    </row>
    <row r="171" spans="1:11" outlineLevel="1" x14ac:dyDescent="0.25">
      <c r="A171" t="s">
        <v>76</v>
      </c>
      <c r="B171" s="2" t="s">
        <v>103</v>
      </c>
      <c r="C171" t="s">
        <v>87</v>
      </c>
      <c r="E171" t="str">
        <f>_xlfn.CONCAT("FretRout",LEFT(B171,3),RIGHT(B171,2),"Dist")</f>
        <v>FretRoutCat15Dist</v>
      </c>
      <c r="F171" t="s">
        <v>17</v>
      </c>
      <c r="G171">
        <v>1</v>
      </c>
      <c r="H171" s="2"/>
      <c r="J171" t="s">
        <v>88</v>
      </c>
      <c r="K171">
        <v>12015</v>
      </c>
    </row>
    <row r="172" spans="1:11" outlineLevel="1" x14ac:dyDescent="0.25">
      <c r="A172" t="s">
        <v>76</v>
      </c>
      <c r="B172" s="2" t="s">
        <v>103</v>
      </c>
      <c r="C172" s="2" t="s">
        <v>89</v>
      </c>
      <c r="E172" t="str">
        <f>_xlfn.CONCAT("FretRout",LEFT(B172,3),RIGHT(B172,2),"Rempl")</f>
        <v>FretRoutCat15Rempl</v>
      </c>
      <c r="F172" t="s">
        <v>17</v>
      </c>
      <c r="G172">
        <v>1</v>
      </c>
      <c r="H172" s="3"/>
      <c r="J172" t="s">
        <v>70</v>
      </c>
      <c r="K172">
        <v>0</v>
      </c>
    </row>
    <row r="173" spans="1:11" outlineLevel="1" x14ac:dyDescent="0.25">
      <c r="A173" t="s">
        <v>76</v>
      </c>
      <c r="B173" s="2" t="s">
        <v>104</v>
      </c>
      <c r="C173" t="s">
        <v>78</v>
      </c>
      <c r="E173" t="str">
        <f>_xlfn.CONCAT("FretRout",LEFT(B173,3),RIGHT(B173,2),"Nom")</f>
        <v>FretRoutCat16Nom</v>
      </c>
      <c r="F173" t="s">
        <v>20</v>
      </c>
      <c r="G173">
        <v>1</v>
      </c>
      <c r="H173" s="4"/>
      <c r="I173" s="4" t="s">
        <v>401</v>
      </c>
      <c r="K173" s="4" t="str">
        <f t="shared" ref="K173:K179" si="15">I173</f>
        <v>PL Diesel &lt;=7.5t (Crit'Air 2)</v>
      </c>
    </row>
    <row r="174" spans="1:11" outlineLevel="1" x14ac:dyDescent="0.25">
      <c r="A174" t="s">
        <v>76</v>
      </c>
      <c r="B174" s="2" t="s">
        <v>104</v>
      </c>
      <c r="C174" t="s">
        <v>79</v>
      </c>
      <c r="E174" t="str">
        <f>_xlfn.CONCAT("FretRout",LEFT(B174,3),RIGHT(B174,2),"Type")</f>
        <v>FretRoutCat16Type</v>
      </c>
      <c r="F174" t="s">
        <v>20</v>
      </c>
      <c r="G174">
        <v>1</v>
      </c>
      <c r="I174" t="s">
        <v>1771</v>
      </c>
      <c r="K174" s="4" t="str">
        <f t="shared" si="15"/>
        <v>PL</v>
      </c>
    </row>
    <row r="175" spans="1:11" outlineLevel="1" x14ac:dyDescent="0.25">
      <c r="A175" t="s">
        <v>76</v>
      </c>
      <c r="B175" s="2" t="s">
        <v>104</v>
      </c>
      <c r="C175" t="s">
        <v>80</v>
      </c>
      <c r="E175" t="str">
        <f>_xlfn.CONCAT("FretRout",LEFT(B175,3),RIGHT(B175,2),"PTAC")</f>
        <v>FretRoutCat16PTAC</v>
      </c>
      <c r="F175" t="s">
        <v>36</v>
      </c>
      <c r="G175">
        <v>1</v>
      </c>
      <c r="I175" t="s">
        <v>1457</v>
      </c>
      <c r="K175" s="4" t="str">
        <f t="shared" si="15"/>
        <v>&lt;=7.5t</v>
      </c>
    </row>
    <row r="176" spans="1:11" outlineLevel="1" x14ac:dyDescent="0.25">
      <c r="A176" t="s">
        <v>76</v>
      </c>
      <c r="B176" s="2" t="s">
        <v>104</v>
      </c>
      <c r="C176" t="s">
        <v>81</v>
      </c>
      <c r="E176" t="str">
        <f>_xlfn.CONCAT("FretRout",LEFT(B176,3),RIGHT(B176,2),"Mot")</f>
        <v>FretRoutCat16Mot</v>
      </c>
      <c r="F176" t="s">
        <v>36</v>
      </c>
      <c r="G176">
        <v>1</v>
      </c>
      <c r="H176" s="2"/>
      <c r="I176" t="s">
        <v>138</v>
      </c>
      <c r="K176" s="4" t="str">
        <f t="shared" si="15"/>
        <v>Diesel</v>
      </c>
    </row>
    <row r="177" spans="1:11" outlineLevel="1" x14ac:dyDescent="0.25">
      <c r="A177" t="s">
        <v>76</v>
      </c>
      <c r="B177" s="2" t="s">
        <v>104</v>
      </c>
      <c r="C177" t="s">
        <v>82</v>
      </c>
      <c r="E177" t="str">
        <f>_xlfn.CONCAT("FretRout",LEFT(B177,3),RIGHT(B177,2),"Carb")</f>
        <v>FretRoutCat16Carb</v>
      </c>
      <c r="F177" t="s">
        <v>36</v>
      </c>
      <c r="G177">
        <v>1</v>
      </c>
      <c r="I177" t="s">
        <v>1449</v>
      </c>
      <c r="K177" s="4" t="str">
        <f t="shared" si="15"/>
        <v>Gazole à la pompe</v>
      </c>
    </row>
    <row r="178" spans="1:11" outlineLevel="1" x14ac:dyDescent="0.25">
      <c r="A178" t="s">
        <v>76</v>
      </c>
      <c r="B178" s="2" t="s">
        <v>104</v>
      </c>
      <c r="C178" t="s">
        <v>83</v>
      </c>
      <c r="E178" t="str">
        <f>_xlfn.CONCAT("FretRout",LEFT(B178,3),RIGHT(B178,2),"Euro")</f>
        <v>FretRoutCat16Euro</v>
      </c>
      <c r="F178" t="s">
        <v>36</v>
      </c>
      <c r="G178">
        <v>1</v>
      </c>
      <c r="I178">
        <v>0</v>
      </c>
      <c r="K178" s="4">
        <f t="shared" si="15"/>
        <v>0</v>
      </c>
    </row>
    <row r="179" spans="1:11" outlineLevel="1" x14ac:dyDescent="0.25">
      <c r="A179" t="s">
        <v>76</v>
      </c>
      <c r="B179" s="2" t="s">
        <v>104</v>
      </c>
      <c r="C179" t="s">
        <v>84</v>
      </c>
      <c r="E179" t="str">
        <f>_xlfn.CONCAT("FretRout",LEFT(B179,3),RIGHT(B179,2),"CritAir")</f>
        <v>FretRoutCat16CritAir</v>
      </c>
      <c r="F179" t="s">
        <v>36</v>
      </c>
      <c r="G179">
        <v>1</v>
      </c>
      <c r="H179" s="2"/>
      <c r="I179">
        <v>2</v>
      </c>
      <c r="K179" s="4">
        <f t="shared" si="15"/>
        <v>2</v>
      </c>
    </row>
    <row r="180" spans="1:11" outlineLevel="1" x14ac:dyDescent="0.25">
      <c r="A180" t="s">
        <v>76</v>
      </c>
      <c r="B180" s="2" t="s">
        <v>104</v>
      </c>
      <c r="C180" t="s">
        <v>85</v>
      </c>
      <c r="E180" t="str">
        <f>_xlfn.CONCAT("FretRout",LEFT(B180,3),RIGHT(B180,2),"Nb")</f>
        <v>FretRoutCat16Nb</v>
      </c>
      <c r="F180" t="s">
        <v>17</v>
      </c>
      <c r="G180">
        <v>1</v>
      </c>
      <c r="J180" t="s">
        <v>86</v>
      </c>
      <c r="K180">
        <v>0</v>
      </c>
    </row>
    <row r="181" spans="1:11" outlineLevel="1" x14ac:dyDescent="0.25">
      <c r="A181" t="s">
        <v>76</v>
      </c>
      <c r="B181" s="2" t="s">
        <v>104</v>
      </c>
      <c r="C181" t="s">
        <v>87</v>
      </c>
      <c r="E181" t="str">
        <f>_xlfn.CONCAT("FretRout",LEFT(B181,3),RIGHT(B181,2),"Dist")</f>
        <v>FretRoutCat16Dist</v>
      </c>
      <c r="F181" t="s">
        <v>17</v>
      </c>
      <c r="G181">
        <v>1</v>
      </c>
      <c r="H181" s="2"/>
      <c r="J181" t="s">
        <v>88</v>
      </c>
      <c r="K181">
        <v>42385.998762263436</v>
      </c>
    </row>
    <row r="182" spans="1:11" outlineLevel="1" x14ac:dyDescent="0.25">
      <c r="A182" t="s">
        <v>76</v>
      </c>
      <c r="B182" s="2" t="s">
        <v>104</v>
      </c>
      <c r="C182" s="2" t="s">
        <v>89</v>
      </c>
      <c r="E182" t="str">
        <f>_xlfn.CONCAT("FretRout",LEFT(B182,3),RIGHT(B182,2),"Rempl")</f>
        <v>FretRoutCat16Rempl</v>
      </c>
      <c r="F182" t="s">
        <v>17</v>
      </c>
      <c r="G182">
        <v>1</v>
      </c>
      <c r="H182" s="3"/>
      <c r="J182" t="s">
        <v>70</v>
      </c>
      <c r="K182">
        <v>0</v>
      </c>
    </row>
    <row r="183" spans="1:11" outlineLevel="1" x14ac:dyDescent="0.25">
      <c r="A183" t="s">
        <v>76</v>
      </c>
      <c r="B183" s="2" t="s">
        <v>105</v>
      </c>
      <c r="C183" t="s">
        <v>78</v>
      </c>
      <c r="E183" t="str">
        <f>_xlfn.CONCAT("FretRout",LEFT(B183,3),RIGHT(B183,2),"Nom")</f>
        <v>FretRoutCat17Nom</v>
      </c>
      <c r="F183" t="s">
        <v>20</v>
      </c>
      <c r="G183">
        <v>1</v>
      </c>
      <c r="H183" s="4"/>
      <c r="I183" s="4" t="s">
        <v>402</v>
      </c>
      <c r="K183" s="4" t="str">
        <f t="shared" ref="K183:K189" si="16">I183</f>
        <v>PL Diesel &lt;=7.5t (Crit'Air 3)</v>
      </c>
    </row>
    <row r="184" spans="1:11" outlineLevel="1" x14ac:dyDescent="0.25">
      <c r="A184" t="s">
        <v>76</v>
      </c>
      <c r="B184" s="2" t="s">
        <v>105</v>
      </c>
      <c r="C184" t="s">
        <v>79</v>
      </c>
      <c r="E184" t="str">
        <f>_xlfn.CONCAT("FretRout",LEFT(B184,3),RIGHT(B184,2),"Type")</f>
        <v>FretRoutCat17Type</v>
      </c>
      <c r="F184" t="s">
        <v>20</v>
      </c>
      <c r="G184">
        <v>1</v>
      </c>
      <c r="I184" t="s">
        <v>1771</v>
      </c>
      <c r="K184" s="4" t="str">
        <f t="shared" si="16"/>
        <v>PL</v>
      </c>
    </row>
    <row r="185" spans="1:11" outlineLevel="1" x14ac:dyDescent="0.25">
      <c r="A185" t="s">
        <v>76</v>
      </c>
      <c r="B185" s="2" t="s">
        <v>105</v>
      </c>
      <c r="C185" t="s">
        <v>80</v>
      </c>
      <c r="E185" t="str">
        <f>_xlfn.CONCAT("FretRout",LEFT(B185,3),RIGHT(B185,2),"PTAC")</f>
        <v>FretRoutCat17PTAC</v>
      </c>
      <c r="F185" t="s">
        <v>36</v>
      </c>
      <c r="G185">
        <v>1</v>
      </c>
      <c r="I185" t="s">
        <v>1457</v>
      </c>
      <c r="K185" s="4" t="str">
        <f t="shared" si="16"/>
        <v>&lt;=7.5t</v>
      </c>
    </row>
    <row r="186" spans="1:11" outlineLevel="1" x14ac:dyDescent="0.25">
      <c r="A186" t="s">
        <v>76</v>
      </c>
      <c r="B186" s="2" t="s">
        <v>105</v>
      </c>
      <c r="C186" t="s">
        <v>81</v>
      </c>
      <c r="E186" t="str">
        <f>_xlfn.CONCAT("FretRout",LEFT(B186,3),RIGHT(B186,2),"Mot")</f>
        <v>FretRoutCat17Mot</v>
      </c>
      <c r="F186" t="s">
        <v>36</v>
      </c>
      <c r="G186">
        <v>1</v>
      </c>
      <c r="H186" s="2"/>
      <c r="I186" t="s">
        <v>138</v>
      </c>
      <c r="K186" s="4" t="str">
        <f t="shared" si="16"/>
        <v>Diesel</v>
      </c>
    </row>
    <row r="187" spans="1:11" outlineLevel="1" x14ac:dyDescent="0.25">
      <c r="A187" t="s">
        <v>76</v>
      </c>
      <c r="B187" s="2" t="s">
        <v>105</v>
      </c>
      <c r="C187" t="s">
        <v>82</v>
      </c>
      <c r="E187" t="str">
        <f>_xlfn.CONCAT("FretRout",LEFT(B187,3),RIGHT(B187,2),"Carb")</f>
        <v>FretRoutCat17Carb</v>
      </c>
      <c r="F187" t="s">
        <v>36</v>
      </c>
      <c r="G187">
        <v>1</v>
      </c>
      <c r="I187" t="s">
        <v>1449</v>
      </c>
      <c r="K187" s="4" t="str">
        <f t="shared" si="16"/>
        <v>Gazole à la pompe</v>
      </c>
    </row>
    <row r="188" spans="1:11" outlineLevel="1" x14ac:dyDescent="0.25">
      <c r="A188" t="s">
        <v>76</v>
      </c>
      <c r="B188" s="2" t="s">
        <v>105</v>
      </c>
      <c r="C188" t="s">
        <v>83</v>
      </c>
      <c r="E188" t="str">
        <f>_xlfn.CONCAT("FretRout",LEFT(B188,3),RIGHT(B188,2),"Euro")</f>
        <v>FretRoutCat17Euro</v>
      </c>
      <c r="F188" t="s">
        <v>36</v>
      </c>
      <c r="G188">
        <v>1</v>
      </c>
      <c r="I188">
        <v>0</v>
      </c>
      <c r="K188" s="4">
        <f t="shared" si="16"/>
        <v>0</v>
      </c>
    </row>
    <row r="189" spans="1:11" outlineLevel="1" x14ac:dyDescent="0.25">
      <c r="A189" t="s">
        <v>76</v>
      </c>
      <c r="B189" s="2" t="s">
        <v>105</v>
      </c>
      <c r="C189" t="s">
        <v>84</v>
      </c>
      <c r="E189" t="str">
        <f>_xlfn.CONCAT("FretRout",LEFT(B189,3),RIGHT(B189,2),"CritAir")</f>
        <v>FretRoutCat17CritAir</v>
      </c>
      <c r="F189" t="s">
        <v>36</v>
      </c>
      <c r="G189">
        <v>1</v>
      </c>
      <c r="H189" s="2"/>
      <c r="I189">
        <v>3</v>
      </c>
      <c r="K189" s="4">
        <f t="shared" si="16"/>
        <v>3</v>
      </c>
    </row>
    <row r="190" spans="1:11" outlineLevel="1" x14ac:dyDescent="0.25">
      <c r="A190" t="s">
        <v>76</v>
      </c>
      <c r="B190" s="2" t="s">
        <v>105</v>
      </c>
      <c r="C190" t="s">
        <v>85</v>
      </c>
      <c r="E190" t="str">
        <f>_xlfn.CONCAT("FretRout",LEFT(B190,3),RIGHT(B190,2),"Nb")</f>
        <v>FretRoutCat17Nb</v>
      </c>
      <c r="F190" t="s">
        <v>17</v>
      </c>
      <c r="G190">
        <v>1</v>
      </c>
      <c r="J190" t="s">
        <v>86</v>
      </c>
      <c r="K190">
        <v>0</v>
      </c>
    </row>
    <row r="191" spans="1:11" outlineLevel="1" x14ac:dyDescent="0.25">
      <c r="A191" t="s">
        <v>76</v>
      </c>
      <c r="B191" s="2" t="s">
        <v>105</v>
      </c>
      <c r="C191" t="s">
        <v>87</v>
      </c>
      <c r="E191" t="str">
        <f>_xlfn.CONCAT("FretRout",LEFT(B191,3),RIGHT(B191,2),"Dist")</f>
        <v>FretRoutCat17Dist</v>
      </c>
      <c r="F191" t="s">
        <v>17</v>
      </c>
      <c r="G191">
        <v>1</v>
      </c>
      <c r="H191" s="2"/>
      <c r="J191" t="s">
        <v>88</v>
      </c>
      <c r="K191">
        <v>42385.998762263436</v>
      </c>
    </row>
    <row r="192" spans="1:11" outlineLevel="1" x14ac:dyDescent="0.25">
      <c r="A192" t="s">
        <v>76</v>
      </c>
      <c r="B192" s="2" t="s">
        <v>105</v>
      </c>
      <c r="C192" s="2" t="s">
        <v>89</v>
      </c>
      <c r="E192" t="str">
        <f>_xlfn.CONCAT("FretRout",LEFT(B192,3),RIGHT(B192,2),"Rempl")</f>
        <v>FretRoutCat17Rempl</v>
      </c>
      <c r="F192" t="s">
        <v>17</v>
      </c>
      <c r="G192">
        <v>1</v>
      </c>
      <c r="H192" s="3"/>
      <c r="J192" t="s">
        <v>70</v>
      </c>
      <c r="K192">
        <v>0</v>
      </c>
    </row>
    <row r="193" spans="1:11" outlineLevel="1" x14ac:dyDescent="0.25">
      <c r="A193" t="s">
        <v>76</v>
      </c>
      <c r="B193" s="2" t="s">
        <v>106</v>
      </c>
      <c r="C193" t="s">
        <v>78</v>
      </c>
      <c r="E193" t="str">
        <f>_xlfn.CONCAT("FretRout",LEFT(B193,3),RIGHT(B193,2),"Nom")</f>
        <v>FretRoutCat18Nom</v>
      </c>
      <c r="F193" t="s">
        <v>20</v>
      </c>
      <c r="G193">
        <v>1</v>
      </c>
      <c r="H193" s="4"/>
      <c r="I193" s="4" t="s">
        <v>403</v>
      </c>
      <c r="K193" s="4" t="str">
        <f t="shared" ref="K193:K199" si="17">I193</f>
        <v>PL Diesel &lt;=7.5t (Crit'Air 4)</v>
      </c>
    </row>
    <row r="194" spans="1:11" outlineLevel="1" x14ac:dyDescent="0.25">
      <c r="A194" t="s">
        <v>76</v>
      </c>
      <c r="B194" s="2" t="s">
        <v>106</v>
      </c>
      <c r="C194" t="s">
        <v>79</v>
      </c>
      <c r="E194" t="str">
        <f>_xlfn.CONCAT("FretRout",LEFT(B194,3),RIGHT(B194,2),"Type")</f>
        <v>FretRoutCat18Type</v>
      </c>
      <c r="F194" t="s">
        <v>20</v>
      </c>
      <c r="G194">
        <v>1</v>
      </c>
      <c r="I194" t="s">
        <v>1771</v>
      </c>
      <c r="K194" s="4" t="str">
        <f t="shared" si="17"/>
        <v>PL</v>
      </c>
    </row>
    <row r="195" spans="1:11" outlineLevel="1" x14ac:dyDescent="0.25">
      <c r="A195" t="s">
        <v>76</v>
      </c>
      <c r="B195" s="2" t="s">
        <v>106</v>
      </c>
      <c r="C195" t="s">
        <v>80</v>
      </c>
      <c r="E195" t="str">
        <f>_xlfn.CONCAT("FretRout",LEFT(B195,3),RIGHT(B195,2),"PTAC")</f>
        <v>FretRoutCat18PTAC</v>
      </c>
      <c r="F195" t="s">
        <v>36</v>
      </c>
      <c r="G195">
        <v>1</v>
      </c>
      <c r="I195" t="s">
        <v>1457</v>
      </c>
      <c r="K195" s="4" t="str">
        <f t="shared" si="17"/>
        <v>&lt;=7.5t</v>
      </c>
    </row>
    <row r="196" spans="1:11" outlineLevel="1" x14ac:dyDescent="0.25">
      <c r="A196" t="s">
        <v>76</v>
      </c>
      <c r="B196" s="2" t="s">
        <v>106</v>
      </c>
      <c r="C196" t="s">
        <v>81</v>
      </c>
      <c r="E196" t="str">
        <f>_xlfn.CONCAT("FretRout",LEFT(B196,3),RIGHT(B196,2),"Mot")</f>
        <v>FretRoutCat18Mot</v>
      </c>
      <c r="F196" t="s">
        <v>36</v>
      </c>
      <c r="G196">
        <v>1</v>
      </c>
      <c r="H196" s="2"/>
      <c r="I196" t="s">
        <v>138</v>
      </c>
      <c r="K196" s="4" t="str">
        <f t="shared" si="17"/>
        <v>Diesel</v>
      </c>
    </row>
    <row r="197" spans="1:11" outlineLevel="1" x14ac:dyDescent="0.25">
      <c r="A197" t="s">
        <v>76</v>
      </c>
      <c r="B197" s="2" t="s">
        <v>106</v>
      </c>
      <c r="C197" t="s">
        <v>82</v>
      </c>
      <c r="E197" t="str">
        <f>_xlfn.CONCAT("FretRout",LEFT(B197,3),RIGHT(B197,2),"Carb")</f>
        <v>FretRoutCat18Carb</v>
      </c>
      <c r="F197" t="s">
        <v>36</v>
      </c>
      <c r="G197">
        <v>1</v>
      </c>
      <c r="I197" t="s">
        <v>1449</v>
      </c>
      <c r="K197" s="4" t="str">
        <f t="shared" si="17"/>
        <v>Gazole à la pompe</v>
      </c>
    </row>
    <row r="198" spans="1:11" outlineLevel="1" x14ac:dyDescent="0.25">
      <c r="A198" t="s">
        <v>76</v>
      </c>
      <c r="B198" s="2" t="s">
        <v>106</v>
      </c>
      <c r="C198" t="s">
        <v>83</v>
      </c>
      <c r="E198" t="str">
        <f>_xlfn.CONCAT("FretRout",LEFT(B198,3),RIGHT(B198,2),"Euro")</f>
        <v>FretRoutCat18Euro</v>
      </c>
      <c r="F198" t="s">
        <v>36</v>
      </c>
      <c r="G198">
        <v>1</v>
      </c>
      <c r="I198">
        <v>0</v>
      </c>
      <c r="K198" s="4">
        <f t="shared" si="17"/>
        <v>0</v>
      </c>
    </row>
    <row r="199" spans="1:11" outlineLevel="1" x14ac:dyDescent="0.25">
      <c r="A199" t="s">
        <v>76</v>
      </c>
      <c r="B199" s="2" t="s">
        <v>106</v>
      </c>
      <c r="C199" t="s">
        <v>84</v>
      </c>
      <c r="E199" t="str">
        <f>_xlfn.CONCAT("FretRout",LEFT(B199,3),RIGHT(B199,2),"CritAir")</f>
        <v>FretRoutCat18CritAir</v>
      </c>
      <c r="F199" t="s">
        <v>36</v>
      </c>
      <c r="G199">
        <v>1</v>
      </c>
      <c r="H199" s="2"/>
      <c r="I199">
        <v>4</v>
      </c>
      <c r="K199" s="4">
        <f t="shared" si="17"/>
        <v>4</v>
      </c>
    </row>
    <row r="200" spans="1:11" outlineLevel="1" x14ac:dyDescent="0.25">
      <c r="A200" t="s">
        <v>76</v>
      </c>
      <c r="B200" s="2" t="s">
        <v>106</v>
      </c>
      <c r="C200" t="s">
        <v>85</v>
      </c>
      <c r="E200" t="str">
        <f>_xlfn.CONCAT("FretRout",LEFT(B200,3),RIGHT(B200,2),"Nb")</f>
        <v>FretRoutCat18Nb</v>
      </c>
      <c r="F200" t="s">
        <v>17</v>
      </c>
      <c r="G200">
        <v>1</v>
      </c>
      <c r="J200" t="s">
        <v>86</v>
      </c>
      <c r="K200">
        <v>0</v>
      </c>
    </row>
    <row r="201" spans="1:11" outlineLevel="1" x14ac:dyDescent="0.25">
      <c r="A201" t="s">
        <v>76</v>
      </c>
      <c r="B201" s="2" t="s">
        <v>106</v>
      </c>
      <c r="C201" t="s">
        <v>87</v>
      </c>
      <c r="E201" t="str">
        <f>_xlfn.CONCAT("FretRout",LEFT(B201,3),RIGHT(B201,2),"Dist")</f>
        <v>FretRoutCat18Dist</v>
      </c>
      <c r="F201" t="s">
        <v>17</v>
      </c>
      <c r="G201">
        <v>1</v>
      </c>
      <c r="H201" s="2"/>
      <c r="J201" t="s">
        <v>88</v>
      </c>
      <c r="K201">
        <v>42385.998762263436</v>
      </c>
    </row>
    <row r="202" spans="1:11" outlineLevel="1" x14ac:dyDescent="0.25">
      <c r="A202" t="s">
        <v>76</v>
      </c>
      <c r="B202" s="2" t="s">
        <v>106</v>
      </c>
      <c r="C202" s="2" t="s">
        <v>89</v>
      </c>
      <c r="E202" t="str">
        <f>_xlfn.CONCAT("FretRout",LEFT(B202,3),RIGHT(B202,2),"Rempl")</f>
        <v>FretRoutCat18Rempl</v>
      </c>
      <c r="F202" t="s">
        <v>17</v>
      </c>
      <c r="G202">
        <v>1</v>
      </c>
      <c r="H202" s="3"/>
      <c r="J202" t="s">
        <v>70</v>
      </c>
      <c r="K202">
        <v>0</v>
      </c>
    </row>
    <row r="203" spans="1:11" outlineLevel="1" x14ac:dyDescent="0.25">
      <c r="A203" t="s">
        <v>76</v>
      </c>
      <c r="B203" s="2" t="s">
        <v>107</v>
      </c>
      <c r="C203" t="s">
        <v>78</v>
      </c>
      <c r="E203" t="str">
        <f>_xlfn.CONCAT("FretRout",LEFT(B203,3),RIGHT(B203,2),"Nom")</f>
        <v>FretRoutCat19Nom</v>
      </c>
      <c r="F203" t="s">
        <v>20</v>
      </c>
      <c r="G203">
        <v>1</v>
      </c>
      <c r="H203" s="4"/>
      <c r="I203" s="4" t="s">
        <v>404</v>
      </c>
      <c r="K203" s="4" t="str">
        <f t="shared" ref="K203:K209" si="18">I203</f>
        <v>PL Diesel &lt;=7.5t (Crit'Air 5)</v>
      </c>
    </row>
    <row r="204" spans="1:11" outlineLevel="1" x14ac:dyDescent="0.25">
      <c r="A204" t="s">
        <v>76</v>
      </c>
      <c r="B204" s="2" t="s">
        <v>107</v>
      </c>
      <c r="C204" t="s">
        <v>79</v>
      </c>
      <c r="E204" t="str">
        <f>_xlfn.CONCAT("FretRout",LEFT(B204,3),RIGHT(B204,2),"Type")</f>
        <v>FretRoutCat19Type</v>
      </c>
      <c r="F204" t="s">
        <v>20</v>
      </c>
      <c r="G204">
        <v>1</v>
      </c>
      <c r="I204" t="s">
        <v>1771</v>
      </c>
      <c r="K204" s="4" t="str">
        <f t="shared" si="18"/>
        <v>PL</v>
      </c>
    </row>
    <row r="205" spans="1:11" outlineLevel="1" x14ac:dyDescent="0.25">
      <c r="A205" t="s">
        <v>76</v>
      </c>
      <c r="B205" s="2" t="s">
        <v>107</v>
      </c>
      <c r="C205" t="s">
        <v>80</v>
      </c>
      <c r="E205" t="str">
        <f>_xlfn.CONCAT("FretRout",LEFT(B205,3),RIGHT(B205,2),"PTAC")</f>
        <v>FretRoutCat19PTAC</v>
      </c>
      <c r="F205" t="s">
        <v>36</v>
      </c>
      <c r="G205">
        <v>1</v>
      </c>
      <c r="I205" t="s">
        <v>1457</v>
      </c>
      <c r="K205" s="4" t="str">
        <f t="shared" si="18"/>
        <v>&lt;=7.5t</v>
      </c>
    </row>
    <row r="206" spans="1:11" outlineLevel="1" x14ac:dyDescent="0.25">
      <c r="A206" t="s">
        <v>76</v>
      </c>
      <c r="B206" s="2" t="s">
        <v>107</v>
      </c>
      <c r="C206" t="s">
        <v>81</v>
      </c>
      <c r="E206" t="str">
        <f>_xlfn.CONCAT("FretRout",LEFT(B206,3),RIGHT(B206,2),"Mot")</f>
        <v>FretRoutCat19Mot</v>
      </c>
      <c r="F206" t="s">
        <v>36</v>
      </c>
      <c r="G206">
        <v>1</v>
      </c>
      <c r="H206" s="2"/>
      <c r="I206" t="s">
        <v>138</v>
      </c>
      <c r="K206" s="4" t="str">
        <f t="shared" si="18"/>
        <v>Diesel</v>
      </c>
    </row>
    <row r="207" spans="1:11" outlineLevel="1" x14ac:dyDescent="0.25">
      <c r="A207" t="s">
        <v>76</v>
      </c>
      <c r="B207" s="2" t="s">
        <v>107</v>
      </c>
      <c r="C207" t="s">
        <v>82</v>
      </c>
      <c r="E207" t="str">
        <f>_xlfn.CONCAT("FretRout",LEFT(B207,3),RIGHT(B207,2),"Carb")</f>
        <v>FretRoutCat19Carb</v>
      </c>
      <c r="F207" t="s">
        <v>36</v>
      </c>
      <c r="G207">
        <v>1</v>
      </c>
      <c r="I207" t="s">
        <v>1449</v>
      </c>
      <c r="K207" s="4" t="str">
        <f t="shared" si="18"/>
        <v>Gazole à la pompe</v>
      </c>
    </row>
    <row r="208" spans="1:11" outlineLevel="1" x14ac:dyDescent="0.25">
      <c r="A208" t="s">
        <v>76</v>
      </c>
      <c r="B208" s="2" t="s">
        <v>107</v>
      </c>
      <c r="C208" t="s">
        <v>83</v>
      </c>
      <c r="E208" t="str">
        <f>_xlfn.CONCAT("FretRout",LEFT(B208,3),RIGHT(B208,2),"Euro")</f>
        <v>FretRoutCat19Euro</v>
      </c>
      <c r="F208" t="s">
        <v>36</v>
      </c>
      <c r="G208">
        <v>1</v>
      </c>
      <c r="I208">
        <v>0</v>
      </c>
      <c r="K208" s="4">
        <f t="shared" si="18"/>
        <v>0</v>
      </c>
    </row>
    <row r="209" spans="1:11" outlineLevel="1" x14ac:dyDescent="0.25">
      <c r="A209" t="s">
        <v>76</v>
      </c>
      <c r="B209" s="2" t="s">
        <v>107</v>
      </c>
      <c r="C209" t="s">
        <v>84</v>
      </c>
      <c r="E209" t="str">
        <f>_xlfn.CONCAT("FretRout",LEFT(B209,3),RIGHT(B209,2),"CritAir")</f>
        <v>FretRoutCat19CritAir</v>
      </c>
      <c r="F209" t="s">
        <v>36</v>
      </c>
      <c r="G209">
        <v>1</v>
      </c>
      <c r="H209" s="2"/>
      <c r="I209">
        <v>5</v>
      </c>
      <c r="K209" s="4">
        <f t="shared" si="18"/>
        <v>5</v>
      </c>
    </row>
    <row r="210" spans="1:11" outlineLevel="1" x14ac:dyDescent="0.25">
      <c r="A210" t="s">
        <v>76</v>
      </c>
      <c r="B210" s="2" t="s">
        <v>107</v>
      </c>
      <c r="C210" t="s">
        <v>85</v>
      </c>
      <c r="E210" t="str">
        <f>_xlfn.CONCAT("FretRout",LEFT(B210,3),RIGHT(B210,2),"Nb")</f>
        <v>FretRoutCat19Nb</v>
      </c>
      <c r="F210" t="s">
        <v>17</v>
      </c>
      <c r="G210">
        <v>1</v>
      </c>
      <c r="J210" t="s">
        <v>86</v>
      </c>
      <c r="K210">
        <v>0</v>
      </c>
    </row>
    <row r="211" spans="1:11" outlineLevel="1" x14ac:dyDescent="0.25">
      <c r="A211" t="s">
        <v>76</v>
      </c>
      <c r="B211" s="2" t="s">
        <v>107</v>
      </c>
      <c r="C211" t="s">
        <v>87</v>
      </c>
      <c r="E211" t="str">
        <f>_xlfn.CONCAT("FretRout",LEFT(B211,3),RIGHT(B211,2),"Dist")</f>
        <v>FretRoutCat19Dist</v>
      </c>
      <c r="F211" t="s">
        <v>17</v>
      </c>
      <c r="G211">
        <v>1</v>
      </c>
      <c r="H211" s="2"/>
      <c r="J211" t="s">
        <v>88</v>
      </c>
      <c r="K211">
        <v>42385.998762263436</v>
      </c>
    </row>
    <row r="212" spans="1:11" outlineLevel="1" x14ac:dyDescent="0.25">
      <c r="A212" t="s">
        <v>76</v>
      </c>
      <c r="B212" s="2" t="s">
        <v>107</v>
      </c>
      <c r="C212" s="2" t="s">
        <v>89</v>
      </c>
      <c r="E212" t="str">
        <f>_xlfn.CONCAT("FretRout",LEFT(B212,3),RIGHT(B212,2),"Rempl")</f>
        <v>FretRoutCat19Rempl</v>
      </c>
      <c r="F212" t="s">
        <v>17</v>
      </c>
      <c r="G212">
        <v>1</v>
      </c>
      <c r="H212" s="3"/>
      <c r="J212" t="s">
        <v>70</v>
      </c>
      <c r="K212">
        <v>0</v>
      </c>
    </row>
    <row r="213" spans="1:11" outlineLevel="1" x14ac:dyDescent="0.25">
      <c r="A213" t="s">
        <v>76</v>
      </c>
      <c r="B213" s="2" t="s">
        <v>108</v>
      </c>
      <c r="C213" t="s">
        <v>78</v>
      </c>
      <c r="E213" t="str">
        <f>_xlfn.CONCAT("FretRout",LEFT(B213,3),RIGHT(B213,2),"Nom")</f>
        <v>FretRoutCat20Nom</v>
      </c>
      <c r="F213" t="s">
        <v>20</v>
      </c>
      <c r="G213">
        <v>1</v>
      </c>
      <c r="H213" s="4"/>
      <c r="I213" s="4" t="s">
        <v>405</v>
      </c>
      <c r="K213" s="4" t="str">
        <f t="shared" ref="K213:K219" si="19">I213</f>
        <v>PL Diesel &gt;7.5-12t (Crit'Air 2)</v>
      </c>
    </row>
    <row r="214" spans="1:11" outlineLevel="1" x14ac:dyDescent="0.25">
      <c r="A214" t="s">
        <v>76</v>
      </c>
      <c r="B214" s="2" t="s">
        <v>108</v>
      </c>
      <c r="C214" t="s">
        <v>79</v>
      </c>
      <c r="E214" t="str">
        <f>_xlfn.CONCAT("FretRout",LEFT(B214,3),RIGHT(B214,2),"Type")</f>
        <v>FretRoutCat20Type</v>
      </c>
      <c r="F214" t="s">
        <v>20</v>
      </c>
      <c r="G214">
        <v>1</v>
      </c>
      <c r="I214" t="s">
        <v>1771</v>
      </c>
      <c r="K214" s="4" t="str">
        <f t="shared" si="19"/>
        <v>PL</v>
      </c>
    </row>
    <row r="215" spans="1:11" outlineLevel="1" x14ac:dyDescent="0.25">
      <c r="A215" t="s">
        <v>76</v>
      </c>
      <c r="B215" s="2" t="s">
        <v>108</v>
      </c>
      <c r="C215" t="s">
        <v>80</v>
      </c>
      <c r="E215" t="str">
        <f>_xlfn.CONCAT("FretRout",LEFT(B215,3),RIGHT(B215,2),"PTAC")</f>
        <v>FretRoutCat20PTAC</v>
      </c>
      <c r="F215" t="s">
        <v>36</v>
      </c>
      <c r="G215">
        <v>1</v>
      </c>
      <c r="I215" t="s">
        <v>1458</v>
      </c>
      <c r="K215" s="4" t="str">
        <f t="shared" si="19"/>
        <v>&gt;7.5-12t</v>
      </c>
    </row>
    <row r="216" spans="1:11" outlineLevel="1" x14ac:dyDescent="0.25">
      <c r="A216" t="s">
        <v>76</v>
      </c>
      <c r="B216" s="2" t="s">
        <v>108</v>
      </c>
      <c r="C216" t="s">
        <v>81</v>
      </c>
      <c r="E216" t="str">
        <f>_xlfn.CONCAT("FretRout",LEFT(B216,3),RIGHT(B216,2),"Mot")</f>
        <v>FretRoutCat20Mot</v>
      </c>
      <c r="F216" t="s">
        <v>36</v>
      </c>
      <c r="G216">
        <v>1</v>
      </c>
      <c r="H216" s="2"/>
      <c r="I216" t="s">
        <v>138</v>
      </c>
      <c r="K216" s="4" t="str">
        <f t="shared" si="19"/>
        <v>Diesel</v>
      </c>
    </row>
    <row r="217" spans="1:11" outlineLevel="1" x14ac:dyDescent="0.25">
      <c r="A217" t="s">
        <v>76</v>
      </c>
      <c r="B217" s="2" t="s">
        <v>108</v>
      </c>
      <c r="C217" t="s">
        <v>82</v>
      </c>
      <c r="E217" t="str">
        <f>_xlfn.CONCAT("FretRout",LEFT(B217,3),RIGHT(B217,2),"Carb")</f>
        <v>FretRoutCat20Carb</v>
      </c>
      <c r="F217" t="s">
        <v>36</v>
      </c>
      <c r="G217">
        <v>1</v>
      </c>
      <c r="I217" t="s">
        <v>1449</v>
      </c>
      <c r="K217" s="4" t="str">
        <f t="shared" si="19"/>
        <v>Gazole à la pompe</v>
      </c>
    </row>
    <row r="218" spans="1:11" outlineLevel="1" x14ac:dyDescent="0.25">
      <c r="A218" t="s">
        <v>76</v>
      </c>
      <c r="B218" s="2" t="s">
        <v>108</v>
      </c>
      <c r="C218" t="s">
        <v>83</v>
      </c>
      <c r="E218" t="str">
        <f>_xlfn.CONCAT("FretRout",LEFT(B218,3),RIGHT(B218,2),"Euro")</f>
        <v>FretRoutCat20Euro</v>
      </c>
      <c r="F218" t="s">
        <v>36</v>
      </c>
      <c r="G218">
        <v>1</v>
      </c>
      <c r="I218">
        <v>0</v>
      </c>
      <c r="K218" s="4">
        <f t="shared" si="19"/>
        <v>0</v>
      </c>
    </row>
    <row r="219" spans="1:11" outlineLevel="1" x14ac:dyDescent="0.25">
      <c r="A219" t="s">
        <v>76</v>
      </c>
      <c r="B219" s="2" t="s">
        <v>108</v>
      </c>
      <c r="C219" t="s">
        <v>84</v>
      </c>
      <c r="E219" t="str">
        <f>_xlfn.CONCAT("FretRout",LEFT(B219,3),RIGHT(B219,2),"CritAir")</f>
        <v>FretRoutCat20CritAir</v>
      </c>
      <c r="F219" t="s">
        <v>36</v>
      </c>
      <c r="G219">
        <v>1</v>
      </c>
      <c r="H219" s="2"/>
      <c r="I219">
        <v>2</v>
      </c>
      <c r="K219" s="4">
        <f t="shared" si="19"/>
        <v>2</v>
      </c>
    </row>
    <row r="220" spans="1:11" outlineLevel="1" x14ac:dyDescent="0.25">
      <c r="A220" t="s">
        <v>76</v>
      </c>
      <c r="B220" s="2" t="s">
        <v>108</v>
      </c>
      <c r="C220" t="s">
        <v>85</v>
      </c>
      <c r="E220" t="str">
        <f>_xlfn.CONCAT("FretRout",LEFT(B220,3),RIGHT(B220,2),"Nb")</f>
        <v>FretRoutCat20Nb</v>
      </c>
      <c r="F220" t="s">
        <v>17</v>
      </c>
      <c r="G220">
        <v>1</v>
      </c>
      <c r="J220" t="s">
        <v>86</v>
      </c>
      <c r="K220">
        <v>0</v>
      </c>
    </row>
    <row r="221" spans="1:11" outlineLevel="1" x14ac:dyDescent="0.25">
      <c r="A221" t="s">
        <v>76</v>
      </c>
      <c r="B221" s="2" t="s">
        <v>108</v>
      </c>
      <c r="C221" t="s">
        <v>87</v>
      </c>
      <c r="E221" t="str">
        <f>_xlfn.CONCAT("FretRout",LEFT(B221,3),RIGHT(B221,2),"Dist")</f>
        <v>FretRoutCat20Dist</v>
      </c>
      <c r="F221" t="s">
        <v>17</v>
      </c>
      <c r="G221">
        <v>1</v>
      </c>
      <c r="H221" s="2"/>
      <c r="J221" t="s">
        <v>88</v>
      </c>
      <c r="K221">
        <v>42385.998762263436</v>
      </c>
    </row>
    <row r="222" spans="1:11" outlineLevel="1" x14ac:dyDescent="0.25">
      <c r="A222" t="s">
        <v>76</v>
      </c>
      <c r="B222" s="2" t="s">
        <v>108</v>
      </c>
      <c r="C222" s="2" t="s">
        <v>89</v>
      </c>
      <c r="E222" t="str">
        <f>_xlfn.CONCAT("FretRout",LEFT(B222,3),RIGHT(B222,2),"Rempl")</f>
        <v>FretRoutCat20Rempl</v>
      </c>
      <c r="F222" t="s">
        <v>17</v>
      </c>
      <c r="G222">
        <v>1</v>
      </c>
      <c r="H222" s="3"/>
      <c r="J222" t="s">
        <v>70</v>
      </c>
      <c r="K222">
        <v>0</v>
      </c>
    </row>
    <row r="223" spans="1:11" outlineLevel="1" x14ac:dyDescent="0.25">
      <c r="A223" t="s">
        <v>76</v>
      </c>
      <c r="B223" s="2" t="s">
        <v>109</v>
      </c>
      <c r="C223" t="s">
        <v>78</v>
      </c>
      <c r="E223" t="str">
        <f>_xlfn.CONCAT("FretRout",LEFT(B223,3),RIGHT(B223,2),"Nom")</f>
        <v>FretRoutCat21Nom</v>
      </c>
      <c r="F223" t="s">
        <v>20</v>
      </c>
      <c r="G223">
        <v>1</v>
      </c>
      <c r="H223" s="4"/>
      <c r="I223" s="4" t="s">
        <v>406</v>
      </c>
      <c r="K223" s="4" t="str">
        <f t="shared" ref="K223:K229" si="20">I223</f>
        <v>PL Diesel &gt;7.5-12t (Crit'Air 3)</v>
      </c>
    </row>
    <row r="224" spans="1:11" outlineLevel="1" x14ac:dyDescent="0.25">
      <c r="A224" t="s">
        <v>76</v>
      </c>
      <c r="B224" s="2" t="s">
        <v>109</v>
      </c>
      <c r="C224" t="s">
        <v>79</v>
      </c>
      <c r="E224" t="str">
        <f>_xlfn.CONCAT("FretRout",LEFT(B224,3),RIGHT(B224,2),"Type")</f>
        <v>FretRoutCat21Type</v>
      </c>
      <c r="F224" t="s">
        <v>20</v>
      </c>
      <c r="G224">
        <v>1</v>
      </c>
      <c r="I224" t="s">
        <v>1771</v>
      </c>
      <c r="K224" s="4" t="str">
        <f t="shared" si="20"/>
        <v>PL</v>
      </c>
    </row>
    <row r="225" spans="1:11" outlineLevel="1" x14ac:dyDescent="0.25">
      <c r="A225" t="s">
        <v>76</v>
      </c>
      <c r="B225" s="2" t="s">
        <v>109</v>
      </c>
      <c r="C225" t="s">
        <v>80</v>
      </c>
      <c r="E225" t="str">
        <f>_xlfn.CONCAT("FretRout",LEFT(B225,3),RIGHT(B225,2),"PTAC")</f>
        <v>FretRoutCat21PTAC</v>
      </c>
      <c r="F225" t="s">
        <v>36</v>
      </c>
      <c r="G225">
        <v>1</v>
      </c>
      <c r="I225" t="s">
        <v>1458</v>
      </c>
      <c r="K225" s="4" t="str">
        <f t="shared" si="20"/>
        <v>&gt;7.5-12t</v>
      </c>
    </row>
    <row r="226" spans="1:11" outlineLevel="1" x14ac:dyDescent="0.25">
      <c r="A226" t="s">
        <v>76</v>
      </c>
      <c r="B226" s="2" t="s">
        <v>109</v>
      </c>
      <c r="C226" t="s">
        <v>81</v>
      </c>
      <c r="E226" t="str">
        <f>_xlfn.CONCAT("FretRout",LEFT(B226,3),RIGHT(B226,2),"Mot")</f>
        <v>FretRoutCat21Mot</v>
      </c>
      <c r="F226" t="s">
        <v>36</v>
      </c>
      <c r="G226">
        <v>1</v>
      </c>
      <c r="H226" s="2"/>
      <c r="I226" t="s">
        <v>138</v>
      </c>
      <c r="K226" s="4" t="str">
        <f t="shared" si="20"/>
        <v>Diesel</v>
      </c>
    </row>
    <row r="227" spans="1:11" outlineLevel="1" x14ac:dyDescent="0.25">
      <c r="A227" t="s">
        <v>76</v>
      </c>
      <c r="B227" s="2" t="s">
        <v>109</v>
      </c>
      <c r="C227" t="s">
        <v>82</v>
      </c>
      <c r="E227" t="str">
        <f>_xlfn.CONCAT("FretRout",LEFT(B227,3),RIGHT(B227,2),"Carb")</f>
        <v>FretRoutCat21Carb</v>
      </c>
      <c r="F227" t="s">
        <v>36</v>
      </c>
      <c r="G227">
        <v>1</v>
      </c>
      <c r="I227" t="s">
        <v>1449</v>
      </c>
      <c r="K227" s="4" t="str">
        <f t="shared" si="20"/>
        <v>Gazole à la pompe</v>
      </c>
    </row>
    <row r="228" spans="1:11" outlineLevel="1" x14ac:dyDescent="0.25">
      <c r="A228" t="s">
        <v>76</v>
      </c>
      <c r="B228" s="2" t="s">
        <v>109</v>
      </c>
      <c r="C228" t="s">
        <v>83</v>
      </c>
      <c r="E228" t="str">
        <f>_xlfn.CONCAT("FretRout",LEFT(B228,3),RIGHT(B228,2),"Euro")</f>
        <v>FretRoutCat21Euro</v>
      </c>
      <c r="F228" t="s">
        <v>36</v>
      </c>
      <c r="G228">
        <v>1</v>
      </c>
      <c r="I228">
        <v>0</v>
      </c>
      <c r="K228" s="4">
        <f t="shared" si="20"/>
        <v>0</v>
      </c>
    </row>
    <row r="229" spans="1:11" outlineLevel="1" x14ac:dyDescent="0.25">
      <c r="A229" t="s">
        <v>76</v>
      </c>
      <c r="B229" s="2" t="s">
        <v>109</v>
      </c>
      <c r="C229" t="s">
        <v>84</v>
      </c>
      <c r="E229" t="str">
        <f>_xlfn.CONCAT("FretRout",LEFT(B229,3),RIGHT(B229,2),"CritAir")</f>
        <v>FretRoutCat21CritAir</v>
      </c>
      <c r="F229" t="s">
        <v>36</v>
      </c>
      <c r="G229">
        <v>1</v>
      </c>
      <c r="H229" s="2"/>
      <c r="I229">
        <v>3</v>
      </c>
      <c r="K229" s="4">
        <f t="shared" si="20"/>
        <v>3</v>
      </c>
    </row>
    <row r="230" spans="1:11" outlineLevel="1" x14ac:dyDescent="0.25">
      <c r="A230" t="s">
        <v>76</v>
      </c>
      <c r="B230" s="2" t="s">
        <v>109</v>
      </c>
      <c r="C230" t="s">
        <v>85</v>
      </c>
      <c r="E230" t="str">
        <f>_xlfn.CONCAT("FretRout",LEFT(B230,3),RIGHT(B230,2),"Nb")</f>
        <v>FretRoutCat21Nb</v>
      </c>
      <c r="F230" t="s">
        <v>17</v>
      </c>
      <c r="G230">
        <v>1</v>
      </c>
      <c r="J230" t="s">
        <v>86</v>
      </c>
      <c r="K230">
        <v>0</v>
      </c>
    </row>
    <row r="231" spans="1:11" outlineLevel="1" x14ac:dyDescent="0.25">
      <c r="A231" t="s">
        <v>76</v>
      </c>
      <c r="B231" s="2" t="s">
        <v>109</v>
      </c>
      <c r="C231" t="s">
        <v>87</v>
      </c>
      <c r="E231" t="str">
        <f>_xlfn.CONCAT("FretRout",LEFT(B231,3),RIGHT(B231,2),"Dist")</f>
        <v>FretRoutCat21Dist</v>
      </c>
      <c r="F231" t="s">
        <v>17</v>
      </c>
      <c r="G231">
        <v>1</v>
      </c>
      <c r="H231" s="2"/>
      <c r="J231" t="s">
        <v>88</v>
      </c>
      <c r="K231">
        <v>42385.998762263436</v>
      </c>
    </row>
    <row r="232" spans="1:11" outlineLevel="1" x14ac:dyDescent="0.25">
      <c r="A232" t="s">
        <v>76</v>
      </c>
      <c r="B232" s="2" t="s">
        <v>109</v>
      </c>
      <c r="C232" s="2" t="s">
        <v>89</v>
      </c>
      <c r="E232" t="str">
        <f>_xlfn.CONCAT("FretRout",LEFT(B232,3),RIGHT(B232,2),"Rempl")</f>
        <v>FretRoutCat21Rempl</v>
      </c>
      <c r="F232" t="s">
        <v>17</v>
      </c>
      <c r="G232">
        <v>1</v>
      </c>
      <c r="H232" s="3"/>
      <c r="J232" t="s">
        <v>70</v>
      </c>
      <c r="K232">
        <v>0</v>
      </c>
    </row>
    <row r="233" spans="1:11" outlineLevel="1" x14ac:dyDescent="0.25">
      <c r="A233" t="s">
        <v>76</v>
      </c>
      <c r="B233" s="2" t="s">
        <v>110</v>
      </c>
      <c r="C233" t="s">
        <v>78</v>
      </c>
      <c r="E233" t="str">
        <f>_xlfn.CONCAT("FretRout",LEFT(B233,3),RIGHT(B233,2),"Nom")</f>
        <v>FretRoutCat22Nom</v>
      </c>
      <c r="F233" t="s">
        <v>20</v>
      </c>
      <c r="G233">
        <v>1</v>
      </c>
      <c r="H233" s="4"/>
      <c r="I233" s="4" t="s">
        <v>407</v>
      </c>
      <c r="K233" s="4" t="str">
        <f t="shared" ref="K233:K239" si="21">I233</f>
        <v>PL Diesel &gt;7.5-12t (Crit'Air 4)</v>
      </c>
    </row>
    <row r="234" spans="1:11" outlineLevel="1" x14ac:dyDescent="0.25">
      <c r="A234" t="s">
        <v>76</v>
      </c>
      <c r="B234" s="2" t="s">
        <v>110</v>
      </c>
      <c r="C234" t="s">
        <v>79</v>
      </c>
      <c r="E234" t="str">
        <f>_xlfn.CONCAT("FretRout",LEFT(B234,3),RIGHT(B234,2),"Type")</f>
        <v>FretRoutCat22Type</v>
      </c>
      <c r="F234" t="s">
        <v>20</v>
      </c>
      <c r="G234">
        <v>1</v>
      </c>
      <c r="I234" t="s">
        <v>1771</v>
      </c>
      <c r="K234" s="4" t="str">
        <f t="shared" si="21"/>
        <v>PL</v>
      </c>
    </row>
    <row r="235" spans="1:11" outlineLevel="1" x14ac:dyDescent="0.25">
      <c r="A235" t="s">
        <v>76</v>
      </c>
      <c r="B235" s="2" t="s">
        <v>110</v>
      </c>
      <c r="C235" t="s">
        <v>80</v>
      </c>
      <c r="E235" t="str">
        <f>_xlfn.CONCAT("FretRout",LEFT(B235,3),RIGHT(B235,2),"PTAC")</f>
        <v>FretRoutCat22PTAC</v>
      </c>
      <c r="F235" t="s">
        <v>36</v>
      </c>
      <c r="G235">
        <v>1</v>
      </c>
      <c r="I235" t="s">
        <v>1458</v>
      </c>
      <c r="K235" s="4" t="str">
        <f t="shared" si="21"/>
        <v>&gt;7.5-12t</v>
      </c>
    </row>
    <row r="236" spans="1:11" outlineLevel="1" x14ac:dyDescent="0.25">
      <c r="A236" t="s">
        <v>76</v>
      </c>
      <c r="B236" s="2" t="s">
        <v>110</v>
      </c>
      <c r="C236" t="s">
        <v>81</v>
      </c>
      <c r="E236" t="str">
        <f>_xlfn.CONCAT("FretRout",LEFT(B236,3),RIGHT(B236,2),"Mot")</f>
        <v>FretRoutCat22Mot</v>
      </c>
      <c r="F236" t="s">
        <v>36</v>
      </c>
      <c r="G236">
        <v>1</v>
      </c>
      <c r="H236" s="2"/>
      <c r="I236" t="s">
        <v>138</v>
      </c>
      <c r="K236" s="4" t="str">
        <f t="shared" si="21"/>
        <v>Diesel</v>
      </c>
    </row>
    <row r="237" spans="1:11" outlineLevel="1" x14ac:dyDescent="0.25">
      <c r="A237" t="s">
        <v>76</v>
      </c>
      <c r="B237" s="2" t="s">
        <v>110</v>
      </c>
      <c r="C237" t="s">
        <v>82</v>
      </c>
      <c r="E237" t="str">
        <f>_xlfn.CONCAT("FretRout",LEFT(B237,3),RIGHT(B237,2),"Carb")</f>
        <v>FretRoutCat22Carb</v>
      </c>
      <c r="F237" t="s">
        <v>36</v>
      </c>
      <c r="G237">
        <v>1</v>
      </c>
      <c r="I237" t="s">
        <v>1449</v>
      </c>
      <c r="K237" s="4" t="str">
        <f t="shared" si="21"/>
        <v>Gazole à la pompe</v>
      </c>
    </row>
    <row r="238" spans="1:11" outlineLevel="1" x14ac:dyDescent="0.25">
      <c r="A238" t="s">
        <v>76</v>
      </c>
      <c r="B238" s="2" t="s">
        <v>110</v>
      </c>
      <c r="C238" t="s">
        <v>83</v>
      </c>
      <c r="E238" t="str">
        <f>_xlfn.CONCAT("FretRout",LEFT(B238,3),RIGHT(B238,2),"Euro")</f>
        <v>FretRoutCat22Euro</v>
      </c>
      <c r="F238" t="s">
        <v>36</v>
      </c>
      <c r="G238">
        <v>1</v>
      </c>
      <c r="I238">
        <v>0</v>
      </c>
      <c r="K238" s="4">
        <f t="shared" si="21"/>
        <v>0</v>
      </c>
    </row>
    <row r="239" spans="1:11" outlineLevel="1" x14ac:dyDescent="0.25">
      <c r="A239" t="s">
        <v>76</v>
      </c>
      <c r="B239" s="2" t="s">
        <v>110</v>
      </c>
      <c r="C239" t="s">
        <v>84</v>
      </c>
      <c r="E239" t="str">
        <f>_xlfn.CONCAT("FretRout",LEFT(B239,3),RIGHT(B239,2),"CritAir")</f>
        <v>FretRoutCat22CritAir</v>
      </c>
      <c r="F239" t="s">
        <v>36</v>
      </c>
      <c r="G239">
        <v>1</v>
      </c>
      <c r="H239" s="2"/>
      <c r="I239">
        <v>4</v>
      </c>
      <c r="K239" s="4">
        <f t="shared" si="21"/>
        <v>4</v>
      </c>
    </row>
    <row r="240" spans="1:11" outlineLevel="1" x14ac:dyDescent="0.25">
      <c r="A240" t="s">
        <v>76</v>
      </c>
      <c r="B240" s="2" t="s">
        <v>110</v>
      </c>
      <c r="C240" t="s">
        <v>85</v>
      </c>
      <c r="E240" t="str">
        <f>_xlfn.CONCAT("FretRout",LEFT(B240,3),RIGHT(B240,2),"Nb")</f>
        <v>FretRoutCat22Nb</v>
      </c>
      <c r="F240" t="s">
        <v>17</v>
      </c>
      <c r="G240">
        <v>1</v>
      </c>
      <c r="J240" t="s">
        <v>86</v>
      </c>
      <c r="K240">
        <v>0</v>
      </c>
    </row>
    <row r="241" spans="1:11" outlineLevel="1" x14ac:dyDescent="0.25">
      <c r="A241" t="s">
        <v>76</v>
      </c>
      <c r="B241" s="2" t="s">
        <v>110</v>
      </c>
      <c r="C241" t="s">
        <v>87</v>
      </c>
      <c r="E241" t="str">
        <f>_xlfn.CONCAT("FretRout",LEFT(B241,3),RIGHT(B241,2),"Dist")</f>
        <v>FretRoutCat22Dist</v>
      </c>
      <c r="F241" t="s">
        <v>17</v>
      </c>
      <c r="G241">
        <v>1</v>
      </c>
      <c r="H241" s="2"/>
      <c r="J241" t="s">
        <v>88</v>
      </c>
      <c r="K241">
        <v>42385.998762263436</v>
      </c>
    </row>
    <row r="242" spans="1:11" outlineLevel="1" x14ac:dyDescent="0.25">
      <c r="A242" t="s">
        <v>76</v>
      </c>
      <c r="B242" s="2" t="s">
        <v>110</v>
      </c>
      <c r="C242" s="2" t="s">
        <v>89</v>
      </c>
      <c r="E242" t="str">
        <f>_xlfn.CONCAT("FretRout",LEFT(B242,3),RIGHT(B242,2),"Rempl")</f>
        <v>FretRoutCat22Rempl</v>
      </c>
      <c r="F242" t="s">
        <v>17</v>
      </c>
      <c r="G242">
        <v>1</v>
      </c>
      <c r="H242" s="3"/>
      <c r="J242" t="s">
        <v>70</v>
      </c>
      <c r="K242">
        <v>0</v>
      </c>
    </row>
    <row r="243" spans="1:11" outlineLevel="1" x14ac:dyDescent="0.25">
      <c r="A243" t="s">
        <v>76</v>
      </c>
      <c r="B243" s="2" t="s">
        <v>111</v>
      </c>
      <c r="C243" t="s">
        <v>78</v>
      </c>
      <c r="E243" t="str">
        <f>_xlfn.CONCAT("FretRout",LEFT(B243,3),RIGHT(B243,2),"Nom")</f>
        <v>FretRoutCat23Nom</v>
      </c>
      <c r="F243" t="s">
        <v>20</v>
      </c>
      <c r="G243">
        <v>1</v>
      </c>
      <c r="H243" s="4"/>
      <c r="I243" s="4" t="s">
        <v>408</v>
      </c>
      <c r="K243" s="4" t="str">
        <f t="shared" ref="K243:K249" si="22">I243</f>
        <v>PL Diesel &gt;7.5-12t (Crit'Air 5)</v>
      </c>
    </row>
    <row r="244" spans="1:11" outlineLevel="1" x14ac:dyDescent="0.25">
      <c r="A244" t="s">
        <v>76</v>
      </c>
      <c r="B244" s="2" t="s">
        <v>111</v>
      </c>
      <c r="C244" t="s">
        <v>79</v>
      </c>
      <c r="E244" t="str">
        <f>_xlfn.CONCAT("FretRout",LEFT(B244,3),RIGHT(B244,2),"Type")</f>
        <v>FretRoutCat23Type</v>
      </c>
      <c r="F244" t="s">
        <v>20</v>
      </c>
      <c r="G244">
        <v>1</v>
      </c>
      <c r="I244" t="s">
        <v>1771</v>
      </c>
      <c r="K244" s="4" t="str">
        <f t="shared" si="22"/>
        <v>PL</v>
      </c>
    </row>
    <row r="245" spans="1:11" outlineLevel="1" x14ac:dyDescent="0.25">
      <c r="A245" t="s">
        <v>76</v>
      </c>
      <c r="B245" s="2" t="s">
        <v>111</v>
      </c>
      <c r="C245" t="s">
        <v>80</v>
      </c>
      <c r="E245" t="str">
        <f>_xlfn.CONCAT("FretRout",LEFT(B245,3),RIGHT(B245,2),"PTAC")</f>
        <v>FretRoutCat23PTAC</v>
      </c>
      <c r="F245" t="s">
        <v>36</v>
      </c>
      <c r="G245">
        <v>1</v>
      </c>
      <c r="I245" t="s">
        <v>1458</v>
      </c>
      <c r="K245" s="4" t="str">
        <f t="shared" si="22"/>
        <v>&gt;7.5-12t</v>
      </c>
    </row>
    <row r="246" spans="1:11" outlineLevel="1" x14ac:dyDescent="0.25">
      <c r="A246" t="s">
        <v>76</v>
      </c>
      <c r="B246" s="2" t="s">
        <v>111</v>
      </c>
      <c r="C246" t="s">
        <v>81</v>
      </c>
      <c r="E246" t="str">
        <f>_xlfn.CONCAT("FretRout",LEFT(B246,3),RIGHT(B246,2),"Mot")</f>
        <v>FretRoutCat23Mot</v>
      </c>
      <c r="F246" t="s">
        <v>36</v>
      </c>
      <c r="G246">
        <v>1</v>
      </c>
      <c r="H246" s="2"/>
      <c r="I246" t="s">
        <v>138</v>
      </c>
      <c r="K246" s="4" t="str">
        <f t="shared" si="22"/>
        <v>Diesel</v>
      </c>
    </row>
    <row r="247" spans="1:11" outlineLevel="1" x14ac:dyDescent="0.25">
      <c r="A247" t="s">
        <v>76</v>
      </c>
      <c r="B247" s="2" t="s">
        <v>111</v>
      </c>
      <c r="C247" t="s">
        <v>82</v>
      </c>
      <c r="E247" t="str">
        <f>_xlfn.CONCAT("FretRout",LEFT(B247,3),RIGHT(B247,2),"Carb")</f>
        <v>FretRoutCat23Carb</v>
      </c>
      <c r="F247" t="s">
        <v>36</v>
      </c>
      <c r="G247">
        <v>1</v>
      </c>
      <c r="I247" t="s">
        <v>1449</v>
      </c>
      <c r="K247" s="4" t="str">
        <f t="shared" si="22"/>
        <v>Gazole à la pompe</v>
      </c>
    </row>
    <row r="248" spans="1:11" outlineLevel="1" x14ac:dyDescent="0.25">
      <c r="A248" t="s">
        <v>76</v>
      </c>
      <c r="B248" s="2" t="s">
        <v>111</v>
      </c>
      <c r="C248" t="s">
        <v>83</v>
      </c>
      <c r="E248" t="str">
        <f>_xlfn.CONCAT("FretRout",LEFT(B248,3),RIGHT(B248,2),"Euro")</f>
        <v>FretRoutCat23Euro</v>
      </c>
      <c r="F248" t="s">
        <v>36</v>
      </c>
      <c r="G248">
        <v>1</v>
      </c>
      <c r="I248">
        <v>0</v>
      </c>
      <c r="K248" s="4">
        <f t="shared" si="22"/>
        <v>0</v>
      </c>
    </row>
    <row r="249" spans="1:11" outlineLevel="1" x14ac:dyDescent="0.25">
      <c r="A249" t="s">
        <v>76</v>
      </c>
      <c r="B249" s="2" t="s">
        <v>111</v>
      </c>
      <c r="C249" t="s">
        <v>84</v>
      </c>
      <c r="E249" t="str">
        <f>_xlfn.CONCAT("FretRout",LEFT(B249,3),RIGHT(B249,2),"CritAir")</f>
        <v>FretRoutCat23CritAir</v>
      </c>
      <c r="F249" t="s">
        <v>36</v>
      </c>
      <c r="G249">
        <v>1</v>
      </c>
      <c r="H249" s="2"/>
      <c r="I249">
        <v>5</v>
      </c>
      <c r="K249" s="4">
        <f t="shared" si="22"/>
        <v>5</v>
      </c>
    </row>
    <row r="250" spans="1:11" outlineLevel="1" x14ac:dyDescent="0.25">
      <c r="A250" t="s">
        <v>76</v>
      </c>
      <c r="B250" s="2" t="s">
        <v>111</v>
      </c>
      <c r="C250" t="s">
        <v>85</v>
      </c>
      <c r="E250" t="str">
        <f>_xlfn.CONCAT("FretRout",LEFT(B250,3),RIGHT(B250,2),"Nb")</f>
        <v>FretRoutCat23Nb</v>
      </c>
      <c r="F250" t="s">
        <v>17</v>
      </c>
      <c r="G250">
        <v>1</v>
      </c>
      <c r="J250" t="s">
        <v>86</v>
      </c>
      <c r="K250">
        <v>0</v>
      </c>
    </row>
    <row r="251" spans="1:11" outlineLevel="1" x14ac:dyDescent="0.25">
      <c r="A251" t="s">
        <v>76</v>
      </c>
      <c r="B251" s="2" t="s">
        <v>111</v>
      </c>
      <c r="C251" t="s">
        <v>87</v>
      </c>
      <c r="E251" t="str">
        <f>_xlfn.CONCAT("FretRout",LEFT(B251,3),RIGHT(B251,2),"Dist")</f>
        <v>FretRoutCat23Dist</v>
      </c>
      <c r="F251" t="s">
        <v>17</v>
      </c>
      <c r="G251">
        <v>1</v>
      </c>
      <c r="H251" s="2"/>
      <c r="J251" t="s">
        <v>88</v>
      </c>
      <c r="K251">
        <v>42385.998762263436</v>
      </c>
    </row>
    <row r="252" spans="1:11" outlineLevel="1" x14ac:dyDescent="0.25">
      <c r="A252" t="s">
        <v>76</v>
      </c>
      <c r="B252" s="2" t="s">
        <v>111</v>
      </c>
      <c r="C252" s="2" t="s">
        <v>89</v>
      </c>
      <c r="E252" t="str">
        <f>_xlfn.CONCAT("FretRout",LEFT(B252,3),RIGHT(B252,2),"Rempl")</f>
        <v>FretRoutCat23Rempl</v>
      </c>
      <c r="F252" t="s">
        <v>17</v>
      </c>
      <c r="G252">
        <v>1</v>
      </c>
      <c r="H252" s="3"/>
      <c r="J252" t="s">
        <v>70</v>
      </c>
      <c r="K252">
        <v>0</v>
      </c>
    </row>
    <row r="253" spans="1:11" outlineLevel="1" x14ac:dyDescent="0.25">
      <c r="A253" t="s">
        <v>76</v>
      </c>
      <c r="B253" s="2" t="s">
        <v>112</v>
      </c>
      <c r="C253" t="s">
        <v>78</v>
      </c>
      <c r="E253" t="str">
        <f>_xlfn.CONCAT("FretRout",LEFT(B253,3),RIGHT(B253,2),"Nom")</f>
        <v>FretRoutCat24Nom</v>
      </c>
      <c r="F253" t="s">
        <v>20</v>
      </c>
      <c r="G253">
        <v>1</v>
      </c>
      <c r="H253" s="4"/>
      <c r="I253" s="4" t="s">
        <v>409</v>
      </c>
      <c r="K253" s="4" t="str">
        <f t="shared" ref="K253:K259" si="23">I253</f>
        <v>PL Diesel &gt;14-20t (Crit'Air 2)</v>
      </c>
    </row>
    <row r="254" spans="1:11" outlineLevel="1" x14ac:dyDescent="0.25">
      <c r="A254" t="s">
        <v>76</v>
      </c>
      <c r="B254" s="2" t="s">
        <v>112</v>
      </c>
      <c r="C254" t="s">
        <v>79</v>
      </c>
      <c r="E254" t="str">
        <f>_xlfn.CONCAT("FretRout",LEFT(B254,3),RIGHT(B254,2),"Type")</f>
        <v>FretRoutCat24Type</v>
      </c>
      <c r="F254" t="s">
        <v>20</v>
      </c>
      <c r="G254">
        <v>1</v>
      </c>
      <c r="I254" t="s">
        <v>1771</v>
      </c>
      <c r="K254" s="4" t="str">
        <f t="shared" si="23"/>
        <v>PL</v>
      </c>
    </row>
    <row r="255" spans="1:11" outlineLevel="1" x14ac:dyDescent="0.25">
      <c r="A255" t="s">
        <v>76</v>
      </c>
      <c r="B255" s="2" t="s">
        <v>112</v>
      </c>
      <c r="C255" t="s">
        <v>80</v>
      </c>
      <c r="E255" t="str">
        <f>_xlfn.CONCAT("FretRout",LEFT(B255,3),RIGHT(B255,2),"PTAC")</f>
        <v>FretRoutCat24PTAC</v>
      </c>
      <c r="F255" t="s">
        <v>36</v>
      </c>
      <c r="G255">
        <v>1</v>
      </c>
      <c r="I255" t="s">
        <v>1459</v>
      </c>
      <c r="K255" s="4" t="str">
        <f t="shared" si="23"/>
        <v>&gt;14-20t</v>
      </c>
    </row>
    <row r="256" spans="1:11" outlineLevel="1" x14ac:dyDescent="0.25">
      <c r="A256" t="s">
        <v>76</v>
      </c>
      <c r="B256" s="2" t="s">
        <v>112</v>
      </c>
      <c r="C256" t="s">
        <v>81</v>
      </c>
      <c r="E256" t="str">
        <f>_xlfn.CONCAT("FretRout",LEFT(B256,3),RIGHT(B256,2),"Mot")</f>
        <v>FretRoutCat24Mot</v>
      </c>
      <c r="F256" t="s">
        <v>36</v>
      </c>
      <c r="G256">
        <v>1</v>
      </c>
      <c r="H256" s="2"/>
      <c r="I256" t="s">
        <v>138</v>
      </c>
      <c r="K256" s="4" t="str">
        <f t="shared" si="23"/>
        <v>Diesel</v>
      </c>
    </row>
    <row r="257" spans="1:11" outlineLevel="1" x14ac:dyDescent="0.25">
      <c r="A257" t="s">
        <v>76</v>
      </c>
      <c r="B257" s="2" t="s">
        <v>112</v>
      </c>
      <c r="C257" t="s">
        <v>82</v>
      </c>
      <c r="E257" t="str">
        <f>_xlfn.CONCAT("FretRout",LEFT(B257,3),RIGHT(B257,2),"Carb")</f>
        <v>FretRoutCat24Carb</v>
      </c>
      <c r="F257" t="s">
        <v>36</v>
      </c>
      <c r="G257">
        <v>1</v>
      </c>
      <c r="I257" t="s">
        <v>1449</v>
      </c>
      <c r="K257" s="4" t="str">
        <f t="shared" si="23"/>
        <v>Gazole à la pompe</v>
      </c>
    </row>
    <row r="258" spans="1:11" outlineLevel="1" x14ac:dyDescent="0.25">
      <c r="A258" t="s">
        <v>76</v>
      </c>
      <c r="B258" s="2" t="s">
        <v>112</v>
      </c>
      <c r="C258" t="s">
        <v>83</v>
      </c>
      <c r="E258" t="str">
        <f>_xlfn.CONCAT("FretRout",LEFT(B258,3),RIGHT(B258,2),"Euro")</f>
        <v>FretRoutCat24Euro</v>
      </c>
      <c r="F258" t="s">
        <v>36</v>
      </c>
      <c r="G258">
        <v>1</v>
      </c>
      <c r="I258">
        <v>0</v>
      </c>
      <c r="K258" s="4">
        <f t="shared" si="23"/>
        <v>0</v>
      </c>
    </row>
    <row r="259" spans="1:11" outlineLevel="1" x14ac:dyDescent="0.25">
      <c r="A259" t="s">
        <v>76</v>
      </c>
      <c r="B259" s="2" t="s">
        <v>112</v>
      </c>
      <c r="C259" t="s">
        <v>84</v>
      </c>
      <c r="E259" t="str">
        <f>_xlfn.CONCAT("FretRout",LEFT(B259,3),RIGHT(B259,2),"CritAir")</f>
        <v>FretRoutCat24CritAir</v>
      </c>
      <c r="F259" t="s">
        <v>36</v>
      </c>
      <c r="G259">
        <v>1</v>
      </c>
      <c r="H259" s="2"/>
      <c r="I259">
        <v>2</v>
      </c>
      <c r="K259" s="4">
        <f t="shared" si="23"/>
        <v>2</v>
      </c>
    </row>
    <row r="260" spans="1:11" outlineLevel="1" x14ac:dyDescent="0.25">
      <c r="A260" t="s">
        <v>76</v>
      </c>
      <c r="B260" s="2" t="s">
        <v>112</v>
      </c>
      <c r="C260" t="s">
        <v>85</v>
      </c>
      <c r="E260" t="str">
        <f>_xlfn.CONCAT("FretRout",LEFT(B260,3),RIGHT(B260,2),"Nb")</f>
        <v>FretRoutCat24Nb</v>
      </c>
      <c r="F260" t="s">
        <v>17</v>
      </c>
      <c r="G260">
        <v>1</v>
      </c>
      <c r="J260" t="s">
        <v>86</v>
      </c>
      <c r="K260">
        <v>0</v>
      </c>
    </row>
    <row r="261" spans="1:11" outlineLevel="1" x14ac:dyDescent="0.25">
      <c r="A261" t="s">
        <v>76</v>
      </c>
      <c r="B261" s="2" t="s">
        <v>112</v>
      </c>
      <c r="C261" t="s">
        <v>87</v>
      </c>
      <c r="E261" t="str">
        <f>_xlfn.CONCAT("FretRout",LEFT(B261,3),RIGHT(B261,2),"Dist")</f>
        <v>FretRoutCat24Dist</v>
      </c>
      <c r="F261" t="s">
        <v>17</v>
      </c>
      <c r="G261">
        <v>1</v>
      </c>
      <c r="H261" s="2"/>
      <c r="J261" t="s">
        <v>88</v>
      </c>
      <c r="K261">
        <v>42385.998762263436</v>
      </c>
    </row>
    <row r="262" spans="1:11" outlineLevel="1" x14ac:dyDescent="0.25">
      <c r="A262" t="s">
        <v>76</v>
      </c>
      <c r="B262" s="2" t="s">
        <v>112</v>
      </c>
      <c r="C262" s="2" t="s">
        <v>89</v>
      </c>
      <c r="E262" t="str">
        <f>_xlfn.CONCAT("FretRout",LEFT(B262,3),RIGHT(B262,2),"Rempl")</f>
        <v>FretRoutCat24Rempl</v>
      </c>
      <c r="F262" t="s">
        <v>17</v>
      </c>
      <c r="G262">
        <v>1</v>
      </c>
      <c r="H262" s="3"/>
      <c r="J262" t="s">
        <v>70</v>
      </c>
      <c r="K262">
        <v>0</v>
      </c>
    </row>
    <row r="263" spans="1:11" outlineLevel="1" x14ac:dyDescent="0.25">
      <c r="A263" t="s">
        <v>76</v>
      </c>
      <c r="B263" s="2" t="s">
        <v>113</v>
      </c>
      <c r="C263" t="s">
        <v>78</v>
      </c>
      <c r="E263" t="str">
        <f>_xlfn.CONCAT("FretRout",LEFT(B263,3),RIGHT(B263,2),"Nom")</f>
        <v>FretRoutCat25Nom</v>
      </c>
      <c r="F263" t="s">
        <v>20</v>
      </c>
      <c r="G263">
        <v>1</v>
      </c>
      <c r="H263" s="4"/>
      <c r="I263" s="4" t="s">
        <v>410</v>
      </c>
      <c r="K263" s="4" t="str">
        <f t="shared" ref="K263:K269" si="24">I263</f>
        <v>PL Diesel &gt;14-20t (Crit'Air 3)</v>
      </c>
    </row>
    <row r="264" spans="1:11" outlineLevel="1" x14ac:dyDescent="0.25">
      <c r="A264" t="s">
        <v>76</v>
      </c>
      <c r="B264" s="2" t="s">
        <v>113</v>
      </c>
      <c r="C264" t="s">
        <v>79</v>
      </c>
      <c r="E264" t="str">
        <f>_xlfn.CONCAT("FretRout",LEFT(B264,3),RIGHT(B264,2),"Type")</f>
        <v>FretRoutCat25Type</v>
      </c>
      <c r="F264" t="s">
        <v>20</v>
      </c>
      <c r="G264">
        <v>1</v>
      </c>
      <c r="I264" t="s">
        <v>1771</v>
      </c>
      <c r="K264" s="4" t="str">
        <f t="shared" si="24"/>
        <v>PL</v>
      </c>
    </row>
    <row r="265" spans="1:11" outlineLevel="1" x14ac:dyDescent="0.25">
      <c r="A265" t="s">
        <v>76</v>
      </c>
      <c r="B265" s="2" t="s">
        <v>113</v>
      </c>
      <c r="C265" t="s">
        <v>80</v>
      </c>
      <c r="E265" t="str">
        <f>_xlfn.CONCAT("FretRout",LEFT(B265,3),RIGHT(B265,2),"PTAC")</f>
        <v>FretRoutCat25PTAC</v>
      </c>
      <c r="F265" t="s">
        <v>36</v>
      </c>
      <c r="G265">
        <v>1</v>
      </c>
      <c r="I265" t="s">
        <v>1459</v>
      </c>
      <c r="K265" s="4" t="str">
        <f t="shared" si="24"/>
        <v>&gt;14-20t</v>
      </c>
    </row>
    <row r="266" spans="1:11" outlineLevel="1" x14ac:dyDescent="0.25">
      <c r="A266" t="s">
        <v>76</v>
      </c>
      <c r="B266" s="2" t="s">
        <v>113</v>
      </c>
      <c r="C266" t="s">
        <v>81</v>
      </c>
      <c r="E266" t="str">
        <f>_xlfn.CONCAT("FretRout",LEFT(B266,3),RIGHT(B266,2),"Mot")</f>
        <v>FretRoutCat25Mot</v>
      </c>
      <c r="F266" t="s">
        <v>36</v>
      </c>
      <c r="G266">
        <v>1</v>
      </c>
      <c r="H266" s="2"/>
      <c r="I266" t="s">
        <v>138</v>
      </c>
      <c r="K266" s="4" t="str">
        <f t="shared" si="24"/>
        <v>Diesel</v>
      </c>
    </row>
    <row r="267" spans="1:11" outlineLevel="1" x14ac:dyDescent="0.25">
      <c r="A267" t="s">
        <v>76</v>
      </c>
      <c r="B267" s="2" t="s">
        <v>113</v>
      </c>
      <c r="C267" t="s">
        <v>82</v>
      </c>
      <c r="E267" t="str">
        <f>_xlfn.CONCAT("FretRout",LEFT(B267,3),RIGHT(B267,2),"Carb")</f>
        <v>FretRoutCat25Carb</v>
      </c>
      <c r="F267" t="s">
        <v>36</v>
      </c>
      <c r="G267">
        <v>1</v>
      </c>
      <c r="I267" t="s">
        <v>1449</v>
      </c>
      <c r="K267" s="4" t="str">
        <f t="shared" si="24"/>
        <v>Gazole à la pompe</v>
      </c>
    </row>
    <row r="268" spans="1:11" outlineLevel="1" x14ac:dyDescent="0.25">
      <c r="A268" t="s">
        <v>76</v>
      </c>
      <c r="B268" s="2" t="s">
        <v>113</v>
      </c>
      <c r="C268" t="s">
        <v>83</v>
      </c>
      <c r="E268" t="str">
        <f>_xlfn.CONCAT("FretRout",LEFT(B268,3),RIGHT(B268,2),"Euro")</f>
        <v>FretRoutCat25Euro</v>
      </c>
      <c r="F268" t="s">
        <v>36</v>
      </c>
      <c r="G268">
        <v>1</v>
      </c>
      <c r="I268">
        <v>0</v>
      </c>
      <c r="K268" s="4">
        <f t="shared" si="24"/>
        <v>0</v>
      </c>
    </row>
    <row r="269" spans="1:11" outlineLevel="1" x14ac:dyDescent="0.25">
      <c r="A269" t="s">
        <v>76</v>
      </c>
      <c r="B269" s="2" t="s">
        <v>113</v>
      </c>
      <c r="C269" t="s">
        <v>84</v>
      </c>
      <c r="E269" t="str">
        <f>_xlfn.CONCAT("FretRout",LEFT(B269,3),RIGHT(B269,2),"CritAir")</f>
        <v>FretRoutCat25CritAir</v>
      </c>
      <c r="F269" t="s">
        <v>36</v>
      </c>
      <c r="G269">
        <v>1</v>
      </c>
      <c r="H269" s="2"/>
      <c r="I269">
        <v>3</v>
      </c>
      <c r="K269" s="4">
        <f t="shared" si="24"/>
        <v>3</v>
      </c>
    </row>
    <row r="270" spans="1:11" outlineLevel="1" x14ac:dyDescent="0.25">
      <c r="A270" t="s">
        <v>76</v>
      </c>
      <c r="B270" s="2" t="s">
        <v>113</v>
      </c>
      <c r="C270" t="s">
        <v>85</v>
      </c>
      <c r="E270" t="str">
        <f>_xlfn.CONCAT("FretRout",LEFT(B270,3),RIGHT(B270,2),"Nb")</f>
        <v>FretRoutCat25Nb</v>
      </c>
      <c r="F270" t="s">
        <v>17</v>
      </c>
      <c r="G270">
        <v>1</v>
      </c>
      <c r="J270" t="s">
        <v>86</v>
      </c>
      <c r="K270">
        <v>0</v>
      </c>
    </row>
    <row r="271" spans="1:11" outlineLevel="1" x14ac:dyDescent="0.25">
      <c r="A271" t="s">
        <v>76</v>
      </c>
      <c r="B271" s="2" t="s">
        <v>113</v>
      </c>
      <c r="C271" t="s">
        <v>87</v>
      </c>
      <c r="E271" t="str">
        <f>_xlfn.CONCAT("FretRout",LEFT(B271,3),RIGHT(B271,2),"Dist")</f>
        <v>FretRoutCat25Dist</v>
      </c>
      <c r="F271" t="s">
        <v>17</v>
      </c>
      <c r="G271">
        <v>1</v>
      </c>
      <c r="H271" s="2"/>
      <c r="J271" t="s">
        <v>88</v>
      </c>
      <c r="K271">
        <v>42385.998762263436</v>
      </c>
    </row>
    <row r="272" spans="1:11" outlineLevel="1" x14ac:dyDescent="0.25">
      <c r="A272" t="s">
        <v>76</v>
      </c>
      <c r="B272" s="2" t="s">
        <v>113</v>
      </c>
      <c r="C272" s="2" t="s">
        <v>89</v>
      </c>
      <c r="E272" t="str">
        <f>_xlfn.CONCAT("FretRout",LEFT(B272,3),RIGHT(B272,2),"Rempl")</f>
        <v>FretRoutCat25Rempl</v>
      </c>
      <c r="F272" t="s">
        <v>17</v>
      </c>
      <c r="G272">
        <v>1</v>
      </c>
      <c r="H272" s="3"/>
      <c r="J272" t="s">
        <v>70</v>
      </c>
      <c r="K272">
        <v>0</v>
      </c>
    </row>
    <row r="273" spans="1:11" outlineLevel="1" x14ac:dyDescent="0.25">
      <c r="A273" t="s">
        <v>76</v>
      </c>
      <c r="B273" s="2" t="s">
        <v>114</v>
      </c>
      <c r="C273" t="s">
        <v>78</v>
      </c>
      <c r="E273" t="str">
        <f>_xlfn.CONCAT("FretRout",LEFT(B273,3),RIGHT(B273,2),"Nom")</f>
        <v>FretRoutCat26Nom</v>
      </c>
      <c r="F273" t="s">
        <v>20</v>
      </c>
      <c r="G273">
        <v>1</v>
      </c>
      <c r="H273" s="4"/>
      <c r="I273" s="4" t="s">
        <v>411</v>
      </c>
      <c r="K273" s="4" t="str">
        <f t="shared" ref="K273:K279" si="25">I273</f>
        <v>PL Diesel &gt;14-20t (Crit'Air 4)</v>
      </c>
    </row>
    <row r="274" spans="1:11" outlineLevel="1" x14ac:dyDescent="0.25">
      <c r="A274" t="s">
        <v>76</v>
      </c>
      <c r="B274" s="2" t="s">
        <v>114</v>
      </c>
      <c r="C274" t="s">
        <v>79</v>
      </c>
      <c r="E274" t="str">
        <f>_xlfn.CONCAT("FretRout",LEFT(B274,3),RIGHT(B274,2),"Type")</f>
        <v>FretRoutCat26Type</v>
      </c>
      <c r="F274" t="s">
        <v>20</v>
      </c>
      <c r="G274">
        <v>1</v>
      </c>
      <c r="I274" t="s">
        <v>1771</v>
      </c>
      <c r="K274" s="4" t="str">
        <f t="shared" si="25"/>
        <v>PL</v>
      </c>
    </row>
    <row r="275" spans="1:11" outlineLevel="1" x14ac:dyDescent="0.25">
      <c r="A275" t="s">
        <v>76</v>
      </c>
      <c r="B275" s="2" t="s">
        <v>114</v>
      </c>
      <c r="C275" t="s">
        <v>80</v>
      </c>
      <c r="E275" t="str">
        <f>_xlfn.CONCAT("FretRout",LEFT(B275,3),RIGHT(B275,2),"PTAC")</f>
        <v>FretRoutCat26PTAC</v>
      </c>
      <c r="F275" t="s">
        <v>36</v>
      </c>
      <c r="G275">
        <v>1</v>
      </c>
      <c r="I275" t="s">
        <v>1459</v>
      </c>
      <c r="K275" s="4" t="str">
        <f t="shared" si="25"/>
        <v>&gt;14-20t</v>
      </c>
    </row>
    <row r="276" spans="1:11" outlineLevel="1" x14ac:dyDescent="0.25">
      <c r="A276" t="s">
        <v>76</v>
      </c>
      <c r="B276" s="2" t="s">
        <v>114</v>
      </c>
      <c r="C276" t="s">
        <v>81</v>
      </c>
      <c r="E276" t="str">
        <f>_xlfn.CONCAT("FretRout",LEFT(B276,3),RIGHT(B276,2),"Mot")</f>
        <v>FretRoutCat26Mot</v>
      </c>
      <c r="F276" t="s">
        <v>36</v>
      </c>
      <c r="G276">
        <v>1</v>
      </c>
      <c r="H276" s="2"/>
      <c r="I276" t="s">
        <v>138</v>
      </c>
      <c r="K276" s="4" t="str">
        <f t="shared" si="25"/>
        <v>Diesel</v>
      </c>
    </row>
    <row r="277" spans="1:11" outlineLevel="1" x14ac:dyDescent="0.25">
      <c r="A277" t="s">
        <v>76</v>
      </c>
      <c r="B277" s="2" t="s">
        <v>114</v>
      </c>
      <c r="C277" t="s">
        <v>82</v>
      </c>
      <c r="E277" t="str">
        <f>_xlfn.CONCAT("FretRout",LEFT(B277,3),RIGHT(B277,2),"Carb")</f>
        <v>FretRoutCat26Carb</v>
      </c>
      <c r="F277" t="s">
        <v>36</v>
      </c>
      <c r="G277">
        <v>1</v>
      </c>
      <c r="I277" t="s">
        <v>1449</v>
      </c>
      <c r="K277" s="4" t="str">
        <f t="shared" si="25"/>
        <v>Gazole à la pompe</v>
      </c>
    </row>
    <row r="278" spans="1:11" outlineLevel="1" x14ac:dyDescent="0.25">
      <c r="A278" t="s">
        <v>76</v>
      </c>
      <c r="B278" s="2" t="s">
        <v>114</v>
      </c>
      <c r="C278" t="s">
        <v>83</v>
      </c>
      <c r="E278" t="str">
        <f>_xlfn.CONCAT("FretRout",LEFT(B278,3),RIGHT(B278,2),"Euro")</f>
        <v>FretRoutCat26Euro</v>
      </c>
      <c r="F278" t="s">
        <v>36</v>
      </c>
      <c r="G278">
        <v>1</v>
      </c>
      <c r="I278">
        <v>0</v>
      </c>
      <c r="K278" s="4">
        <f t="shared" si="25"/>
        <v>0</v>
      </c>
    </row>
    <row r="279" spans="1:11" outlineLevel="1" x14ac:dyDescent="0.25">
      <c r="A279" t="s">
        <v>76</v>
      </c>
      <c r="B279" s="2" t="s">
        <v>114</v>
      </c>
      <c r="C279" t="s">
        <v>84</v>
      </c>
      <c r="E279" t="str">
        <f>_xlfn.CONCAT("FretRout",LEFT(B279,3),RIGHT(B279,2),"CritAir")</f>
        <v>FretRoutCat26CritAir</v>
      </c>
      <c r="F279" t="s">
        <v>36</v>
      </c>
      <c r="G279">
        <v>1</v>
      </c>
      <c r="H279" s="2"/>
      <c r="I279">
        <v>4</v>
      </c>
      <c r="K279" s="4">
        <f t="shared" si="25"/>
        <v>4</v>
      </c>
    </row>
    <row r="280" spans="1:11" outlineLevel="1" x14ac:dyDescent="0.25">
      <c r="A280" t="s">
        <v>76</v>
      </c>
      <c r="B280" s="2" t="s">
        <v>114</v>
      </c>
      <c r="C280" t="s">
        <v>85</v>
      </c>
      <c r="E280" t="str">
        <f>_xlfn.CONCAT("FretRout",LEFT(B280,3),RIGHT(B280,2),"Nb")</f>
        <v>FretRoutCat26Nb</v>
      </c>
      <c r="F280" t="s">
        <v>17</v>
      </c>
      <c r="G280">
        <v>1</v>
      </c>
      <c r="J280" t="s">
        <v>86</v>
      </c>
      <c r="K280">
        <v>0</v>
      </c>
    </row>
    <row r="281" spans="1:11" outlineLevel="1" x14ac:dyDescent="0.25">
      <c r="A281" t="s">
        <v>76</v>
      </c>
      <c r="B281" s="2" t="s">
        <v>114</v>
      </c>
      <c r="C281" t="s">
        <v>87</v>
      </c>
      <c r="E281" t="str">
        <f>_xlfn.CONCAT("FretRout",LEFT(B281,3),RIGHT(B281,2),"Dist")</f>
        <v>FretRoutCat26Dist</v>
      </c>
      <c r="F281" t="s">
        <v>17</v>
      </c>
      <c r="G281">
        <v>1</v>
      </c>
      <c r="H281" s="2"/>
      <c r="J281" t="s">
        <v>88</v>
      </c>
      <c r="K281">
        <v>42385.998762263436</v>
      </c>
    </row>
    <row r="282" spans="1:11" outlineLevel="1" x14ac:dyDescent="0.25">
      <c r="A282" t="s">
        <v>76</v>
      </c>
      <c r="B282" s="2" t="s">
        <v>114</v>
      </c>
      <c r="C282" s="2" t="s">
        <v>89</v>
      </c>
      <c r="E282" t="str">
        <f>_xlfn.CONCAT("FretRout",LEFT(B282,3),RIGHT(B282,2),"Rempl")</f>
        <v>FretRoutCat26Rempl</v>
      </c>
      <c r="F282" t="s">
        <v>17</v>
      </c>
      <c r="G282">
        <v>1</v>
      </c>
      <c r="H282" s="3"/>
      <c r="J282" t="s">
        <v>70</v>
      </c>
      <c r="K282">
        <v>0</v>
      </c>
    </row>
    <row r="283" spans="1:11" outlineLevel="1" x14ac:dyDescent="0.25">
      <c r="A283" t="s">
        <v>76</v>
      </c>
      <c r="B283" s="2" t="s">
        <v>115</v>
      </c>
      <c r="C283" t="s">
        <v>78</v>
      </c>
      <c r="E283" t="str">
        <f>_xlfn.CONCAT("FretRout",LEFT(B283,3),RIGHT(B283,2),"Nom")</f>
        <v>FretRoutCat27Nom</v>
      </c>
      <c r="F283" t="s">
        <v>20</v>
      </c>
      <c r="G283">
        <v>1</v>
      </c>
      <c r="H283" s="4"/>
      <c r="I283" s="4" t="s">
        <v>412</v>
      </c>
      <c r="K283" s="4" t="str">
        <f t="shared" ref="K283:K289" si="26">I283</f>
        <v>PL Diesel &gt;14-20t (Crit'Air 5)</v>
      </c>
    </row>
    <row r="284" spans="1:11" outlineLevel="1" x14ac:dyDescent="0.25">
      <c r="A284" t="s">
        <v>76</v>
      </c>
      <c r="B284" s="2" t="s">
        <v>115</v>
      </c>
      <c r="C284" t="s">
        <v>79</v>
      </c>
      <c r="E284" t="str">
        <f>_xlfn.CONCAT("FretRout",LEFT(B284,3),RIGHT(B284,2),"Type")</f>
        <v>FretRoutCat27Type</v>
      </c>
      <c r="F284" t="s">
        <v>20</v>
      </c>
      <c r="G284">
        <v>1</v>
      </c>
      <c r="I284" t="s">
        <v>1771</v>
      </c>
      <c r="K284" s="4" t="str">
        <f t="shared" si="26"/>
        <v>PL</v>
      </c>
    </row>
    <row r="285" spans="1:11" outlineLevel="1" x14ac:dyDescent="0.25">
      <c r="A285" t="s">
        <v>76</v>
      </c>
      <c r="B285" s="2" t="s">
        <v>115</v>
      </c>
      <c r="C285" t="s">
        <v>80</v>
      </c>
      <c r="E285" t="str">
        <f>_xlfn.CONCAT("FretRout",LEFT(B285,3),RIGHT(B285,2),"PTAC")</f>
        <v>FretRoutCat27PTAC</v>
      </c>
      <c r="F285" t="s">
        <v>36</v>
      </c>
      <c r="G285">
        <v>1</v>
      </c>
      <c r="I285" t="s">
        <v>1459</v>
      </c>
      <c r="K285" s="4" t="str">
        <f t="shared" si="26"/>
        <v>&gt;14-20t</v>
      </c>
    </row>
    <row r="286" spans="1:11" outlineLevel="1" x14ac:dyDescent="0.25">
      <c r="A286" t="s">
        <v>76</v>
      </c>
      <c r="B286" s="2" t="s">
        <v>115</v>
      </c>
      <c r="C286" t="s">
        <v>81</v>
      </c>
      <c r="E286" t="str">
        <f>_xlfn.CONCAT("FretRout",LEFT(B286,3),RIGHT(B286,2),"Mot")</f>
        <v>FretRoutCat27Mot</v>
      </c>
      <c r="F286" t="s">
        <v>36</v>
      </c>
      <c r="G286">
        <v>1</v>
      </c>
      <c r="H286" s="2"/>
      <c r="I286" t="s">
        <v>138</v>
      </c>
      <c r="K286" s="4" t="str">
        <f t="shared" si="26"/>
        <v>Diesel</v>
      </c>
    </row>
    <row r="287" spans="1:11" outlineLevel="1" x14ac:dyDescent="0.25">
      <c r="A287" t="s">
        <v>76</v>
      </c>
      <c r="B287" s="2" t="s">
        <v>115</v>
      </c>
      <c r="C287" t="s">
        <v>82</v>
      </c>
      <c r="E287" t="str">
        <f>_xlfn.CONCAT("FretRout",LEFT(B287,3),RIGHT(B287,2),"Carb")</f>
        <v>FretRoutCat27Carb</v>
      </c>
      <c r="F287" t="s">
        <v>36</v>
      </c>
      <c r="G287">
        <v>1</v>
      </c>
      <c r="I287" t="s">
        <v>1449</v>
      </c>
      <c r="K287" s="4" t="str">
        <f t="shared" si="26"/>
        <v>Gazole à la pompe</v>
      </c>
    </row>
    <row r="288" spans="1:11" outlineLevel="1" x14ac:dyDescent="0.25">
      <c r="A288" t="s">
        <v>76</v>
      </c>
      <c r="B288" s="2" t="s">
        <v>115</v>
      </c>
      <c r="C288" t="s">
        <v>83</v>
      </c>
      <c r="E288" t="str">
        <f>_xlfn.CONCAT("FretRout",LEFT(B288,3),RIGHT(B288,2),"Euro")</f>
        <v>FretRoutCat27Euro</v>
      </c>
      <c r="F288" t="s">
        <v>36</v>
      </c>
      <c r="G288">
        <v>1</v>
      </c>
      <c r="I288">
        <v>0</v>
      </c>
      <c r="K288" s="4">
        <f t="shared" si="26"/>
        <v>0</v>
      </c>
    </row>
    <row r="289" spans="1:11" outlineLevel="1" x14ac:dyDescent="0.25">
      <c r="A289" t="s">
        <v>76</v>
      </c>
      <c r="B289" s="2" t="s">
        <v>115</v>
      </c>
      <c r="C289" t="s">
        <v>84</v>
      </c>
      <c r="E289" t="str">
        <f>_xlfn.CONCAT("FretRout",LEFT(B289,3),RIGHT(B289,2),"CritAir")</f>
        <v>FretRoutCat27CritAir</v>
      </c>
      <c r="F289" t="s">
        <v>36</v>
      </c>
      <c r="G289">
        <v>1</v>
      </c>
      <c r="H289" s="2"/>
      <c r="I289">
        <v>5</v>
      </c>
      <c r="K289" s="4">
        <f t="shared" si="26"/>
        <v>5</v>
      </c>
    </row>
    <row r="290" spans="1:11" outlineLevel="1" x14ac:dyDescent="0.25">
      <c r="A290" t="s">
        <v>76</v>
      </c>
      <c r="B290" s="2" t="s">
        <v>115</v>
      </c>
      <c r="C290" t="s">
        <v>85</v>
      </c>
      <c r="E290" t="str">
        <f>_xlfn.CONCAT("FretRout",LEFT(B290,3),RIGHT(B290,2),"Nb")</f>
        <v>FretRoutCat27Nb</v>
      </c>
      <c r="F290" t="s">
        <v>17</v>
      </c>
      <c r="G290">
        <v>1</v>
      </c>
      <c r="J290" t="s">
        <v>86</v>
      </c>
      <c r="K290">
        <v>0</v>
      </c>
    </row>
    <row r="291" spans="1:11" outlineLevel="1" x14ac:dyDescent="0.25">
      <c r="A291" t="s">
        <v>76</v>
      </c>
      <c r="B291" s="2" t="s">
        <v>115</v>
      </c>
      <c r="C291" t="s">
        <v>87</v>
      </c>
      <c r="E291" t="str">
        <f>_xlfn.CONCAT("FretRout",LEFT(B291,3),RIGHT(B291,2),"Dist")</f>
        <v>FretRoutCat27Dist</v>
      </c>
      <c r="F291" t="s">
        <v>17</v>
      </c>
      <c r="G291">
        <v>1</v>
      </c>
      <c r="H291" s="2"/>
      <c r="J291" t="s">
        <v>88</v>
      </c>
      <c r="K291">
        <v>42385.998762263436</v>
      </c>
    </row>
    <row r="292" spans="1:11" outlineLevel="1" x14ac:dyDescent="0.25">
      <c r="A292" t="s">
        <v>76</v>
      </c>
      <c r="B292" s="2" t="s">
        <v>115</v>
      </c>
      <c r="C292" s="2" t="s">
        <v>89</v>
      </c>
      <c r="E292" t="str">
        <f>_xlfn.CONCAT("FretRout",LEFT(B292,3),RIGHT(B292,2),"Rempl")</f>
        <v>FretRoutCat27Rempl</v>
      </c>
      <c r="F292" t="s">
        <v>17</v>
      </c>
      <c r="G292">
        <v>1</v>
      </c>
      <c r="H292" s="3"/>
      <c r="J292" t="s">
        <v>70</v>
      </c>
      <c r="K292">
        <v>0</v>
      </c>
    </row>
    <row r="293" spans="1:11" outlineLevel="1" x14ac:dyDescent="0.25">
      <c r="A293" t="s">
        <v>76</v>
      </c>
      <c r="B293" s="2" t="s">
        <v>116</v>
      </c>
      <c r="C293" t="s">
        <v>78</v>
      </c>
      <c r="E293" t="str">
        <f>_xlfn.CONCAT("FretRout",LEFT(B293,3),RIGHT(B293,2),"Nom")</f>
        <v>FretRoutCat28Nom</v>
      </c>
      <c r="F293" t="s">
        <v>20</v>
      </c>
      <c r="G293">
        <v>1</v>
      </c>
      <c r="H293" s="4"/>
      <c r="I293" s="4" t="s">
        <v>413</v>
      </c>
      <c r="K293" s="4" t="str">
        <f t="shared" ref="K293:K299" si="27">I293</f>
        <v>PL Diesel &gt;20-26t (Crit'Air 2)</v>
      </c>
    </row>
    <row r="294" spans="1:11" outlineLevel="1" x14ac:dyDescent="0.25">
      <c r="A294" t="s">
        <v>76</v>
      </c>
      <c r="B294" s="2" t="s">
        <v>116</v>
      </c>
      <c r="C294" t="s">
        <v>79</v>
      </c>
      <c r="E294" t="str">
        <f>_xlfn.CONCAT("FretRout",LEFT(B294,3),RIGHT(B294,2),"Type")</f>
        <v>FretRoutCat28Type</v>
      </c>
      <c r="F294" t="s">
        <v>20</v>
      </c>
      <c r="G294">
        <v>1</v>
      </c>
      <c r="I294" t="s">
        <v>1771</v>
      </c>
      <c r="K294" s="4" t="str">
        <f t="shared" si="27"/>
        <v>PL</v>
      </c>
    </row>
    <row r="295" spans="1:11" outlineLevel="1" x14ac:dyDescent="0.25">
      <c r="A295" t="s">
        <v>76</v>
      </c>
      <c r="B295" s="2" t="s">
        <v>116</v>
      </c>
      <c r="C295" t="s">
        <v>80</v>
      </c>
      <c r="E295" t="str">
        <f>_xlfn.CONCAT("FretRout",LEFT(B295,3),RIGHT(B295,2),"PTAC")</f>
        <v>FretRoutCat28PTAC</v>
      </c>
      <c r="F295" t="s">
        <v>36</v>
      </c>
      <c r="G295">
        <v>1</v>
      </c>
      <c r="I295" t="s">
        <v>1460</v>
      </c>
      <c r="K295" s="4" t="str">
        <f t="shared" si="27"/>
        <v>&gt;20-26t</v>
      </c>
    </row>
    <row r="296" spans="1:11" outlineLevel="1" x14ac:dyDescent="0.25">
      <c r="A296" t="s">
        <v>76</v>
      </c>
      <c r="B296" s="2" t="s">
        <v>116</v>
      </c>
      <c r="C296" t="s">
        <v>81</v>
      </c>
      <c r="E296" t="str">
        <f>_xlfn.CONCAT("FretRout",LEFT(B296,3),RIGHT(B296,2),"Mot")</f>
        <v>FretRoutCat28Mot</v>
      </c>
      <c r="F296" t="s">
        <v>36</v>
      </c>
      <c r="G296">
        <v>1</v>
      </c>
      <c r="H296" s="2"/>
      <c r="I296" t="s">
        <v>138</v>
      </c>
      <c r="K296" s="4" t="str">
        <f t="shared" si="27"/>
        <v>Diesel</v>
      </c>
    </row>
    <row r="297" spans="1:11" outlineLevel="1" x14ac:dyDescent="0.25">
      <c r="A297" t="s">
        <v>76</v>
      </c>
      <c r="B297" s="2" t="s">
        <v>116</v>
      </c>
      <c r="C297" t="s">
        <v>82</v>
      </c>
      <c r="E297" t="str">
        <f>_xlfn.CONCAT("FretRout",LEFT(B297,3),RIGHT(B297,2),"Carb")</f>
        <v>FretRoutCat28Carb</v>
      </c>
      <c r="F297" t="s">
        <v>36</v>
      </c>
      <c r="G297">
        <v>1</v>
      </c>
      <c r="I297" t="s">
        <v>1449</v>
      </c>
      <c r="K297" s="4" t="str">
        <f t="shared" si="27"/>
        <v>Gazole à la pompe</v>
      </c>
    </row>
    <row r="298" spans="1:11" outlineLevel="1" x14ac:dyDescent="0.25">
      <c r="A298" t="s">
        <v>76</v>
      </c>
      <c r="B298" s="2" t="s">
        <v>116</v>
      </c>
      <c r="C298" t="s">
        <v>83</v>
      </c>
      <c r="E298" t="str">
        <f>_xlfn.CONCAT("FretRout",LEFT(B298,3),RIGHT(B298,2),"Euro")</f>
        <v>FretRoutCat28Euro</v>
      </c>
      <c r="F298" t="s">
        <v>36</v>
      </c>
      <c r="G298">
        <v>1</v>
      </c>
      <c r="I298">
        <v>0</v>
      </c>
      <c r="K298" s="4">
        <f t="shared" si="27"/>
        <v>0</v>
      </c>
    </row>
    <row r="299" spans="1:11" outlineLevel="1" x14ac:dyDescent="0.25">
      <c r="A299" t="s">
        <v>76</v>
      </c>
      <c r="B299" s="2" t="s">
        <v>116</v>
      </c>
      <c r="C299" t="s">
        <v>84</v>
      </c>
      <c r="E299" t="str">
        <f>_xlfn.CONCAT("FretRout",LEFT(B299,3),RIGHT(B299,2),"CritAir")</f>
        <v>FretRoutCat28CritAir</v>
      </c>
      <c r="F299" t="s">
        <v>36</v>
      </c>
      <c r="G299">
        <v>1</v>
      </c>
      <c r="H299" s="2"/>
      <c r="I299">
        <v>2</v>
      </c>
      <c r="K299" s="4">
        <f t="shared" si="27"/>
        <v>2</v>
      </c>
    </row>
    <row r="300" spans="1:11" outlineLevel="1" x14ac:dyDescent="0.25">
      <c r="A300" t="s">
        <v>76</v>
      </c>
      <c r="B300" s="2" t="s">
        <v>116</v>
      </c>
      <c r="C300" t="s">
        <v>85</v>
      </c>
      <c r="E300" t="str">
        <f>_xlfn.CONCAT("FretRout",LEFT(B300,3),RIGHT(B300,2),"Nb")</f>
        <v>FretRoutCat28Nb</v>
      </c>
      <c r="F300" t="s">
        <v>17</v>
      </c>
      <c r="G300">
        <v>1</v>
      </c>
      <c r="J300" t="s">
        <v>86</v>
      </c>
      <c r="K300">
        <v>0</v>
      </c>
    </row>
    <row r="301" spans="1:11" outlineLevel="1" x14ac:dyDescent="0.25">
      <c r="A301" t="s">
        <v>76</v>
      </c>
      <c r="B301" s="2" t="s">
        <v>116</v>
      </c>
      <c r="C301" t="s">
        <v>87</v>
      </c>
      <c r="E301" t="str">
        <f>_xlfn.CONCAT("FretRout",LEFT(B301,3),RIGHT(B301,2),"Dist")</f>
        <v>FretRoutCat28Dist</v>
      </c>
      <c r="F301" t="s">
        <v>17</v>
      </c>
      <c r="G301">
        <v>1</v>
      </c>
      <c r="H301" s="2"/>
      <c r="J301" t="s">
        <v>88</v>
      </c>
      <c r="K301">
        <v>42385.998762263436</v>
      </c>
    </row>
    <row r="302" spans="1:11" outlineLevel="1" x14ac:dyDescent="0.25">
      <c r="A302" t="s">
        <v>76</v>
      </c>
      <c r="B302" s="2" t="s">
        <v>116</v>
      </c>
      <c r="C302" s="2" t="s">
        <v>89</v>
      </c>
      <c r="E302" t="str">
        <f>_xlfn.CONCAT("FretRout",LEFT(B302,3),RIGHT(B302,2),"Rempl")</f>
        <v>FretRoutCat28Rempl</v>
      </c>
      <c r="F302" t="s">
        <v>17</v>
      </c>
      <c r="G302">
        <v>1</v>
      </c>
      <c r="H302" s="3"/>
      <c r="J302" t="s">
        <v>70</v>
      </c>
      <c r="K302">
        <v>0</v>
      </c>
    </row>
    <row r="303" spans="1:11" outlineLevel="1" x14ac:dyDescent="0.25">
      <c r="A303" t="s">
        <v>76</v>
      </c>
      <c r="B303" s="2" t="s">
        <v>117</v>
      </c>
      <c r="C303" t="s">
        <v>78</v>
      </c>
      <c r="E303" t="str">
        <f>_xlfn.CONCAT("FretRout",LEFT(B303,3),RIGHT(B303,2),"Nom")</f>
        <v>FretRoutCat29Nom</v>
      </c>
      <c r="F303" t="s">
        <v>20</v>
      </c>
      <c r="G303">
        <v>1</v>
      </c>
      <c r="H303" s="4"/>
      <c r="I303" s="4" t="s">
        <v>414</v>
      </c>
      <c r="K303" s="4" t="str">
        <f t="shared" ref="K303:K309" si="28">I303</f>
        <v>PL Diesel &gt;20-26t (Crit'Air 3)</v>
      </c>
    </row>
    <row r="304" spans="1:11" outlineLevel="1" x14ac:dyDescent="0.25">
      <c r="A304" t="s">
        <v>76</v>
      </c>
      <c r="B304" s="2" t="s">
        <v>117</v>
      </c>
      <c r="C304" t="s">
        <v>79</v>
      </c>
      <c r="E304" t="str">
        <f>_xlfn.CONCAT("FretRout",LEFT(B304,3),RIGHT(B304,2),"Type")</f>
        <v>FretRoutCat29Type</v>
      </c>
      <c r="F304" t="s">
        <v>20</v>
      </c>
      <c r="G304">
        <v>1</v>
      </c>
      <c r="I304" t="s">
        <v>1771</v>
      </c>
      <c r="K304" s="4" t="str">
        <f t="shared" si="28"/>
        <v>PL</v>
      </c>
    </row>
    <row r="305" spans="1:11" outlineLevel="1" x14ac:dyDescent="0.25">
      <c r="A305" t="s">
        <v>76</v>
      </c>
      <c r="B305" s="2" t="s">
        <v>117</v>
      </c>
      <c r="C305" t="s">
        <v>80</v>
      </c>
      <c r="E305" t="str">
        <f>_xlfn.CONCAT("FretRout",LEFT(B305,3),RIGHT(B305,2),"PTAC")</f>
        <v>FretRoutCat29PTAC</v>
      </c>
      <c r="F305" t="s">
        <v>36</v>
      </c>
      <c r="G305">
        <v>1</v>
      </c>
      <c r="I305" t="s">
        <v>1460</v>
      </c>
      <c r="K305" s="4" t="str">
        <f t="shared" si="28"/>
        <v>&gt;20-26t</v>
      </c>
    </row>
    <row r="306" spans="1:11" outlineLevel="1" x14ac:dyDescent="0.25">
      <c r="A306" t="s">
        <v>76</v>
      </c>
      <c r="B306" s="2" t="s">
        <v>117</v>
      </c>
      <c r="C306" t="s">
        <v>81</v>
      </c>
      <c r="E306" t="str">
        <f>_xlfn.CONCAT("FretRout",LEFT(B306,3),RIGHT(B306,2),"Mot")</f>
        <v>FretRoutCat29Mot</v>
      </c>
      <c r="F306" t="s">
        <v>36</v>
      </c>
      <c r="G306">
        <v>1</v>
      </c>
      <c r="H306" s="2"/>
      <c r="I306" t="s">
        <v>138</v>
      </c>
      <c r="K306" s="4" t="str">
        <f t="shared" si="28"/>
        <v>Diesel</v>
      </c>
    </row>
    <row r="307" spans="1:11" outlineLevel="1" x14ac:dyDescent="0.25">
      <c r="A307" t="s">
        <v>76</v>
      </c>
      <c r="B307" s="2" t="s">
        <v>117</v>
      </c>
      <c r="C307" t="s">
        <v>82</v>
      </c>
      <c r="E307" t="str">
        <f>_xlfn.CONCAT("FretRout",LEFT(B307,3),RIGHT(B307,2),"Carb")</f>
        <v>FretRoutCat29Carb</v>
      </c>
      <c r="F307" t="s">
        <v>36</v>
      </c>
      <c r="G307">
        <v>1</v>
      </c>
      <c r="I307" t="s">
        <v>1449</v>
      </c>
      <c r="K307" s="4" t="str">
        <f t="shared" si="28"/>
        <v>Gazole à la pompe</v>
      </c>
    </row>
    <row r="308" spans="1:11" outlineLevel="1" x14ac:dyDescent="0.25">
      <c r="A308" t="s">
        <v>76</v>
      </c>
      <c r="B308" s="2" t="s">
        <v>117</v>
      </c>
      <c r="C308" t="s">
        <v>83</v>
      </c>
      <c r="E308" t="str">
        <f>_xlfn.CONCAT("FretRout",LEFT(B308,3),RIGHT(B308,2),"Euro")</f>
        <v>FretRoutCat29Euro</v>
      </c>
      <c r="F308" t="s">
        <v>36</v>
      </c>
      <c r="G308">
        <v>1</v>
      </c>
      <c r="I308">
        <v>0</v>
      </c>
      <c r="K308" s="4">
        <f t="shared" si="28"/>
        <v>0</v>
      </c>
    </row>
    <row r="309" spans="1:11" outlineLevel="1" x14ac:dyDescent="0.25">
      <c r="A309" t="s">
        <v>76</v>
      </c>
      <c r="B309" s="2" t="s">
        <v>117</v>
      </c>
      <c r="C309" t="s">
        <v>84</v>
      </c>
      <c r="E309" t="str">
        <f>_xlfn.CONCAT("FretRout",LEFT(B309,3),RIGHT(B309,2),"CritAir")</f>
        <v>FretRoutCat29CritAir</v>
      </c>
      <c r="F309" t="s">
        <v>36</v>
      </c>
      <c r="G309">
        <v>1</v>
      </c>
      <c r="H309" s="2"/>
      <c r="I309">
        <v>3</v>
      </c>
      <c r="K309" s="4">
        <f t="shared" si="28"/>
        <v>3</v>
      </c>
    </row>
    <row r="310" spans="1:11" outlineLevel="1" x14ac:dyDescent="0.25">
      <c r="A310" t="s">
        <v>76</v>
      </c>
      <c r="B310" s="2" t="s">
        <v>117</v>
      </c>
      <c r="C310" t="s">
        <v>85</v>
      </c>
      <c r="E310" t="str">
        <f>_xlfn.CONCAT("FretRout",LEFT(B310,3),RIGHT(B310,2),"Nb")</f>
        <v>FretRoutCat29Nb</v>
      </c>
      <c r="F310" t="s">
        <v>17</v>
      </c>
      <c r="G310">
        <v>1</v>
      </c>
      <c r="J310" t="s">
        <v>86</v>
      </c>
      <c r="K310">
        <v>0</v>
      </c>
    </row>
    <row r="311" spans="1:11" outlineLevel="1" x14ac:dyDescent="0.25">
      <c r="A311" t="s">
        <v>76</v>
      </c>
      <c r="B311" s="2" t="s">
        <v>117</v>
      </c>
      <c r="C311" t="s">
        <v>87</v>
      </c>
      <c r="E311" t="str">
        <f>_xlfn.CONCAT("FretRout",LEFT(B311,3),RIGHT(B311,2),"Dist")</f>
        <v>FretRoutCat29Dist</v>
      </c>
      <c r="F311" t="s">
        <v>17</v>
      </c>
      <c r="G311">
        <v>1</v>
      </c>
      <c r="H311" s="2"/>
      <c r="J311" t="s">
        <v>88</v>
      </c>
      <c r="K311">
        <v>42385.998762263436</v>
      </c>
    </row>
    <row r="312" spans="1:11" outlineLevel="1" x14ac:dyDescent="0.25">
      <c r="A312" t="s">
        <v>76</v>
      </c>
      <c r="B312" s="2" t="s">
        <v>117</v>
      </c>
      <c r="C312" s="2" t="s">
        <v>89</v>
      </c>
      <c r="E312" t="str">
        <f>_xlfn.CONCAT("FretRout",LEFT(B312,3),RIGHT(B312,2),"Rempl")</f>
        <v>FretRoutCat29Rempl</v>
      </c>
      <c r="F312" t="s">
        <v>17</v>
      </c>
      <c r="G312">
        <v>1</v>
      </c>
      <c r="H312" s="3"/>
      <c r="J312" t="s">
        <v>70</v>
      </c>
      <c r="K312">
        <v>0</v>
      </c>
    </row>
    <row r="313" spans="1:11" outlineLevel="1" x14ac:dyDescent="0.25">
      <c r="A313" t="s">
        <v>76</v>
      </c>
      <c r="B313" s="2" t="s">
        <v>118</v>
      </c>
      <c r="C313" t="s">
        <v>78</v>
      </c>
      <c r="E313" t="str">
        <f>_xlfn.CONCAT("FretRout",LEFT(B313,3),RIGHT(B313,2),"Nom")</f>
        <v>FretRoutCat30Nom</v>
      </c>
      <c r="F313" t="s">
        <v>20</v>
      </c>
      <c r="G313">
        <v>1</v>
      </c>
      <c r="H313" s="4"/>
      <c r="I313" s="4" t="s">
        <v>415</v>
      </c>
      <c r="K313" s="4" t="str">
        <f t="shared" ref="K313:K319" si="29">I313</f>
        <v>PL Diesel &gt;20-26t (Crit'Air 4)</v>
      </c>
    </row>
    <row r="314" spans="1:11" outlineLevel="1" x14ac:dyDescent="0.25">
      <c r="A314" t="s">
        <v>76</v>
      </c>
      <c r="B314" s="2" t="s">
        <v>118</v>
      </c>
      <c r="C314" t="s">
        <v>79</v>
      </c>
      <c r="E314" t="str">
        <f>_xlfn.CONCAT("FretRout",LEFT(B314,3),RIGHT(B314,2),"Type")</f>
        <v>FretRoutCat30Type</v>
      </c>
      <c r="F314" t="s">
        <v>20</v>
      </c>
      <c r="G314">
        <v>1</v>
      </c>
      <c r="I314" t="s">
        <v>1771</v>
      </c>
      <c r="K314" s="4" t="str">
        <f t="shared" si="29"/>
        <v>PL</v>
      </c>
    </row>
    <row r="315" spans="1:11" outlineLevel="1" x14ac:dyDescent="0.25">
      <c r="A315" t="s">
        <v>76</v>
      </c>
      <c r="B315" s="2" t="s">
        <v>118</v>
      </c>
      <c r="C315" t="s">
        <v>80</v>
      </c>
      <c r="E315" t="str">
        <f>_xlfn.CONCAT("FretRout",LEFT(B315,3),RIGHT(B315,2),"PTAC")</f>
        <v>FretRoutCat30PTAC</v>
      </c>
      <c r="F315" t="s">
        <v>36</v>
      </c>
      <c r="G315">
        <v>1</v>
      </c>
      <c r="I315" t="s">
        <v>1460</v>
      </c>
      <c r="K315" s="4" t="str">
        <f t="shared" si="29"/>
        <v>&gt;20-26t</v>
      </c>
    </row>
    <row r="316" spans="1:11" outlineLevel="1" x14ac:dyDescent="0.25">
      <c r="A316" t="s">
        <v>76</v>
      </c>
      <c r="B316" s="2" t="s">
        <v>118</v>
      </c>
      <c r="C316" t="s">
        <v>81</v>
      </c>
      <c r="E316" t="str">
        <f>_xlfn.CONCAT("FretRout",LEFT(B316,3),RIGHT(B316,2),"Mot")</f>
        <v>FretRoutCat30Mot</v>
      </c>
      <c r="F316" t="s">
        <v>36</v>
      </c>
      <c r="G316">
        <v>1</v>
      </c>
      <c r="H316" s="2"/>
      <c r="I316" t="s">
        <v>138</v>
      </c>
      <c r="K316" s="4" t="str">
        <f t="shared" si="29"/>
        <v>Diesel</v>
      </c>
    </row>
    <row r="317" spans="1:11" outlineLevel="1" x14ac:dyDescent="0.25">
      <c r="A317" t="s">
        <v>76</v>
      </c>
      <c r="B317" s="2" t="s">
        <v>118</v>
      </c>
      <c r="C317" t="s">
        <v>82</v>
      </c>
      <c r="E317" t="str">
        <f>_xlfn.CONCAT("FretRout",LEFT(B317,3),RIGHT(B317,2),"Carb")</f>
        <v>FretRoutCat30Carb</v>
      </c>
      <c r="F317" t="s">
        <v>36</v>
      </c>
      <c r="G317">
        <v>1</v>
      </c>
      <c r="I317" t="s">
        <v>1449</v>
      </c>
      <c r="K317" s="4" t="str">
        <f t="shared" si="29"/>
        <v>Gazole à la pompe</v>
      </c>
    </row>
    <row r="318" spans="1:11" outlineLevel="1" x14ac:dyDescent="0.25">
      <c r="A318" t="s">
        <v>76</v>
      </c>
      <c r="B318" s="2" t="s">
        <v>118</v>
      </c>
      <c r="C318" t="s">
        <v>83</v>
      </c>
      <c r="E318" t="str">
        <f>_xlfn.CONCAT("FretRout",LEFT(B318,3),RIGHT(B318,2),"Euro")</f>
        <v>FretRoutCat30Euro</v>
      </c>
      <c r="F318" t="s">
        <v>36</v>
      </c>
      <c r="G318">
        <v>1</v>
      </c>
      <c r="I318">
        <v>0</v>
      </c>
      <c r="K318" s="4">
        <f t="shared" si="29"/>
        <v>0</v>
      </c>
    </row>
    <row r="319" spans="1:11" outlineLevel="1" x14ac:dyDescent="0.25">
      <c r="A319" t="s">
        <v>76</v>
      </c>
      <c r="B319" s="2" t="s">
        <v>118</v>
      </c>
      <c r="C319" t="s">
        <v>84</v>
      </c>
      <c r="E319" t="str">
        <f>_xlfn.CONCAT("FretRout",LEFT(B319,3),RIGHT(B319,2),"CritAir")</f>
        <v>FretRoutCat30CritAir</v>
      </c>
      <c r="F319" t="s">
        <v>36</v>
      </c>
      <c r="G319">
        <v>1</v>
      </c>
      <c r="H319" s="2"/>
      <c r="I319">
        <v>4</v>
      </c>
      <c r="K319" s="4">
        <f t="shared" si="29"/>
        <v>4</v>
      </c>
    </row>
    <row r="320" spans="1:11" outlineLevel="1" x14ac:dyDescent="0.25">
      <c r="A320" t="s">
        <v>76</v>
      </c>
      <c r="B320" s="2" t="s">
        <v>118</v>
      </c>
      <c r="C320" t="s">
        <v>85</v>
      </c>
      <c r="E320" t="str">
        <f>_xlfn.CONCAT("FretRout",LEFT(B320,3),RIGHT(B320,2),"Nb")</f>
        <v>FretRoutCat30Nb</v>
      </c>
      <c r="F320" t="s">
        <v>17</v>
      </c>
      <c r="G320">
        <v>1</v>
      </c>
      <c r="J320" t="s">
        <v>86</v>
      </c>
      <c r="K320">
        <v>0</v>
      </c>
    </row>
    <row r="321" spans="1:11" outlineLevel="1" x14ac:dyDescent="0.25">
      <c r="A321" t="s">
        <v>76</v>
      </c>
      <c r="B321" s="2" t="s">
        <v>118</v>
      </c>
      <c r="C321" t="s">
        <v>87</v>
      </c>
      <c r="E321" t="str">
        <f>_xlfn.CONCAT("FretRout",LEFT(B321,3),RIGHT(B321,2),"Dist")</f>
        <v>FretRoutCat30Dist</v>
      </c>
      <c r="F321" t="s">
        <v>17</v>
      </c>
      <c r="G321">
        <v>1</v>
      </c>
      <c r="H321" s="2"/>
      <c r="J321" t="s">
        <v>88</v>
      </c>
      <c r="K321">
        <v>42385.998762263436</v>
      </c>
    </row>
    <row r="322" spans="1:11" outlineLevel="1" x14ac:dyDescent="0.25">
      <c r="A322" t="s">
        <v>76</v>
      </c>
      <c r="B322" s="2" t="s">
        <v>118</v>
      </c>
      <c r="C322" s="2" t="s">
        <v>89</v>
      </c>
      <c r="E322" t="str">
        <f>_xlfn.CONCAT("FretRout",LEFT(B322,3),RIGHT(B322,2),"Rempl")</f>
        <v>FretRoutCat30Rempl</v>
      </c>
      <c r="F322" t="s">
        <v>17</v>
      </c>
      <c r="G322">
        <v>1</v>
      </c>
      <c r="H322" s="3"/>
      <c r="J322" t="s">
        <v>70</v>
      </c>
      <c r="K322">
        <v>0</v>
      </c>
    </row>
    <row r="323" spans="1:11" outlineLevel="1" x14ac:dyDescent="0.25">
      <c r="A323" t="s">
        <v>76</v>
      </c>
      <c r="B323" s="2" t="s">
        <v>119</v>
      </c>
      <c r="C323" t="s">
        <v>78</v>
      </c>
      <c r="E323" t="str">
        <f>_xlfn.CONCAT("FretRout",LEFT(B323,3),RIGHT(B323,2),"Nom")</f>
        <v>FretRoutCat31Nom</v>
      </c>
      <c r="F323" t="s">
        <v>20</v>
      </c>
      <c r="G323">
        <v>1</v>
      </c>
      <c r="H323" s="4"/>
      <c r="I323" s="4" t="s">
        <v>416</v>
      </c>
      <c r="K323" s="4" t="str">
        <f t="shared" ref="K323:K329" si="30">I323</f>
        <v>PL Diesel &gt;20-26t (Crit'Air 5)</v>
      </c>
    </row>
    <row r="324" spans="1:11" outlineLevel="1" x14ac:dyDescent="0.25">
      <c r="A324" t="s">
        <v>76</v>
      </c>
      <c r="B324" s="2" t="s">
        <v>119</v>
      </c>
      <c r="C324" t="s">
        <v>79</v>
      </c>
      <c r="E324" t="str">
        <f>_xlfn.CONCAT("FretRout",LEFT(B324,3),RIGHT(B324,2),"Type")</f>
        <v>FretRoutCat31Type</v>
      </c>
      <c r="F324" t="s">
        <v>20</v>
      </c>
      <c r="G324">
        <v>1</v>
      </c>
      <c r="I324" t="s">
        <v>1771</v>
      </c>
      <c r="K324" s="4" t="str">
        <f t="shared" si="30"/>
        <v>PL</v>
      </c>
    </row>
    <row r="325" spans="1:11" outlineLevel="1" x14ac:dyDescent="0.25">
      <c r="A325" t="s">
        <v>76</v>
      </c>
      <c r="B325" s="2" t="s">
        <v>119</v>
      </c>
      <c r="C325" t="s">
        <v>80</v>
      </c>
      <c r="E325" t="str">
        <f>_xlfn.CONCAT("FretRout",LEFT(B325,3),RIGHT(B325,2),"PTAC")</f>
        <v>FretRoutCat31PTAC</v>
      </c>
      <c r="F325" t="s">
        <v>36</v>
      </c>
      <c r="G325">
        <v>1</v>
      </c>
      <c r="I325" t="s">
        <v>1460</v>
      </c>
      <c r="K325" s="4" t="str">
        <f t="shared" si="30"/>
        <v>&gt;20-26t</v>
      </c>
    </row>
    <row r="326" spans="1:11" outlineLevel="1" x14ac:dyDescent="0.25">
      <c r="A326" t="s">
        <v>76</v>
      </c>
      <c r="B326" s="2" t="s">
        <v>119</v>
      </c>
      <c r="C326" t="s">
        <v>81</v>
      </c>
      <c r="E326" t="str">
        <f>_xlfn.CONCAT("FretRout",LEFT(B326,3),RIGHT(B326,2),"Mot")</f>
        <v>FretRoutCat31Mot</v>
      </c>
      <c r="F326" t="s">
        <v>36</v>
      </c>
      <c r="G326">
        <v>1</v>
      </c>
      <c r="H326" s="2"/>
      <c r="I326" t="s">
        <v>138</v>
      </c>
      <c r="K326" s="4" t="str">
        <f t="shared" si="30"/>
        <v>Diesel</v>
      </c>
    </row>
    <row r="327" spans="1:11" outlineLevel="1" x14ac:dyDescent="0.25">
      <c r="A327" t="s">
        <v>76</v>
      </c>
      <c r="B327" s="2" t="s">
        <v>119</v>
      </c>
      <c r="C327" t="s">
        <v>82</v>
      </c>
      <c r="E327" t="str">
        <f>_xlfn.CONCAT("FretRout",LEFT(B327,3),RIGHT(B327,2),"Carb")</f>
        <v>FretRoutCat31Carb</v>
      </c>
      <c r="F327" t="s">
        <v>36</v>
      </c>
      <c r="G327">
        <v>1</v>
      </c>
      <c r="I327" t="s">
        <v>1449</v>
      </c>
      <c r="K327" s="4" t="str">
        <f t="shared" si="30"/>
        <v>Gazole à la pompe</v>
      </c>
    </row>
    <row r="328" spans="1:11" outlineLevel="1" x14ac:dyDescent="0.25">
      <c r="A328" t="s">
        <v>76</v>
      </c>
      <c r="B328" s="2" t="s">
        <v>119</v>
      </c>
      <c r="C328" t="s">
        <v>83</v>
      </c>
      <c r="E328" t="str">
        <f>_xlfn.CONCAT("FretRout",LEFT(B328,3),RIGHT(B328,2),"Euro")</f>
        <v>FretRoutCat31Euro</v>
      </c>
      <c r="F328" t="s">
        <v>36</v>
      </c>
      <c r="G328">
        <v>1</v>
      </c>
      <c r="I328">
        <v>0</v>
      </c>
      <c r="K328" s="4">
        <f t="shared" si="30"/>
        <v>0</v>
      </c>
    </row>
    <row r="329" spans="1:11" outlineLevel="1" x14ac:dyDescent="0.25">
      <c r="A329" t="s">
        <v>76</v>
      </c>
      <c r="B329" s="2" t="s">
        <v>119</v>
      </c>
      <c r="C329" t="s">
        <v>84</v>
      </c>
      <c r="E329" t="str">
        <f>_xlfn.CONCAT("FretRout",LEFT(B329,3),RIGHT(B329,2),"CritAir")</f>
        <v>FretRoutCat31CritAir</v>
      </c>
      <c r="F329" t="s">
        <v>36</v>
      </c>
      <c r="G329">
        <v>1</v>
      </c>
      <c r="H329" s="2"/>
      <c r="I329">
        <v>5</v>
      </c>
      <c r="K329" s="4">
        <f t="shared" si="30"/>
        <v>5</v>
      </c>
    </row>
    <row r="330" spans="1:11" outlineLevel="1" x14ac:dyDescent="0.25">
      <c r="A330" t="s">
        <v>76</v>
      </c>
      <c r="B330" s="2" t="s">
        <v>119</v>
      </c>
      <c r="C330" t="s">
        <v>85</v>
      </c>
      <c r="E330" t="str">
        <f>_xlfn.CONCAT("FretRout",LEFT(B330,3),RIGHT(B330,2),"Nb")</f>
        <v>FretRoutCat31Nb</v>
      </c>
      <c r="F330" t="s">
        <v>17</v>
      </c>
      <c r="G330">
        <v>1</v>
      </c>
      <c r="J330" t="s">
        <v>86</v>
      </c>
      <c r="K330">
        <v>0</v>
      </c>
    </row>
    <row r="331" spans="1:11" outlineLevel="1" x14ac:dyDescent="0.25">
      <c r="A331" t="s">
        <v>76</v>
      </c>
      <c r="B331" s="2" t="s">
        <v>119</v>
      </c>
      <c r="C331" t="s">
        <v>87</v>
      </c>
      <c r="E331" t="str">
        <f>_xlfn.CONCAT("FretRout",LEFT(B331,3),RIGHT(B331,2),"Dist")</f>
        <v>FretRoutCat31Dist</v>
      </c>
      <c r="F331" t="s">
        <v>17</v>
      </c>
      <c r="G331">
        <v>1</v>
      </c>
      <c r="H331" s="2"/>
      <c r="J331" t="s">
        <v>88</v>
      </c>
      <c r="K331">
        <v>42385.998762263436</v>
      </c>
    </row>
    <row r="332" spans="1:11" outlineLevel="1" x14ac:dyDescent="0.25">
      <c r="A332" t="s">
        <v>76</v>
      </c>
      <c r="B332" s="2" t="s">
        <v>119</v>
      </c>
      <c r="C332" s="2" t="s">
        <v>89</v>
      </c>
      <c r="E332" t="str">
        <f>_xlfn.CONCAT("FretRout",LEFT(B332,3),RIGHT(B332,2),"Rempl")</f>
        <v>FretRoutCat31Rempl</v>
      </c>
      <c r="F332" t="s">
        <v>17</v>
      </c>
      <c r="G332">
        <v>1</v>
      </c>
      <c r="H332" s="3"/>
      <c r="J332" t="s">
        <v>70</v>
      </c>
      <c r="K332">
        <v>0</v>
      </c>
    </row>
    <row r="333" spans="1:11" outlineLevel="1" x14ac:dyDescent="0.25">
      <c r="A333" t="s">
        <v>76</v>
      </c>
      <c r="B333" s="2" t="s">
        <v>120</v>
      </c>
      <c r="C333" t="s">
        <v>78</v>
      </c>
      <c r="E333" t="str">
        <f>_xlfn.CONCAT("FretRout",LEFT(B333,3),RIGHT(B333,2),"Nom")</f>
        <v>FretRoutCat32Nom</v>
      </c>
      <c r="F333" t="s">
        <v>20</v>
      </c>
      <c r="G333">
        <v>1</v>
      </c>
      <c r="H333" s="4"/>
      <c r="I333" s="4" t="s">
        <v>417</v>
      </c>
      <c r="K333" s="4" t="str">
        <f t="shared" ref="K333:K339" si="31">I333</f>
        <v>PL Diesel &gt;28-34t (Crit'Air 2)</v>
      </c>
    </row>
    <row r="334" spans="1:11" outlineLevel="1" x14ac:dyDescent="0.25">
      <c r="A334" t="s">
        <v>76</v>
      </c>
      <c r="B334" s="2" t="s">
        <v>120</v>
      </c>
      <c r="C334" t="s">
        <v>79</v>
      </c>
      <c r="E334" t="str">
        <f>_xlfn.CONCAT("FretRout",LEFT(B334,3),RIGHT(B334,2),"Type")</f>
        <v>FretRoutCat32Type</v>
      </c>
      <c r="F334" t="s">
        <v>20</v>
      </c>
      <c r="G334">
        <v>1</v>
      </c>
      <c r="I334" t="s">
        <v>1771</v>
      </c>
      <c r="K334" s="4" t="str">
        <f t="shared" si="31"/>
        <v>PL</v>
      </c>
    </row>
    <row r="335" spans="1:11" outlineLevel="1" x14ac:dyDescent="0.25">
      <c r="A335" t="s">
        <v>76</v>
      </c>
      <c r="B335" s="2" t="s">
        <v>120</v>
      </c>
      <c r="C335" t="s">
        <v>80</v>
      </c>
      <c r="E335" t="str">
        <f>_xlfn.CONCAT("FretRout",LEFT(B335,3),RIGHT(B335,2),"PTAC")</f>
        <v>FretRoutCat32PTAC</v>
      </c>
      <c r="F335" t="s">
        <v>36</v>
      </c>
      <c r="G335">
        <v>1</v>
      </c>
      <c r="I335" t="s">
        <v>1461</v>
      </c>
      <c r="K335" s="4" t="str">
        <f t="shared" si="31"/>
        <v>&gt;28-34t</v>
      </c>
    </row>
    <row r="336" spans="1:11" outlineLevel="1" x14ac:dyDescent="0.25">
      <c r="A336" t="s">
        <v>76</v>
      </c>
      <c r="B336" s="2" t="s">
        <v>120</v>
      </c>
      <c r="C336" t="s">
        <v>81</v>
      </c>
      <c r="E336" t="str">
        <f>_xlfn.CONCAT("FretRout",LEFT(B336,3),RIGHT(B336,2),"Mot")</f>
        <v>FretRoutCat32Mot</v>
      </c>
      <c r="F336" t="s">
        <v>36</v>
      </c>
      <c r="G336">
        <v>1</v>
      </c>
      <c r="H336" s="2"/>
      <c r="I336" t="s">
        <v>138</v>
      </c>
      <c r="K336" s="4" t="str">
        <f t="shared" si="31"/>
        <v>Diesel</v>
      </c>
    </row>
    <row r="337" spans="1:11" outlineLevel="1" x14ac:dyDescent="0.25">
      <c r="A337" t="s">
        <v>76</v>
      </c>
      <c r="B337" s="2" t="s">
        <v>120</v>
      </c>
      <c r="C337" t="s">
        <v>82</v>
      </c>
      <c r="E337" t="str">
        <f>_xlfn.CONCAT("FretRout",LEFT(B337,3),RIGHT(B337,2),"Carb")</f>
        <v>FretRoutCat32Carb</v>
      </c>
      <c r="F337" t="s">
        <v>36</v>
      </c>
      <c r="G337">
        <v>1</v>
      </c>
      <c r="I337" t="s">
        <v>1449</v>
      </c>
      <c r="K337" s="4" t="str">
        <f t="shared" si="31"/>
        <v>Gazole à la pompe</v>
      </c>
    </row>
    <row r="338" spans="1:11" outlineLevel="1" x14ac:dyDescent="0.25">
      <c r="A338" t="s">
        <v>76</v>
      </c>
      <c r="B338" s="2" t="s">
        <v>120</v>
      </c>
      <c r="C338" t="s">
        <v>83</v>
      </c>
      <c r="E338" t="str">
        <f>_xlfn.CONCAT("FretRout",LEFT(B338,3),RIGHT(B338,2),"Euro")</f>
        <v>FretRoutCat32Euro</v>
      </c>
      <c r="F338" t="s">
        <v>36</v>
      </c>
      <c r="G338">
        <v>1</v>
      </c>
      <c r="I338">
        <v>0</v>
      </c>
      <c r="K338" s="4">
        <f t="shared" si="31"/>
        <v>0</v>
      </c>
    </row>
    <row r="339" spans="1:11" outlineLevel="1" x14ac:dyDescent="0.25">
      <c r="A339" t="s">
        <v>76</v>
      </c>
      <c r="B339" s="2" t="s">
        <v>120</v>
      </c>
      <c r="C339" t="s">
        <v>84</v>
      </c>
      <c r="E339" t="str">
        <f>_xlfn.CONCAT("FretRout",LEFT(B339,3),RIGHT(B339,2),"CritAir")</f>
        <v>FretRoutCat32CritAir</v>
      </c>
      <c r="F339" t="s">
        <v>36</v>
      </c>
      <c r="G339">
        <v>1</v>
      </c>
      <c r="H339" s="2"/>
      <c r="I339">
        <v>2</v>
      </c>
      <c r="K339" s="4">
        <f t="shared" si="31"/>
        <v>2</v>
      </c>
    </row>
    <row r="340" spans="1:11" outlineLevel="1" x14ac:dyDescent="0.25">
      <c r="A340" t="s">
        <v>76</v>
      </c>
      <c r="B340" s="2" t="s">
        <v>120</v>
      </c>
      <c r="C340" t="s">
        <v>85</v>
      </c>
      <c r="E340" t="str">
        <f>_xlfn.CONCAT("FretRout",LEFT(B340,3),RIGHT(B340,2),"Nb")</f>
        <v>FretRoutCat32Nb</v>
      </c>
      <c r="F340" t="s">
        <v>17</v>
      </c>
      <c r="G340">
        <v>1</v>
      </c>
      <c r="J340" t="s">
        <v>86</v>
      </c>
      <c r="K340">
        <v>0</v>
      </c>
    </row>
    <row r="341" spans="1:11" outlineLevel="1" x14ac:dyDescent="0.25">
      <c r="A341" t="s">
        <v>76</v>
      </c>
      <c r="B341" s="2" t="s">
        <v>120</v>
      </c>
      <c r="C341" t="s">
        <v>87</v>
      </c>
      <c r="E341" t="str">
        <f>_xlfn.CONCAT("FretRout",LEFT(B341,3),RIGHT(B341,2),"Dist")</f>
        <v>FretRoutCat32Dist</v>
      </c>
      <c r="F341" t="s">
        <v>17</v>
      </c>
      <c r="G341">
        <v>1</v>
      </c>
      <c r="H341" s="2"/>
      <c r="J341" t="s">
        <v>88</v>
      </c>
      <c r="K341">
        <v>42385.998762263436</v>
      </c>
    </row>
    <row r="342" spans="1:11" outlineLevel="1" x14ac:dyDescent="0.25">
      <c r="A342" t="s">
        <v>76</v>
      </c>
      <c r="B342" s="2" t="s">
        <v>120</v>
      </c>
      <c r="C342" s="2" t="s">
        <v>89</v>
      </c>
      <c r="E342" t="str">
        <f>_xlfn.CONCAT("FretRout",LEFT(B342,3),RIGHT(B342,2),"Rempl")</f>
        <v>FretRoutCat32Rempl</v>
      </c>
      <c r="F342" t="s">
        <v>17</v>
      </c>
      <c r="G342">
        <v>1</v>
      </c>
      <c r="H342" s="3"/>
      <c r="J342" t="s">
        <v>70</v>
      </c>
      <c r="K342">
        <v>0</v>
      </c>
    </row>
    <row r="343" spans="1:11" outlineLevel="1" x14ac:dyDescent="0.25">
      <c r="A343" t="s">
        <v>76</v>
      </c>
      <c r="B343" s="2" t="s">
        <v>121</v>
      </c>
      <c r="C343" t="s">
        <v>78</v>
      </c>
      <c r="E343" t="str">
        <f>_xlfn.CONCAT("FretRout",LEFT(B343,3),RIGHT(B343,2),"Nom")</f>
        <v>FretRoutCat33Nom</v>
      </c>
      <c r="F343" t="s">
        <v>20</v>
      </c>
      <c r="G343">
        <v>1</v>
      </c>
      <c r="H343" s="4"/>
      <c r="I343" s="4" t="s">
        <v>418</v>
      </c>
      <c r="K343" s="4" t="str">
        <f t="shared" ref="K343:K349" si="32">I343</f>
        <v>PL Diesel &gt;28-34t (Crit'Air 3)</v>
      </c>
    </row>
    <row r="344" spans="1:11" outlineLevel="1" x14ac:dyDescent="0.25">
      <c r="A344" t="s">
        <v>76</v>
      </c>
      <c r="B344" s="2" t="s">
        <v>121</v>
      </c>
      <c r="C344" t="s">
        <v>79</v>
      </c>
      <c r="E344" t="str">
        <f>_xlfn.CONCAT("FretRout",LEFT(B344,3),RIGHT(B344,2),"Type")</f>
        <v>FretRoutCat33Type</v>
      </c>
      <c r="F344" t="s">
        <v>20</v>
      </c>
      <c r="G344">
        <v>1</v>
      </c>
      <c r="I344" t="s">
        <v>1771</v>
      </c>
      <c r="K344" s="4" t="str">
        <f t="shared" si="32"/>
        <v>PL</v>
      </c>
    </row>
    <row r="345" spans="1:11" outlineLevel="1" x14ac:dyDescent="0.25">
      <c r="A345" t="s">
        <v>76</v>
      </c>
      <c r="B345" s="2" t="s">
        <v>121</v>
      </c>
      <c r="C345" t="s">
        <v>80</v>
      </c>
      <c r="E345" t="str">
        <f>_xlfn.CONCAT("FretRout",LEFT(B345,3),RIGHT(B345,2),"PTAC")</f>
        <v>FretRoutCat33PTAC</v>
      </c>
      <c r="F345" t="s">
        <v>36</v>
      </c>
      <c r="G345">
        <v>1</v>
      </c>
      <c r="I345" t="s">
        <v>1461</v>
      </c>
      <c r="K345" s="4" t="str">
        <f t="shared" si="32"/>
        <v>&gt;28-34t</v>
      </c>
    </row>
    <row r="346" spans="1:11" outlineLevel="1" x14ac:dyDescent="0.25">
      <c r="A346" t="s">
        <v>76</v>
      </c>
      <c r="B346" s="2" t="s">
        <v>121</v>
      </c>
      <c r="C346" t="s">
        <v>81</v>
      </c>
      <c r="E346" t="str">
        <f>_xlfn.CONCAT("FretRout",LEFT(B346,3),RIGHT(B346,2),"Mot")</f>
        <v>FretRoutCat33Mot</v>
      </c>
      <c r="F346" t="s">
        <v>36</v>
      </c>
      <c r="G346">
        <v>1</v>
      </c>
      <c r="H346" s="2"/>
      <c r="I346" t="s">
        <v>138</v>
      </c>
      <c r="K346" s="4" t="str">
        <f t="shared" si="32"/>
        <v>Diesel</v>
      </c>
    </row>
    <row r="347" spans="1:11" outlineLevel="1" x14ac:dyDescent="0.25">
      <c r="A347" t="s">
        <v>76</v>
      </c>
      <c r="B347" s="2" t="s">
        <v>121</v>
      </c>
      <c r="C347" t="s">
        <v>82</v>
      </c>
      <c r="E347" t="str">
        <f>_xlfn.CONCAT("FretRout",LEFT(B347,3),RIGHT(B347,2),"Carb")</f>
        <v>FretRoutCat33Carb</v>
      </c>
      <c r="F347" t="s">
        <v>36</v>
      </c>
      <c r="G347">
        <v>1</v>
      </c>
      <c r="I347" t="s">
        <v>1449</v>
      </c>
      <c r="K347" s="4" t="str">
        <f t="shared" si="32"/>
        <v>Gazole à la pompe</v>
      </c>
    </row>
    <row r="348" spans="1:11" outlineLevel="1" x14ac:dyDescent="0.25">
      <c r="A348" t="s">
        <v>76</v>
      </c>
      <c r="B348" s="2" t="s">
        <v>121</v>
      </c>
      <c r="C348" t="s">
        <v>83</v>
      </c>
      <c r="E348" t="str">
        <f>_xlfn.CONCAT("FretRout",LEFT(B348,3),RIGHT(B348,2),"Euro")</f>
        <v>FretRoutCat33Euro</v>
      </c>
      <c r="F348" t="s">
        <v>36</v>
      </c>
      <c r="G348">
        <v>1</v>
      </c>
      <c r="I348">
        <v>0</v>
      </c>
      <c r="K348" s="4">
        <f t="shared" si="32"/>
        <v>0</v>
      </c>
    </row>
    <row r="349" spans="1:11" outlineLevel="1" x14ac:dyDescent="0.25">
      <c r="A349" t="s">
        <v>76</v>
      </c>
      <c r="B349" s="2" t="s">
        <v>121</v>
      </c>
      <c r="C349" t="s">
        <v>84</v>
      </c>
      <c r="E349" t="str">
        <f>_xlfn.CONCAT("FretRout",LEFT(B349,3),RIGHT(B349,2),"CritAir")</f>
        <v>FretRoutCat33CritAir</v>
      </c>
      <c r="F349" t="s">
        <v>36</v>
      </c>
      <c r="G349">
        <v>1</v>
      </c>
      <c r="H349" s="2"/>
      <c r="I349">
        <v>3</v>
      </c>
      <c r="K349" s="4">
        <f t="shared" si="32"/>
        <v>3</v>
      </c>
    </row>
    <row r="350" spans="1:11" outlineLevel="1" x14ac:dyDescent="0.25">
      <c r="A350" t="s">
        <v>76</v>
      </c>
      <c r="B350" s="2" t="s">
        <v>121</v>
      </c>
      <c r="C350" t="s">
        <v>85</v>
      </c>
      <c r="E350" t="str">
        <f>_xlfn.CONCAT("FretRout",LEFT(B350,3),RIGHT(B350,2),"Nb")</f>
        <v>FretRoutCat33Nb</v>
      </c>
      <c r="F350" t="s">
        <v>17</v>
      </c>
      <c r="G350">
        <v>1</v>
      </c>
      <c r="J350" t="s">
        <v>86</v>
      </c>
      <c r="K350">
        <v>0</v>
      </c>
    </row>
    <row r="351" spans="1:11" outlineLevel="1" x14ac:dyDescent="0.25">
      <c r="A351" t="s">
        <v>76</v>
      </c>
      <c r="B351" s="2" t="s">
        <v>121</v>
      </c>
      <c r="C351" t="s">
        <v>87</v>
      </c>
      <c r="E351" t="str">
        <f>_xlfn.CONCAT("FretRout",LEFT(B351,3),RIGHT(B351,2),"Dist")</f>
        <v>FretRoutCat33Dist</v>
      </c>
      <c r="F351" t="s">
        <v>17</v>
      </c>
      <c r="G351">
        <v>1</v>
      </c>
      <c r="H351" s="2"/>
      <c r="J351" t="s">
        <v>88</v>
      </c>
      <c r="K351">
        <v>42385.998762263436</v>
      </c>
    </row>
    <row r="352" spans="1:11" outlineLevel="1" x14ac:dyDescent="0.25">
      <c r="A352" t="s">
        <v>76</v>
      </c>
      <c r="B352" s="2" t="s">
        <v>121</v>
      </c>
      <c r="C352" s="2" t="s">
        <v>89</v>
      </c>
      <c r="E352" t="str">
        <f>_xlfn.CONCAT("FretRout",LEFT(B352,3),RIGHT(B352,2),"Rempl")</f>
        <v>FretRoutCat33Rempl</v>
      </c>
      <c r="F352" t="s">
        <v>17</v>
      </c>
      <c r="G352">
        <v>1</v>
      </c>
      <c r="H352" s="3"/>
      <c r="J352" t="s">
        <v>70</v>
      </c>
      <c r="K352">
        <v>0</v>
      </c>
    </row>
    <row r="353" spans="1:11" outlineLevel="1" x14ac:dyDescent="0.25">
      <c r="A353" t="s">
        <v>76</v>
      </c>
      <c r="B353" s="2" t="s">
        <v>122</v>
      </c>
      <c r="C353" t="s">
        <v>78</v>
      </c>
      <c r="E353" t="str">
        <f>_xlfn.CONCAT("FretRout",LEFT(B353,3),RIGHT(B353,2),"Nom")</f>
        <v>FretRoutCat34Nom</v>
      </c>
      <c r="F353" t="s">
        <v>20</v>
      </c>
      <c r="G353">
        <v>1</v>
      </c>
      <c r="H353" s="4"/>
      <c r="I353" s="4" t="s">
        <v>419</v>
      </c>
      <c r="K353" s="4" t="str">
        <f t="shared" ref="K353:K359" si="33">I353</f>
        <v>PL Diesel &gt;28-34t (Crit'Air 4)</v>
      </c>
    </row>
    <row r="354" spans="1:11" outlineLevel="1" x14ac:dyDescent="0.25">
      <c r="A354" t="s">
        <v>76</v>
      </c>
      <c r="B354" s="2" t="s">
        <v>122</v>
      </c>
      <c r="C354" t="s">
        <v>79</v>
      </c>
      <c r="E354" t="str">
        <f>_xlfn.CONCAT("FretRout",LEFT(B354,3),RIGHT(B354,2),"Type")</f>
        <v>FretRoutCat34Type</v>
      </c>
      <c r="F354" t="s">
        <v>20</v>
      </c>
      <c r="G354">
        <v>1</v>
      </c>
      <c r="I354" t="s">
        <v>1771</v>
      </c>
      <c r="K354" s="4" t="str">
        <f t="shared" si="33"/>
        <v>PL</v>
      </c>
    </row>
    <row r="355" spans="1:11" outlineLevel="1" x14ac:dyDescent="0.25">
      <c r="A355" t="s">
        <v>76</v>
      </c>
      <c r="B355" s="2" t="s">
        <v>122</v>
      </c>
      <c r="C355" t="s">
        <v>80</v>
      </c>
      <c r="E355" t="str">
        <f>_xlfn.CONCAT("FretRout",LEFT(B355,3),RIGHT(B355,2),"PTAC")</f>
        <v>FretRoutCat34PTAC</v>
      </c>
      <c r="F355" t="s">
        <v>36</v>
      </c>
      <c r="G355">
        <v>1</v>
      </c>
      <c r="I355" t="s">
        <v>1461</v>
      </c>
      <c r="K355" s="4" t="str">
        <f t="shared" si="33"/>
        <v>&gt;28-34t</v>
      </c>
    </row>
    <row r="356" spans="1:11" outlineLevel="1" x14ac:dyDescent="0.25">
      <c r="A356" t="s">
        <v>76</v>
      </c>
      <c r="B356" s="2" t="s">
        <v>122</v>
      </c>
      <c r="C356" t="s">
        <v>81</v>
      </c>
      <c r="E356" t="str">
        <f>_xlfn.CONCAT("FretRout",LEFT(B356,3),RIGHT(B356,2),"Mot")</f>
        <v>FretRoutCat34Mot</v>
      </c>
      <c r="F356" t="s">
        <v>36</v>
      </c>
      <c r="G356">
        <v>1</v>
      </c>
      <c r="H356" s="2"/>
      <c r="I356" t="s">
        <v>138</v>
      </c>
      <c r="K356" s="4" t="str">
        <f t="shared" si="33"/>
        <v>Diesel</v>
      </c>
    </row>
    <row r="357" spans="1:11" outlineLevel="1" x14ac:dyDescent="0.25">
      <c r="A357" t="s">
        <v>76</v>
      </c>
      <c r="B357" s="2" t="s">
        <v>122</v>
      </c>
      <c r="C357" t="s">
        <v>82</v>
      </c>
      <c r="E357" t="str">
        <f>_xlfn.CONCAT("FretRout",LEFT(B357,3),RIGHT(B357,2),"Carb")</f>
        <v>FretRoutCat34Carb</v>
      </c>
      <c r="F357" t="s">
        <v>36</v>
      </c>
      <c r="G357">
        <v>1</v>
      </c>
      <c r="I357" t="s">
        <v>1449</v>
      </c>
      <c r="K357" s="4" t="str">
        <f t="shared" si="33"/>
        <v>Gazole à la pompe</v>
      </c>
    </row>
    <row r="358" spans="1:11" outlineLevel="1" x14ac:dyDescent="0.25">
      <c r="A358" t="s">
        <v>76</v>
      </c>
      <c r="B358" s="2" t="s">
        <v>122</v>
      </c>
      <c r="C358" t="s">
        <v>83</v>
      </c>
      <c r="E358" t="str">
        <f>_xlfn.CONCAT("FretRout",LEFT(B358,3),RIGHT(B358,2),"Euro")</f>
        <v>FretRoutCat34Euro</v>
      </c>
      <c r="F358" t="s">
        <v>36</v>
      </c>
      <c r="G358">
        <v>1</v>
      </c>
      <c r="I358">
        <v>0</v>
      </c>
      <c r="K358" s="4">
        <f t="shared" si="33"/>
        <v>0</v>
      </c>
    </row>
    <row r="359" spans="1:11" outlineLevel="1" x14ac:dyDescent="0.25">
      <c r="A359" t="s">
        <v>76</v>
      </c>
      <c r="B359" s="2" t="s">
        <v>122</v>
      </c>
      <c r="C359" t="s">
        <v>84</v>
      </c>
      <c r="E359" t="str">
        <f>_xlfn.CONCAT("FretRout",LEFT(B359,3),RIGHT(B359,2),"CritAir")</f>
        <v>FretRoutCat34CritAir</v>
      </c>
      <c r="F359" t="s">
        <v>36</v>
      </c>
      <c r="G359">
        <v>1</v>
      </c>
      <c r="H359" s="2"/>
      <c r="I359">
        <v>4</v>
      </c>
      <c r="K359" s="4">
        <f t="shared" si="33"/>
        <v>4</v>
      </c>
    </row>
    <row r="360" spans="1:11" outlineLevel="1" x14ac:dyDescent="0.25">
      <c r="A360" t="s">
        <v>76</v>
      </c>
      <c r="B360" s="2" t="s">
        <v>122</v>
      </c>
      <c r="C360" t="s">
        <v>85</v>
      </c>
      <c r="E360" t="str">
        <f>_xlfn.CONCAT("FretRout",LEFT(B360,3),RIGHT(B360,2),"Nb")</f>
        <v>FretRoutCat34Nb</v>
      </c>
      <c r="F360" t="s">
        <v>17</v>
      </c>
      <c r="G360">
        <v>1</v>
      </c>
      <c r="J360" t="s">
        <v>86</v>
      </c>
      <c r="K360">
        <v>0</v>
      </c>
    </row>
    <row r="361" spans="1:11" outlineLevel="1" x14ac:dyDescent="0.25">
      <c r="A361" t="s">
        <v>76</v>
      </c>
      <c r="B361" s="2" t="s">
        <v>122</v>
      </c>
      <c r="C361" t="s">
        <v>87</v>
      </c>
      <c r="E361" t="str">
        <f>_xlfn.CONCAT("FretRout",LEFT(B361,3),RIGHT(B361,2),"Dist")</f>
        <v>FretRoutCat34Dist</v>
      </c>
      <c r="F361" t="s">
        <v>17</v>
      </c>
      <c r="G361">
        <v>1</v>
      </c>
      <c r="H361" s="2"/>
      <c r="J361" t="s">
        <v>88</v>
      </c>
      <c r="K361">
        <v>42385.998762263436</v>
      </c>
    </row>
    <row r="362" spans="1:11" outlineLevel="1" x14ac:dyDescent="0.25">
      <c r="A362" t="s">
        <v>76</v>
      </c>
      <c r="B362" s="2" t="s">
        <v>122</v>
      </c>
      <c r="C362" s="2" t="s">
        <v>89</v>
      </c>
      <c r="E362" t="str">
        <f>_xlfn.CONCAT("FretRout",LEFT(B362,3),RIGHT(B362,2),"Rempl")</f>
        <v>FretRoutCat34Rempl</v>
      </c>
      <c r="F362" t="s">
        <v>17</v>
      </c>
      <c r="G362">
        <v>1</v>
      </c>
      <c r="H362" s="3"/>
      <c r="J362" t="s">
        <v>70</v>
      </c>
      <c r="K362">
        <v>0</v>
      </c>
    </row>
    <row r="363" spans="1:11" outlineLevel="1" x14ac:dyDescent="0.25">
      <c r="A363" t="s">
        <v>76</v>
      </c>
      <c r="B363" s="2" t="s">
        <v>123</v>
      </c>
      <c r="C363" t="s">
        <v>78</v>
      </c>
      <c r="E363" t="str">
        <f>_xlfn.CONCAT("FretRout",LEFT(B363,3),RIGHT(B363,2),"Nom")</f>
        <v>FretRoutCat35Nom</v>
      </c>
      <c r="F363" t="s">
        <v>20</v>
      </c>
      <c r="G363">
        <v>1</v>
      </c>
      <c r="H363" s="4"/>
      <c r="I363" s="4" t="s">
        <v>420</v>
      </c>
      <c r="K363" s="4" t="str">
        <f t="shared" ref="K363:K369" si="34">I363</f>
        <v>PL Diesel &gt;28-34t (Crit'Air 5)</v>
      </c>
    </row>
    <row r="364" spans="1:11" outlineLevel="1" x14ac:dyDescent="0.25">
      <c r="A364" t="s">
        <v>76</v>
      </c>
      <c r="B364" s="2" t="s">
        <v>123</v>
      </c>
      <c r="C364" t="s">
        <v>79</v>
      </c>
      <c r="E364" t="str">
        <f>_xlfn.CONCAT("FretRout",LEFT(B364,3),RIGHT(B364,2),"Type")</f>
        <v>FretRoutCat35Type</v>
      </c>
      <c r="F364" t="s">
        <v>20</v>
      </c>
      <c r="G364">
        <v>1</v>
      </c>
      <c r="I364" t="s">
        <v>1771</v>
      </c>
      <c r="K364" s="4" t="str">
        <f t="shared" si="34"/>
        <v>PL</v>
      </c>
    </row>
    <row r="365" spans="1:11" outlineLevel="1" x14ac:dyDescent="0.25">
      <c r="A365" t="s">
        <v>76</v>
      </c>
      <c r="B365" s="2" t="s">
        <v>123</v>
      </c>
      <c r="C365" t="s">
        <v>80</v>
      </c>
      <c r="E365" t="str">
        <f>_xlfn.CONCAT("FretRout",LEFT(B365,3),RIGHT(B365,2),"PTAC")</f>
        <v>FretRoutCat35PTAC</v>
      </c>
      <c r="F365" t="s">
        <v>36</v>
      </c>
      <c r="G365">
        <v>1</v>
      </c>
      <c r="I365" t="s">
        <v>1461</v>
      </c>
      <c r="K365" s="4" t="str">
        <f t="shared" si="34"/>
        <v>&gt;28-34t</v>
      </c>
    </row>
    <row r="366" spans="1:11" outlineLevel="1" x14ac:dyDescent="0.25">
      <c r="A366" t="s">
        <v>76</v>
      </c>
      <c r="B366" s="2" t="s">
        <v>123</v>
      </c>
      <c r="C366" t="s">
        <v>81</v>
      </c>
      <c r="E366" t="str">
        <f>_xlfn.CONCAT("FretRout",LEFT(B366,3),RIGHT(B366,2),"Mot")</f>
        <v>FretRoutCat35Mot</v>
      </c>
      <c r="F366" t="s">
        <v>36</v>
      </c>
      <c r="G366">
        <v>1</v>
      </c>
      <c r="H366" s="2"/>
      <c r="I366" t="s">
        <v>138</v>
      </c>
      <c r="K366" s="4" t="str">
        <f t="shared" si="34"/>
        <v>Diesel</v>
      </c>
    </row>
    <row r="367" spans="1:11" outlineLevel="1" x14ac:dyDescent="0.25">
      <c r="A367" t="s">
        <v>76</v>
      </c>
      <c r="B367" s="2" t="s">
        <v>123</v>
      </c>
      <c r="C367" t="s">
        <v>82</v>
      </c>
      <c r="E367" t="str">
        <f>_xlfn.CONCAT("FretRout",LEFT(B367,3),RIGHT(B367,2),"Carb")</f>
        <v>FretRoutCat35Carb</v>
      </c>
      <c r="F367" t="s">
        <v>36</v>
      </c>
      <c r="G367">
        <v>1</v>
      </c>
      <c r="I367" t="s">
        <v>1449</v>
      </c>
      <c r="K367" s="4" t="str">
        <f t="shared" si="34"/>
        <v>Gazole à la pompe</v>
      </c>
    </row>
    <row r="368" spans="1:11" outlineLevel="1" x14ac:dyDescent="0.25">
      <c r="A368" t="s">
        <v>76</v>
      </c>
      <c r="B368" s="2" t="s">
        <v>123</v>
      </c>
      <c r="C368" t="s">
        <v>83</v>
      </c>
      <c r="E368" t="str">
        <f>_xlfn.CONCAT("FretRout",LEFT(B368,3),RIGHT(B368,2),"Euro")</f>
        <v>FretRoutCat35Euro</v>
      </c>
      <c r="F368" t="s">
        <v>36</v>
      </c>
      <c r="G368">
        <v>1</v>
      </c>
      <c r="I368">
        <v>0</v>
      </c>
      <c r="K368" s="4">
        <f t="shared" si="34"/>
        <v>0</v>
      </c>
    </row>
    <row r="369" spans="1:11" outlineLevel="1" x14ac:dyDescent="0.25">
      <c r="A369" t="s">
        <v>76</v>
      </c>
      <c r="B369" s="2" t="s">
        <v>123</v>
      </c>
      <c r="C369" t="s">
        <v>84</v>
      </c>
      <c r="E369" t="str">
        <f>_xlfn.CONCAT("FretRout",LEFT(B369,3),RIGHT(B369,2),"CritAir")</f>
        <v>FretRoutCat35CritAir</v>
      </c>
      <c r="F369" t="s">
        <v>36</v>
      </c>
      <c r="G369">
        <v>1</v>
      </c>
      <c r="H369" s="2"/>
      <c r="I369">
        <v>5</v>
      </c>
      <c r="K369" s="4">
        <f t="shared" si="34"/>
        <v>5</v>
      </c>
    </row>
    <row r="370" spans="1:11" outlineLevel="1" x14ac:dyDescent="0.25">
      <c r="A370" t="s">
        <v>76</v>
      </c>
      <c r="B370" s="2" t="s">
        <v>123</v>
      </c>
      <c r="C370" t="s">
        <v>85</v>
      </c>
      <c r="E370" t="str">
        <f>_xlfn.CONCAT("FretRout",LEFT(B370,3),RIGHT(B370,2),"Nb")</f>
        <v>FretRoutCat35Nb</v>
      </c>
      <c r="F370" t="s">
        <v>17</v>
      </c>
      <c r="G370">
        <v>1</v>
      </c>
      <c r="J370" t="s">
        <v>86</v>
      </c>
      <c r="K370">
        <v>0</v>
      </c>
    </row>
    <row r="371" spans="1:11" outlineLevel="1" x14ac:dyDescent="0.25">
      <c r="A371" t="s">
        <v>76</v>
      </c>
      <c r="B371" s="2" t="s">
        <v>123</v>
      </c>
      <c r="C371" t="s">
        <v>87</v>
      </c>
      <c r="E371" t="str">
        <f>_xlfn.CONCAT("FretRout",LEFT(B371,3),RIGHT(B371,2),"Dist")</f>
        <v>FretRoutCat35Dist</v>
      </c>
      <c r="F371" t="s">
        <v>17</v>
      </c>
      <c r="G371">
        <v>1</v>
      </c>
      <c r="H371" s="2"/>
      <c r="J371" t="s">
        <v>88</v>
      </c>
      <c r="K371">
        <v>42385.998762263436</v>
      </c>
    </row>
    <row r="372" spans="1:11" outlineLevel="1" x14ac:dyDescent="0.25">
      <c r="A372" t="s">
        <v>76</v>
      </c>
      <c r="B372" s="2" t="s">
        <v>123</v>
      </c>
      <c r="C372" s="2" t="s">
        <v>89</v>
      </c>
      <c r="E372" t="str">
        <f>_xlfn.CONCAT("FretRout",LEFT(B372,3),RIGHT(B372,2),"Rempl")</f>
        <v>FretRoutCat35Rempl</v>
      </c>
      <c r="F372" t="s">
        <v>17</v>
      </c>
      <c r="G372">
        <v>1</v>
      </c>
      <c r="H372" s="3"/>
      <c r="J372" t="s">
        <v>70</v>
      </c>
      <c r="K372">
        <v>0</v>
      </c>
    </row>
    <row r="373" spans="1:11" outlineLevel="1" x14ac:dyDescent="0.25">
      <c r="A373" t="s">
        <v>76</v>
      </c>
      <c r="B373" s="2" t="s">
        <v>124</v>
      </c>
      <c r="C373" t="s">
        <v>78</v>
      </c>
      <c r="E373" t="str">
        <f>_xlfn.CONCAT("FretRout",LEFT(B373,3),RIGHT(B373,2),"Nom")</f>
        <v>FretRoutCat36Nom</v>
      </c>
      <c r="F373" t="s">
        <v>20</v>
      </c>
      <c r="G373">
        <v>1</v>
      </c>
      <c r="H373" s="4"/>
      <c r="I373" s="4" t="s">
        <v>421</v>
      </c>
      <c r="K373" s="4" t="str">
        <f t="shared" ref="K373:K379" si="35">I373</f>
        <v>PL Diesel &gt;34-40t (Crit'Air 2)</v>
      </c>
    </row>
    <row r="374" spans="1:11" outlineLevel="1" x14ac:dyDescent="0.25">
      <c r="A374" t="s">
        <v>76</v>
      </c>
      <c r="B374" s="2" t="s">
        <v>124</v>
      </c>
      <c r="C374" t="s">
        <v>79</v>
      </c>
      <c r="E374" t="str">
        <f>_xlfn.CONCAT("FretRout",LEFT(B374,3),RIGHT(B374,2),"Type")</f>
        <v>FretRoutCat36Type</v>
      </c>
      <c r="F374" t="s">
        <v>20</v>
      </c>
      <c r="G374">
        <v>1</v>
      </c>
      <c r="I374" t="s">
        <v>1771</v>
      </c>
      <c r="K374" s="4" t="str">
        <f t="shared" si="35"/>
        <v>PL</v>
      </c>
    </row>
    <row r="375" spans="1:11" outlineLevel="1" x14ac:dyDescent="0.25">
      <c r="A375" t="s">
        <v>76</v>
      </c>
      <c r="B375" s="2" t="s">
        <v>124</v>
      </c>
      <c r="C375" t="s">
        <v>80</v>
      </c>
      <c r="E375" t="str">
        <f>_xlfn.CONCAT("FretRout",LEFT(B375,3),RIGHT(B375,2),"PTAC")</f>
        <v>FretRoutCat36PTAC</v>
      </c>
      <c r="F375" t="s">
        <v>36</v>
      </c>
      <c r="G375">
        <v>1</v>
      </c>
      <c r="I375" t="s">
        <v>1462</v>
      </c>
      <c r="K375" s="4" t="str">
        <f t="shared" si="35"/>
        <v>&gt;34-40t</v>
      </c>
    </row>
    <row r="376" spans="1:11" outlineLevel="1" x14ac:dyDescent="0.25">
      <c r="A376" t="s">
        <v>76</v>
      </c>
      <c r="B376" s="2" t="s">
        <v>124</v>
      </c>
      <c r="C376" t="s">
        <v>81</v>
      </c>
      <c r="E376" t="str">
        <f>_xlfn.CONCAT("FretRout",LEFT(B376,3),RIGHT(B376,2),"Mot")</f>
        <v>FretRoutCat36Mot</v>
      </c>
      <c r="F376" t="s">
        <v>36</v>
      </c>
      <c r="G376">
        <v>1</v>
      </c>
      <c r="H376" s="2"/>
      <c r="I376" t="s">
        <v>138</v>
      </c>
      <c r="K376" s="4" t="str">
        <f t="shared" si="35"/>
        <v>Diesel</v>
      </c>
    </row>
    <row r="377" spans="1:11" outlineLevel="1" x14ac:dyDescent="0.25">
      <c r="A377" t="s">
        <v>76</v>
      </c>
      <c r="B377" s="2" t="s">
        <v>124</v>
      </c>
      <c r="C377" t="s">
        <v>82</v>
      </c>
      <c r="E377" t="str">
        <f>_xlfn.CONCAT("FretRout",LEFT(B377,3),RIGHT(B377,2),"Carb")</f>
        <v>FretRoutCat36Carb</v>
      </c>
      <c r="F377" t="s">
        <v>36</v>
      </c>
      <c r="G377">
        <v>1</v>
      </c>
      <c r="I377" t="s">
        <v>1449</v>
      </c>
      <c r="K377" s="4" t="str">
        <f t="shared" si="35"/>
        <v>Gazole à la pompe</v>
      </c>
    </row>
    <row r="378" spans="1:11" outlineLevel="1" x14ac:dyDescent="0.25">
      <c r="A378" t="s">
        <v>76</v>
      </c>
      <c r="B378" s="2" t="s">
        <v>124</v>
      </c>
      <c r="C378" t="s">
        <v>83</v>
      </c>
      <c r="E378" t="str">
        <f>_xlfn.CONCAT("FretRout",LEFT(B378,3),RIGHT(B378,2),"Euro")</f>
        <v>FretRoutCat36Euro</v>
      </c>
      <c r="F378" t="s">
        <v>36</v>
      </c>
      <c r="G378">
        <v>1</v>
      </c>
      <c r="I378">
        <v>0</v>
      </c>
      <c r="K378" s="4">
        <f t="shared" si="35"/>
        <v>0</v>
      </c>
    </row>
    <row r="379" spans="1:11" outlineLevel="1" x14ac:dyDescent="0.25">
      <c r="A379" t="s">
        <v>76</v>
      </c>
      <c r="B379" s="2" t="s">
        <v>124</v>
      </c>
      <c r="C379" t="s">
        <v>84</v>
      </c>
      <c r="E379" t="str">
        <f>_xlfn.CONCAT("FretRout",LEFT(B379,3),RIGHT(B379,2),"CritAir")</f>
        <v>FretRoutCat36CritAir</v>
      </c>
      <c r="F379" t="s">
        <v>36</v>
      </c>
      <c r="G379">
        <v>1</v>
      </c>
      <c r="H379" s="2"/>
      <c r="I379">
        <v>2</v>
      </c>
      <c r="K379" s="4">
        <f t="shared" si="35"/>
        <v>2</v>
      </c>
    </row>
    <row r="380" spans="1:11" outlineLevel="1" x14ac:dyDescent="0.25">
      <c r="A380" t="s">
        <v>76</v>
      </c>
      <c r="B380" s="2" t="s">
        <v>124</v>
      </c>
      <c r="C380" t="s">
        <v>85</v>
      </c>
      <c r="E380" t="str">
        <f>_xlfn.CONCAT("FretRout",LEFT(B380,3),RIGHT(B380,2),"Nb")</f>
        <v>FretRoutCat36Nb</v>
      </c>
      <c r="F380" t="s">
        <v>17</v>
      </c>
      <c r="G380">
        <v>1</v>
      </c>
      <c r="J380" t="s">
        <v>86</v>
      </c>
      <c r="K380">
        <v>0</v>
      </c>
    </row>
    <row r="381" spans="1:11" outlineLevel="1" x14ac:dyDescent="0.25">
      <c r="A381" t="s">
        <v>76</v>
      </c>
      <c r="B381" s="2" t="s">
        <v>124</v>
      </c>
      <c r="C381" t="s">
        <v>87</v>
      </c>
      <c r="E381" t="str">
        <f>_xlfn.CONCAT("FretRout",LEFT(B381,3),RIGHT(B381,2),"Dist")</f>
        <v>FretRoutCat36Dist</v>
      </c>
      <c r="F381" t="s">
        <v>17</v>
      </c>
      <c r="G381">
        <v>1</v>
      </c>
      <c r="H381" s="2"/>
      <c r="J381" t="s">
        <v>88</v>
      </c>
      <c r="K381">
        <v>42385.998762263436</v>
      </c>
    </row>
    <row r="382" spans="1:11" outlineLevel="1" x14ac:dyDescent="0.25">
      <c r="A382" t="s">
        <v>76</v>
      </c>
      <c r="B382" s="2" t="s">
        <v>124</v>
      </c>
      <c r="C382" s="2" t="s">
        <v>89</v>
      </c>
      <c r="E382" t="str">
        <f>_xlfn.CONCAT("FretRout",LEFT(B382,3),RIGHT(B382,2),"Rempl")</f>
        <v>FretRoutCat36Rempl</v>
      </c>
      <c r="F382" t="s">
        <v>17</v>
      </c>
      <c r="G382">
        <v>1</v>
      </c>
      <c r="H382" s="3"/>
      <c r="J382" t="s">
        <v>70</v>
      </c>
      <c r="K382">
        <v>0</v>
      </c>
    </row>
    <row r="383" spans="1:11" outlineLevel="1" x14ac:dyDescent="0.25">
      <c r="A383" t="s">
        <v>76</v>
      </c>
      <c r="B383" s="2" t="s">
        <v>125</v>
      </c>
      <c r="C383" t="s">
        <v>78</v>
      </c>
      <c r="E383" t="str">
        <f>_xlfn.CONCAT("FretRout",LEFT(B383,3),RIGHT(B383,2),"Nom")</f>
        <v>FretRoutCat37Nom</v>
      </c>
      <c r="F383" t="s">
        <v>20</v>
      </c>
      <c r="G383">
        <v>1</v>
      </c>
      <c r="H383" s="4"/>
      <c r="I383" s="4" t="s">
        <v>422</v>
      </c>
      <c r="K383" s="4" t="str">
        <f t="shared" ref="K383:K389" si="36">I383</f>
        <v>PL Diesel &gt;34-40t (Crit'Air 3)</v>
      </c>
    </row>
    <row r="384" spans="1:11" outlineLevel="1" x14ac:dyDescent="0.25">
      <c r="A384" t="s">
        <v>76</v>
      </c>
      <c r="B384" s="2" t="s">
        <v>125</v>
      </c>
      <c r="C384" t="s">
        <v>79</v>
      </c>
      <c r="E384" t="str">
        <f>_xlfn.CONCAT("FretRout",LEFT(B384,3),RIGHT(B384,2),"Type")</f>
        <v>FretRoutCat37Type</v>
      </c>
      <c r="F384" t="s">
        <v>20</v>
      </c>
      <c r="G384">
        <v>1</v>
      </c>
      <c r="I384" t="s">
        <v>1771</v>
      </c>
      <c r="K384" s="4" t="str">
        <f t="shared" si="36"/>
        <v>PL</v>
      </c>
    </row>
    <row r="385" spans="1:11" outlineLevel="1" x14ac:dyDescent="0.25">
      <c r="A385" t="s">
        <v>76</v>
      </c>
      <c r="B385" s="2" t="s">
        <v>125</v>
      </c>
      <c r="C385" t="s">
        <v>80</v>
      </c>
      <c r="E385" t="str">
        <f>_xlfn.CONCAT("FretRout",LEFT(B385,3),RIGHT(B385,2),"PTAC")</f>
        <v>FretRoutCat37PTAC</v>
      </c>
      <c r="F385" t="s">
        <v>36</v>
      </c>
      <c r="G385">
        <v>1</v>
      </c>
      <c r="I385" t="s">
        <v>1462</v>
      </c>
      <c r="K385" s="4" t="str">
        <f t="shared" si="36"/>
        <v>&gt;34-40t</v>
      </c>
    </row>
    <row r="386" spans="1:11" outlineLevel="1" x14ac:dyDescent="0.25">
      <c r="A386" t="s">
        <v>76</v>
      </c>
      <c r="B386" s="2" t="s">
        <v>125</v>
      </c>
      <c r="C386" t="s">
        <v>81</v>
      </c>
      <c r="E386" t="str">
        <f>_xlfn.CONCAT("FretRout",LEFT(B386,3),RIGHT(B386,2),"Mot")</f>
        <v>FretRoutCat37Mot</v>
      </c>
      <c r="F386" t="s">
        <v>36</v>
      </c>
      <c r="G386">
        <v>1</v>
      </c>
      <c r="H386" s="2"/>
      <c r="I386" t="s">
        <v>138</v>
      </c>
      <c r="K386" s="4" t="str">
        <f t="shared" si="36"/>
        <v>Diesel</v>
      </c>
    </row>
    <row r="387" spans="1:11" outlineLevel="1" x14ac:dyDescent="0.25">
      <c r="A387" t="s">
        <v>76</v>
      </c>
      <c r="B387" s="2" t="s">
        <v>125</v>
      </c>
      <c r="C387" t="s">
        <v>82</v>
      </c>
      <c r="E387" t="str">
        <f>_xlfn.CONCAT("FretRout",LEFT(B387,3),RIGHT(B387,2),"Carb")</f>
        <v>FretRoutCat37Carb</v>
      </c>
      <c r="F387" t="s">
        <v>36</v>
      </c>
      <c r="G387">
        <v>1</v>
      </c>
      <c r="I387" t="s">
        <v>1449</v>
      </c>
      <c r="K387" s="4" t="str">
        <f t="shared" si="36"/>
        <v>Gazole à la pompe</v>
      </c>
    </row>
    <row r="388" spans="1:11" outlineLevel="1" x14ac:dyDescent="0.25">
      <c r="A388" t="s">
        <v>76</v>
      </c>
      <c r="B388" s="2" t="s">
        <v>125</v>
      </c>
      <c r="C388" t="s">
        <v>83</v>
      </c>
      <c r="E388" t="str">
        <f>_xlfn.CONCAT("FretRout",LEFT(B388,3),RIGHT(B388,2),"Euro")</f>
        <v>FretRoutCat37Euro</v>
      </c>
      <c r="F388" t="s">
        <v>36</v>
      </c>
      <c r="G388">
        <v>1</v>
      </c>
      <c r="I388">
        <v>0</v>
      </c>
      <c r="K388" s="4">
        <f t="shared" si="36"/>
        <v>0</v>
      </c>
    </row>
    <row r="389" spans="1:11" outlineLevel="1" x14ac:dyDescent="0.25">
      <c r="A389" t="s">
        <v>76</v>
      </c>
      <c r="B389" s="2" t="s">
        <v>125</v>
      </c>
      <c r="C389" t="s">
        <v>84</v>
      </c>
      <c r="E389" t="str">
        <f>_xlfn.CONCAT("FretRout",LEFT(B389,3),RIGHT(B389,2),"CritAir")</f>
        <v>FretRoutCat37CritAir</v>
      </c>
      <c r="F389" t="s">
        <v>36</v>
      </c>
      <c r="G389">
        <v>1</v>
      </c>
      <c r="H389" s="2"/>
      <c r="I389">
        <v>3</v>
      </c>
      <c r="K389" s="4">
        <f t="shared" si="36"/>
        <v>3</v>
      </c>
    </row>
    <row r="390" spans="1:11" outlineLevel="1" x14ac:dyDescent="0.25">
      <c r="A390" t="s">
        <v>76</v>
      </c>
      <c r="B390" s="2" t="s">
        <v>125</v>
      </c>
      <c r="C390" t="s">
        <v>85</v>
      </c>
      <c r="E390" t="str">
        <f>_xlfn.CONCAT("FretRout",LEFT(B390,3),RIGHT(B390,2),"Nb")</f>
        <v>FretRoutCat37Nb</v>
      </c>
      <c r="F390" t="s">
        <v>17</v>
      </c>
      <c r="G390">
        <v>1</v>
      </c>
      <c r="J390" t="s">
        <v>86</v>
      </c>
      <c r="K390">
        <v>0</v>
      </c>
    </row>
    <row r="391" spans="1:11" outlineLevel="1" x14ac:dyDescent="0.25">
      <c r="A391" t="s">
        <v>76</v>
      </c>
      <c r="B391" s="2" t="s">
        <v>125</v>
      </c>
      <c r="C391" t="s">
        <v>87</v>
      </c>
      <c r="E391" t="str">
        <f>_xlfn.CONCAT("FretRout",LEFT(B391,3),RIGHT(B391,2),"Dist")</f>
        <v>FretRoutCat37Dist</v>
      </c>
      <c r="F391" t="s">
        <v>17</v>
      </c>
      <c r="G391">
        <v>1</v>
      </c>
      <c r="H391" s="2"/>
      <c r="J391" t="s">
        <v>88</v>
      </c>
      <c r="K391">
        <v>42385.998762263436</v>
      </c>
    </row>
    <row r="392" spans="1:11" outlineLevel="1" x14ac:dyDescent="0.25">
      <c r="A392" t="s">
        <v>76</v>
      </c>
      <c r="B392" s="2" t="s">
        <v>125</v>
      </c>
      <c r="C392" s="2" t="s">
        <v>89</v>
      </c>
      <c r="E392" t="str">
        <f>_xlfn.CONCAT("FretRout",LEFT(B392,3),RIGHT(B392,2),"Rempl")</f>
        <v>FretRoutCat37Rempl</v>
      </c>
      <c r="F392" t="s">
        <v>17</v>
      </c>
      <c r="G392">
        <v>1</v>
      </c>
      <c r="H392" s="3"/>
      <c r="J392" t="s">
        <v>70</v>
      </c>
      <c r="K392">
        <v>0</v>
      </c>
    </row>
    <row r="393" spans="1:11" outlineLevel="1" x14ac:dyDescent="0.25">
      <c r="A393" t="s">
        <v>76</v>
      </c>
      <c r="B393" s="2" t="s">
        <v>126</v>
      </c>
      <c r="C393" t="s">
        <v>78</v>
      </c>
      <c r="E393" t="str">
        <f>_xlfn.CONCAT("FretRout",LEFT(B393,3),RIGHT(B393,2),"Nom")</f>
        <v>FretRoutCat38Nom</v>
      </c>
      <c r="F393" t="s">
        <v>20</v>
      </c>
      <c r="G393">
        <v>1</v>
      </c>
      <c r="H393" s="4"/>
      <c r="I393" s="4" t="s">
        <v>423</v>
      </c>
      <c r="K393" s="4" t="str">
        <f t="shared" ref="K393:K399" si="37">I393</f>
        <v>PL Diesel &gt;34-40t (Crit'Air 4)</v>
      </c>
    </row>
    <row r="394" spans="1:11" outlineLevel="1" x14ac:dyDescent="0.25">
      <c r="A394" t="s">
        <v>76</v>
      </c>
      <c r="B394" s="2" t="s">
        <v>126</v>
      </c>
      <c r="C394" t="s">
        <v>79</v>
      </c>
      <c r="E394" t="str">
        <f>_xlfn.CONCAT("FretRout",LEFT(B394,3),RIGHT(B394,2),"Type")</f>
        <v>FretRoutCat38Type</v>
      </c>
      <c r="F394" t="s">
        <v>20</v>
      </c>
      <c r="G394">
        <v>1</v>
      </c>
      <c r="I394" t="s">
        <v>1771</v>
      </c>
      <c r="K394" s="4" t="str">
        <f t="shared" si="37"/>
        <v>PL</v>
      </c>
    </row>
    <row r="395" spans="1:11" outlineLevel="1" x14ac:dyDescent="0.25">
      <c r="A395" t="s">
        <v>76</v>
      </c>
      <c r="B395" s="2" t="s">
        <v>126</v>
      </c>
      <c r="C395" t="s">
        <v>80</v>
      </c>
      <c r="E395" t="str">
        <f>_xlfn.CONCAT("FretRout",LEFT(B395,3),RIGHT(B395,2),"PTAC")</f>
        <v>FretRoutCat38PTAC</v>
      </c>
      <c r="F395" t="s">
        <v>36</v>
      </c>
      <c r="G395">
        <v>1</v>
      </c>
      <c r="I395" t="s">
        <v>1462</v>
      </c>
      <c r="K395" s="4" t="str">
        <f t="shared" si="37"/>
        <v>&gt;34-40t</v>
      </c>
    </row>
    <row r="396" spans="1:11" outlineLevel="1" x14ac:dyDescent="0.25">
      <c r="A396" t="s">
        <v>76</v>
      </c>
      <c r="B396" s="2" t="s">
        <v>126</v>
      </c>
      <c r="C396" t="s">
        <v>81</v>
      </c>
      <c r="E396" t="str">
        <f>_xlfn.CONCAT("FretRout",LEFT(B396,3),RIGHT(B396,2),"Mot")</f>
        <v>FretRoutCat38Mot</v>
      </c>
      <c r="F396" t="s">
        <v>36</v>
      </c>
      <c r="G396">
        <v>1</v>
      </c>
      <c r="H396" s="2"/>
      <c r="I396" t="s">
        <v>138</v>
      </c>
      <c r="K396" s="4" t="str">
        <f t="shared" si="37"/>
        <v>Diesel</v>
      </c>
    </row>
    <row r="397" spans="1:11" outlineLevel="1" x14ac:dyDescent="0.25">
      <c r="A397" t="s">
        <v>76</v>
      </c>
      <c r="B397" s="2" t="s">
        <v>126</v>
      </c>
      <c r="C397" t="s">
        <v>82</v>
      </c>
      <c r="E397" t="str">
        <f>_xlfn.CONCAT("FretRout",LEFT(B397,3),RIGHT(B397,2),"Carb")</f>
        <v>FretRoutCat38Carb</v>
      </c>
      <c r="F397" t="s">
        <v>36</v>
      </c>
      <c r="G397">
        <v>1</v>
      </c>
      <c r="I397" t="s">
        <v>1449</v>
      </c>
      <c r="K397" s="4" t="str">
        <f t="shared" si="37"/>
        <v>Gazole à la pompe</v>
      </c>
    </row>
    <row r="398" spans="1:11" outlineLevel="1" x14ac:dyDescent="0.25">
      <c r="A398" t="s">
        <v>76</v>
      </c>
      <c r="B398" s="2" t="s">
        <v>126</v>
      </c>
      <c r="C398" t="s">
        <v>83</v>
      </c>
      <c r="E398" t="str">
        <f>_xlfn.CONCAT("FretRout",LEFT(B398,3),RIGHT(B398,2),"Euro")</f>
        <v>FretRoutCat38Euro</v>
      </c>
      <c r="F398" t="s">
        <v>36</v>
      </c>
      <c r="G398">
        <v>1</v>
      </c>
      <c r="I398">
        <v>0</v>
      </c>
      <c r="K398" s="4">
        <f t="shared" si="37"/>
        <v>0</v>
      </c>
    </row>
    <row r="399" spans="1:11" outlineLevel="1" x14ac:dyDescent="0.25">
      <c r="A399" t="s">
        <v>76</v>
      </c>
      <c r="B399" s="2" t="s">
        <v>126</v>
      </c>
      <c r="C399" t="s">
        <v>84</v>
      </c>
      <c r="E399" t="str">
        <f>_xlfn.CONCAT("FretRout",LEFT(B399,3),RIGHT(B399,2),"CritAir")</f>
        <v>FretRoutCat38CritAir</v>
      </c>
      <c r="F399" t="s">
        <v>36</v>
      </c>
      <c r="G399">
        <v>1</v>
      </c>
      <c r="H399" s="2"/>
      <c r="I399">
        <v>4</v>
      </c>
      <c r="K399" s="4">
        <f t="shared" si="37"/>
        <v>4</v>
      </c>
    </row>
    <row r="400" spans="1:11" outlineLevel="1" x14ac:dyDescent="0.25">
      <c r="A400" t="s">
        <v>76</v>
      </c>
      <c r="B400" s="2" t="s">
        <v>126</v>
      </c>
      <c r="C400" t="s">
        <v>85</v>
      </c>
      <c r="E400" t="str">
        <f>_xlfn.CONCAT("FretRout",LEFT(B400,3),RIGHT(B400,2),"Nb")</f>
        <v>FretRoutCat38Nb</v>
      </c>
      <c r="F400" t="s">
        <v>17</v>
      </c>
      <c r="G400">
        <v>1</v>
      </c>
      <c r="J400" t="s">
        <v>86</v>
      </c>
      <c r="K400">
        <v>0</v>
      </c>
    </row>
    <row r="401" spans="1:11" outlineLevel="1" x14ac:dyDescent="0.25">
      <c r="A401" t="s">
        <v>76</v>
      </c>
      <c r="B401" s="2" t="s">
        <v>126</v>
      </c>
      <c r="C401" t="s">
        <v>87</v>
      </c>
      <c r="E401" t="str">
        <f>_xlfn.CONCAT("FretRout",LEFT(B401,3),RIGHT(B401,2),"Dist")</f>
        <v>FretRoutCat38Dist</v>
      </c>
      <c r="F401" t="s">
        <v>17</v>
      </c>
      <c r="G401">
        <v>1</v>
      </c>
      <c r="H401" s="2"/>
      <c r="J401" t="s">
        <v>88</v>
      </c>
      <c r="K401">
        <v>42385.998762263436</v>
      </c>
    </row>
    <row r="402" spans="1:11" outlineLevel="1" x14ac:dyDescent="0.25">
      <c r="A402" t="s">
        <v>76</v>
      </c>
      <c r="B402" s="2" t="s">
        <v>126</v>
      </c>
      <c r="C402" s="2" t="s">
        <v>89</v>
      </c>
      <c r="E402" t="str">
        <f>_xlfn.CONCAT("FretRout",LEFT(B402,3),RIGHT(B402,2),"Rempl")</f>
        <v>FretRoutCat38Rempl</v>
      </c>
      <c r="F402" t="s">
        <v>17</v>
      </c>
      <c r="G402">
        <v>1</v>
      </c>
      <c r="H402" s="3"/>
      <c r="J402" t="s">
        <v>70</v>
      </c>
      <c r="K402">
        <v>0</v>
      </c>
    </row>
    <row r="403" spans="1:11" outlineLevel="1" x14ac:dyDescent="0.25">
      <c r="A403" t="s">
        <v>76</v>
      </c>
      <c r="B403" s="2" t="s">
        <v>127</v>
      </c>
      <c r="C403" t="s">
        <v>78</v>
      </c>
      <c r="E403" t="str">
        <f>_xlfn.CONCAT("FretRout",LEFT(B403,3),RIGHT(B403,2),"Nom")</f>
        <v>FretRoutCat39Nom</v>
      </c>
      <c r="F403" t="s">
        <v>20</v>
      </c>
      <c r="G403">
        <v>1</v>
      </c>
      <c r="H403" s="4"/>
      <c r="I403" s="4" t="s">
        <v>424</v>
      </c>
      <c r="K403" s="4" t="str">
        <f t="shared" ref="K403:K409" si="38">I403</f>
        <v>PL Diesel &gt;34-40t (Crit'Air 5)</v>
      </c>
    </row>
    <row r="404" spans="1:11" outlineLevel="1" x14ac:dyDescent="0.25">
      <c r="A404" t="s">
        <v>76</v>
      </c>
      <c r="B404" s="2" t="s">
        <v>127</v>
      </c>
      <c r="C404" t="s">
        <v>79</v>
      </c>
      <c r="E404" t="str">
        <f>_xlfn.CONCAT("FretRout",LEFT(B404,3),RIGHT(B404,2),"Type")</f>
        <v>FretRoutCat39Type</v>
      </c>
      <c r="F404" t="s">
        <v>20</v>
      </c>
      <c r="G404">
        <v>1</v>
      </c>
      <c r="I404" t="s">
        <v>1771</v>
      </c>
      <c r="K404" s="4" t="str">
        <f t="shared" si="38"/>
        <v>PL</v>
      </c>
    </row>
    <row r="405" spans="1:11" outlineLevel="1" x14ac:dyDescent="0.25">
      <c r="A405" t="s">
        <v>76</v>
      </c>
      <c r="B405" s="2" t="s">
        <v>127</v>
      </c>
      <c r="C405" t="s">
        <v>80</v>
      </c>
      <c r="E405" t="str">
        <f>_xlfn.CONCAT("FretRout",LEFT(B405,3),RIGHT(B405,2),"PTAC")</f>
        <v>FretRoutCat39PTAC</v>
      </c>
      <c r="F405" t="s">
        <v>36</v>
      </c>
      <c r="G405">
        <v>1</v>
      </c>
      <c r="I405" t="s">
        <v>1462</v>
      </c>
      <c r="K405" s="4" t="str">
        <f t="shared" si="38"/>
        <v>&gt;34-40t</v>
      </c>
    </row>
    <row r="406" spans="1:11" outlineLevel="1" x14ac:dyDescent="0.25">
      <c r="A406" t="s">
        <v>76</v>
      </c>
      <c r="B406" s="2" t="s">
        <v>127</v>
      </c>
      <c r="C406" t="s">
        <v>81</v>
      </c>
      <c r="E406" t="str">
        <f>_xlfn.CONCAT("FretRout",LEFT(B406,3),RIGHT(B406,2),"Mot")</f>
        <v>FretRoutCat39Mot</v>
      </c>
      <c r="F406" t="s">
        <v>36</v>
      </c>
      <c r="G406">
        <v>1</v>
      </c>
      <c r="H406" s="2"/>
      <c r="I406" t="s">
        <v>138</v>
      </c>
      <c r="K406" s="4" t="str">
        <f t="shared" si="38"/>
        <v>Diesel</v>
      </c>
    </row>
    <row r="407" spans="1:11" outlineLevel="1" x14ac:dyDescent="0.25">
      <c r="A407" t="s">
        <v>76</v>
      </c>
      <c r="B407" s="2" t="s">
        <v>127</v>
      </c>
      <c r="C407" t="s">
        <v>82</v>
      </c>
      <c r="E407" t="str">
        <f>_xlfn.CONCAT("FretRout",LEFT(B407,3),RIGHT(B407,2),"Carb")</f>
        <v>FretRoutCat39Carb</v>
      </c>
      <c r="F407" t="s">
        <v>36</v>
      </c>
      <c r="G407">
        <v>1</v>
      </c>
      <c r="I407" t="s">
        <v>1449</v>
      </c>
      <c r="K407" s="4" t="str">
        <f t="shared" si="38"/>
        <v>Gazole à la pompe</v>
      </c>
    </row>
    <row r="408" spans="1:11" outlineLevel="1" x14ac:dyDescent="0.25">
      <c r="A408" t="s">
        <v>76</v>
      </c>
      <c r="B408" s="2" t="s">
        <v>127</v>
      </c>
      <c r="C408" t="s">
        <v>83</v>
      </c>
      <c r="E408" t="str">
        <f>_xlfn.CONCAT("FretRout",LEFT(B408,3),RIGHT(B408,2),"Euro")</f>
        <v>FretRoutCat39Euro</v>
      </c>
      <c r="F408" t="s">
        <v>36</v>
      </c>
      <c r="G408">
        <v>1</v>
      </c>
      <c r="I408">
        <v>0</v>
      </c>
      <c r="K408" s="4">
        <f t="shared" si="38"/>
        <v>0</v>
      </c>
    </row>
    <row r="409" spans="1:11" outlineLevel="1" x14ac:dyDescent="0.25">
      <c r="A409" t="s">
        <v>76</v>
      </c>
      <c r="B409" s="2" t="s">
        <v>127</v>
      </c>
      <c r="C409" t="s">
        <v>84</v>
      </c>
      <c r="E409" t="str">
        <f>_xlfn.CONCAT("FretRout",LEFT(B409,3),RIGHT(B409,2),"CritAir")</f>
        <v>FretRoutCat39CritAir</v>
      </c>
      <c r="F409" t="s">
        <v>36</v>
      </c>
      <c r="G409">
        <v>1</v>
      </c>
      <c r="H409" s="2"/>
      <c r="I409">
        <v>5</v>
      </c>
      <c r="K409" s="4">
        <f t="shared" si="38"/>
        <v>5</v>
      </c>
    </row>
    <row r="410" spans="1:11" outlineLevel="1" x14ac:dyDescent="0.25">
      <c r="A410" t="s">
        <v>76</v>
      </c>
      <c r="B410" s="2" t="s">
        <v>127</v>
      </c>
      <c r="C410" t="s">
        <v>85</v>
      </c>
      <c r="E410" t="str">
        <f>_xlfn.CONCAT("FretRout",LEFT(B410,3),RIGHT(B410,2),"Nb")</f>
        <v>FretRoutCat39Nb</v>
      </c>
      <c r="F410" t="s">
        <v>17</v>
      </c>
      <c r="G410">
        <v>1</v>
      </c>
      <c r="J410" t="s">
        <v>86</v>
      </c>
      <c r="K410" t="e">
        <v>#REF!</v>
      </c>
    </row>
    <row r="411" spans="1:11" outlineLevel="1" x14ac:dyDescent="0.25">
      <c r="A411" t="s">
        <v>76</v>
      </c>
      <c r="B411" s="2" t="s">
        <v>127</v>
      </c>
      <c r="C411" t="s">
        <v>87</v>
      </c>
      <c r="E411" t="str">
        <f>_xlfn.CONCAT("FretRout",LEFT(B411,3),RIGHT(B411,2),"Dist")</f>
        <v>FretRoutCat39Dist</v>
      </c>
      <c r="F411" t="s">
        <v>17</v>
      </c>
      <c r="G411">
        <v>1</v>
      </c>
      <c r="H411" s="2"/>
      <c r="J411" t="s">
        <v>88</v>
      </c>
      <c r="K411" t="e">
        <v>#REF!</v>
      </c>
    </row>
    <row r="412" spans="1:11" outlineLevel="1" x14ac:dyDescent="0.25">
      <c r="A412" t="s">
        <v>76</v>
      </c>
      <c r="B412" s="2" t="s">
        <v>127</v>
      </c>
      <c r="C412" s="2" t="s">
        <v>89</v>
      </c>
      <c r="E412" t="str">
        <f>_xlfn.CONCAT("FretRout",LEFT(B412,3),RIGHT(B412,2),"Rempl")</f>
        <v>FretRoutCat39Rempl</v>
      </c>
      <c r="F412" t="s">
        <v>17</v>
      </c>
      <c r="G412">
        <v>1</v>
      </c>
      <c r="H412" s="3"/>
      <c r="J412" t="s">
        <v>70</v>
      </c>
      <c r="K412" t="e">
        <v>#REF!</v>
      </c>
    </row>
    <row r="413" spans="1:11" outlineLevel="1" x14ac:dyDescent="0.25">
      <c r="A413" t="s">
        <v>76</v>
      </c>
      <c r="B413" s="2" t="s">
        <v>128</v>
      </c>
      <c r="C413" t="s">
        <v>78</v>
      </c>
      <c r="E413" t="str">
        <f>_xlfn.CONCAT("FretRout",LEFT(B413,3),RIGHT(B413,2),"Nom")</f>
        <v>FretRoutCat40Nom</v>
      </c>
      <c r="F413" t="s">
        <v>20</v>
      </c>
      <c r="G413">
        <v>1</v>
      </c>
      <c r="H413" s="4"/>
      <c r="I413" s="4" t="s">
        <v>425</v>
      </c>
      <c r="K413" s="4" t="str">
        <f t="shared" ref="K413:K419" si="39">I413</f>
        <v>PL Gaz (GNC) &gt;14-20t (Crit'Air 1)</v>
      </c>
    </row>
    <row r="414" spans="1:11" outlineLevel="1" x14ac:dyDescent="0.25">
      <c r="A414" t="s">
        <v>76</v>
      </c>
      <c r="B414" s="2" t="s">
        <v>128</v>
      </c>
      <c r="C414" t="s">
        <v>79</v>
      </c>
      <c r="E414" t="str">
        <f>_xlfn.CONCAT("FretRout",LEFT(B414,3),RIGHT(B414,2),"Type")</f>
        <v>FretRoutCat40Type</v>
      </c>
      <c r="F414" t="s">
        <v>20</v>
      </c>
      <c r="G414">
        <v>1</v>
      </c>
      <c r="I414" t="s">
        <v>1771</v>
      </c>
      <c r="K414" s="4" t="str">
        <f t="shared" si="39"/>
        <v>PL</v>
      </c>
    </row>
    <row r="415" spans="1:11" outlineLevel="1" x14ac:dyDescent="0.25">
      <c r="A415" t="s">
        <v>76</v>
      </c>
      <c r="B415" s="2" t="s">
        <v>128</v>
      </c>
      <c r="C415" t="s">
        <v>80</v>
      </c>
      <c r="E415" t="str">
        <f>_xlfn.CONCAT("FretRout",LEFT(B415,3),RIGHT(B415,2),"PTAC")</f>
        <v>FretRoutCat40PTAC</v>
      </c>
      <c r="F415" t="s">
        <v>36</v>
      </c>
      <c r="G415">
        <v>1</v>
      </c>
      <c r="I415" t="s">
        <v>1459</v>
      </c>
      <c r="K415" s="4" t="str">
        <f t="shared" si="39"/>
        <v>&gt;14-20t</v>
      </c>
    </row>
    <row r="416" spans="1:11" outlineLevel="1" x14ac:dyDescent="0.25">
      <c r="A416" t="s">
        <v>76</v>
      </c>
      <c r="B416" s="2" t="s">
        <v>128</v>
      </c>
      <c r="C416" t="s">
        <v>81</v>
      </c>
      <c r="E416" t="str">
        <f>_xlfn.CONCAT("FretRout",LEFT(B416,3),RIGHT(B416,2),"Mot")</f>
        <v>FretRoutCat40Mot</v>
      </c>
      <c r="F416" t="s">
        <v>36</v>
      </c>
      <c r="G416">
        <v>1</v>
      </c>
      <c r="H416" s="2"/>
      <c r="I416" t="s">
        <v>1456</v>
      </c>
      <c r="K416" s="4" t="str">
        <f t="shared" si="39"/>
        <v>Gaz (GNC)</v>
      </c>
    </row>
    <row r="417" spans="1:11" outlineLevel="1" x14ac:dyDescent="0.25">
      <c r="A417" t="s">
        <v>76</v>
      </c>
      <c r="B417" s="2" t="s">
        <v>128</v>
      </c>
      <c r="C417" t="s">
        <v>82</v>
      </c>
      <c r="E417" t="str">
        <f>_xlfn.CONCAT("FretRout",LEFT(B417,3),RIGHT(B417,2),"Carb")</f>
        <v>FretRoutCat40Carb</v>
      </c>
      <c r="F417" t="s">
        <v>36</v>
      </c>
      <c r="G417">
        <v>1</v>
      </c>
      <c r="I417">
        <v>0</v>
      </c>
      <c r="K417" s="4">
        <f t="shared" si="39"/>
        <v>0</v>
      </c>
    </row>
    <row r="418" spans="1:11" outlineLevel="1" x14ac:dyDescent="0.25">
      <c r="A418" t="s">
        <v>76</v>
      </c>
      <c r="B418" s="2" t="s">
        <v>128</v>
      </c>
      <c r="C418" t="s">
        <v>83</v>
      </c>
      <c r="E418" t="str">
        <f>_xlfn.CONCAT("FretRout",LEFT(B418,3),RIGHT(B418,2),"Euro")</f>
        <v>FretRoutCat40Euro</v>
      </c>
      <c r="F418" t="s">
        <v>36</v>
      </c>
      <c r="G418">
        <v>1</v>
      </c>
      <c r="I418">
        <v>0</v>
      </c>
      <c r="K418" s="4">
        <f t="shared" si="39"/>
        <v>0</v>
      </c>
    </row>
    <row r="419" spans="1:11" outlineLevel="1" x14ac:dyDescent="0.25">
      <c r="A419" t="s">
        <v>76</v>
      </c>
      <c r="B419" s="2" t="s">
        <v>128</v>
      </c>
      <c r="C419" t="s">
        <v>84</v>
      </c>
      <c r="E419" t="str">
        <f>_xlfn.CONCAT("FretRout",LEFT(B419,3),RIGHT(B419,2),"CritAir")</f>
        <v>FretRoutCat40CritAir</v>
      </c>
      <c r="F419" t="s">
        <v>36</v>
      </c>
      <c r="G419">
        <v>1</v>
      </c>
      <c r="H419" s="2"/>
      <c r="I419">
        <v>1</v>
      </c>
      <c r="K419" s="4">
        <f t="shared" si="39"/>
        <v>1</v>
      </c>
    </row>
    <row r="420" spans="1:11" outlineLevel="1" x14ac:dyDescent="0.25">
      <c r="A420" t="s">
        <v>76</v>
      </c>
      <c r="B420" s="2" t="s">
        <v>128</v>
      </c>
      <c r="C420" t="s">
        <v>85</v>
      </c>
      <c r="E420" t="str">
        <f>_xlfn.CONCAT("FretRout",LEFT(B420,3),RIGHT(B420,2),"Nb")</f>
        <v>FretRoutCat40Nb</v>
      </c>
      <c r="F420" t="s">
        <v>17</v>
      </c>
      <c r="G420">
        <v>1</v>
      </c>
      <c r="J420" t="s">
        <v>86</v>
      </c>
      <c r="K420">
        <v>0</v>
      </c>
    </row>
    <row r="421" spans="1:11" outlineLevel="1" x14ac:dyDescent="0.25">
      <c r="A421" t="s">
        <v>76</v>
      </c>
      <c r="B421" s="2" t="s">
        <v>128</v>
      </c>
      <c r="C421" t="s">
        <v>87</v>
      </c>
      <c r="E421" t="str">
        <f>_xlfn.CONCAT("FretRout",LEFT(B421,3),RIGHT(B421,2),"Dist")</f>
        <v>FretRoutCat40Dist</v>
      </c>
      <c r="F421" t="s">
        <v>17</v>
      </c>
      <c r="G421">
        <v>1</v>
      </c>
      <c r="H421" s="2"/>
      <c r="J421" t="s">
        <v>88</v>
      </c>
      <c r="K421">
        <v>46552.613237725091</v>
      </c>
    </row>
    <row r="422" spans="1:11" outlineLevel="1" x14ac:dyDescent="0.25">
      <c r="A422" t="s">
        <v>76</v>
      </c>
      <c r="B422" s="2" t="s">
        <v>128</v>
      </c>
      <c r="C422" s="2" t="s">
        <v>89</v>
      </c>
      <c r="E422" t="str">
        <f>_xlfn.CONCAT("FretRout",LEFT(B422,3),RIGHT(B422,2),"Rempl")</f>
        <v>FretRoutCat40Rempl</v>
      </c>
      <c r="F422" t="s">
        <v>17</v>
      </c>
      <c r="G422">
        <v>1</v>
      </c>
      <c r="H422" s="3"/>
      <c r="J422" t="s">
        <v>70</v>
      </c>
      <c r="K422">
        <v>0</v>
      </c>
    </row>
    <row r="423" spans="1:11" outlineLevel="1" x14ac:dyDescent="0.25">
      <c r="A423" t="s">
        <v>76</v>
      </c>
      <c r="B423" s="2" t="s">
        <v>129</v>
      </c>
      <c r="C423" t="s">
        <v>78</v>
      </c>
      <c r="E423" t="str">
        <f>_xlfn.CONCAT("FretRout",LEFT(B423,3),RIGHT(B423,2),"Nom")</f>
        <v>FretRoutCat41Nom</v>
      </c>
      <c r="F423" t="s">
        <v>20</v>
      </c>
      <c r="G423">
        <v>1</v>
      </c>
      <c r="H423" s="4"/>
      <c r="I423" s="4" t="s">
        <v>426</v>
      </c>
      <c r="K423" s="4" t="str">
        <f t="shared" ref="K423:K429" si="40">I423</f>
        <v>PL Gaz (GNC) &gt;14-20t (Crit'Air 2)</v>
      </c>
    </row>
    <row r="424" spans="1:11" outlineLevel="1" x14ac:dyDescent="0.25">
      <c r="A424" t="s">
        <v>76</v>
      </c>
      <c r="B424" s="2" t="s">
        <v>129</v>
      </c>
      <c r="C424" t="s">
        <v>79</v>
      </c>
      <c r="E424" t="str">
        <f>_xlfn.CONCAT("FretRout",LEFT(B424,3),RIGHT(B424,2),"Type")</f>
        <v>FretRoutCat41Type</v>
      </c>
      <c r="F424" t="s">
        <v>20</v>
      </c>
      <c r="G424">
        <v>1</v>
      </c>
      <c r="I424" t="s">
        <v>1771</v>
      </c>
      <c r="K424" s="4" t="str">
        <f t="shared" si="40"/>
        <v>PL</v>
      </c>
    </row>
    <row r="425" spans="1:11" outlineLevel="1" x14ac:dyDescent="0.25">
      <c r="A425" t="s">
        <v>76</v>
      </c>
      <c r="B425" s="2" t="s">
        <v>129</v>
      </c>
      <c r="C425" t="s">
        <v>80</v>
      </c>
      <c r="E425" t="str">
        <f>_xlfn.CONCAT("FretRout",LEFT(B425,3),RIGHT(B425,2),"PTAC")</f>
        <v>FretRoutCat41PTAC</v>
      </c>
      <c r="F425" t="s">
        <v>36</v>
      </c>
      <c r="G425">
        <v>1</v>
      </c>
      <c r="I425" t="s">
        <v>1459</v>
      </c>
      <c r="K425" s="4" t="str">
        <f t="shared" si="40"/>
        <v>&gt;14-20t</v>
      </c>
    </row>
    <row r="426" spans="1:11" outlineLevel="1" x14ac:dyDescent="0.25">
      <c r="A426" t="s">
        <v>76</v>
      </c>
      <c r="B426" s="2" t="s">
        <v>129</v>
      </c>
      <c r="C426" t="s">
        <v>81</v>
      </c>
      <c r="E426" t="str">
        <f>_xlfn.CONCAT("FretRout",LEFT(B426,3),RIGHT(B426,2),"Mot")</f>
        <v>FretRoutCat41Mot</v>
      </c>
      <c r="F426" t="s">
        <v>36</v>
      </c>
      <c r="G426">
        <v>1</v>
      </c>
      <c r="H426" s="2"/>
      <c r="I426" t="s">
        <v>1456</v>
      </c>
      <c r="K426" s="4" t="str">
        <f t="shared" si="40"/>
        <v>Gaz (GNC)</v>
      </c>
    </row>
    <row r="427" spans="1:11" outlineLevel="1" x14ac:dyDescent="0.25">
      <c r="A427" t="s">
        <v>76</v>
      </c>
      <c r="B427" s="2" t="s">
        <v>129</v>
      </c>
      <c r="C427" t="s">
        <v>82</v>
      </c>
      <c r="E427" t="str">
        <f>_xlfn.CONCAT("FretRout",LEFT(B427,3),RIGHT(B427,2),"Carb")</f>
        <v>FretRoutCat41Carb</v>
      </c>
      <c r="F427" t="s">
        <v>36</v>
      </c>
      <c r="G427">
        <v>1</v>
      </c>
      <c r="I427">
        <v>0</v>
      </c>
      <c r="K427" s="4">
        <f t="shared" si="40"/>
        <v>0</v>
      </c>
    </row>
    <row r="428" spans="1:11" outlineLevel="1" x14ac:dyDescent="0.25">
      <c r="A428" t="s">
        <v>76</v>
      </c>
      <c r="B428" s="2" t="s">
        <v>129</v>
      </c>
      <c r="C428" t="s">
        <v>83</v>
      </c>
      <c r="E428" t="str">
        <f>_xlfn.CONCAT("FretRout",LEFT(B428,3),RIGHT(B428,2),"Euro")</f>
        <v>FretRoutCat41Euro</v>
      </c>
      <c r="F428" t="s">
        <v>36</v>
      </c>
      <c r="G428">
        <v>1</v>
      </c>
      <c r="I428">
        <v>0</v>
      </c>
      <c r="K428" s="4">
        <f t="shared" si="40"/>
        <v>0</v>
      </c>
    </row>
    <row r="429" spans="1:11" outlineLevel="1" x14ac:dyDescent="0.25">
      <c r="A429" t="s">
        <v>76</v>
      </c>
      <c r="B429" s="2" t="s">
        <v>129</v>
      </c>
      <c r="C429" t="s">
        <v>84</v>
      </c>
      <c r="E429" t="str">
        <f>_xlfn.CONCAT("FretRout",LEFT(B429,3),RIGHT(B429,2),"CritAir")</f>
        <v>FretRoutCat41CritAir</v>
      </c>
      <c r="F429" t="s">
        <v>36</v>
      </c>
      <c r="G429">
        <v>1</v>
      </c>
      <c r="H429" s="2"/>
      <c r="I429">
        <v>2</v>
      </c>
      <c r="K429" s="4">
        <f t="shared" si="40"/>
        <v>2</v>
      </c>
    </row>
    <row r="430" spans="1:11" outlineLevel="1" x14ac:dyDescent="0.25">
      <c r="A430" t="s">
        <v>76</v>
      </c>
      <c r="B430" s="2" t="s">
        <v>129</v>
      </c>
      <c r="C430" t="s">
        <v>85</v>
      </c>
      <c r="E430" t="str">
        <f>_xlfn.CONCAT("FretRout",LEFT(B430,3),RIGHT(B430,2),"Nb")</f>
        <v>FretRoutCat41Nb</v>
      </c>
      <c r="F430" t="s">
        <v>17</v>
      </c>
      <c r="G430">
        <v>1</v>
      </c>
      <c r="J430" t="s">
        <v>86</v>
      </c>
      <c r="K430">
        <v>0</v>
      </c>
    </row>
    <row r="431" spans="1:11" outlineLevel="1" x14ac:dyDescent="0.25">
      <c r="A431" t="s">
        <v>76</v>
      </c>
      <c r="B431" s="2" t="s">
        <v>129</v>
      </c>
      <c r="C431" t="s">
        <v>87</v>
      </c>
      <c r="E431" t="str">
        <f>_xlfn.CONCAT("FretRout",LEFT(B431,3),RIGHT(B431,2),"Dist")</f>
        <v>FretRoutCat41Dist</v>
      </c>
      <c r="F431" t="s">
        <v>17</v>
      </c>
      <c r="G431">
        <v>1</v>
      </c>
      <c r="H431" s="2"/>
      <c r="J431" t="s">
        <v>88</v>
      </c>
      <c r="K431">
        <v>46552.613237725091</v>
      </c>
    </row>
    <row r="432" spans="1:11" outlineLevel="1" x14ac:dyDescent="0.25">
      <c r="A432" t="s">
        <v>76</v>
      </c>
      <c r="B432" s="2" t="s">
        <v>129</v>
      </c>
      <c r="C432" s="2" t="s">
        <v>89</v>
      </c>
      <c r="E432" t="str">
        <f>_xlfn.CONCAT("FretRout",LEFT(B432,3),RIGHT(B432,2),"Rempl")</f>
        <v>FretRoutCat41Rempl</v>
      </c>
      <c r="F432" t="s">
        <v>17</v>
      </c>
      <c r="G432">
        <v>1</v>
      </c>
      <c r="H432" s="3"/>
      <c r="J432" t="s">
        <v>70</v>
      </c>
      <c r="K432">
        <v>0</v>
      </c>
    </row>
    <row r="433" spans="1:11" outlineLevel="1" x14ac:dyDescent="0.25">
      <c r="A433" t="s">
        <v>76</v>
      </c>
      <c r="B433" s="2" t="s">
        <v>130</v>
      </c>
      <c r="C433" t="s">
        <v>78</v>
      </c>
      <c r="E433" t="str">
        <f>_xlfn.CONCAT("FretRout",LEFT(B433,3),RIGHT(B433,2),"Nom")</f>
        <v>FretRoutCat42Nom</v>
      </c>
      <c r="F433" t="s">
        <v>20</v>
      </c>
      <c r="G433">
        <v>1</v>
      </c>
      <c r="H433" s="4"/>
      <c r="I433" s="4" t="s">
        <v>427</v>
      </c>
      <c r="K433" s="4" t="str">
        <f t="shared" ref="K433:K439" si="41">I433</f>
        <v>PL Gaz (GNC) &gt;20-26t (Crit'Air 1)</v>
      </c>
    </row>
    <row r="434" spans="1:11" outlineLevel="1" x14ac:dyDescent="0.25">
      <c r="A434" t="s">
        <v>76</v>
      </c>
      <c r="B434" s="2" t="s">
        <v>130</v>
      </c>
      <c r="C434" t="s">
        <v>79</v>
      </c>
      <c r="E434" t="str">
        <f>_xlfn.CONCAT("FretRout",LEFT(B434,3),RIGHT(B434,2),"Type")</f>
        <v>FretRoutCat42Type</v>
      </c>
      <c r="F434" t="s">
        <v>20</v>
      </c>
      <c r="G434">
        <v>1</v>
      </c>
      <c r="I434" t="s">
        <v>1771</v>
      </c>
      <c r="K434" s="4" t="str">
        <f t="shared" si="41"/>
        <v>PL</v>
      </c>
    </row>
    <row r="435" spans="1:11" outlineLevel="1" x14ac:dyDescent="0.25">
      <c r="A435" t="s">
        <v>76</v>
      </c>
      <c r="B435" s="2" t="s">
        <v>130</v>
      </c>
      <c r="C435" t="s">
        <v>80</v>
      </c>
      <c r="E435" t="str">
        <f>_xlfn.CONCAT("FretRout",LEFT(B435,3),RIGHT(B435,2),"PTAC")</f>
        <v>FretRoutCat42PTAC</v>
      </c>
      <c r="F435" t="s">
        <v>36</v>
      </c>
      <c r="G435">
        <v>1</v>
      </c>
      <c r="I435" t="s">
        <v>1460</v>
      </c>
      <c r="K435" s="4" t="str">
        <f t="shared" si="41"/>
        <v>&gt;20-26t</v>
      </c>
    </row>
    <row r="436" spans="1:11" outlineLevel="1" x14ac:dyDescent="0.25">
      <c r="A436" t="s">
        <v>76</v>
      </c>
      <c r="B436" s="2" t="s">
        <v>130</v>
      </c>
      <c r="C436" t="s">
        <v>81</v>
      </c>
      <c r="E436" t="str">
        <f>_xlfn.CONCAT("FretRout",LEFT(B436,3),RIGHT(B436,2),"Mot")</f>
        <v>FretRoutCat42Mot</v>
      </c>
      <c r="F436" t="s">
        <v>36</v>
      </c>
      <c r="G436">
        <v>1</v>
      </c>
      <c r="H436" s="2"/>
      <c r="I436" t="s">
        <v>1456</v>
      </c>
      <c r="K436" s="4" t="str">
        <f t="shared" si="41"/>
        <v>Gaz (GNC)</v>
      </c>
    </row>
    <row r="437" spans="1:11" outlineLevel="1" x14ac:dyDescent="0.25">
      <c r="A437" t="s">
        <v>76</v>
      </c>
      <c r="B437" s="2" t="s">
        <v>130</v>
      </c>
      <c r="C437" t="s">
        <v>82</v>
      </c>
      <c r="E437" t="str">
        <f>_xlfn.CONCAT("FretRout",LEFT(B437,3),RIGHT(B437,2),"Carb")</f>
        <v>FretRoutCat42Carb</v>
      </c>
      <c r="F437" t="s">
        <v>36</v>
      </c>
      <c r="G437">
        <v>1</v>
      </c>
      <c r="I437">
        <v>0</v>
      </c>
      <c r="K437" s="4">
        <f t="shared" si="41"/>
        <v>0</v>
      </c>
    </row>
    <row r="438" spans="1:11" outlineLevel="1" x14ac:dyDescent="0.25">
      <c r="A438" t="s">
        <v>76</v>
      </c>
      <c r="B438" s="2" t="s">
        <v>130</v>
      </c>
      <c r="C438" t="s">
        <v>83</v>
      </c>
      <c r="E438" t="str">
        <f>_xlfn.CONCAT("FretRout",LEFT(B438,3),RIGHT(B438,2),"Euro")</f>
        <v>FretRoutCat42Euro</v>
      </c>
      <c r="F438" t="s">
        <v>36</v>
      </c>
      <c r="G438">
        <v>1</v>
      </c>
      <c r="I438">
        <v>0</v>
      </c>
      <c r="K438" s="4">
        <f t="shared" si="41"/>
        <v>0</v>
      </c>
    </row>
    <row r="439" spans="1:11" outlineLevel="1" x14ac:dyDescent="0.25">
      <c r="A439" t="s">
        <v>76</v>
      </c>
      <c r="B439" s="2" t="s">
        <v>130</v>
      </c>
      <c r="C439" t="s">
        <v>84</v>
      </c>
      <c r="E439" t="str">
        <f>_xlfn.CONCAT("FretRout",LEFT(B439,3),RIGHT(B439,2),"CritAir")</f>
        <v>FretRoutCat42CritAir</v>
      </c>
      <c r="F439" t="s">
        <v>36</v>
      </c>
      <c r="G439">
        <v>1</v>
      </c>
      <c r="H439" s="2"/>
      <c r="I439">
        <v>1</v>
      </c>
      <c r="K439" s="4">
        <f t="shared" si="41"/>
        <v>1</v>
      </c>
    </row>
    <row r="440" spans="1:11" outlineLevel="1" x14ac:dyDescent="0.25">
      <c r="A440" t="s">
        <v>76</v>
      </c>
      <c r="B440" s="2" t="s">
        <v>130</v>
      </c>
      <c r="C440" t="s">
        <v>85</v>
      </c>
      <c r="E440" t="str">
        <f>_xlfn.CONCAT("FretRout",LEFT(B440,3),RIGHT(B440,2),"Nb")</f>
        <v>FretRoutCat42Nb</v>
      </c>
      <c r="F440" t="s">
        <v>17</v>
      </c>
      <c r="G440">
        <v>1</v>
      </c>
      <c r="J440" t="s">
        <v>86</v>
      </c>
      <c r="K440">
        <v>0</v>
      </c>
    </row>
    <row r="441" spans="1:11" outlineLevel="1" x14ac:dyDescent="0.25">
      <c r="A441" t="s">
        <v>76</v>
      </c>
      <c r="B441" s="2" t="s">
        <v>130</v>
      </c>
      <c r="C441" t="s">
        <v>87</v>
      </c>
      <c r="E441" t="str">
        <f>_xlfn.CONCAT("FretRout",LEFT(B441,3),RIGHT(B441,2),"Dist")</f>
        <v>FretRoutCat42Dist</v>
      </c>
      <c r="F441" t="s">
        <v>17</v>
      </c>
      <c r="G441">
        <v>1</v>
      </c>
      <c r="H441" s="2"/>
      <c r="J441" t="s">
        <v>88</v>
      </c>
      <c r="K441">
        <v>46552.613237725091</v>
      </c>
    </row>
    <row r="442" spans="1:11" outlineLevel="1" x14ac:dyDescent="0.25">
      <c r="A442" t="s">
        <v>76</v>
      </c>
      <c r="B442" s="2" t="s">
        <v>130</v>
      </c>
      <c r="C442" s="2" t="s">
        <v>89</v>
      </c>
      <c r="E442" t="str">
        <f>_xlfn.CONCAT("FretRout",LEFT(B442,3),RIGHT(B442,2),"Rempl")</f>
        <v>FretRoutCat42Rempl</v>
      </c>
      <c r="F442" t="s">
        <v>17</v>
      </c>
      <c r="G442">
        <v>1</v>
      </c>
      <c r="H442" s="3"/>
      <c r="J442" t="s">
        <v>70</v>
      </c>
      <c r="K442">
        <v>0</v>
      </c>
    </row>
    <row r="443" spans="1:11" outlineLevel="1" x14ac:dyDescent="0.25">
      <c r="A443" t="s">
        <v>76</v>
      </c>
      <c r="B443" s="2" t="s">
        <v>131</v>
      </c>
      <c r="C443" t="s">
        <v>78</v>
      </c>
      <c r="E443" t="str">
        <f>_xlfn.CONCAT("FretRout",LEFT(B443,3),RIGHT(B443,2),"Nom")</f>
        <v>FretRoutCat43Nom</v>
      </c>
      <c r="F443" t="s">
        <v>20</v>
      </c>
      <c r="G443">
        <v>1</v>
      </c>
      <c r="H443" s="4"/>
      <c r="I443" s="4" t="s">
        <v>428</v>
      </c>
      <c r="K443" s="4" t="str">
        <f t="shared" ref="K443:K449" si="42">I443</f>
        <v>PL Gaz (GNC) &gt;20-26t (Crit'Air 2)</v>
      </c>
    </row>
    <row r="444" spans="1:11" outlineLevel="1" x14ac:dyDescent="0.25">
      <c r="A444" t="s">
        <v>76</v>
      </c>
      <c r="B444" s="2" t="s">
        <v>131</v>
      </c>
      <c r="C444" t="s">
        <v>79</v>
      </c>
      <c r="E444" t="str">
        <f>_xlfn.CONCAT("FretRout",LEFT(B444,3),RIGHT(B444,2),"Type")</f>
        <v>FretRoutCat43Type</v>
      </c>
      <c r="F444" t="s">
        <v>20</v>
      </c>
      <c r="G444">
        <v>1</v>
      </c>
      <c r="I444" t="s">
        <v>1771</v>
      </c>
      <c r="K444" s="4" t="str">
        <f t="shared" si="42"/>
        <v>PL</v>
      </c>
    </row>
    <row r="445" spans="1:11" outlineLevel="1" x14ac:dyDescent="0.25">
      <c r="A445" t="s">
        <v>76</v>
      </c>
      <c r="B445" s="2" t="s">
        <v>131</v>
      </c>
      <c r="C445" t="s">
        <v>80</v>
      </c>
      <c r="E445" t="str">
        <f>_xlfn.CONCAT("FretRout",LEFT(B445,3),RIGHT(B445,2),"PTAC")</f>
        <v>FretRoutCat43PTAC</v>
      </c>
      <c r="F445" t="s">
        <v>36</v>
      </c>
      <c r="G445">
        <v>1</v>
      </c>
      <c r="I445" t="s">
        <v>1460</v>
      </c>
      <c r="K445" s="4" t="str">
        <f t="shared" si="42"/>
        <v>&gt;20-26t</v>
      </c>
    </row>
    <row r="446" spans="1:11" outlineLevel="1" x14ac:dyDescent="0.25">
      <c r="A446" t="s">
        <v>76</v>
      </c>
      <c r="B446" s="2" t="s">
        <v>131</v>
      </c>
      <c r="C446" t="s">
        <v>81</v>
      </c>
      <c r="E446" t="str">
        <f>_xlfn.CONCAT("FretRout",LEFT(B446,3),RIGHT(B446,2),"Mot")</f>
        <v>FretRoutCat43Mot</v>
      </c>
      <c r="F446" t="s">
        <v>36</v>
      </c>
      <c r="G446">
        <v>1</v>
      </c>
      <c r="H446" s="2"/>
      <c r="I446" t="s">
        <v>1456</v>
      </c>
      <c r="K446" s="4" t="str">
        <f t="shared" si="42"/>
        <v>Gaz (GNC)</v>
      </c>
    </row>
    <row r="447" spans="1:11" outlineLevel="1" x14ac:dyDescent="0.25">
      <c r="A447" t="s">
        <v>76</v>
      </c>
      <c r="B447" s="2" t="s">
        <v>131</v>
      </c>
      <c r="C447" t="s">
        <v>82</v>
      </c>
      <c r="E447" t="str">
        <f>_xlfn.CONCAT("FretRout",LEFT(B447,3),RIGHT(B447,2),"Carb")</f>
        <v>FretRoutCat43Carb</v>
      </c>
      <c r="F447" t="s">
        <v>36</v>
      </c>
      <c r="G447">
        <v>1</v>
      </c>
      <c r="I447">
        <v>0</v>
      </c>
      <c r="K447" s="4">
        <f t="shared" si="42"/>
        <v>0</v>
      </c>
    </row>
    <row r="448" spans="1:11" outlineLevel="1" x14ac:dyDescent="0.25">
      <c r="A448" t="s">
        <v>76</v>
      </c>
      <c r="B448" s="2" t="s">
        <v>131</v>
      </c>
      <c r="C448" t="s">
        <v>83</v>
      </c>
      <c r="E448" t="str">
        <f>_xlfn.CONCAT("FretRout",LEFT(B448,3),RIGHT(B448,2),"Euro")</f>
        <v>FretRoutCat43Euro</v>
      </c>
      <c r="F448" t="s">
        <v>36</v>
      </c>
      <c r="G448">
        <v>1</v>
      </c>
      <c r="I448">
        <v>0</v>
      </c>
      <c r="K448" s="4">
        <f t="shared" si="42"/>
        <v>0</v>
      </c>
    </row>
    <row r="449" spans="1:11" outlineLevel="1" x14ac:dyDescent="0.25">
      <c r="A449" t="s">
        <v>76</v>
      </c>
      <c r="B449" s="2" t="s">
        <v>131</v>
      </c>
      <c r="C449" t="s">
        <v>84</v>
      </c>
      <c r="E449" t="str">
        <f>_xlfn.CONCAT("FretRout",LEFT(B449,3),RIGHT(B449,2),"CritAir")</f>
        <v>FretRoutCat43CritAir</v>
      </c>
      <c r="F449" t="s">
        <v>36</v>
      </c>
      <c r="G449">
        <v>1</v>
      </c>
      <c r="H449" s="2"/>
      <c r="I449">
        <v>2</v>
      </c>
      <c r="K449" s="4">
        <f t="shared" si="42"/>
        <v>2</v>
      </c>
    </row>
    <row r="450" spans="1:11" outlineLevel="1" x14ac:dyDescent="0.25">
      <c r="A450" t="s">
        <v>76</v>
      </c>
      <c r="B450" s="2" t="s">
        <v>131</v>
      </c>
      <c r="C450" t="s">
        <v>85</v>
      </c>
      <c r="E450" t="str">
        <f>_xlfn.CONCAT("FretRout",LEFT(B450,3),RIGHT(B450,2),"Nb")</f>
        <v>FretRoutCat43Nb</v>
      </c>
      <c r="F450" t="s">
        <v>17</v>
      </c>
      <c r="G450">
        <v>1</v>
      </c>
      <c r="J450" t="s">
        <v>86</v>
      </c>
      <c r="K450">
        <v>0</v>
      </c>
    </row>
    <row r="451" spans="1:11" outlineLevel="1" x14ac:dyDescent="0.25">
      <c r="A451" t="s">
        <v>76</v>
      </c>
      <c r="B451" s="2" t="s">
        <v>131</v>
      </c>
      <c r="C451" t="s">
        <v>87</v>
      </c>
      <c r="E451" t="str">
        <f>_xlfn.CONCAT("FretRout",LEFT(B451,3),RIGHT(B451,2),"Dist")</f>
        <v>FretRoutCat43Dist</v>
      </c>
      <c r="F451" t="s">
        <v>17</v>
      </c>
      <c r="G451">
        <v>1</v>
      </c>
      <c r="H451" s="2"/>
      <c r="J451" t="s">
        <v>88</v>
      </c>
      <c r="K451">
        <v>46552.613237725091</v>
      </c>
    </row>
    <row r="452" spans="1:11" outlineLevel="1" x14ac:dyDescent="0.25">
      <c r="A452" t="s">
        <v>76</v>
      </c>
      <c r="B452" s="2" t="s">
        <v>131</v>
      </c>
      <c r="C452" s="2" t="s">
        <v>89</v>
      </c>
      <c r="E452" t="str">
        <f>_xlfn.CONCAT("FretRout",LEFT(B452,3),RIGHT(B452,2),"Rempl")</f>
        <v>FretRoutCat43Rempl</v>
      </c>
      <c r="F452" t="s">
        <v>17</v>
      </c>
      <c r="G452">
        <v>1</v>
      </c>
      <c r="H452" s="3"/>
      <c r="J452" t="s">
        <v>70</v>
      </c>
      <c r="K452">
        <v>0</v>
      </c>
    </row>
    <row r="453" spans="1:11" outlineLevel="1" x14ac:dyDescent="0.25">
      <c r="A453" t="s">
        <v>76</v>
      </c>
      <c r="B453" s="2" t="s">
        <v>132</v>
      </c>
      <c r="C453" t="s">
        <v>78</v>
      </c>
      <c r="E453" t="str">
        <f>_xlfn.CONCAT("FretRout",LEFT(B453,3),RIGHT(B453,2),"Nom")</f>
        <v>FretRoutCat44Nom</v>
      </c>
      <c r="F453" t="s">
        <v>20</v>
      </c>
      <c r="G453">
        <v>1</v>
      </c>
      <c r="H453" s="4"/>
      <c r="I453" s="4" t="s">
        <v>429</v>
      </c>
      <c r="K453" s="4" t="str">
        <f t="shared" ref="K453:K459" si="43">I453</f>
        <v>PL Gaz (GNC) &gt;28-34t (Crit'Air 1)</v>
      </c>
    </row>
    <row r="454" spans="1:11" outlineLevel="1" x14ac:dyDescent="0.25">
      <c r="A454" t="s">
        <v>76</v>
      </c>
      <c r="B454" s="2" t="s">
        <v>132</v>
      </c>
      <c r="C454" t="s">
        <v>79</v>
      </c>
      <c r="E454" t="str">
        <f>_xlfn.CONCAT("FretRout",LEFT(B454,3),RIGHT(B454,2),"Type")</f>
        <v>FretRoutCat44Type</v>
      </c>
      <c r="F454" t="s">
        <v>20</v>
      </c>
      <c r="G454">
        <v>1</v>
      </c>
      <c r="I454" t="s">
        <v>1771</v>
      </c>
      <c r="K454" s="4" t="str">
        <f t="shared" si="43"/>
        <v>PL</v>
      </c>
    </row>
    <row r="455" spans="1:11" outlineLevel="1" x14ac:dyDescent="0.25">
      <c r="A455" t="s">
        <v>76</v>
      </c>
      <c r="B455" s="2" t="s">
        <v>132</v>
      </c>
      <c r="C455" t="s">
        <v>80</v>
      </c>
      <c r="E455" t="str">
        <f>_xlfn.CONCAT("FretRout",LEFT(B455,3),RIGHT(B455,2),"PTAC")</f>
        <v>FretRoutCat44PTAC</v>
      </c>
      <c r="F455" t="s">
        <v>36</v>
      </c>
      <c r="G455">
        <v>1</v>
      </c>
      <c r="I455" t="s">
        <v>1461</v>
      </c>
      <c r="K455" s="4" t="str">
        <f t="shared" si="43"/>
        <v>&gt;28-34t</v>
      </c>
    </row>
    <row r="456" spans="1:11" outlineLevel="1" x14ac:dyDescent="0.25">
      <c r="A456" t="s">
        <v>76</v>
      </c>
      <c r="B456" s="2" t="s">
        <v>132</v>
      </c>
      <c r="C456" t="s">
        <v>81</v>
      </c>
      <c r="E456" t="str">
        <f>_xlfn.CONCAT("FretRout",LEFT(B456,3),RIGHT(B456,2),"Mot")</f>
        <v>FretRoutCat44Mot</v>
      </c>
      <c r="F456" t="s">
        <v>36</v>
      </c>
      <c r="G456">
        <v>1</v>
      </c>
      <c r="H456" s="2"/>
      <c r="I456" t="s">
        <v>1456</v>
      </c>
      <c r="K456" s="4" t="str">
        <f t="shared" si="43"/>
        <v>Gaz (GNC)</v>
      </c>
    </row>
    <row r="457" spans="1:11" outlineLevel="1" x14ac:dyDescent="0.25">
      <c r="A457" t="s">
        <v>76</v>
      </c>
      <c r="B457" s="2" t="s">
        <v>132</v>
      </c>
      <c r="C457" t="s">
        <v>82</v>
      </c>
      <c r="E457" t="str">
        <f>_xlfn.CONCAT("FretRout",LEFT(B457,3),RIGHT(B457,2),"Carb")</f>
        <v>FretRoutCat44Carb</v>
      </c>
      <c r="F457" t="s">
        <v>36</v>
      </c>
      <c r="G457">
        <v>1</v>
      </c>
      <c r="I457">
        <v>0</v>
      </c>
      <c r="K457" s="4">
        <f t="shared" si="43"/>
        <v>0</v>
      </c>
    </row>
    <row r="458" spans="1:11" outlineLevel="1" x14ac:dyDescent="0.25">
      <c r="A458" t="s">
        <v>76</v>
      </c>
      <c r="B458" s="2" t="s">
        <v>132</v>
      </c>
      <c r="C458" t="s">
        <v>83</v>
      </c>
      <c r="E458" t="str">
        <f>_xlfn.CONCAT("FretRout",LEFT(B458,3),RIGHT(B458,2),"Euro")</f>
        <v>FretRoutCat44Euro</v>
      </c>
      <c r="F458" t="s">
        <v>36</v>
      </c>
      <c r="G458">
        <v>1</v>
      </c>
      <c r="I458">
        <v>0</v>
      </c>
      <c r="K458" s="4">
        <f t="shared" si="43"/>
        <v>0</v>
      </c>
    </row>
    <row r="459" spans="1:11" outlineLevel="1" x14ac:dyDescent="0.25">
      <c r="A459" t="s">
        <v>76</v>
      </c>
      <c r="B459" s="2" t="s">
        <v>132</v>
      </c>
      <c r="C459" t="s">
        <v>84</v>
      </c>
      <c r="E459" t="str">
        <f>_xlfn.CONCAT("FretRout",LEFT(B459,3),RIGHT(B459,2),"CritAir")</f>
        <v>FretRoutCat44CritAir</v>
      </c>
      <c r="F459" t="s">
        <v>36</v>
      </c>
      <c r="G459">
        <v>1</v>
      </c>
      <c r="H459" s="2"/>
      <c r="I459">
        <v>1</v>
      </c>
      <c r="K459" s="4">
        <f t="shared" si="43"/>
        <v>1</v>
      </c>
    </row>
    <row r="460" spans="1:11" outlineLevel="1" x14ac:dyDescent="0.25">
      <c r="A460" t="s">
        <v>76</v>
      </c>
      <c r="B460" s="2" t="s">
        <v>132</v>
      </c>
      <c r="C460" t="s">
        <v>85</v>
      </c>
      <c r="E460" t="str">
        <f>_xlfn.CONCAT("FretRout",LEFT(B460,3),RIGHT(B460,2),"Nb")</f>
        <v>FretRoutCat44Nb</v>
      </c>
      <c r="F460" t="s">
        <v>17</v>
      </c>
      <c r="G460">
        <v>1</v>
      </c>
      <c r="J460" t="s">
        <v>86</v>
      </c>
      <c r="K460">
        <v>0</v>
      </c>
    </row>
    <row r="461" spans="1:11" outlineLevel="1" x14ac:dyDescent="0.25">
      <c r="A461" t="s">
        <v>76</v>
      </c>
      <c r="B461" s="2" t="s">
        <v>132</v>
      </c>
      <c r="C461" t="s">
        <v>87</v>
      </c>
      <c r="E461" t="str">
        <f>_xlfn.CONCAT("FretRout",LEFT(B461,3),RIGHT(B461,2),"Dist")</f>
        <v>FretRoutCat44Dist</v>
      </c>
      <c r="F461" t="s">
        <v>17</v>
      </c>
      <c r="G461">
        <v>1</v>
      </c>
      <c r="H461" s="2"/>
      <c r="J461" t="s">
        <v>88</v>
      </c>
      <c r="K461">
        <v>46552.613237725091</v>
      </c>
    </row>
    <row r="462" spans="1:11" outlineLevel="1" x14ac:dyDescent="0.25">
      <c r="A462" t="s">
        <v>76</v>
      </c>
      <c r="B462" s="2" t="s">
        <v>132</v>
      </c>
      <c r="C462" s="2" t="s">
        <v>89</v>
      </c>
      <c r="E462" t="str">
        <f>_xlfn.CONCAT("FretRout",LEFT(B462,3),RIGHT(B462,2),"Rempl")</f>
        <v>FretRoutCat44Rempl</v>
      </c>
      <c r="F462" t="s">
        <v>17</v>
      </c>
      <c r="G462">
        <v>1</v>
      </c>
      <c r="H462" s="3"/>
      <c r="J462" t="s">
        <v>70</v>
      </c>
      <c r="K462">
        <v>0</v>
      </c>
    </row>
    <row r="463" spans="1:11" outlineLevel="1" x14ac:dyDescent="0.25">
      <c r="A463" t="s">
        <v>76</v>
      </c>
      <c r="B463" s="2" t="s">
        <v>133</v>
      </c>
      <c r="C463" t="s">
        <v>78</v>
      </c>
      <c r="E463" t="str">
        <f>_xlfn.CONCAT("FretRout",LEFT(B463,3),RIGHT(B463,2),"Nom")</f>
        <v>FretRoutCat45Nom</v>
      </c>
      <c r="F463" t="s">
        <v>20</v>
      </c>
      <c r="G463">
        <v>1</v>
      </c>
      <c r="H463" s="4"/>
      <c r="I463" s="4" t="s">
        <v>387</v>
      </c>
      <c r="K463" s="4" t="str">
        <f t="shared" ref="K463:K469" si="44">I463</f>
        <v>PL Gaz (GNC) &gt;28-34t (Crit'Air 2)</v>
      </c>
    </row>
    <row r="464" spans="1:11" outlineLevel="1" x14ac:dyDescent="0.25">
      <c r="A464" t="s">
        <v>76</v>
      </c>
      <c r="B464" s="2" t="s">
        <v>133</v>
      </c>
      <c r="C464" t="s">
        <v>79</v>
      </c>
      <c r="E464" t="str">
        <f>_xlfn.CONCAT("FretRout",LEFT(B464,3),RIGHT(B464,2),"Type")</f>
        <v>FretRoutCat45Type</v>
      </c>
      <c r="F464" t="s">
        <v>20</v>
      </c>
      <c r="G464">
        <v>1</v>
      </c>
      <c r="I464" t="s">
        <v>1771</v>
      </c>
      <c r="K464" s="4" t="str">
        <f t="shared" si="44"/>
        <v>PL</v>
      </c>
    </row>
    <row r="465" spans="1:11" outlineLevel="1" x14ac:dyDescent="0.25">
      <c r="A465" t="s">
        <v>76</v>
      </c>
      <c r="B465" s="2" t="s">
        <v>133</v>
      </c>
      <c r="C465" t="s">
        <v>80</v>
      </c>
      <c r="E465" t="str">
        <f>_xlfn.CONCAT("FretRout",LEFT(B465,3),RIGHT(B465,2),"PTAC")</f>
        <v>FretRoutCat45PTAC</v>
      </c>
      <c r="F465" t="s">
        <v>36</v>
      </c>
      <c r="G465">
        <v>1</v>
      </c>
      <c r="I465" t="s">
        <v>1461</v>
      </c>
      <c r="K465" s="4" t="str">
        <f t="shared" si="44"/>
        <v>&gt;28-34t</v>
      </c>
    </row>
    <row r="466" spans="1:11" outlineLevel="1" x14ac:dyDescent="0.25">
      <c r="A466" t="s">
        <v>76</v>
      </c>
      <c r="B466" s="2" t="s">
        <v>133</v>
      </c>
      <c r="C466" t="s">
        <v>81</v>
      </c>
      <c r="E466" t="str">
        <f>_xlfn.CONCAT("FretRout",LEFT(B466,3),RIGHT(B466,2),"Mot")</f>
        <v>FretRoutCat45Mot</v>
      </c>
      <c r="F466" t="s">
        <v>36</v>
      </c>
      <c r="G466">
        <v>1</v>
      </c>
      <c r="H466" s="2"/>
      <c r="I466" t="s">
        <v>1456</v>
      </c>
      <c r="K466" s="4" t="str">
        <f t="shared" si="44"/>
        <v>Gaz (GNC)</v>
      </c>
    </row>
    <row r="467" spans="1:11" outlineLevel="1" x14ac:dyDescent="0.25">
      <c r="A467" t="s">
        <v>76</v>
      </c>
      <c r="B467" s="2" t="s">
        <v>133</v>
      </c>
      <c r="C467" t="s">
        <v>82</v>
      </c>
      <c r="E467" t="str">
        <f>_xlfn.CONCAT("FretRout",LEFT(B467,3),RIGHT(B467,2),"Carb")</f>
        <v>FretRoutCat45Carb</v>
      </c>
      <c r="F467" t="s">
        <v>36</v>
      </c>
      <c r="G467">
        <v>1</v>
      </c>
      <c r="I467">
        <v>0</v>
      </c>
      <c r="K467" s="4">
        <f t="shared" si="44"/>
        <v>0</v>
      </c>
    </row>
    <row r="468" spans="1:11" outlineLevel="1" x14ac:dyDescent="0.25">
      <c r="A468" t="s">
        <v>76</v>
      </c>
      <c r="B468" s="2" t="s">
        <v>133</v>
      </c>
      <c r="C468" t="s">
        <v>83</v>
      </c>
      <c r="E468" t="str">
        <f>_xlfn.CONCAT("FretRout",LEFT(B468,3),RIGHT(B468,2),"Euro")</f>
        <v>FretRoutCat45Euro</v>
      </c>
      <c r="F468" t="s">
        <v>36</v>
      </c>
      <c r="G468">
        <v>1</v>
      </c>
      <c r="I468">
        <v>0</v>
      </c>
      <c r="K468" s="4">
        <f t="shared" si="44"/>
        <v>0</v>
      </c>
    </row>
    <row r="469" spans="1:11" outlineLevel="1" x14ac:dyDescent="0.25">
      <c r="A469" t="s">
        <v>76</v>
      </c>
      <c r="B469" s="2" t="s">
        <v>133</v>
      </c>
      <c r="C469" t="s">
        <v>84</v>
      </c>
      <c r="E469" t="str">
        <f>_xlfn.CONCAT("FretRout",LEFT(B469,3),RIGHT(B469,2),"CritAir")</f>
        <v>FretRoutCat45CritAir</v>
      </c>
      <c r="F469" t="s">
        <v>36</v>
      </c>
      <c r="G469">
        <v>1</v>
      </c>
      <c r="H469" s="2"/>
      <c r="I469">
        <v>2</v>
      </c>
      <c r="K469" s="4">
        <f t="shared" si="44"/>
        <v>2</v>
      </c>
    </row>
    <row r="470" spans="1:11" outlineLevel="1" x14ac:dyDescent="0.25">
      <c r="A470" t="s">
        <v>76</v>
      </c>
      <c r="B470" s="2" t="s">
        <v>133</v>
      </c>
      <c r="C470" t="s">
        <v>85</v>
      </c>
      <c r="E470" t="str">
        <f>_xlfn.CONCAT("FretRout",LEFT(B470,3),RIGHT(B470,2),"Nb")</f>
        <v>FretRoutCat45Nb</v>
      </c>
      <c r="F470" t="s">
        <v>17</v>
      </c>
      <c r="G470">
        <v>1</v>
      </c>
      <c r="J470" t="s">
        <v>86</v>
      </c>
      <c r="K470">
        <v>0</v>
      </c>
    </row>
    <row r="471" spans="1:11" outlineLevel="1" x14ac:dyDescent="0.25">
      <c r="A471" t="s">
        <v>76</v>
      </c>
      <c r="B471" s="2" t="s">
        <v>133</v>
      </c>
      <c r="C471" t="s">
        <v>87</v>
      </c>
      <c r="E471" t="str">
        <f>_xlfn.CONCAT("FretRout",LEFT(B471,3),RIGHT(B471,2),"Dist")</f>
        <v>FretRoutCat45Dist</v>
      </c>
      <c r="F471" t="s">
        <v>17</v>
      </c>
      <c r="G471">
        <v>1</v>
      </c>
      <c r="H471" s="2"/>
      <c r="J471" t="s">
        <v>88</v>
      </c>
      <c r="K471">
        <v>46552.613237725091</v>
      </c>
    </row>
    <row r="472" spans="1:11" outlineLevel="1" x14ac:dyDescent="0.25">
      <c r="A472" t="s">
        <v>76</v>
      </c>
      <c r="B472" s="2" t="s">
        <v>133</v>
      </c>
      <c r="C472" s="2" t="s">
        <v>89</v>
      </c>
      <c r="E472" t="str">
        <f>_xlfn.CONCAT("FretRout",LEFT(B472,3),RIGHT(B472,2),"Rempl")</f>
        <v>FretRoutCat45Rempl</v>
      </c>
      <c r="F472" t="s">
        <v>17</v>
      </c>
      <c r="G472">
        <v>1</v>
      </c>
      <c r="H472" s="3"/>
      <c r="J472" t="s">
        <v>70</v>
      </c>
      <c r="K472">
        <v>0</v>
      </c>
    </row>
    <row r="473" spans="1:11" x14ac:dyDescent="0.25">
      <c r="A473" t="s">
        <v>134</v>
      </c>
      <c r="B473" t="s">
        <v>77</v>
      </c>
      <c r="C473" s="24" t="s">
        <v>135</v>
      </c>
      <c r="D473" s="24"/>
      <c r="E473" t="str">
        <f>'Remplissage - Sit. Init.'!F473</f>
        <v>FretFluvCat1Nom</v>
      </c>
      <c r="F473" s="32" t="s">
        <v>20</v>
      </c>
      <c r="G473">
        <f>IF($H$15="Oui",1,0)</f>
        <v>1</v>
      </c>
      <c r="I473" s="33" t="str">
        <f>VLOOKUP(B473,'Parcs types'!$B$65:$AA$120,2,FALSE)</f>
        <v>Automoteurs &lt; 400 tonnes CCNR 2 ou inférieur, diesel</v>
      </c>
      <c r="K473" t="str">
        <f>I473</f>
        <v>Automoteurs &lt; 400 tonnes CCNR 2 ou inférieur, diesel</v>
      </c>
    </row>
    <row r="474" spans="1:11" x14ac:dyDescent="0.25">
      <c r="A474" t="s">
        <v>134</v>
      </c>
      <c r="B474" t="s">
        <v>77</v>
      </c>
      <c r="C474" s="34" t="s">
        <v>136</v>
      </c>
      <c r="D474" s="24"/>
      <c r="E474" t="str">
        <f>'Remplissage - Sit. Init.'!F474</f>
        <v>FretFluvCat1Type</v>
      </c>
      <c r="F474" t="s">
        <v>20</v>
      </c>
      <c r="G474">
        <f t="shared" ref="G474:G476" si="45">IF($H$15="Oui",1,0)</f>
        <v>1</v>
      </c>
      <c r="I474" s="33" t="str">
        <f>VLOOKUP(B474,'Parcs types'!$B$65:$AA$120,3,FALSE)</f>
        <v>Automoteurs</v>
      </c>
      <c r="K474" t="str">
        <f t="shared" ref="K474:K476" si="46">I474</f>
        <v>Automoteurs</v>
      </c>
    </row>
    <row r="475" spans="1:11" x14ac:dyDescent="0.25">
      <c r="A475" t="s">
        <v>134</v>
      </c>
      <c r="B475" t="s">
        <v>77</v>
      </c>
      <c r="C475" s="24" t="s">
        <v>137</v>
      </c>
      <c r="D475" s="24"/>
      <c r="E475" t="str">
        <f>'Remplissage - Sit. Init.'!F475</f>
        <v>FretFluvCat1Cap</v>
      </c>
      <c r="F475" s="32" t="s">
        <v>36</v>
      </c>
      <c r="G475">
        <f t="shared" si="45"/>
        <v>1</v>
      </c>
      <c r="I475" s="33" t="str">
        <f>VLOOKUP(B475,'Parcs types'!$B$65:$AA$120,4,FALSE)</f>
        <v>&lt; 400 tonnes</v>
      </c>
      <c r="J475" t="s">
        <v>524</v>
      </c>
      <c r="K475" t="str">
        <f t="shared" si="46"/>
        <v>&lt; 400 tonnes</v>
      </c>
    </row>
    <row r="476" spans="1:11" x14ac:dyDescent="0.25">
      <c r="A476" t="s">
        <v>134</v>
      </c>
      <c r="B476" t="s">
        <v>77</v>
      </c>
      <c r="C476" s="24" t="s">
        <v>525</v>
      </c>
      <c r="D476" s="24"/>
      <c r="E476" t="str">
        <f>'Remplissage - Sit. Init.'!F476</f>
        <v>FretFluvCat1Tech</v>
      </c>
      <c r="F476" s="32" t="s">
        <v>20</v>
      </c>
      <c r="G476">
        <f t="shared" si="45"/>
        <v>1</v>
      </c>
      <c r="I476" s="33" t="str">
        <f>VLOOKUP(B476,'Parcs types'!$B$65:$AA$120,5,FALSE)</f>
        <v>CCNR 2 ou inférieur, diesel</v>
      </c>
      <c r="K476" t="str">
        <f t="shared" si="46"/>
        <v>CCNR 2 ou inférieur, diesel</v>
      </c>
    </row>
    <row r="477" spans="1:11" x14ac:dyDescent="0.25">
      <c r="A477" t="s">
        <v>134</v>
      </c>
      <c r="B477" t="s">
        <v>77</v>
      </c>
      <c r="C477" s="24" t="s">
        <v>140</v>
      </c>
      <c r="D477" s="24"/>
      <c r="E477" t="str">
        <f>'Remplissage - Sit. Init.'!F477</f>
        <v>FretFluvCat1Request</v>
      </c>
      <c r="F477" s="32" t="s">
        <v>20</v>
      </c>
      <c r="G477">
        <f>IF($H$15="Oui",1,0)</f>
        <v>1</v>
      </c>
      <c r="H477" t="s">
        <v>141</v>
      </c>
      <c r="I477" s="33" t="s">
        <v>142</v>
      </c>
      <c r="K477" t="s">
        <v>143</v>
      </c>
    </row>
    <row r="478" spans="1:11" x14ac:dyDescent="0.25">
      <c r="A478" t="s">
        <v>134</v>
      </c>
      <c r="B478" t="s">
        <v>77</v>
      </c>
      <c r="C478" s="24" t="s">
        <v>144</v>
      </c>
      <c r="D478" s="24"/>
      <c r="E478" t="str">
        <f>'Remplissage - Sit. Init.'!F478</f>
        <v>FretFluvCat1NbTraj</v>
      </c>
      <c r="F478" t="s">
        <v>17</v>
      </c>
      <c r="G478">
        <f>IF($H$15="Oui",1,0)*IF(ISNUMBER(SEARCH("Une estimation du nombre annuel de trajets pour ce type de barge",H477)),1,0)</f>
        <v>1</v>
      </c>
      <c r="I478" s="33"/>
      <c r="J478" t="s">
        <v>145</v>
      </c>
    </row>
    <row r="479" spans="1:11" x14ac:dyDescent="0.25">
      <c r="A479" t="s">
        <v>134</v>
      </c>
      <c r="B479" t="s">
        <v>77</v>
      </c>
      <c r="C479" s="24" t="s">
        <v>146</v>
      </c>
      <c r="D479" s="24"/>
      <c r="E479" t="str">
        <f>'Remplissage - Sit. Init.'!F479</f>
        <v>FretFluvCat1DistMoy</v>
      </c>
      <c r="F479" t="s">
        <v>17</v>
      </c>
      <c r="G479">
        <f>IF($H$15="Oui",1,0)*IF(ISNUMBER(SEARCH("La distance moyenne d'un trajet",H477)),1,0)</f>
        <v>1</v>
      </c>
      <c r="I479" s="33"/>
      <c r="J479" t="s">
        <v>88</v>
      </c>
    </row>
    <row r="480" spans="1:11" x14ac:dyDescent="0.25">
      <c r="A480" t="s">
        <v>134</v>
      </c>
      <c r="B480" t="s">
        <v>77</v>
      </c>
      <c r="C480" s="24" t="s">
        <v>147</v>
      </c>
      <c r="D480" s="24"/>
      <c r="E480" t="str">
        <f>'Remplissage - Sit. Init.'!F480</f>
        <v>FretFluvCat1EmportMoy</v>
      </c>
      <c r="F480" t="s">
        <v>17</v>
      </c>
      <c r="G480">
        <f>IF($H$15="Oui",1,0)*IF(ISNUMBER(SEARCH("La masse moyenne transportée pour un trajet",H477)),1,0)</f>
        <v>1</v>
      </c>
      <c r="I480" s="33"/>
      <c r="J480" t="s">
        <v>148</v>
      </c>
    </row>
    <row r="481" spans="1:11" x14ac:dyDescent="0.25">
      <c r="A481" t="s">
        <v>134</v>
      </c>
      <c r="B481" t="s">
        <v>77</v>
      </c>
      <c r="C481" s="24" t="s">
        <v>149</v>
      </c>
      <c r="D481" s="24"/>
      <c r="E481" t="str">
        <f>'Remplissage - Sit. Init.'!F481</f>
        <v>FretFluvCat1DistAn</v>
      </c>
      <c r="F481" t="s">
        <v>17</v>
      </c>
      <c r="G481">
        <f>IF($H$15="Oui",1,0)*IF(ISNUMBER(SEARCH("La distance parcourue annuellement pour ce type de barge",H477)),1,0)</f>
        <v>0</v>
      </c>
      <c r="I481" s="33"/>
      <c r="J481" t="s">
        <v>88</v>
      </c>
      <c r="K481" s="8"/>
    </row>
    <row r="482" spans="1:11" x14ac:dyDescent="0.25">
      <c r="A482" t="s">
        <v>134</v>
      </c>
      <c r="B482" t="s">
        <v>77</v>
      </c>
      <c r="C482" s="24" t="s">
        <v>150</v>
      </c>
      <c r="D482" s="24"/>
      <c r="E482" t="str">
        <f>'Remplissage - Sit. Init.'!F482</f>
        <v>FretFluvCat1TauxChargeMoy</v>
      </c>
      <c r="F482" t="s">
        <v>17</v>
      </c>
      <c r="G482">
        <f>IF($H$15="Oui",1,0)*IF(ISNUMBER(SEARCH("Le taux de chargement moyen",H477)),1,0)</f>
        <v>0</v>
      </c>
      <c r="H482" s="3"/>
      <c r="I482" s="33"/>
      <c r="J482" t="s">
        <v>70</v>
      </c>
      <c r="K482" s="7"/>
    </row>
    <row r="483" spans="1:11" x14ac:dyDescent="0.25">
      <c r="A483" t="s">
        <v>134</v>
      </c>
      <c r="B483" t="s">
        <v>77</v>
      </c>
      <c r="C483" t="s">
        <v>526</v>
      </c>
      <c r="E483" t="str">
        <f>'Remplissage - Sit. Init.'!F483</f>
        <v>FretFluvCat1NbBarges</v>
      </c>
      <c r="F483" t="s">
        <v>17</v>
      </c>
      <c r="G483">
        <f>IF($H$15="Oui",1,0)</f>
        <v>1</v>
      </c>
      <c r="H483" s="8"/>
      <c r="I483" s="33"/>
      <c r="J483" t="s">
        <v>151</v>
      </c>
      <c r="K483" s="8"/>
    </row>
    <row r="484" spans="1:11" outlineLevel="1" x14ac:dyDescent="0.25">
      <c r="A484" t="s">
        <v>134</v>
      </c>
      <c r="B484" t="s">
        <v>90</v>
      </c>
      <c r="C484" t="s">
        <v>135</v>
      </c>
      <c r="E484" t="str">
        <f>'Remplissage - Sit. Init.'!F484</f>
        <v>FretFluvCat2Nom</v>
      </c>
      <c r="F484" s="32" t="s">
        <v>20</v>
      </c>
      <c r="G484">
        <f>IF($H$15="Oui",1,0)</f>
        <v>1</v>
      </c>
      <c r="I484" s="33" t="str">
        <f>VLOOKUP(B484,'Parcs types'!$B$65:$AA$120,2,FALSE)</f>
        <v>Automoteurs &lt; 400 tonnes CCNR 2 + SCR, diesel</v>
      </c>
      <c r="K484" t="str">
        <f>I484</f>
        <v>Automoteurs &lt; 400 tonnes CCNR 2 + SCR, diesel</v>
      </c>
    </row>
    <row r="485" spans="1:11" outlineLevel="1" x14ac:dyDescent="0.25">
      <c r="A485" t="s">
        <v>134</v>
      </c>
      <c r="B485" t="s">
        <v>90</v>
      </c>
      <c r="C485" t="s">
        <v>136</v>
      </c>
      <c r="E485" t="str">
        <f>'Remplissage - Sit. Init.'!F485</f>
        <v>FretFluvCat2Type</v>
      </c>
      <c r="F485" t="s">
        <v>20</v>
      </c>
      <c r="G485">
        <f t="shared" ref="G485:G487" si="47">IF($H$15="Oui",1,0)</f>
        <v>1</v>
      </c>
      <c r="I485" s="33" t="str">
        <f>VLOOKUP(B485,'Parcs types'!$B$65:$AA$120,3,FALSE)</f>
        <v>Automoteurs</v>
      </c>
      <c r="K485" t="str">
        <f t="shared" ref="K485:K487" si="48">I485</f>
        <v>Automoteurs</v>
      </c>
    </row>
    <row r="486" spans="1:11" outlineLevel="1" x14ac:dyDescent="0.25">
      <c r="A486" t="s">
        <v>134</v>
      </c>
      <c r="B486" t="s">
        <v>90</v>
      </c>
      <c r="C486" t="s">
        <v>137</v>
      </c>
      <c r="E486" t="str">
        <f>'Remplissage - Sit. Init.'!F486</f>
        <v>FretFluvCat2Cap</v>
      </c>
      <c r="F486" s="32" t="s">
        <v>36</v>
      </c>
      <c r="G486">
        <f t="shared" si="47"/>
        <v>1</v>
      </c>
      <c r="I486" s="33" t="str">
        <f>VLOOKUP(B486,'Parcs types'!$B$65:$AA$120,4,FALSE)</f>
        <v>&lt; 400 tonnes</v>
      </c>
      <c r="J486" t="s">
        <v>524</v>
      </c>
      <c r="K486" t="str">
        <f t="shared" si="48"/>
        <v>&lt; 400 tonnes</v>
      </c>
    </row>
    <row r="487" spans="1:11" outlineLevel="1" x14ac:dyDescent="0.25">
      <c r="A487" t="s">
        <v>134</v>
      </c>
      <c r="B487" t="s">
        <v>90</v>
      </c>
      <c r="C487" t="s">
        <v>525</v>
      </c>
      <c r="E487" t="str">
        <f>'Remplissage - Sit. Init.'!F487</f>
        <v>FretFluvCat2Tech</v>
      </c>
      <c r="F487" s="32" t="s">
        <v>20</v>
      </c>
      <c r="G487">
        <f t="shared" si="47"/>
        <v>1</v>
      </c>
      <c r="I487" s="33" t="str">
        <f>VLOOKUP(B487,'Parcs types'!$B$65:$AA$120,5,FALSE)</f>
        <v>CCNR 2 + SCR, diesel</v>
      </c>
      <c r="K487" t="str">
        <f t="shared" si="48"/>
        <v>CCNR 2 + SCR, diesel</v>
      </c>
    </row>
    <row r="488" spans="1:11" outlineLevel="1" x14ac:dyDescent="0.25">
      <c r="A488" t="s">
        <v>134</v>
      </c>
      <c r="B488" t="s">
        <v>90</v>
      </c>
      <c r="C488" t="s">
        <v>140</v>
      </c>
      <c r="E488" t="str">
        <f>'Remplissage - Sit. Init.'!F488</f>
        <v>FretFluvCat2Request</v>
      </c>
      <c r="F488" s="32" t="s">
        <v>20</v>
      </c>
      <c r="G488">
        <f>IF($H$15="Oui",1,0)</f>
        <v>1</v>
      </c>
      <c r="H488" t="s">
        <v>141</v>
      </c>
      <c r="I488" s="33" t="s">
        <v>142</v>
      </c>
    </row>
    <row r="489" spans="1:11" outlineLevel="1" x14ac:dyDescent="0.25">
      <c r="A489" t="s">
        <v>134</v>
      </c>
      <c r="B489" t="s">
        <v>90</v>
      </c>
      <c r="C489" t="s">
        <v>144</v>
      </c>
      <c r="E489" t="str">
        <f>'Remplissage - Sit. Init.'!F489</f>
        <v>FretFluvCat2NbTraj</v>
      </c>
      <c r="F489" t="s">
        <v>17</v>
      </c>
      <c r="G489">
        <f>IF($H$15="Oui",1,0)*IF(ISNUMBER(SEARCH("Une estimation du nombre annuel de trajets pour ce type de barge",H488)),1,0)</f>
        <v>1</v>
      </c>
      <c r="I489" s="33"/>
      <c r="J489" t="s">
        <v>145</v>
      </c>
    </row>
    <row r="490" spans="1:11" outlineLevel="1" x14ac:dyDescent="0.25">
      <c r="A490" t="s">
        <v>134</v>
      </c>
      <c r="B490" t="s">
        <v>90</v>
      </c>
      <c r="C490" t="s">
        <v>146</v>
      </c>
      <c r="E490" t="str">
        <f>'Remplissage - Sit. Init.'!F490</f>
        <v>FretFluvCat2DistMoy</v>
      </c>
      <c r="F490" t="s">
        <v>17</v>
      </c>
      <c r="G490">
        <f>IF($H$15="Oui",1,0)*IF(ISNUMBER(SEARCH("La distance moyenne d'un trajet",H488)),1,0)</f>
        <v>1</v>
      </c>
      <c r="I490" s="33"/>
      <c r="J490" t="s">
        <v>88</v>
      </c>
    </row>
    <row r="491" spans="1:11" outlineLevel="1" x14ac:dyDescent="0.25">
      <c r="A491" t="s">
        <v>134</v>
      </c>
      <c r="B491" t="s">
        <v>90</v>
      </c>
      <c r="C491" t="s">
        <v>147</v>
      </c>
      <c r="E491" t="str">
        <f>'Remplissage - Sit. Init.'!F491</f>
        <v>FretFluvCat2EmportMoy</v>
      </c>
      <c r="F491" t="s">
        <v>17</v>
      </c>
      <c r="G491">
        <f>IF($H$15="Oui",1,0)*IF(ISNUMBER(SEARCH("La masse moyenne transportée pour un trajet",H488)),1,0)</f>
        <v>1</v>
      </c>
      <c r="I491" s="33"/>
      <c r="J491" t="s">
        <v>148</v>
      </c>
    </row>
    <row r="492" spans="1:11" outlineLevel="1" x14ac:dyDescent="0.25">
      <c r="A492" t="s">
        <v>134</v>
      </c>
      <c r="B492" t="s">
        <v>90</v>
      </c>
      <c r="C492" t="s">
        <v>149</v>
      </c>
      <c r="E492" t="str">
        <f>'Remplissage - Sit. Init.'!F492</f>
        <v>FretFluvCat2DistAn</v>
      </c>
      <c r="F492" t="s">
        <v>17</v>
      </c>
      <c r="G492">
        <f>IF($H$15="Oui",1,0)*IF(ISNUMBER(SEARCH("La distance parcourue annuellement pour ce type de barge",H488)),1,0)</f>
        <v>0</v>
      </c>
      <c r="I492" s="33"/>
      <c r="J492" t="s">
        <v>88</v>
      </c>
      <c r="K492" s="8"/>
    </row>
    <row r="493" spans="1:11" outlineLevel="1" x14ac:dyDescent="0.25">
      <c r="A493" t="s">
        <v>134</v>
      </c>
      <c r="B493" t="s">
        <v>90</v>
      </c>
      <c r="C493" t="s">
        <v>150</v>
      </c>
      <c r="E493" t="str">
        <f>'Remplissage - Sit. Init.'!F493</f>
        <v>FretFluvCat2TauxChargeMoy</v>
      </c>
      <c r="F493" t="s">
        <v>17</v>
      </c>
      <c r="G493">
        <f>IF($H$15="Oui",1,0)*IF(ISNUMBER(SEARCH("Le taux de chargement moyen",H488)),1,0)</f>
        <v>0</v>
      </c>
      <c r="H493" s="3"/>
      <c r="I493" s="33"/>
      <c r="J493" t="s">
        <v>70</v>
      </c>
      <c r="K493" s="7"/>
    </row>
    <row r="494" spans="1:11" outlineLevel="1" x14ac:dyDescent="0.25">
      <c r="A494" t="s">
        <v>134</v>
      </c>
      <c r="B494" t="s">
        <v>90</v>
      </c>
      <c r="C494" t="s">
        <v>526</v>
      </c>
      <c r="E494" t="str">
        <f>'Remplissage - Sit. Init.'!F494</f>
        <v>FretFluvCat2NbBarges</v>
      </c>
      <c r="F494" t="s">
        <v>17</v>
      </c>
      <c r="G494">
        <f>IF($H$15="Oui",1,0)</f>
        <v>1</v>
      </c>
      <c r="I494" s="33"/>
      <c r="J494" t="s">
        <v>151</v>
      </c>
    </row>
    <row r="495" spans="1:11" outlineLevel="1" x14ac:dyDescent="0.25">
      <c r="A495" t="s">
        <v>134</v>
      </c>
      <c r="B495" t="s">
        <v>91</v>
      </c>
      <c r="C495" t="s">
        <v>135</v>
      </c>
      <c r="E495" t="str">
        <f>'Remplissage - Sit. Init.'!F495</f>
        <v>FretFluvCat3Nom</v>
      </c>
      <c r="F495" s="32" t="s">
        <v>20</v>
      </c>
      <c r="G495">
        <f>IF($H$15="Oui",1,0)</f>
        <v>1</v>
      </c>
      <c r="I495" s="33" t="str">
        <f>VLOOKUP(B495,'Parcs types'!$B$65:$AA$120,2,FALSE)</f>
        <v>Automoteurs &lt; 400 tonnes Phase V, diesel</v>
      </c>
      <c r="K495" t="str">
        <f>I495</f>
        <v>Automoteurs &lt; 400 tonnes Phase V, diesel</v>
      </c>
    </row>
    <row r="496" spans="1:11" outlineLevel="1" x14ac:dyDescent="0.25">
      <c r="A496" t="s">
        <v>134</v>
      </c>
      <c r="B496" t="s">
        <v>91</v>
      </c>
      <c r="C496" t="s">
        <v>136</v>
      </c>
      <c r="E496" t="str">
        <f>'Remplissage - Sit. Init.'!F496</f>
        <v>FretFluvCat3Type</v>
      </c>
      <c r="F496" t="s">
        <v>20</v>
      </c>
      <c r="G496">
        <f t="shared" ref="G496:G498" si="49">IF($H$15="Oui",1,0)</f>
        <v>1</v>
      </c>
      <c r="I496" s="33" t="str">
        <f>VLOOKUP(B496,'Parcs types'!$B$65:$AA$120,3,FALSE)</f>
        <v>Automoteurs</v>
      </c>
      <c r="K496" t="str">
        <f t="shared" ref="K496:K498" si="50">I496</f>
        <v>Automoteurs</v>
      </c>
    </row>
    <row r="497" spans="1:11" outlineLevel="1" x14ac:dyDescent="0.25">
      <c r="A497" t="s">
        <v>134</v>
      </c>
      <c r="B497" t="s">
        <v>91</v>
      </c>
      <c r="C497" t="s">
        <v>137</v>
      </c>
      <c r="E497" t="str">
        <f>'Remplissage - Sit. Init.'!F497</f>
        <v>FretFluvCat3Cap</v>
      </c>
      <c r="F497" s="32" t="s">
        <v>36</v>
      </c>
      <c r="G497">
        <f t="shared" si="49"/>
        <v>1</v>
      </c>
      <c r="I497" s="33" t="str">
        <f>VLOOKUP(B497,'Parcs types'!$B$65:$AA$120,4,FALSE)</f>
        <v>&lt; 400 tonnes</v>
      </c>
      <c r="J497" t="s">
        <v>524</v>
      </c>
      <c r="K497" t="str">
        <f t="shared" si="50"/>
        <v>&lt; 400 tonnes</v>
      </c>
    </row>
    <row r="498" spans="1:11" outlineLevel="1" x14ac:dyDescent="0.25">
      <c r="A498" t="s">
        <v>134</v>
      </c>
      <c r="B498" t="s">
        <v>91</v>
      </c>
      <c r="C498" t="s">
        <v>525</v>
      </c>
      <c r="E498" t="str">
        <f>'Remplissage - Sit. Init.'!F498</f>
        <v>FretFluvCat3Tech</v>
      </c>
      <c r="F498" s="32" t="s">
        <v>20</v>
      </c>
      <c r="G498">
        <f t="shared" si="49"/>
        <v>1</v>
      </c>
      <c r="I498" s="33" t="str">
        <f>VLOOKUP(B498,'Parcs types'!$B$65:$AA$120,5,FALSE)</f>
        <v>Phase V, diesel</v>
      </c>
      <c r="K498" t="str">
        <f t="shared" si="50"/>
        <v>Phase V, diesel</v>
      </c>
    </row>
    <row r="499" spans="1:11" outlineLevel="1" x14ac:dyDescent="0.25">
      <c r="A499" t="s">
        <v>134</v>
      </c>
      <c r="B499" t="s">
        <v>91</v>
      </c>
      <c r="C499" t="s">
        <v>140</v>
      </c>
      <c r="E499" t="str">
        <f>'Remplissage - Sit. Init.'!F499</f>
        <v>FretFluvCat3Request</v>
      </c>
      <c r="F499" s="32" t="s">
        <v>20</v>
      </c>
      <c r="G499">
        <f>IF($H$15="Oui",1,0)</f>
        <v>1</v>
      </c>
      <c r="H499" t="s">
        <v>141</v>
      </c>
      <c r="I499" s="33" t="s">
        <v>142</v>
      </c>
    </row>
    <row r="500" spans="1:11" outlineLevel="1" x14ac:dyDescent="0.25">
      <c r="A500" t="s">
        <v>134</v>
      </c>
      <c r="B500" t="s">
        <v>91</v>
      </c>
      <c r="C500" t="s">
        <v>144</v>
      </c>
      <c r="E500" t="str">
        <f>'Remplissage - Sit. Init.'!F500</f>
        <v>FretFluvCat3NbTraj</v>
      </c>
      <c r="F500" t="s">
        <v>17</v>
      </c>
      <c r="G500">
        <f>IF($H$15="Oui",1,0)*IF(ISNUMBER(SEARCH("Une estimation du nombre annuel de trajets pour ce type de barge",H499)),1,0)</f>
        <v>1</v>
      </c>
      <c r="I500" s="33"/>
      <c r="J500" t="s">
        <v>145</v>
      </c>
    </row>
    <row r="501" spans="1:11" outlineLevel="1" x14ac:dyDescent="0.25">
      <c r="A501" t="s">
        <v>134</v>
      </c>
      <c r="B501" t="s">
        <v>91</v>
      </c>
      <c r="C501" t="s">
        <v>146</v>
      </c>
      <c r="E501" t="str">
        <f>'Remplissage - Sit. Init.'!F501</f>
        <v>FretFluvCat3DistMoy</v>
      </c>
      <c r="F501" t="s">
        <v>17</v>
      </c>
      <c r="G501">
        <f>IF($H$15="Oui",1,0)*IF(ISNUMBER(SEARCH("La distance moyenne d'un trajet",H499)),1,0)</f>
        <v>1</v>
      </c>
      <c r="I501" s="33"/>
      <c r="J501" t="s">
        <v>88</v>
      </c>
    </row>
    <row r="502" spans="1:11" outlineLevel="1" x14ac:dyDescent="0.25">
      <c r="A502" t="s">
        <v>134</v>
      </c>
      <c r="B502" t="s">
        <v>91</v>
      </c>
      <c r="C502" t="s">
        <v>147</v>
      </c>
      <c r="E502" t="str">
        <f>'Remplissage - Sit. Init.'!F502</f>
        <v>FretFluvCat3EmportMoy</v>
      </c>
      <c r="F502" t="s">
        <v>17</v>
      </c>
      <c r="G502">
        <f>IF($H$15="Oui",1,0)*IF(ISNUMBER(SEARCH("La masse moyenne transportée pour un trajet",H499)),1,0)</f>
        <v>1</v>
      </c>
      <c r="I502" s="33"/>
      <c r="J502" t="s">
        <v>148</v>
      </c>
      <c r="K502" s="8"/>
    </row>
    <row r="503" spans="1:11" outlineLevel="1" x14ac:dyDescent="0.25">
      <c r="A503" t="s">
        <v>134</v>
      </c>
      <c r="B503" t="s">
        <v>91</v>
      </c>
      <c r="C503" t="s">
        <v>149</v>
      </c>
      <c r="E503" t="str">
        <f>'Remplissage - Sit. Init.'!F503</f>
        <v>FretFluvCat3DistAn</v>
      </c>
      <c r="F503" t="s">
        <v>17</v>
      </c>
      <c r="G503">
        <f>IF($H$15="Oui",1,0)*IF(ISNUMBER(SEARCH("La distance parcourue annuellement pour ce type de barge",H499)),1,0)</f>
        <v>0</v>
      </c>
      <c r="H503" s="3"/>
      <c r="I503" s="33"/>
      <c r="J503" t="s">
        <v>88</v>
      </c>
      <c r="K503" s="7"/>
    </row>
    <row r="504" spans="1:11" outlineLevel="1" x14ac:dyDescent="0.25">
      <c r="A504" t="s">
        <v>134</v>
      </c>
      <c r="B504" t="s">
        <v>91</v>
      </c>
      <c r="C504" t="s">
        <v>150</v>
      </c>
      <c r="E504" t="str">
        <f>'Remplissage - Sit. Init.'!F504</f>
        <v>FretFluvCat3TauxChargeMoy</v>
      </c>
      <c r="F504" t="s">
        <v>17</v>
      </c>
      <c r="G504">
        <f>IF($H$15="Oui",1,0)*IF(ISNUMBER(SEARCH("Le taux de chargement moyen",H499)),1,0)</f>
        <v>0</v>
      </c>
      <c r="I504" s="33"/>
      <c r="J504" t="s">
        <v>70</v>
      </c>
    </row>
    <row r="505" spans="1:11" outlineLevel="1" x14ac:dyDescent="0.25">
      <c r="A505" t="s">
        <v>134</v>
      </c>
      <c r="B505" t="s">
        <v>91</v>
      </c>
      <c r="C505" t="s">
        <v>526</v>
      </c>
      <c r="E505" t="str">
        <f>'Remplissage - Sit. Init.'!F505</f>
        <v>FretFluvCat3NbBarges</v>
      </c>
      <c r="F505" t="s">
        <v>17</v>
      </c>
      <c r="G505">
        <f>IF($H$15="Oui",1,0)</f>
        <v>1</v>
      </c>
      <c r="I505" s="33"/>
      <c r="J505" t="s">
        <v>151</v>
      </c>
    </row>
    <row r="506" spans="1:11" outlineLevel="1" x14ac:dyDescent="0.25">
      <c r="A506" t="s">
        <v>134</v>
      </c>
      <c r="B506" t="s">
        <v>92</v>
      </c>
      <c r="C506" t="s">
        <v>135</v>
      </c>
      <c r="E506" t="str">
        <f>'Remplissage - Sit. Init.'!F506</f>
        <v>FretFluvCat4Nom</v>
      </c>
      <c r="F506" s="32" t="s">
        <v>20</v>
      </c>
      <c r="G506">
        <f>IF($H$15="Oui",1,0)</f>
        <v>1</v>
      </c>
      <c r="I506" s="33" t="str">
        <f>VLOOKUP(B506,'Parcs types'!$B$65:$AA$120,2,FALSE)</f>
        <v>Automoteurs &lt; 400 tonnes Phase V, HVO</v>
      </c>
      <c r="K506" t="str">
        <f>I506</f>
        <v>Automoteurs &lt; 400 tonnes Phase V, HVO</v>
      </c>
    </row>
    <row r="507" spans="1:11" outlineLevel="1" x14ac:dyDescent="0.25">
      <c r="A507" t="s">
        <v>134</v>
      </c>
      <c r="B507" t="s">
        <v>92</v>
      </c>
      <c r="C507" t="s">
        <v>136</v>
      </c>
      <c r="E507" t="str">
        <f>'Remplissage - Sit. Init.'!F507</f>
        <v>FretFluvCat4Type</v>
      </c>
      <c r="F507" t="s">
        <v>20</v>
      </c>
      <c r="G507">
        <f t="shared" ref="G507:G509" si="51">IF($H$15="Oui",1,0)</f>
        <v>1</v>
      </c>
      <c r="I507" s="33" t="str">
        <f>VLOOKUP(B507,'Parcs types'!$B$65:$AA$120,3,FALSE)</f>
        <v>Automoteurs</v>
      </c>
      <c r="K507" t="str">
        <f t="shared" ref="K507:K509" si="52">I507</f>
        <v>Automoteurs</v>
      </c>
    </row>
    <row r="508" spans="1:11" outlineLevel="1" x14ac:dyDescent="0.25">
      <c r="A508" t="s">
        <v>134</v>
      </c>
      <c r="B508" t="s">
        <v>92</v>
      </c>
      <c r="C508" t="s">
        <v>137</v>
      </c>
      <c r="E508" t="str">
        <f>'Remplissage - Sit. Init.'!F508</f>
        <v>FretFluvCat4Cap</v>
      </c>
      <c r="F508" s="32" t="s">
        <v>36</v>
      </c>
      <c r="G508">
        <f t="shared" si="51"/>
        <v>1</v>
      </c>
      <c r="I508" s="33" t="str">
        <f>VLOOKUP(B508,'Parcs types'!$B$65:$AA$120,4,FALSE)</f>
        <v>&lt; 400 tonnes</v>
      </c>
      <c r="J508" t="s">
        <v>524</v>
      </c>
      <c r="K508" t="str">
        <f t="shared" si="52"/>
        <v>&lt; 400 tonnes</v>
      </c>
    </row>
    <row r="509" spans="1:11" outlineLevel="1" x14ac:dyDescent="0.25">
      <c r="A509" t="s">
        <v>134</v>
      </c>
      <c r="B509" t="s">
        <v>92</v>
      </c>
      <c r="C509" t="s">
        <v>525</v>
      </c>
      <c r="E509" t="str">
        <f>'Remplissage - Sit. Init.'!F509</f>
        <v>FretFluvCat4Tech</v>
      </c>
      <c r="F509" s="32" t="s">
        <v>20</v>
      </c>
      <c r="G509">
        <f t="shared" si="51"/>
        <v>1</v>
      </c>
      <c r="I509" s="33" t="str">
        <f>VLOOKUP(B509,'Parcs types'!$B$65:$AA$120,5,FALSE)</f>
        <v>Phase V, HVO</v>
      </c>
      <c r="K509" t="str">
        <f t="shared" si="52"/>
        <v>Phase V, HVO</v>
      </c>
    </row>
    <row r="510" spans="1:11" outlineLevel="1" x14ac:dyDescent="0.25">
      <c r="A510" t="s">
        <v>134</v>
      </c>
      <c r="B510" t="s">
        <v>92</v>
      </c>
      <c r="C510" t="s">
        <v>140</v>
      </c>
      <c r="E510" t="str">
        <f>'Remplissage - Sit. Init.'!F510</f>
        <v>FretFluvCat4Request</v>
      </c>
      <c r="F510" s="32" t="s">
        <v>20</v>
      </c>
      <c r="G510">
        <f>IF($H$15="Oui",1,0)</f>
        <v>1</v>
      </c>
      <c r="H510" t="s">
        <v>141</v>
      </c>
      <c r="I510" s="33" t="s">
        <v>142</v>
      </c>
    </row>
    <row r="511" spans="1:11" outlineLevel="1" x14ac:dyDescent="0.25">
      <c r="A511" t="s">
        <v>134</v>
      </c>
      <c r="B511" t="s">
        <v>92</v>
      </c>
      <c r="C511" t="s">
        <v>144</v>
      </c>
      <c r="E511" t="str">
        <f>'Remplissage - Sit. Init.'!F511</f>
        <v>FretFluvCat4NbTraj</v>
      </c>
      <c r="F511" t="s">
        <v>17</v>
      </c>
      <c r="G511">
        <f>IF($H$15="Oui",1,0)*IF(ISNUMBER(SEARCH("Une estimation du nombre annuel de trajets pour ce type de barge",H510)),1,0)</f>
        <v>1</v>
      </c>
      <c r="I511" s="33"/>
      <c r="J511" t="s">
        <v>145</v>
      </c>
    </row>
    <row r="512" spans="1:11" outlineLevel="1" x14ac:dyDescent="0.25">
      <c r="A512" t="s">
        <v>134</v>
      </c>
      <c r="B512" t="s">
        <v>92</v>
      </c>
      <c r="C512" t="s">
        <v>146</v>
      </c>
      <c r="E512" t="str">
        <f>'Remplissage - Sit. Init.'!F512</f>
        <v>FretFluvCat4DistMoy</v>
      </c>
      <c r="F512" t="s">
        <v>17</v>
      </c>
      <c r="G512">
        <f>IF($H$15="Oui",1,0)*IF(ISNUMBER(SEARCH("La distance moyenne d'un trajet",H510)),1,0)</f>
        <v>1</v>
      </c>
      <c r="I512" s="33"/>
      <c r="J512" t="s">
        <v>88</v>
      </c>
      <c r="K512" s="8"/>
    </row>
    <row r="513" spans="1:11" outlineLevel="1" x14ac:dyDescent="0.25">
      <c r="A513" t="s">
        <v>134</v>
      </c>
      <c r="B513" t="s">
        <v>92</v>
      </c>
      <c r="C513" t="s">
        <v>147</v>
      </c>
      <c r="E513" t="str">
        <f>'Remplissage - Sit. Init.'!F513</f>
        <v>FretFluvCat4EmportMoy</v>
      </c>
      <c r="F513" t="s">
        <v>17</v>
      </c>
      <c r="G513">
        <f>IF($H$15="Oui",1,0)*IF(ISNUMBER(SEARCH("La masse moyenne transportée pour un trajet",H510)),1,0)</f>
        <v>1</v>
      </c>
      <c r="H513" s="3"/>
      <c r="I513" s="33"/>
      <c r="J513" t="s">
        <v>148</v>
      </c>
      <c r="K513" s="7"/>
    </row>
    <row r="514" spans="1:11" outlineLevel="1" x14ac:dyDescent="0.25">
      <c r="A514" t="s">
        <v>134</v>
      </c>
      <c r="B514" t="s">
        <v>92</v>
      </c>
      <c r="C514" t="s">
        <v>149</v>
      </c>
      <c r="E514" t="str">
        <f>'Remplissage - Sit. Init.'!F514</f>
        <v>FretFluvCat4DistAn</v>
      </c>
      <c r="F514" t="s">
        <v>17</v>
      </c>
      <c r="G514">
        <f>IF($H$15="Oui",1,0)*IF(ISNUMBER(SEARCH("La distance parcourue annuellement pour ce type de barge",H510)),1,0)</f>
        <v>0</v>
      </c>
      <c r="I514" s="33"/>
      <c r="J514" t="s">
        <v>88</v>
      </c>
    </row>
    <row r="515" spans="1:11" outlineLevel="1" x14ac:dyDescent="0.25">
      <c r="A515" t="s">
        <v>134</v>
      </c>
      <c r="B515" t="s">
        <v>92</v>
      </c>
      <c r="C515" t="s">
        <v>150</v>
      </c>
      <c r="E515" t="str">
        <f>'Remplissage - Sit. Init.'!F515</f>
        <v>FretFluvCat4TauxChargeMoy</v>
      </c>
      <c r="F515" t="s">
        <v>17</v>
      </c>
      <c r="G515">
        <f>IF($H$15="Oui",1,0)*IF(ISNUMBER(SEARCH("Le taux de chargement moyen",H510)),1,0)</f>
        <v>0</v>
      </c>
      <c r="I515" s="33"/>
      <c r="J515" t="s">
        <v>70</v>
      </c>
    </row>
    <row r="516" spans="1:11" outlineLevel="1" x14ac:dyDescent="0.25">
      <c r="A516" t="s">
        <v>134</v>
      </c>
      <c r="B516" t="s">
        <v>92</v>
      </c>
      <c r="C516" t="s">
        <v>526</v>
      </c>
      <c r="E516" t="str">
        <f>'Remplissage - Sit. Init.'!F516</f>
        <v>FretFluvCat4NbBarges</v>
      </c>
      <c r="F516" t="s">
        <v>17</v>
      </c>
      <c r="G516">
        <f>IF($H$15="Oui",1,0)</f>
        <v>1</v>
      </c>
      <c r="I516" s="33"/>
      <c r="J516" t="s">
        <v>151</v>
      </c>
      <c r="K516" s="8"/>
    </row>
    <row r="517" spans="1:11" outlineLevel="1" x14ac:dyDescent="0.25">
      <c r="A517" t="s">
        <v>134</v>
      </c>
      <c r="B517" t="s">
        <v>93</v>
      </c>
      <c r="C517" t="s">
        <v>135</v>
      </c>
      <c r="E517" t="str">
        <f>'Remplissage - Sit. Init.'!F517</f>
        <v>FretFluvCat5Nom</v>
      </c>
      <c r="F517" s="32" t="s">
        <v>20</v>
      </c>
      <c r="G517">
        <f>IF($H$15="Oui",1,0)</f>
        <v>1</v>
      </c>
      <c r="H517" s="3"/>
      <c r="I517" s="33" t="str">
        <f>VLOOKUP(B517,'Parcs types'!$B$65:$AA$120,2,FALSE)</f>
        <v>Automoteurs &lt; 400 tonnes Batterie</v>
      </c>
      <c r="K517" t="str">
        <f>I517</f>
        <v>Automoteurs &lt; 400 tonnes Batterie</v>
      </c>
    </row>
    <row r="518" spans="1:11" outlineLevel="1" x14ac:dyDescent="0.25">
      <c r="A518" t="s">
        <v>134</v>
      </c>
      <c r="B518" t="s">
        <v>93</v>
      </c>
      <c r="C518" t="s">
        <v>136</v>
      </c>
      <c r="E518" t="str">
        <f>'Remplissage - Sit. Init.'!F518</f>
        <v>FretFluvCat5Type</v>
      </c>
      <c r="F518" t="s">
        <v>20</v>
      </c>
      <c r="G518">
        <f t="shared" ref="G518:G520" si="53">IF($H$15="Oui",1,0)</f>
        <v>1</v>
      </c>
      <c r="H518" s="8"/>
      <c r="I518" s="33" t="str">
        <f>VLOOKUP(B518,'Parcs types'!$B$65:$AA$120,3,FALSE)</f>
        <v>Automoteurs</v>
      </c>
      <c r="K518" t="str">
        <f t="shared" ref="K518:K520" si="54">I518</f>
        <v>Automoteurs</v>
      </c>
    </row>
    <row r="519" spans="1:11" outlineLevel="1" x14ac:dyDescent="0.25">
      <c r="A519" t="s">
        <v>134</v>
      </c>
      <c r="B519" t="s">
        <v>93</v>
      </c>
      <c r="C519" t="s">
        <v>137</v>
      </c>
      <c r="E519" t="str">
        <f>'Remplissage - Sit. Init.'!F519</f>
        <v>FretFluvCat5Cap</v>
      </c>
      <c r="F519" s="32" t="s">
        <v>36</v>
      </c>
      <c r="G519">
        <f t="shared" si="53"/>
        <v>1</v>
      </c>
      <c r="I519" s="33" t="str">
        <f>VLOOKUP(B519,'Parcs types'!$B$65:$AA$120,4,FALSE)</f>
        <v>&lt; 400 tonnes</v>
      </c>
      <c r="J519" t="s">
        <v>524</v>
      </c>
      <c r="K519" t="str">
        <f t="shared" si="54"/>
        <v>&lt; 400 tonnes</v>
      </c>
    </row>
    <row r="520" spans="1:11" outlineLevel="1" x14ac:dyDescent="0.25">
      <c r="A520" t="s">
        <v>134</v>
      </c>
      <c r="B520" t="s">
        <v>93</v>
      </c>
      <c r="C520" t="s">
        <v>525</v>
      </c>
      <c r="E520" t="str">
        <f>'Remplissage - Sit. Init.'!F520</f>
        <v>FretFluvCat5Tech</v>
      </c>
      <c r="F520" s="32" t="s">
        <v>20</v>
      </c>
      <c r="G520">
        <f t="shared" si="53"/>
        <v>1</v>
      </c>
      <c r="I520" s="33" t="str">
        <f>VLOOKUP(B520,'Parcs types'!$B$65:$AA$120,5,FALSE)</f>
        <v>Batterie</v>
      </c>
      <c r="K520" t="str">
        <f t="shared" si="54"/>
        <v>Batterie</v>
      </c>
    </row>
    <row r="521" spans="1:11" outlineLevel="1" x14ac:dyDescent="0.25">
      <c r="A521" t="s">
        <v>134</v>
      </c>
      <c r="B521" t="s">
        <v>93</v>
      </c>
      <c r="C521" t="s">
        <v>140</v>
      </c>
      <c r="E521" t="str">
        <f>'Remplissage - Sit. Init.'!F521</f>
        <v>FretFluvCat5Request</v>
      </c>
      <c r="F521" s="32" t="s">
        <v>20</v>
      </c>
      <c r="G521">
        <f>IF($H$15="Oui",1,0)</f>
        <v>1</v>
      </c>
      <c r="H521" t="s">
        <v>141</v>
      </c>
      <c r="I521" s="33" t="s">
        <v>142</v>
      </c>
    </row>
    <row r="522" spans="1:11" outlineLevel="1" x14ac:dyDescent="0.25">
      <c r="A522" t="s">
        <v>134</v>
      </c>
      <c r="B522" t="s">
        <v>93</v>
      </c>
      <c r="C522" t="s">
        <v>144</v>
      </c>
      <c r="E522" t="str">
        <f>'Remplissage - Sit. Init.'!F522</f>
        <v>FretFluvCat5NbTraj</v>
      </c>
      <c r="F522" t="s">
        <v>17</v>
      </c>
      <c r="G522">
        <f>IF($H$15="Oui",1,0)*IF(ISNUMBER(SEARCH("Une estimation du nombre annuel de trajets pour ce type de barge",H521)),1,0)</f>
        <v>1</v>
      </c>
      <c r="I522" s="33"/>
      <c r="J522" t="s">
        <v>145</v>
      </c>
    </row>
    <row r="523" spans="1:11" outlineLevel="1" x14ac:dyDescent="0.25">
      <c r="A523" t="s">
        <v>134</v>
      </c>
      <c r="B523" t="s">
        <v>93</v>
      </c>
      <c r="C523" t="s">
        <v>146</v>
      </c>
      <c r="E523" t="str">
        <f>'Remplissage - Sit. Init.'!F523</f>
        <v>FretFluvCat5DistMoy</v>
      </c>
      <c r="F523" t="s">
        <v>17</v>
      </c>
      <c r="G523">
        <f>IF($H$15="Oui",1,0)*IF(ISNUMBER(SEARCH("La distance moyenne d'un trajet",H521)),1,0)</f>
        <v>1</v>
      </c>
      <c r="I523" s="33"/>
      <c r="J523" t="s">
        <v>88</v>
      </c>
    </row>
    <row r="524" spans="1:11" outlineLevel="1" x14ac:dyDescent="0.25">
      <c r="A524" t="s">
        <v>134</v>
      </c>
      <c r="B524" t="s">
        <v>93</v>
      </c>
      <c r="C524" t="s">
        <v>147</v>
      </c>
      <c r="E524" t="str">
        <f>'Remplissage - Sit. Init.'!F524</f>
        <v>FretFluvCat5EmportMoy</v>
      </c>
      <c r="F524" t="s">
        <v>17</v>
      </c>
      <c r="G524">
        <f>IF($H$15="Oui",1,0)*IF(ISNUMBER(SEARCH("La masse moyenne transportée pour un trajet",H521)),1,0)</f>
        <v>1</v>
      </c>
      <c r="I524" s="33"/>
      <c r="J524" t="s">
        <v>148</v>
      </c>
    </row>
    <row r="525" spans="1:11" outlineLevel="1" x14ac:dyDescent="0.25">
      <c r="A525" t="s">
        <v>134</v>
      </c>
      <c r="B525" t="s">
        <v>93</v>
      </c>
      <c r="C525" t="s">
        <v>149</v>
      </c>
      <c r="E525" t="str">
        <f>'Remplissage - Sit. Init.'!F525</f>
        <v>FretFluvCat5DistAn</v>
      </c>
      <c r="F525" t="s">
        <v>17</v>
      </c>
      <c r="G525">
        <f>IF($H$15="Oui",1,0)*IF(ISNUMBER(SEARCH("La distance parcourue annuellement pour ce type de barge",H521)),1,0)</f>
        <v>0</v>
      </c>
      <c r="I525" s="33"/>
      <c r="J525" t="s">
        <v>88</v>
      </c>
    </row>
    <row r="526" spans="1:11" outlineLevel="1" x14ac:dyDescent="0.25">
      <c r="A526" t="s">
        <v>134</v>
      </c>
      <c r="B526" t="s">
        <v>93</v>
      </c>
      <c r="C526" t="s">
        <v>150</v>
      </c>
      <c r="E526" t="str">
        <f>'Remplissage - Sit. Init.'!F526</f>
        <v>FretFluvCat5TauxChargeMoy</v>
      </c>
      <c r="F526" t="s">
        <v>17</v>
      </c>
      <c r="G526">
        <f>IF($H$15="Oui",1,0)*IF(ISNUMBER(SEARCH("Le taux de chargement moyen",H521)),1,0)</f>
        <v>0</v>
      </c>
      <c r="I526" s="33"/>
      <c r="J526" t="s">
        <v>70</v>
      </c>
    </row>
    <row r="527" spans="1:11" outlineLevel="1" x14ac:dyDescent="0.25">
      <c r="A527" t="s">
        <v>134</v>
      </c>
      <c r="B527" t="s">
        <v>93</v>
      </c>
      <c r="C527" t="s">
        <v>526</v>
      </c>
      <c r="E527" t="str">
        <f>'Remplissage - Sit. Init.'!F527</f>
        <v>FretFluvCat5NbBarges</v>
      </c>
      <c r="F527" t="s">
        <v>17</v>
      </c>
      <c r="G527">
        <f>IF($H$15="Oui",1,0)</f>
        <v>1</v>
      </c>
      <c r="I527" s="33"/>
      <c r="J527" t="s">
        <v>151</v>
      </c>
    </row>
    <row r="528" spans="1:11" outlineLevel="1" x14ac:dyDescent="0.25">
      <c r="A528" t="s">
        <v>134</v>
      </c>
      <c r="B528" t="s">
        <v>94</v>
      </c>
      <c r="C528" t="s">
        <v>135</v>
      </c>
      <c r="E528" t="str">
        <f>'Remplissage - Sit. Init.'!F528</f>
        <v>FretFluvCat6Nom</v>
      </c>
      <c r="F528" s="32" t="s">
        <v>20</v>
      </c>
      <c r="G528">
        <f>IF($H$15="Oui",1,0)</f>
        <v>1</v>
      </c>
      <c r="I528" s="33" t="str">
        <f>VLOOKUP(B528,'Parcs types'!$B$65:$AA$120,2,FALSE)</f>
        <v>Automoteurs &lt; 400 tonnes H2 , PAC</v>
      </c>
      <c r="K528" t="str">
        <f>I528</f>
        <v>Automoteurs &lt; 400 tonnes H2 , PAC</v>
      </c>
    </row>
    <row r="529" spans="1:11" outlineLevel="1" x14ac:dyDescent="0.25">
      <c r="A529" t="s">
        <v>134</v>
      </c>
      <c r="B529" t="s">
        <v>94</v>
      </c>
      <c r="C529" t="s">
        <v>136</v>
      </c>
      <c r="E529" t="str">
        <f>'Remplissage - Sit. Init.'!F529</f>
        <v>FretFluvCat6Type</v>
      </c>
      <c r="F529" t="s">
        <v>20</v>
      </c>
      <c r="G529">
        <f t="shared" ref="G529:G531" si="55">IF($H$15="Oui",1,0)</f>
        <v>1</v>
      </c>
      <c r="H529" s="3"/>
      <c r="I529" s="33" t="str">
        <f>VLOOKUP(B529,'Parcs types'!$B$65:$AA$120,3,FALSE)</f>
        <v>Automoteurs</v>
      </c>
      <c r="K529" t="str">
        <f t="shared" ref="K529:K531" si="56">I529</f>
        <v>Automoteurs</v>
      </c>
    </row>
    <row r="530" spans="1:11" outlineLevel="1" x14ac:dyDescent="0.25">
      <c r="A530" t="s">
        <v>134</v>
      </c>
      <c r="B530" t="s">
        <v>94</v>
      </c>
      <c r="C530" t="s">
        <v>137</v>
      </c>
      <c r="E530" t="str">
        <f>'Remplissage - Sit. Init.'!F530</f>
        <v>FretFluvCat6Cap</v>
      </c>
      <c r="F530" s="32" t="s">
        <v>36</v>
      </c>
      <c r="G530">
        <f t="shared" si="55"/>
        <v>1</v>
      </c>
      <c r="H530" s="8"/>
      <c r="I530" s="33" t="str">
        <f>VLOOKUP(B530,'Parcs types'!$B$65:$AA$120,4,FALSE)</f>
        <v>&lt; 400 tonnes</v>
      </c>
      <c r="J530" t="s">
        <v>524</v>
      </c>
      <c r="K530" t="str">
        <f t="shared" si="56"/>
        <v>&lt; 400 tonnes</v>
      </c>
    </row>
    <row r="531" spans="1:11" outlineLevel="1" x14ac:dyDescent="0.25">
      <c r="A531" t="s">
        <v>134</v>
      </c>
      <c r="B531" t="s">
        <v>94</v>
      </c>
      <c r="C531" t="s">
        <v>525</v>
      </c>
      <c r="E531" t="str">
        <f>'Remplissage - Sit. Init.'!F531</f>
        <v>FretFluvCat6Tech</v>
      </c>
      <c r="F531" s="32" t="s">
        <v>20</v>
      </c>
      <c r="G531">
        <f t="shared" si="55"/>
        <v>1</v>
      </c>
      <c r="I531" s="33" t="str">
        <f>VLOOKUP(B531,'Parcs types'!$B$65:$AA$120,5,FALSE)</f>
        <v>H2 , PAC</v>
      </c>
      <c r="K531" t="str">
        <f t="shared" si="56"/>
        <v>H2 , PAC</v>
      </c>
    </row>
    <row r="532" spans="1:11" outlineLevel="1" x14ac:dyDescent="0.25">
      <c r="A532" t="s">
        <v>134</v>
      </c>
      <c r="B532" t="s">
        <v>94</v>
      </c>
      <c r="C532" t="s">
        <v>140</v>
      </c>
      <c r="E532" t="str">
        <f>'Remplissage - Sit. Init.'!F532</f>
        <v>FretFluvCat6Request</v>
      </c>
      <c r="F532" s="32" t="s">
        <v>20</v>
      </c>
      <c r="G532">
        <f>IF($H$15="Oui",1,0)</f>
        <v>1</v>
      </c>
      <c r="H532" t="s">
        <v>141</v>
      </c>
      <c r="I532" s="33" t="s">
        <v>142</v>
      </c>
    </row>
    <row r="533" spans="1:11" outlineLevel="1" x14ac:dyDescent="0.25">
      <c r="A533" t="s">
        <v>134</v>
      </c>
      <c r="B533" t="s">
        <v>94</v>
      </c>
      <c r="C533" t="s">
        <v>144</v>
      </c>
      <c r="E533" t="str">
        <f>'Remplissage - Sit. Init.'!F533</f>
        <v>FretFluvCat6NbTraj</v>
      </c>
      <c r="F533" t="s">
        <v>17</v>
      </c>
      <c r="G533">
        <f>IF($H$15="Oui",1,0)*IF(ISNUMBER(SEARCH("Une estimation du nombre annuel de trajets pour ce type de barge",H532)),1,0)</f>
        <v>1</v>
      </c>
      <c r="I533" s="33"/>
      <c r="J533" t="s">
        <v>145</v>
      </c>
    </row>
    <row r="534" spans="1:11" outlineLevel="1" x14ac:dyDescent="0.25">
      <c r="A534" t="s">
        <v>134</v>
      </c>
      <c r="B534" t="s">
        <v>94</v>
      </c>
      <c r="C534" t="s">
        <v>146</v>
      </c>
      <c r="E534" t="str">
        <f>'Remplissage - Sit. Init.'!F534</f>
        <v>FretFluvCat6DistMoy</v>
      </c>
      <c r="F534" t="s">
        <v>17</v>
      </c>
      <c r="G534">
        <f>IF($H$15="Oui",1,0)*IF(ISNUMBER(SEARCH("La distance moyenne d'un trajet",H532)),1,0)</f>
        <v>1</v>
      </c>
      <c r="I534" s="33"/>
      <c r="J534" t="s">
        <v>88</v>
      </c>
    </row>
    <row r="535" spans="1:11" outlineLevel="1" x14ac:dyDescent="0.25">
      <c r="A535" t="s">
        <v>134</v>
      </c>
      <c r="B535" t="s">
        <v>94</v>
      </c>
      <c r="C535" t="s">
        <v>147</v>
      </c>
      <c r="E535" t="str">
        <f>'Remplissage - Sit. Init.'!F535</f>
        <v>FretFluvCat6EmportMoy</v>
      </c>
      <c r="F535" t="s">
        <v>17</v>
      </c>
      <c r="G535">
        <f>IF($H$15="Oui",1,0)*IF(ISNUMBER(SEARCH("La masse moyenne transportée pour un trajet",H532)),1,0)</f>
        <v>1</v>
      </c>
      <c r="I535" s="33"/>
      <c r="J535" t="s">
        <v>148</v>
      </c>
    </row>
    <row r="536" spans="1:11" outlineLevel="1" x14ac:dyDescent="0.25">
      <c r="A536" t="s">
        <v>134</v>
      </c>
      <c r="B536" t="s">
        <v>94</v>
      </c>
      <c r="C536" t="s">
        <v>149</v>
      </c>
      <c r="E536" t="str">
        <f>'Remplissage - Sit. Init.'!F536</f>
        <v>FretFluvCat6DistAn</v>
      </c>
      <c r="F536" t="s">
        <v>17</v>
      </c>
      <c r="G536">
        <f>IF($H$15="Oui",1,0)*IF(ISNUMBER(SEARCH("La distance parcourue annuellement pour ce type de barge",H532)),1,0)</f>
        <v>0</v>
      </c>
      <c r="I536" s="33"/>
      <c r="J536" t="s">
        <v>88</v>
      </c>
    </row>
    <row r="537" spans="1:11" outlineLevel="1" x14ac:dyDescent="0.25">
      <c r="A537" t="s">
        <v>134</v>
      </c>
      <c r="B537" t="s">
        <v>94</v>
      </c>
      <c r="C537" t="s">
        <v>150</v>
      </c>
      <c r="E537" t="str">
        <f>'Remplissage - Sit. Init.'!F537</f>
        <v>FretFluvCat6TauxChargeMoy</v>
      </c>
      <c r="F537" t="s">
        <v>17</v>
      </c>
      <c r="G537">
        <f>IF($H$15="Oui",1,0)*IF(ISNUMBER(SEARCH("Le taux de chargement moyen",H532)),1,0)</f>
        <v>0</v>
      </c>
      <c r="I537" s="33"/>
      <c r="J537" t="s">
        <v>70</v>
      </c>
    </row>
    <row r="538" spans="1:11" outlineLevel="1" x14ac:dyDescent="0.25">
      <c r="A538" t="s">
        <v>134</v>
      </c>
      <c r="B538" t="s">
        <v>94</v>
      </c>
      <c r="C538" t="s">
        <v>526</v>
      </c>
      <c r="E538" t="str">
        <f>'Remplissage - Sit. Init.'!F538</f>
        <v>FretFluvCat6NbBarges</v>
      </c>
      <c r="F538" t="s">
        <v>17</v>
      </c>
      <c r="G538">
        <f>IF($H$15="Oui",1,0)</f>
        <v>1</v>
      </c>
      <c r="I538" s="33"/>
      <c r="J538" t="s">
        <v>151</v>
      </c>
    </row>
    <row r="539" spans="1:11" outlineLevel="1" x14ac:dyDescent="0.25">
      <c r="A539" t="s">
        <v>134</v>
      </c>
      <c r="B539" t="s">
        <v>95</v>
      </c>
      <c r="C539" t="s">
        <v>135</v>
      </c>
      <c r="E539" t="str">
        <f>'Remplissage - Sit. Init.'!F539</f>
        <v>FretFluvCat7Nom</v>
      </c>
      <c r="F539" s="32" t="s">
        <v>20</v>
      </c>
      <c r="G539">
        <f>IF($H$15="Oui",1,0)</f>
        <v>1</v>
      </c>
      <c r="I539" s="33" t="str">
        <f>VLOOKUP(B539,'Parcs types'!$B$65:$AA$120,2,FALSE)</f>
        <v>Automoteurs &lt; 400 tonnes H2 , ICE</v>
      </c>
      <c r="K539" t="str">
        <f>I539</f>
        <v>Automoteurs &lt; 400 tonnes H2 , ICE</v>
      </c>
    </row>
    <row r="540" spans="1:11" outlineLevel="1" x14ac:dyDescent="0.25">
      <c r="A540" t="s">
        <v>134</v>
      </c>
      <c r="B540" t="s">
        <v>95</v>
      </c>
      <c r="C540" t="s">
        <v>136</v>
      </c>
      <c r="E540" t="str">
        <f>'Remplissage - Sit. Init.'!F540</f>
        <v>FretFluvCat7Type</v>
      </c>
      <c r="F540" t="s">
        <v>20</v>
      </c>
      <c r="G540">
        <f t="shared" ref="G540:G542" si="57">IF($H$15="Oui",1,0)</f>
        <v>1</v>
      </c>
      <c r="H540" s="3"/>
      <c r="I540" s="33" t="str">
        <f>VLOOKUP(B540,'Parcs types'!$B$65:$AA$120,3,FALSE)</f>
        <v>Automoteurs</v>
      </c>
      <c r="K540" t="str">
        <f t="shared" ref="K540:K542" si="58">I540</f>
        <v>Automoteurs</v>
      </c>
    </row>
    <row r="541" spans="1:11" outlineLevel="1" x14ac:dyDescent="0.25">
      <c r="A541" t="s">
        <v>134</v>
      </c>
      <c r="B541" t="s">
        <v>95</v>
      </c>
      <c r="C541" t="s">
        <v>137</v>
      </c>
      <c r="E541" t="str">
        <f>'Remplissage - Sit. Init.'!F541</f>
        <v>FretFluvCat7Cap</v>
      </c>
      <c r="F541" s="32" t="s">
        <v>36</v>
      </c>
      <c r="G541">
        <f t="shared" si="57"/>
        <v>1</v>
      </c>
      <c r="H541" s="8"/>
      <c r="I541" s="33" t="str">
        <f>VLOOKUP(B541,'Parcs types'!$B$65:$AA$120,4,FALSE)</f>
        <v>&lt; 400 tonnes</v>
      </c>
      <c r="J541" t="s">
        <v>524</v>
      </c>
      <c r="K541" t="str">
        <f t="shared" si="58"/>
        <v>&lt; 400 tonnes</v>
      </c>
    </row>
    <row r="542" spans="1:11" outlineLevel="1" x14ac:dyDescent="0.25">
      <c r="A542" t="s">
        <v>134</v>
      </c>
      <c r="B542" t="s">
        <v>95</v>
      </c>
      <c r="C542" t="s">
        <v>525</v>
      </c>
      <c r="E542" t="str">
        <f>'Remplissage - Sit. Init.'!F542</f>
        <v>FretFluvCat7Tech</v>
      </c>
      <c r="F542" s="32" t="s">
        <v>20</v>
      </c>
      <c r="G542">
        <f t="shared" si="57"/>
        <v>1</v>
      </c>
      <c r="I542" s="33" t="str">
        <f>VLOOKUP(B542,'Parcs types'!$B$65:$AA$120,5,FALSE)</f>
        <v>H2 , ICE</v>
      </c>
      <c r="K542" t="str">
        <f t="shared" si="58"/>
        <v>H2 , ICE</v>
      </c>
    </row>
    <row r="543" spans="1:11" outlineLevel="1" x14ac:dyDescent="0.25">
      <c r="A543" t="s">
        <v>134</v>
      </c>
      <c r="B543" t="s">
        <v>95</v>
      </c>
      <c r="C543" t="s">
        <v>140</v>
      </c>
      <c r="E543" t="str">
        <f>'Remplissage - Sit. Init.'!F543</f>
        <v>FretFluvCat7Request</v>
      </c>
      <c r="F543" s="32" t="s">
        <v>20</v>
      </c>
      <c r="G543">
        <f>IF($H$15="Oui",1,0)</f>
        <v>1</v>
      </c>
      <c r="H543" t="s">
        <v>141</v>
      </c>
      <c r="I543" s="33" t="s">
        <v>142</v>
      </c>
    </row>
    <row r="544" spans="1:11" outlineLevel="1" x14ac:dyDescent="0.25">
      <c r="A544" t="s">
        <v>134</v>
      </c>
      <c r="B544" t="s">
        <v>95</v>
      </c>
      <c r="C544" t="s">
        <v>144</v>
      </c>
      <c r="E544" t="str">
        <f>'Remplissage - Sit. Init.'!F544</f>
        <v>FretFluvCat7NbTraj</v>
      </c>
      <c r="F544" t="s">
        <v>17</v>
      </c>
      <c r="G544">
        <f>IF($H$15="Oui",1,0)*IF(ISNUMBER(SEARCH("Une estimation du nombre annuel de trajets pour ce type de barge",H543)),1,0)</f>
        <v>1</v>
      </c>
      <c r="I544" s="33"/>
      <c r="J544" t="s">
        <v>145</v>
      </c>
    </row>
    <row r="545" spans="1:11" outlineLevel="1" x14ac:dyDescent="0.25">
      <c r="A545" t="s">
        <v>134</v>
      </c>
      <c r="B545" t="s">
        <v>95</v>
      </c>
      <c r="C545" t="s">
        <v>146</v>
      </c>
      <c r="E545" t="str">
        <f>'Remplissage - Sit. Init.'!F545</f>
        <v>FretFluvCat7DistMoy</v>
      </c>
      <c r="F545" t="s">
        <v>17</v>
      </c>
      <c r="G545">
        <f>IF($H$15="Oui",1,0)*IF(ISNUMBER(SEARCH("La distance moyenne d'un trajet",H543)),1,0)</f>
        <v>1</v>
      </c>
      <c r="I545" s="33"/>
      <c r="J545" t="s">
        <v>88</v>
      </c>
    </row>
    <row r="546" spans="1:11" outlineLevel="1" x14ac:dyDescent="0.25">
      <c r="A546" t="s">
        <v>134</v>
      </c>
      <c r="B546" t="s">
        <v>95</v>
      </c>
      <c r="C546" t="s">
        <v>147</v>
      </c>
      <c r="E546" t="str">
        <f>'Remplissage - Sit. Init.'!F546</f>
        <v>FretFluvCat7EmportMoy</v>
      </c>
      <c r="F546" t="s">
        <v>17</v>
      </c>
      <c r="G546">
        <f>IF($H$15="Oui",1,0)*IF(ISNUMBER(SEARCH("La masse moyenne transportée pour un trajet",H543)),1,0)</f>
        <v>1</v>
      </c>
      <c r="I546" s="33"/>
      <c r="J546" t="s">
        <v>148</v>
      </c>
    </row>
    <row r="547" spans="1:11" outlineLevel="1" x14ac:dyDescent="0.25">
      <c r="A547" t="s">
        <v>134</v>
      </c>
      <c r="B547" t="s">
        <v>95</v>
      </c>
      <c r="C547" t="s">
        <v>149</v>
      </c>
      <c r="E547" t="str">
        <f>'Remplissage - Sit. Init.'!F547</f>
        <v>FretFluvCat7DistAn</v>
      </c>
      <c r="F547" t="s">
        <v>17</v>
      </c>
      <c r="G547">
        <f>IF($H$15="Oui",1,0)*IF(ISNUMBER(SEARCH("La distance parcourue annuellement pour ce type de barge",H543)),1,0)</f>
        <v>0</v>
      </c>
      <c r="I547" s="33"/>
      <c r="J547" t="s">
        <v>88</v>
      </c>
    </row>
    <row r="548" spans="1:11" outlineLevel="1" x14ac:dyDescent="0.25">
      <c r="A548" t="s">
        <v>134</v>
      </c>
      <c r="B548" t="s">
        <v>95</v>
      </c>
      <c r="C548" t="s">
        <v>150</v>
      </c>
      <c r="E548" t="str">
        <f>'Remplissage - Sit. Init.'!F548</f>
        <v>FretFluvCat7TauxChargeMoy</v>
      </c>
      <c r="F548" t="s">
        <v>17</v>
      </c>
      <c r="G548">
        <f>IF($H$15="Oui",1,0)*IF(ISNUMBER(SEARCH("Le taux de chargement moyen",H543)),1,0)</f>
        <v>0</v>
      </c>
      <c r="I548" s="33"/>
      <c r="J548" t="s">
        <v>70</v>
      </c>
    </row>
    <row r="549" spans="1:11" outlineLevel="1" x14ac:dyDescent="0.25">
      <c r="A549" t="s">
        <v>134</v>
      </c>
      <c r="B549" t="s">
        <v>95</v>
      </c>
      <c r="C549" t="s">
        <v>526</v>
      </c>
      <c r="E549" t="str">
        <f>'Remplissage - Sit. Init.'!F549</f>
        <v>FretFluvCat7NbBarges</v>
      </c>
      <c r="F549" t="s">
        <v>17</v>
      </c>
      <c r="G549">
        <f>IF($H$15="Oui",1,0)</f>
        <v>1</v>
      </c>
      <c r="I549" s="33"/>
      <c r="J549" t="s">
        <v>151</v>
      </c>
    </row>
    <row r="550" spans="1:11" outlineLevel="1" x14ac:dyDescent="0.25">
      <c r="A550" t="s">
        <v>134</v>
      </c>
      <c r="B550" t="s">
        <v>96</v>
      </c>
      <c r="C550" t="s">
        <v>135</v>
      </c>
      <c r="E550" t="str">
        <f>'Remplissage - Sit. Init.'!F550</f>
        <v>FretFluvCat8Nom</v>
      </c>
      <c r="F550" s="32" t="s">
        <v>20</v>
      </c>
      <c r="G550">
        <f>IF($H$15="Oui",1,0)</f>
        <v>1</v>
      </c>
      <c r="I550" s="33" t="str">
        <f>VLOOKUP(B550,'Parcs types'!$B$65:$AA$120,2,FALSE)</f>
        <v>Automoteurs 400-649 tonnes CCNR 2 ou inférieur, diesel</v>
      </c>
      <c r="K550" t="str">
        <f>I550</f>
        <v>Automoteurs 400-649 tonnes CCNR 2 ou inférieur, diesel</v>
      </c>
    </row>
    <row r="551" spans="1:11" outlineLevel="1" x14ac:dyDescent="0.25">
      <c r="A551" t="s">
        <v>134</v>
      </c>
      <c r="B551" t="s">
        <v>96</v>
      </c>
      <c r="C551" t="s">
        <v>136</v>
      </c>
      <c r="E551" t="str">
        <f>'Remplissage - Sit. Init.'!F551</f>
        <v>FretFluvCat8Type</v>
      </c>
      <c r="F551" t="s">
        <v>20</v>
      </c>
      <c r="G551">
        <f t="shared" ref="G551:G553" si="59">IF($H$15="Oui",1,0)</f>
        <v>1</v>
      </c>
      <c r="H551" s="3"/>
      <c r="I551" s="33" t="str">
        <f>VLOOKUP(B551,'Parcs types'!$B$65:$AA$120,3,FALSE)</f>
        <v>Automoteurs</v>
      </c>
      <c r="K551" t="str">
        <f t="shared" ref="K551:K553" si="60">I551</f>
        <v>Automoteurs</v>
      </c>
    </row>
    <row r="552" spans="1:11" outlineLevel="1" x14ac:dyDescent="0.25">
      <c r="A552" t="s">
        <v>134</v>
      </c>
      <c r="B552" t="s">
        <v>96</v>
      </c>
      <c r="C552" t="s">
        <v>137</v>
      </c>
      <c r="E552" t="str">
        <f>'Remplissage - Sit. Init.'!F552</f>
        <v>FretFluvCat8Cap</v>
      </c>
      <c r="F552" s="32" t="s">
        <v>36</v>
      </c>
      <c r="G552">
        <f t="shared" si="59"/>
        <v>1</v>
      </c>
      <c r="H552" s="8"/>
      <c r="I552" s="33" t="str">
        <f>VLOOKUP(B552,'Parcs types'!$B$65:$AA$120,4,FALSE)</f>
        <v>400-649 tonnes</v>
      </c>
      <c r="J552" t="s">
        <v>524</v>
      </c>
      <c r="K552" t="str">
        <f t="shared" si="60"/>
        <v>400-649 tonnes</v>
      </c>
    </row>
    <row r="553" spans="1:11" outlineLevel="1" x14ac:dyDescent="0.25">
      <c r="A553" t="s">
        <v>134</v>
      </c>
      <c r="B553" t="s">
        <v>96</v>
      </c>
      <c r="C553" t="s">
        <v>525</v>
      </c>
      <c r="E553" t="str">
        <f>'Remplissage - Sit. Init.'!F553</f>
        <v>FretFluvCat8Tech</v>
      </c>
      <c r="F553" s="32" t="s">
        <v>20</v>
      </c>
      <c r="G553">
        <f t="shared" si="59"/>
        <v>1</v>
      </c>
      <c r="H553" s="8"/>
      <c r="I553" s="33" t="str">
        <f>VLOOKUP(B553,'Parcs types'!$B$65:$AA$120,5,FALSE)</f>
        <v>CCNR 2 ou inférieur, diesel</v>
      </c>
      <c r="K553" t="str">
        <f t="shared" si="60"/>
        <v>CCNR 2 ou inférieur, diesel</v>
      </c>
    </row>
    <row r="554" spans="1:11" outlineLevel="1" x14ac:dyDescent="0.25">
      <c r="A554" t="s">
        <v>134</v>
      </c>
      <c r="B554" t="s">
        <v>96</v>
      </c>
      <c r="C554" t="s">
        <v>140</v>
      </c>
      <c r="E554" t="str">
        <f>'Remplissage - Sit. Init.'!F554</f>
        <v>FretFluvCat8Request</v>
      </c>
      <c r="F554" s="32" t="s">
        <v>20</v>
      </c>
      <c r="G554">
        <f>IF($H$15="Oui",1,0)</f>
        <v>1</v>
      </c>
      <c r="H554" t="s">
        <v>141</v>
      </c>
      <c r="I554" s="33" t="s">
        <v>142</v>
      </c>
      <c r="K554" s="8"/>
    </row>
    <row r="555" spans="1:11" outlineLevel="1" x14ac:dyDescent="0.25">
      <c r="A555" t="s">
        <v>134</v>
      </c>
      <c r="B555" t="s">
        <v>96</v>
      </c>
      <c r="C555" t="s">
        <v>144</v>
      </c>
      <c r="E555" t="str">
        <f>'Remplissage - Sit. Init.'!F555</f>
        <v>FretFluvCat8NbTraj</v>
      </c>
      <c r="F555" t="s">
        <v>17</v>
      </c>
      <c r="G555">
        <f>IF($H$15="Oui",1,0)*IF(ISNUMBER(SEARCH("Une estimation du nombre annuel de trajets pour ce type de barge",H554)),1,0)</f>
        <v>1</v>
      </c>
      <c r="H555" s="8"/>
      <c r="I555" s="33"/>
      <c r="J555" t="s">
        <v>145</v>
      </c>
      <c r="K555" s="8"/>
    </row>
    <row r="556" spans="1:11" outlineLevel="1" x14ac:dyDescent="0.25">
      <c r="A556" t="s">
        <v>134</v>
      </c>
      <c r="B556" t="s">
        <v>96</v>
      </c>
      <c r="C556" t="s">
        <v>146</v>
      </c>
      <c r="E556" t="str">
        <f>'Remplissage - Sit. Init.'!F556</f>
        <v>FretFluvCat8DistMoy</v>
      </c>
      <c r="F556" t="s">
        <v>17</v>
      </c>
      <c r="G556">
        <f>IF($H$15="Oui",1,0)*IF(ISNUMBER(SEARCH("La distance moyenne d'un trajet",H554)),1,0)</f>
        <v>1</v>
      </c>
      <c r="H556" s="8"/>
      <c r="I556" s="33"/>
      <c r="J556" t="s">
        <v>88</v>
      </c>
      <c r="K556" s="8"/>
    </row>
    <row r="557" spans="1:11" outlineLevel="1" x14ac:dyDescent="0.25">
      <c r="A557" t="s">
        <v>134</v>
      </c>
      <c r="B557" t="s">
        <v>96</v>
      </c>
      <c r="C557" t="s">
        <v>147</v>
      </c>
      <c r="E557" t="str">
        <f>'Remplissage - Sit. Init.'!F557</f>
        <v>FretFluvCat8EmportMoy</v>
      </c>
      <c r="F557" t="s">
        <v>17</v>
      </c>
      <c r="G557">
        <f>IF($H$15="Oui",1,0)*IF(ISNUMBER(SEARCH("La masse moyenne transportée pour un trajet",H554)),1,0)</f>
        <v>1</v>
      </c>
      <c r="H557" s="8"/>
      <c r="I557" s="33"/>
      <c r="J557" t="s">
        <v>148</v>
      </c>
      <c r="K557" s="8"/>
    </row>
    <row r="558" spans="1:11" outlineLevel="1" x14ac:dyDescent="0.25">
      <c r="A558" t="s">
        <v>134</v>
      </c>
      <c r="B558" t="s">
        <v>96</v>
      </c>
      <c r="C558" t="s">
        <v>149</v>
      </c>
      <c r="E558" t="str">
        <f>'Remplissage - Sit. Init.'!F558</f>
        <v>FretFluvCat8DistAn</v>
      </c>
      <c r="F558" t="s">
        <v>17</v>
      </c>
      <c r="G558">
        <f>IF($H$15="Oui",1,0)*IF(ISNUMBER(SEARCH("La distance parcourue annuellement pour ce type de barge",H554)),1,0)</f>
        <v>0</v>
      </c>
      <c r="H558" s="8"/>
      <c r="I558" s="33"/>
      <c r="J558" t="s">
        <v>88</v>
      </c>
      <c r="K558" s="8"/>
    </row>
    <row r="559" spans="1:11" outlineLevel="1" x14ac:dyDescent="0.25">
      <c r="A559" t="s">
        <v>134</v>
      </c>
      <c r="B559" t="s">
        <v>96</v>
      </c>
      <c r="C559" t="s">
        <v>150</v>
      </c>
      <c r="E559" t="str">
        <f>'Remplissage - Sit. Init.'!F559</f>
        <v>FretFluvCat8TauxChargeMoy</v>
      </c>
      <c r="F559" t="s">
        <v>17</v>
      </c>
      <c r="G559">
        <f>IF($H$15="Oui",1,0)*IF(ISNUMBER(SEARCH("Le taux de chargement moyen",H554)),1,0)</f>
        <v>0</v>
      </c>
      <c r="H559" s="8"/>
      <c r="I559" s="33"/>
      <c r="J559" t="s">
        <v>70</v>
      </c>
      <c r="K559" s="8"/>
    </row>
    <row r="560" spans="1:11" outlineLevel="1" x14ac:dyDescent="0.25">
      <c r="A560" t="s">
        <v>134</v>
      </c>
      <c r="B560" t="s">
        <v>96</v>
      </c>
      <c r="C560" t="s">
        <v>526</v>
      </c>
      <c r="E560" t="str">
        <f>'Remplissage - Sit. Init.'!F560</f>
        <v>FretFluvCat8NbBarges</v>
      </c>
      <c r="F560" t="s">
        <v>17</v>
      </c>
      <c r="G560">
        <f>IF($H$15="Oui",1,0)</f>
        <v>1</v>
      </c>
      <c r="H560" s="8"/>
      <c r="I560" s="33"/>
      <c r="J560" t="s">
        <v>151</v>
      </c>
      <c r="K560" s="8"/>
    </row>
    <row r="561" spans="1:11" outlineLevel="1" x14ac:dyDescent="0.25">
      <c r="A561" t="s">
        <v>134</v>
      </c>
      <c r="B561" t="s">
        <v>97</v>
      </c>
      <c r="C561" t="s">
        <v>135</v>
      </c>
      <c r="E561" t="str">
        <f>'Remplissage - Sit. Init.'!F561</f>
        <v>FretFluvCat 9Nom</v>
      </c>
      <c r="F561" s="32" t="s">
        <v>20</v>
      </c>
      <c r="G561">
        <f>IF($H$15="Oui",1,0)</f>
        <v>1</v>
      </c>
      <c r="H561" s="8"/>
      <c r="I561" s="33" t="str">
        <f>VLOOKUP(B561,'Parcs types'!$B$65:$AA$120,2,FALSE)</f>
        <v>Automoteurs 400-649 tonnes CCNR 2 + SCR, diesel</v>
      </c>
      <c r="K561" t="str">
        <f>I561</f>
        <v>Automoteurs 400-649 tonnes CCNR 2 + SCR, diesel</v>
      </c>
    </row>
    <row r="562" spans="1:11" outlineLevel="1" x14ac:dyDescent="0.25">
      <c r="A562" t="s">
        <v>134</v>
      </c>
      <c r="B562" t="s">
        <v>97</v>
      </c>
      <c r="C562" t="s">
        <v>136</v>
      </c>
      <c r="E562" t="str">
        <f>'Remplissage - Sit. Init.'!F562</f>
        <v>FretFluvCat 9Type</v>
      </c>
      <c r="F562" t="s">
        <v>20</v>
      </c>
      <c r="G562">
        <f t="shared" ref="G562:G564" si="61">IF($H$15="Oui",1,0)</f>
        <v>1</v>
      </c>
      <c r="H562" s="8"/>
      <c r="I562" s="33" t="str">
        <f>VLOOKUP(B562,'Parcs types'!$B$65:$AA$120,3,FALSE)</f>
        <v>Automoteurs</v>
      </c>
      <c r="K562" t="str">
        <f t="shared" ref="K562:K564" si="62">I562</f>
        <v>Automoteurs</v>
      </c>
    </row>
    <row r="563" spans="1:11" outlineLevel="1" x14ac:dyDescent="0.25">
      <c r="A563" t="s">
        <v>134</v>
      </c>
      <c r="B563" t="s">
        <v>97</v>
      </c>
      <c r="C563" t="s">
        <v>137</v>
      </c>
      <c r="E563" t="str">
        <f>'Remplissage - Sit. Init.'!F563</f>
        <v>FretFluvCat 9Cap</v>
      </c>
      <c r="F563" s="32" t="s">
        <v>36</v>
      </c>
      <c r="G563">
        <f t="shared" si="61"/>
        <v>1</v>
      </c>
      <c r="H563" s="8"/>
      <c r="I563" s="33" t="str">
        <f>VLOOKUP(B563,'Parcs types'!$B$65:$AA$120,4,FALSE)</f>
        <v>400-649 tonnes</v>
      </c>
      <c r="J563" t="s">
        <v>524</v>
      </c>
      <c r="K563" t="str">
        <f t="shared" si="62"/>
        <v>400-649 tonnes</v>
      </c>
    </row>
    <row r="564" spans="1:11" outlineLevel="1" x14ac:dyDescent="0.25">
      <c r="A564" t="s">
        <v>134</v>
      </c>
      <c r="B564" t="s">
        <v>97</v>
      </c>
      <c r="C564" t="s">
        <v>525</v>
      </c>
      <c r="E564" t="str">
        <f>'Remplissage - Sit. Init.'!F564</f>
        <v>FretFluvCat 9Tech</v>
      </c>
      <c r="F564" s="32" t="s">
        <v>20</v>
      </c>
      <c r="G564">
        <f t="shared" si="61"/>
        <v>1</v>
      </c>
      <c r="H564" s="8"/>
      <c r="I564" s="33" t="str">
        <f>VLOOKUP(B564,'Parcs types'!$B$65:$AA$120,5,FALSE)</f>
        <v>CCNR 2 + SCR, diesel</v>
      </c>
      <c r="K564" t="str">
        <f t="shared" si="62"/>
        <v>CCNR 2 + SCR, diesel</v>
      </c>
    </row>
    <row r="565" spans="1:11" outlineLevel="1" x14ac:dyDescent="0.25">
      <c r="A565" t="s">
        <v>134</v>
      </c>
      <c r="B565" t="s">
        <v>97</v>
      </c>
      <c r="C565" t="s">
        <v>140</v>
      </c>
      <c r="E565" t="str">
        <f>'Remplissage - Sit. Init.'!F565</f>
        <v>FretFluvCat 9Request</v>
      </c>
      <c r="F565" s="32" t="s">
        <v>20</v>
      </c>
      <c r="G565">
        <f>IF($H$15="Oui",1,0)</f>
        <v>1</v>
      </c>
      <c r="H565" t="s">
        <v>141</v>
      </c>
      <c r="I565" s="33" t="s">
        <v>142</v>
      </c>
      <c r="K565" s="8"/>
    </row>
    <row r="566" spans="1:11" outlineLevel="1" x14ac:dyDescent="0.25">
      <c r="A566" t="s">
        <v>134</v>
      </c>
      <c r="B566" t="s">
        <v>97</v>
      </c>
      <c r="C566" t="s">
        <v>144</v>
      </c>
      <c r="E566" t="str">
        <f>'Remplissage - Sit. Init.'!F566</f>
        <v>FretFluvCat 9NbTraj</v>
      </c>
      <c r="F566" t="s">
        <v>17</v>
      </c>
      <c r="G566">
        <f>IF($H$15="Oui",1,0)*IF(ISNUMBER(SEARCH("Une estimation du nombre annuel de trajets pour ce type de barge",H565)),1,0)</f>
        <v>1</v>
      </c>
      <c r="H566" s="8"/>
      <c r="I566" s="33"/>
      <c r="J566" t="s">
        <v>145</v>
      </c>
      <c r="K566" s="8"/>
    </row>
    <row r="567" spans="1:11" outlineLevel="1" x14ac:dyDescent="0.25">
      <c r="A567" t="s">
        <v>134</v>
      </c>
      <c r="B567" t="s">
        <v>97</v>
      </c>
      <c r="C567" t="s">
        <v>146</v>
      </c>
      <c r="E567" t="str">
        <f>'Remplissage - Sit. Init.'!F567</f>
        <v>FretFluvCat 9DistMoy</v>
      </c>
      <c r="F567" t="s">
        <v>17</v>
      </c>
      <c r="G567">
        <f>IF($H$15="Oui",1,0)*IF(ISNUMBER(SEARCH("La distance moyenne d'un trajet",H565)),1,0)</f>
        <v>1</v>
      </c>
      <c r="H567" s="8"/>
      <c r="I567" s="33"/>
      <c r="J567" t="s">
        <v>88</v>
      </c>
      <c r="K567" s="8"/>
    </row>
    <row r="568" spans="1:11" outlineLevel="1" x14ac:dyDescent="0.25">
      <c r="A568" t="s">
        <v>134</v>
      </c>
      <c r="B568" t="s">
        <v>97</v>
      </c>
      <c r="C568" t="s">
        <v>147</v>
      </c>
      <c r="E568" t="str">
        <f>'Remplissage - Sit. Init.'!F568</f>
        <v>FretFluvCat 9EmportMoy</v>
      </c>
      <c r="F568" t="s">
        <v>17</v>
      </c>
      <c r="G568">
        <f>IF($H$15="Oui",1,0)*IF(ISNUMBER(SEARCH("La masse moyenne transportée pour un trajet",H565)),1,0)</f>
        <v>1</v>
      </c>
      <c r="H568" s="8"/>
      <c r="I568" s="33"/>
      <c r="J568" t="s">
        <v>148</v>
      </c>
      <c r="K568" s="8"/>
    </row>
    <row r="569" spans="1:11" outlineLevel="1" x14ac:dyDescent="0.25">
      <c r="A569" t="s">
        <v>134</v>
      </c>
      <c r="B569" t="s">
        <v>97</v>
      </c>
      <c r="C569" t="s">
        <v>149</v>
      </c>
      <c r="E569" t="str">
        <f>'Remplissage - Sit. Init.'!F569</f>
        <v>FretFluvCat 9DistAn</v>
      </c>
      <c r="F569" t="s">
        <v>17</v>
      </c>
      <c r="G569">
        <f>IF($H$15="Oui",1,0)*IF(ISNUMBER(SEARCH("La distance parcourue annuellement pour ce type de barge",H565)),1,0)</f>
        <v>0</v>
      </c>
      <c r="H569" s="8"/>
      <c r="I569" s="33"/>
      <c r="J569" t="s">
        <v>88</v>
      </c>
      <c r="K569" s="8"/>
    </row>
    <row r="570" spans="1:11" outlineLevel="1" x14ac:dyDescent="0.25">
      <c r="A570" t="s">
        <v>134</v>
      </c>
      <c r="B570" t="s">
        <v>97</v>
      </c>
      <c r="C570" t="s">
        <v>150</v>
      </c>
      <c r="E570" t="str">
        <f>'Remplissage - Sit. Init.'!F570</f>
        <v>FretFluvCat 9TauxChargeMoy</v>
      </c>
      <c r="F570" t="s">
        <v>17</v>
      </c>
      <c r="G570">
        <f>IF($H$15="Oui",1,0)*IF(ISNUMBER(SEARCH("Le taux de chargement moyen",H565)),1,0)</f>
        <v>0</v>
      </c>
      <c r="H570" s="8"/>
      <c r="I570" s="33"/>
      <c r="J570" t="s">
        <v>70</v>
      </c>
      <c r="K570" s="8"/>
    </row>
    <row r="571" spans="1:11" outlineLevel="1" x14ac:dyDescent="0.25">
      <c r="A571" t="s">
        <v>134</v>
      </c>
      <c r="B571" t="s">
        <v>97</v>
      </c>
      <c r="C571" t="s">
        <v>526</v>
      </c>
      <c r="E571" t="str">
        <f>'Remplissage - Sit. Init.'!F571</f>
        <v>FretFluvCat 9NbBarges</v>
      </c>
      <c r="F571" t="s">
        <v>17</v>
      </c>
      <c r="G571">
        <f>IF($H$15="Oui",1,0)</f>
        <v>1</v>
      </c>
      <c r="H571" s="8"/>
      <c r="I571" s="33"/>
      <c r="J571" t="s">
        <v>151</v>
      </c>
      <c r="K571" s="8"/>
    </row>
    <row r="572" spans="1:11" outlineLevel="1" x14ac:dyDescent="0.25">
      <c r="A572" t="s">
        <v>134</v>
      </c>
      <c r="B572" t="s">
        <v>98</v>
      </c>
      <c r="C572" t="s">
        <v>135</v>
      </c>
      <c r="E572" t="str">
        <f>'Remplissage - Sit. Init.'!F572</f>
        <v>FretFluvCat10Nom</v>
      </c>
      <c r="F572" s="32" t="s">
        <v>20</v>
      </c>
      <c r="G572">
        <f>IF($H$15="Oui",1,0)</f>
        <v>1</v>
      </c>
      <c r="H572" s="8"/>
      <c r="I572" s="33" t="str">
        <f>VLOOKUP(B572,'Parcs types'!$B$65:$AA$120,2,FALSE)</f>
        <v>Automoteurs 400-649 tonnes Phase V, diesel</v>
      </c>
      <c r="K572" t="str">
        <f>I572</f>
        <v>Automoteurs 400-649 tonnes Phase V, diesel</v>
      </c>
    </row>
    <row r="573" spans="1:11" outlineLevel="1" x14ac:dyDescent="0.25">
      <c r="A573" t="s">
        <v>134</v>
      </c>
      <c r="B573" t="s">
        <v>98</v>
      </c>
      <c r="C573" t="s">
        <v>136</v>
      </c>
      <c r="E573" t="str">
        <f>'Remplissage - Sit. Init.'!F573</f>
        <v>FretFluvCat10Type</v>
      </c>
      <c r="F573" t="s">
        <v>20</v>
      </c>
      <c r="G573">
        <f t="shared" ref="G573:G575" si="63">IF($H$15="Oui",1,0)</f>
        <v>1</v>
      </c>
      <c r="H573" s="8"/>
      <c r="I573" s="33" t="str">
        <f>VLOOKUP(B573,'Parcs types'!$B$65:$AA$120,3,FALSE)</f>
        <v>Automoteurs</v>
      </c>
      <c r="K573" t="str">
        <f t="shared" ref="K573:K575" si="64">I573</f>
        <v>Automoteurs</v>
      </c>
    </row>
    <row r="574" spans="1:11" outlineLevel="1" x14ac:dyDescent="0.25">
      <c r="A574" t="s">
        <v>134</v>
      </c>
      <c r="B574" t="s">
        <v>98</v>
      </c>
      <c r="C574" t="s">
        <v>137</v>
      </c>
      <c r="E574" t="str">
        <f>'Remplissage - Sit. Init.'!F574</f>
        <v>FretFluvCat10Cap</v>
      </c>
      <c r="F574" s="32" t="s">
        <v>36</v>
      </c>
      <c r="G574">
        <f t="shared" si="63"/>
        <v>1</v>
      </c>
      <c r="H574" s="8"/>
      <c r="I574" s="33" t="str">
        <f>VLOOKUP(B574,'Parcs types'!$B$65:$AA$120,4,FALSE)</f>
        <v>400-649 tonnes</v>
      </c>
      <c r="J574" t="s">
        <v>524</v>
      </c>
      <c r="K574" t="str">
        <f t="shared" si="64"/>
        <v>400-649 tonnes</v>
      </c>
    </row>
    <row r="575" spans="1:11" outlineLevel="1" x14ac:dyDescent="0.25">
      <c r="A575" t="s">
        <v>134</v>
      </c>
      <c r="B575" t="s">
        <v>98</v>
      </c>
      <c r="C575" t="s">
        <v>525</v>
      </c>
      <c r="E575" t="str">
        <f>'Remplissage - Sit. Init.'!F575</f>
        <v>FretFluvCat10Tech</v>
      </c>
      <c r="F575" s="32" t="s">
        <v>20</v>
      </c>
      <c r="G575">
        <f t="shared" si="63"/>
        <v>1</v>
      </c>
      <c r="H575" s="8"/>
      <c r="I575" s="33" t="str">
        <f>VLOOKUP(B575,'Parcs types'!$B$65:$AA$120,5,FALSE)</f>
        <v>Phase V, diesel</v>
      </c>
      <c r="K575" t="str">
        <f t="shared" si="64"/>
        <v>Phase V, diesel</v>
      </c>
    </row>
    <row r="576" spans="1:11" outlineLevel="1" x14ac:dyDescent="0.25">
      <c r="A576" t="s">
        <v>134</v>
      </c>
      <c r="B576" t="s">
        <v>98</v>
      </c>
      <c r="C576" t="s">
        <v>140</v>
      </c>
      <c r="E576" t="str">
        <f>'Remplissage - Sit. Init.'!F576</f>
        <v>FretFluvCat10Request</v>
      </c>
      <c r="F576" s="32" t="s">
        <v>20</v>
      </c>
      <c r="G576">
        <f>IF($H$15="Oui",1,0)</f>
        <v>1</v>
      </c>
      <c r="H576" t="s">
        <v>141</v>
      </c>
      <c r="I576" s="33" t="s">
        <v>142</v>
      </c>
      <c r="K576" s="8"/>
    </row>
    <row r="577" spans="1:11" outlineLevel="1" x14ac:dyDescent="0.25">
      <c r="A577" t="s">
        <v>134</v>
      </c>
      <c r="B577" t="s">
        <v>98</v>
      </c>
      <c r="C577" t="s">
        <v>144</v>
      </c>
      <c r="E577" t="str">
        <f>'Remplissage - Sit. Init.'!F577</f>
        <v>FretFluvCat10NbTraj</v>
      </c>
      <c r="F577" t="s">
        <v>17</v>
      </c>
      <c r="G577">
        <f>IF($H$15="Oui",1,0)*IF(ISNUMBER(SEARCH("Une estimation du nombre annuel de trajets pour ce type de barge",H576)),1,0)</f>
        <v>1</v>
      </c>
      <c r="H577" s="8"/>
      <c r="I577" s="33"/>
      <c r="J577" t="s">
        <v>145</v>
      </c>
      <c r="K577" s="8"/>
    </row>
    <row r="578" spans="1:11" outlineLevel="1" x14ac:dyDescent="0.25">
      <c r="A578" t="s">
        <v>134</v>
      </c>
      <c r="B578" t="s">
        <v>98</v>
      </c>
      <c r="C578" t="s">
        <v>146</v>
      </c>
      <c r="E578" t="str">
        <f>'Remplissage - Sit. Init.'!F578</f>
        <v>FretFluvCat10DistMoy</v>
      </c>
      <c r="F578" t="s">
        <v>17</v>
      </c>
      <c r="G578">
        <f>IF($H$15="Oui",1,0)*IF(ISNUMBER(SEARCH("La distance moyenne d'un trajet",H576)),1,0)</f>
        <v>1</v>
      </c>
      <c r="H578" s="8"/>
      <c r="I578" s="33"/>
      <c r="J578" t="s">
        <v>88</v>
      </c>
      <c r="K578" s="8"/>
    </row>
    <row r="579" spans="1:11" outlineLevel="1" x14ac:dyDescent="0.25">
      <c r="A579" t="s">
        <v>134</v>
      </c>
      <c r="B579" t="s">
        <v>98</v>
      </c>
      <c r="C579" t="s">
        <v>147</v>
      </c>
      <c r="E579" t="str">
        <f>'Remplissage - Sit. Init.'!F579</f>
        <v>FretFluvCat10EmportMoy</v>
      </c>
      <c r="F579" t="s">
        <v>17</v>
      </c>
      <c r="G579">
        <f>IF($H$15="Oui",1,0)*IF(ISNUMBER(SEARCH("La masse moyenne transportée pour un trajet",H576)),1,0)</f>
        <v>1</v>
      </c>
      <c r="H579" s="8"/>
      <c r="I579" s="33"/>
      <c r="J579" t="s">
        <v>148</v>
      </c>
      <c r="K579" s="8"/>
    </row>
    <row r="580" spans="1:11" outlineLevel="1" x14ac:dyDescent="0.25">
      <c r="A580" t="s">
        <v>134</v>
      </c>
      <c r="B580" t="s">
        <v>98</v>
      </c>
      <c r="C580" t="s">
        <v>149</v>
      </c>
      <c r="E580" t="str">
        <f>'Remplissage - Sit. Init.'!F580</f>
        <v>FretFluvCat10DistAn</v>
      </c>
      <c r="F580" t="s">
        <v>17</v>
      </c>
      <c r="G580">
        <f>IF($H$15="Oui",1,0)*IF(ISNUMBER(SEARCH("La distance parcourue annuellement pour ce type de barge",H576)),1,0)</f>
        <v>0</v>
      </c>
      <c r="H580" s="8"/>
      <c r="I580" s="33"/>
      <c r="J580" t="s">
        <v>88</v>
      </c>
      <c r="K580" s="8"/>
    </row>
    <row r="581" spans="1:11" outlineLevel="1" x14ac:dyDescent="0.25">
      <c r="A581" t="s">
        <v>134</v>
      </c>
      <c r="B581" t="s">
        <v>98</v>
      </c>
      <c r="C581" t="s">
        <v>150</v>
      </c>
      <c r="E581" t="str">
        <f>'Remplissage - Sit. Init.'!F581</f>
        <v>FretFluvCat10TauxChargeMoy</v>
      </c>
      <c r="F581" t="s">
        <v>17</v>
      </c>
      <c r="G581">
        <f>IF($H$15="Oui",1,0)*IF(ISNUMBER(SEARCH("Le taux de chargement moyen",H576)),1,0)</f>
        <v>0</v>
      </c>
      <c r="H581" s="8"/>
      <c r="I581" s="33"/>
      <c r="J581" t="s">
        <v>70</v>
      </c>
      <c r="K581" s="8"/>
    </row>
    <row r="582" spans="1:11" outlineLevel="1" x14ac:dyDescent="0.25">
      <c r="A582" t="s">
        <v>134</v>
      </c>
      <c r="B582" t="s">
        <v>98</v>
      </c>
      <c r="C582" t="s">
        <v>526</v>
      </c>
      <c r="E582" t="str">
        <f>'Remplissage - Sit. Init.'!F582</f>
        <v>FretFluvCat10NbBarges</v>
      </c>
      <c r="F582" t="s">
        <v>17</v>
      </c>
      <c r="G582">
        <f>IF($H$15="Oui",1,0)</f>
        <v>1</v>
      </c>
      <c r="H582" s="8"/>
      <c r="I582" s="33"/>
      <c r="J582" t="s">
        <v>151</v>
      </c>
      <c r="K582" s="8"/>
    </row>
    <row r="583" spans="1:11" outlineLevel="1" x14ac:dyDescent="0.25">
      <c r="A583" t="s">
        <v>134</v>
      </c>
      <c r="B583" t="s">
        <v>99</v>
      </c>
      <c r="C583" t="s">
        <v>135</v>
      </c>
      <c r="E583" t="str">
        <f>'Remplissage - Sit. Init.'!F583</f>
        <v>FretFluvCat11Nom</v>
      </c>
      <c r="F583" s="32" t="s">
        <v>20</v>
      </c>
      <c r="G583">
        <f>IF($H$15="Oui",1,0)</f>
        <v>1</v>
      </c>
      <c r="H583" s="8"/>
      <c r="I583" s="33" t="str">
        <f>VLOOKUP(B583,'Parcs types'!$B$65:$AA$120,2,FALSE)</f>
        <v>Automoteurs 400-649 tonnes Phase V, HVO</v>
      </c>
      <c r="K583" t="str">
        <f>I583</f>
        <v>Automoteurs 400-649 tonnes Phase V, HVO</v>
      </c>
    </row>
    <row r="584" spans="1:11" outlineLevel="1" x14ac:dyDescent="0.25">
      <c r="A584" t="s">
        <v>134</v>
      </c>
      <c r="B584" t="s">
        <v>99</v>
      </c>
      <c r="C584" t="s">
        <v>136</v>
      </c>
      <c r="E584" t="str">
        <f>'Remplissage - Sit. Init.'!F584</f>
        <v>FretFluvCat11Type</v>
      </c>
      <c r="F584" t="s">
        <v>20</v>
      </c>
      <c r="G584">
        <f t="shared" ref="G584:G586" si="65">IF($H$15="Oui",1,0)</f>
        <v>1</v>
      </c>
      <c r="H584" s="8"/>
      <c r="I584" s="33" t="str">
        <f>VLOOKUP(B584,'Parcs types'!$B$65:$AA$120,3,FALSE)</f>
        <v>Automoteurs</v>
      </c>
      <c r="K584" t="str">
        <f t="shared" ref="K584:K586" si="66">I584</f>
        <v>Automoteurs</v>
      </c>
    </row>
    <row r="585" spans="1:11" outlineLevel="1" x14ac:dyDescent="0.25">
      <c r="A585" t="s">
        <v>134</v>
      </c>
      <c r="B585" t="s">
        <v>99</v>
      </c>
      <c r="C585" t="s">
        <v>137</v>
      </c>
      <c r="E585" t="str">
        <f>'Remplissage - Sit. Init.'!F585</f>
        <v>FretFluvCat11Cap</v>
      </c>
      <c r="F585" s="32" t="s">
        <v>36</v>
      </c>
      <c r="G585">
        <f t="shared" si="65"/>
        <v>1</v>
      </c>
      <c r="H585" s="8"/>
      <c r="I585" s="33" t="str">
        <f>VLOOKUP(B585,'Parcs types'!$B$65:$AA$120,4,FALSE)</f>
        <v>400-649 tonnes</v>
      </c>
      <c r="J585" t="s">
        <v>524</v>
      </c>
      <c r="K585" t="str">
        <f t="shared" si="66"/>
        <v>400-649 tonnes</v>
      </c>
    </row>
    <row r="586" spans="1:11" outlineLevel="1" x14ac:dyDescent="0.25">
      <c r="A586" t="s">
        <v>134</v>
      </c>
      <c r="B586" t="s">
        <v>99</v>
      </c>
      <c r="C586" t="s">
        <v>525</v>
      </c>
      <c r="E586" t="str">
        <f>'Remplissage - Sit. Init.'!F586</f>
        <v>FretFluvCat11Tech</v>
      </c>
      <c r="F586" s="32" t="s">
        <v>20</v>
      </c>
      <c r="G586">
        <f t="shared" si="65"/>
        <v>1</v>
      </c>
      <c r="H586" s="8"/>
      <c r="I586" s="33" t="str">
        <f>VLOOKUP(B586,'Parcs types'!$B$65:$AA$120,5,FALSE)</f>
        <v>Phase V, HVO</v>
      </c>
      <c r="K586" t="str">
        <f t="shared" si="66"/>
        <v>Phase V, HVO</v>
      </c>
    </row>
    <row r="587" spans="1:11" outlineLevel="1" x14ac:dyDescent="0.25">
      <c r="A587" t="s">
        <v>134</v>
      </c>
      <c r="B587" t="s">
        <v>99</v>
      </c>
      <c r="C587" t="s">
        <v>140</v>
      </c>
      <c r="E587" t="str">
        <f>'Remplissage - Sit. Init.'!F587</f>
        <v>FretFluvCat11Request</v>
      </c>
      <c r="F587" s="32" t="s">
        <v>20</v>
      </c>
      <c r="G587">
        <f>IF($H$15="Oui",1,0)</f>
        <v>1</v>
      </c>
      <c r="H587" t="s">
        <v>141</v>
      </c>
      <c r="I587" s="33" t="s">
        <v>142</v>
      </c>
      <c r="K587" s="8"/>
    </row>
    <row r="588" spans="1:11" outlineLevel="1" x14ac:dyDescent="0.25">
      <c r="A588" t="s">
        <v>134</v>
      </c>
      <c r="B588" t="s">
        <v>99</v>
      </c>
      <c r="C588" t="s">
        <v>144</v>
      </c>
      <c r="E588" t="str">
        <f>'Remplissage - Sit. Init.'!F588</f>
        <v>FretFluvCat11NbTraj</v>
      </c>
      <c r="F588" t="s">
        <v>17</v>
      </c>
      <c r="G588">
        <f>IF($H$15="Oui",1,0)*IF(ISNUMBER(SEARCH("Une estimation du nombre annuel de trajets pour ce type de barge",H587)),1,0)</f>
        <v>1</v>
      </c>
      <c r="H588" s="8"/>
      <c r="I588" s="33"/>
      <c r="J588" t="s">
        <v>145</v>
      </c>
      <c r="K588" s="8"/>
    </row>
    <row r="589" spans="1:11" outlineLevel="1" x14ac:dyDescent="0.25">
      <c r="A589" t="s">
        <v>134</v>
      </c>
      <c r="B589" t="s">
        <v>99</v>
      </c>
      <c r="C589" t="s">
        <v>146</v>
      </c>
      <c r="E589" t="str">
        <f>'Remplissage - Sit. Init.'!F589</f>
        <v>FretFluvCat11DistMoy</v>
      </c>
      <c r="F589" t="s">
        <v>17</v>
      </c>
      <c r="G589">
        <f>IF($H$15="Oui",1,0)*IF(ISNUMBER(SEARCH("La distance moyenne d'un trajet",H587)),1,0)</f>
        <v>1</v>
      </c>
      <c r="H589" s="8"/>
      <c r="I589" s="33"/>
      <c r="J589" t="s">
        <v>88</v>
      </c>
      <c r="K589" s="8"/>
    </row>
    <row r="590" spans="1:11" outlineLevel="1" x14ac:dyDescent="0.25">
      <c r="A590" t="s">
        <v>134</v>
      </c>
      <c r="B590" t="s">
        <v>99</v>
      </c>
      <c r="C590" t="s">
        <v>147</v>
      </c>
      <c r="E590" t="str">
        <f>'Remplissage - Sit. Init.'!F590</f>
        <v>FretFluvCat11EmportMoy</v>
      </c>
      <c r="F590" t="s">
        <v>17</v>
      </c>
      <c r="G590">
        <f>IF($H$15="Oui",1,0)*IF(ISNUMBER(SEARCH("La masse moyenne transportée pour un trajet",H587)),1,0)</f>
        <v>1</v>
      </c>
      <c r="H590" s="8"/>
      <c r="I590" s="33"/>
      <c r="J590" t="s">
        <v>148</v>
      </c>
      <c r="K590" s="8"/>
    </row>
    <row r="591" spans="1:11" outlineLevel="1" x14ac:dyDescent="0.25">
      <c r="A591" t="s">
        <v>134</v>
      </c>
      <c r="B591" t="s">
        <v>99</v>
      </c>
      <c r="C591" t="s">
        <v>149</v>
      </c>
      <c r="E591" t="str">
        <f>'Remplissage - Sit. Init.'!F591</f>
        <v>FretFluvCat11DistAn</v>
      </c>
      <c r="F591" t="s">
        <v>17</v>
      </c>
      <c r="G591">
        <f>IF($H$15="Oui",1,0)*IF(ISNUMBER(SEARCH("La distance parcourue annuellement pour ce type de barge",H587)),1,0)</f>
        <v>0</v>
      </c>
      <c r="H591" s="8"/>
      <c r="I591" s="33"/>
      <c r="J591" t="s">
        <v>88</v>
      </c>
      <c r="K591" s="8"/>
    </row>
    <row r="592" spans="1:11" outlineLevel="1" x14ac:dyDescent="0.25">
      <c r="A592" t="s">
        <v>134</v>
      </c>
      <c r="B592" t="s">
        <v>99</v>
      </c>
      <c r="C592" t="s">
        <v>150</v>
      </c>
      <c r="E592" t="str">
        <f>'Remplissage - Sit. Init.'!F592</f>
        <v>FretFluvCat11TauxChargeMoy</v>
      </c>
      <c r="F592" t="s">
        <v>17</v>
      </c>
      <c r="G592">
        <f>IF($H$15="Oui",1,0)*IF(ISNUMBER(SEARCH("Le taux de chargement moyen",H587)),1,0)</f>
        <v>0</v>
      </c>
      <c r="H592" s="8"/>
      <c r="I592" s="33"/>
      <c r="J592" t="s">
        <v>70</v>
      </c>
      <c r="K592" s="8"/>
    </row>
    <row r="593" spans="1:11" outlineLevel="1" x14ac:dyDescent="0.25">
      <c r="A593" t="s">
        <v>134</v>
      </c>
      <c r="B593" t="s">
        <v>99</v>
      </c>
      <c r="C593" t="s">
        <v>526</v>
      </c>
      <c r="E593" t="str">
        <f>'Remplissage - Sit. Init.'!F593</f>
        <v>FretFluvCat11NbBarges</v>
      </c>
      <c r="F593" t="s">
        <v>17</v>
      </c>
      <c r="G593">
        <f>IF($H$15="Oui",1,0)</f>
        <v>1</v>
      </c>
      <c r="H593" s="8"/>
      <c r="I593" s="33"/>
      <c r="J593" t="s">
        <v>151</v>
      </c>
      <c r="K593" s="8"/>
    </row>
    <row r="594" spans="1:11" outlineLevel="1" x14ac:dyDescent="0.25">
      <c r="A594" t="s">
        <v>134</v>
      </c>
      <c r="B594" t="s">
        <v>100</v>
      </c>
      <c r="C594" t="s">
        <v>135</v>
      </c>
      <c r="E594" t="str">
        <f>'Remplissage - Sit. Init.'!F594</f>
        <v>FretFluvCat12Nom</v>
      </c>
      <c r="F594" s="32" t="s">
        <v>20</v>
      </c>
      <c r="G594">
        <f>IF($H$15="Oui",1,0)</f>
        <v>1</v>
      </c>
      <c r="H594" s="8"/>
      <c r="I594" s="33" t="str">
        <f>VLOOKUP(B594,'Parcs types'!$B$65:$AA$120,2,FALSE)</f>
        <v>Automoteurs 400-649 tonnes Batterie</v>
      </c>
      <c r="K594" t="str">
        <f>I594</f>
        <v>Automoteurs 400-649 tonnes Batterie</v>
      </c>
    </row>
    <row r="595" spans="1:11" outlineLevel="1" x14ac:dyDescent="0.25">
      <c r="A595" t="s">
        <v>134</v>
      </c>
      <c r="B595" t="s">
        <v>100</v>
      </c>
      <c r="C595" t="s">
        <v>136</v>
      </c>
      <c r="E595" t="str">
        <f>'Remplissage - Sit. Init.'!F595</f>
        <v>FretFluvCat12Type</v>
      </c>
      <c r="F595" t="s">
        <v>20</v>
      </c>
      <c r="G595">
        <f t="shared" ref="G595:G597" si="67">IF($H$15="Oui",1,0)</f>
        <v>1</v>
      </c>
      <c r="H595" s="8"/>
      <c r="I595" s="33" t="str">
        <f>VLOOKUP(B595,'Parcs types'!$B$65:$AA$120,3,FALSE)</f>
        <v>Automoteurs</v>
      </c>
      <c r="K595" t="str">
        <f t="shared" ref="K595:K597" si="68">I595</f>
        <v>Automoteurs</v>
      </c>
    </row>
    <row r="596" spans="1:11" outlineLevel="1" x14ac:dyDescent="0.25">
      <c r="A596" t="s">
        <v>134</v>
      </c>
      <c r="B596" t="s">
        <v>100</v>
      </c>
      <c r="C596" t="s">
        <v>137</v>
      </c>
      <c r="E596" t="str">
        <f>'Remplissage - Sit. Init.'!F596</f>
        <v>FretFluvCat12Cap</v>
      </c>
      <c r="F596" s="32" t="s">
        <v>36</v>
      </c>
      <c r="G596">
        <f t="shared" si="67"/>
        <v>1</v>
      </c>
      <c r="H596" s="8"/>
      <c r="I596" s="33" t="str">
        <f>VLOOKUP(B596,'Parcs types'!$B$65:$AA$120,4,FALSE)</f>
        <v>400-649 tonnes</v>
      </c>
      <c r="J596" t="s">
        <v>524</v>
      </c>
      <c r="K596" t="str">
        <f t="shared" si="68"/>
        <v>400-649 tonnes</v>
      </c>
    </row>
    <row r="597" spans="1:11" outlineLevel="1" x14ac:dyDescent="0.25">
      <c r="A597" t="s">
        <v>134</v>
      </c>
      <c r="B597" t="s">
        <v>100</v>
      </c>
      <c r="C597" t="s">
        <v>525</v>
      </c>
      <c r="E597" t="str">
        <f>'Remplissage - Sit. Init.'!F597</f>
        <v>FretFluvCat12Tech</v>
      </c>
      <c r="F597" s="32" t="s">
        <v>20</v>
      </c>
      <c r="G597">
        <f t="shared" si="67"/>
        <v>1</v>
      </c>
      <c r="H597" s="8"/>
      <c r="I597" s="33" t="str">
        <f>VLOOKUP(B597,'Parcs types'!$B$65:$AA$120,5,FALSE)</f>
        <v>Batterie</v>
      </c>
      <c r="K597" t="str">
        <f t="shared" si="68"/>
        <v>Batterie</v>
      </c>
    </row>
    <row r="598" spans="1:11" outlineLevel="1" x14ac:dyDescent="0.25">
      <c r="A598" t="s">
        <v>134</v>
      </c>
      <c r="B598" t="s">
        <v>100</v>
      </c>
      <c r="C598" t="s">
        <v>140</v>
      </c>
      <c r="E598" t="str">
        <f>'Remplissage - Sit. Init.'!F598</f>
        <v>FretFluvCat12Request</v>
      </c>
      <c r="F598" s="32" t="s">
        <v>20</v>
      </c>
      <c r="G598">
        <f>IF($H$15="Oui",1,0)</f>
        <v>1</v>
      </c>
      <c r="H598" t="s">
        <v>141</v>
      </c>
      <c r="I598" s="33" t="s">
        <v>142</v>
      </c>
      <c r="K598" s="8"/>
    </row>
    <row r="599" spans="1:11" outlineLevel="1" x14ac:dyDescent="0.25">
      <c r="A599" t="s">
        <v>134</v>
      </c>
      <c r="B599" t="s">
        <v>100</v>
      </c>
      <c r="C599" t="s">
        <v>144</v>
      </c>
      <c r="E599" t="str">
        <f>'Remplissage - Sit. Init.'!F599</f>
        <v>FretFluvCat12NbTraj</v>
      </c>
      <c r="F599" t="s">
        <v>17</v>
      </c>
      <c r="G599">
        <f>IF($H$15="Oui",1,0)*IF(ISNUMBER(SEARCH("Une estimation du nombre annuel de trajets pour ce type de barge",H598)),1,0)</f>
        <v>1</v>
      </c>
      <c r="H599" s="8"/>
      <c r="I599" s="33"/>
      <c r="J599" t="s">
        <v>145</v>
      </c>
      <c r="K599" s="8"/>
    </row>
    <row r="600" spans="1:11" outlineLevel="1" x14ac:dyDescent="0.25">
      <c r="A600" t="s">
        <v>134</v>
      </c>
      <c r="B600" t="s">
        <v>100</v>
      </c>
      <c r="C600" t="s">
        <v>146</v>
      </c>
      <c r="E600" t="str">
        <f>'Remplissage - Sit. Init.'!F600</f>
        <v>FretFluvCat12DistMoy</v>
      </c>
      <c r="F600" t="s">
        <v>17</v>
      </c>
      <c r="G600">
        <f>IF($H$15="Oui",1,0)*IF(ISNUMBER(SEARCH("La distance moyenne d'un trajet",H598)),1,0)</f>
        <v>1</v>
      </c>
      <c r="H600" s="8"/>
      <c r="I600" s="33"/>
      <c r="J600" t="s">
        <v>88</v>
      </c>
      <c r="K600" s="8"/>
    </row>
    <row r="601" spans="1:11" outlineLevel="1" x14ac:dyDescent="0.25">
      <c r="A601" t="s">
        <v>134</v>
      </c>
      <c r="B601" t="s">
        <v>100</v>
      </c>
      <c r="C601" t="s">
        <v>147</v>
      </c>
      <c r="E601" t="str">
        <f>'Remplissage - Sit. Init.'!F601</f>
        <v>FretFluvCat12EmportMoy</v>
      </c>
      <c r="F601" t="s">
        <v>17</v>
      </c>
      <c r="G601">
        <f>IF($H$15="Oui",1,0)*IF(ISNUMBER(SEARCH("La masse moyenne transportée pour un trajet",H598)),1,0)</f>
        <v>1</v>
      </c>
      <c r="H601" s="8"/>
      <c r="I601" s="33"/>
      <c r="J601" t="s">
        <v>148</v>
      </c>
      <c r="K601" s="8"/>
    </row>
    <row r="602" spans="1:11" outlineLevel="1" x14ac:dyDescent="0.25">
      <c r="A602" t="s">
        <v>134</v>
      </c>
      <c r="B602" t="s">
        <v>100</v>
      </c>
      <c r="C602" t="s">
        <v>149</v>
      </c>
      <c r="E602" t="str">
        <f>'Remplissage - Sit. Init.'!F602</f>
        <v>FretFluvCat12DistAn</v>
      </c>
      <c r="F602" t="s">
        <v>17</v>
      </c>
      <c r="G602">
        <f>IF($H$15="Oui",1,0)*IF(ISNUMBER(SEARCH("La distance parcourue annuellement pour ce type de barge",H598)),1,0)</f>
        <v>0</v>
      </c>
      <c r="H602" s="8"/>
      <c r="I602" s="33"/>
      <c r="J602" t="s">
        <v>88</v>
      </c>
      <c r="K602" s="8"/>
    </row>
    <row r="603" spans="1:11" outlineLevel="1" x14ac:dyDescent="0.25">
      <c r="A603" t="s">
        <v>134</v>
      </c>
      <c r="B603" t="s">
        <v>100</v>
      </c>
      <c r="C603" t="s">
        <v>150</v>
      </c>
      <c r="E603" t="str">
        <f>'Remplissage - Sit. Init.'!F603</f>
        <v>FretFluvCat12TauxChargeMoy</v>
      </c>
      <c r="F603" t="s">
        <v>17</v>
      </c>
      <c r="G603">
        <f>IF($H$15="Oui",1,0)*IF(ISNUMBER(SEARCH("Le taux de chargement moyen",H598)),1,0)</f>
        <v>0</v>
      </c>
      <c r="H603" s="8"/>
      <c r="I603" s="33"/>
      <c r="J603" t="s">
        <v>70</v>
      </c>
      <c r="K603" s="8"/>
    </row>
    <row r="604" spans="1:11" outlineLevel="1" x14ac:dyDescent="0.25">
      <c r="A604" t="s">
        <v>134</v>
      </c>
      <c r="B604" t="s">
        <v>100</v>
      </c>
      <c r="C604" t="s">
        <v>526</v>
      </c>
      <c r="E604" t="str">
        <f>'Remplissage - Sit. Init.'!F604</f>
        <v>FretFluvCat12NbBarges</v>
      </c>
      <c r="F604" t="s">
        <v>17</v>
      </c>
      <c r="G604">
        <f>IF($H$15="Oui",1,0)</f>
        <v>1</v>
      </c>
      <c r="H604" s="8"/>
      <c r="I604" s="33"/>
      <c r="J604" t="s">
        <v>151</v>
      </c>
      <c r="K604" s="8"/>
    </row>
    <row r="605" spans="1:11" outlineLevel="1" x14ac:dyDescent="0.25">
      <c r="A605" t="s">
        <v>134</v>
      </c>
      <c r="B605" t="s">
        <v>101</v>
      </c>
      <c r="C605" t="s">
        <v>135</v>
      </c>
      <c r="E605" t="str">
        <f>'Remplissage - Sit. Init.'!F605</f>
        <v>FretFluvCat13Nom</v>
      </c>
      <c r="F605" s="32" t="s">
        <v>20</v>
      </c>
      <c r="G605">
        <f>IF($H$15="Oui",1,0)</f>
        <v>1</v>
      </c>
      <c r="H605" s="8"/>
      <c r="I605" s="33" t="str">
        <f>VLOOKUP(B605,'Parcs types'!$B$65:$AA$120,2,FALSE)</f>
        <v>Automoteurs 400-649 tonnes H2 , PAC</v>
      </c>
      <c r="K605" t="str">
        <f>I605</f>
        <v>Automoteurs 400-649 tonnes H2 , PAC</v>
      </c>
    </row>
    <row r="606" spans="1:11" outlineLevel="1" x14ac:dyDescent="0.25">
      <c r="A606" t="s">
        <v>134</v>
      </c>
      <c r="B606" t="s">
        <v>101</v>
      </c>
      <c r="C606" t="s">
        <v>136</v>
      </c>
      <c r="E606" t="str">
        <f>'Remplissage - Sit. Init.'!F606</f>
        <v>FretFluvCat13Type</v>
      </c>
      <c r="F606" t="s">
        <v>20</v>
      </c>
      <c r="G606">
        <f t="shared" ref="G606:G608" si="69">IF($H$15="Oui",1,0)</f>
        <v>1</v>
      </c>
      <c r="H606" s="8"/>
      <c r="I606" s="33" t="str">
        <f>VLOOKUP(B606,'Parcs types'!$B$65:$AA$120,3,FALSE)</f>
        <v>Automoteurs</v>
      </c>
      <c r="K606" t="str">
        <f t="shared" ref="K606:K608" si="70">I606</f>
        <v>Automoteurs</v>
      </c>
    </row>
    <row r="607" spans="1:11" outlineLevel="1" x14ac:dyDescent="0.25">
      <c r="A607" t="s">
        <v>134</v>
      </c>
      <c r="B607" t="s">
        <v>101</v>
      </c>
      <c r="C607" t="s">
        <v>137</v>
      </c>
      <c r="E607" t="str">
        <f>'Remplissage - Sit. Init.'!F607</f>
        <v>FretFluvCat13Cap</v>
      </c>
      <c r="F607" s="32" t="s">
        <v>36</v>
      </c>
      <c r="G607">
        <f t="shared" si="69"/>
        <v>1</v>
      </c>
      <c r="H607" s="8"/>
      <c r="I607" s="33" t="str">
        <f>VLOOKUP(B607,'Parcs types'!$B$65:$AA$120,4,FALSE)</f>
        <v>400-649 tonnes</v>
      </c>
      <c r="J607" t="s">
        <v>524</v>
      </c>
      <c r="K607" t="str">
        <f t="shared" si="70"/>
        <v>400-649 tonnes</v>
      </c>
    </row>
    <row r="608" spans="1:11" outlineLevel="1" x14ac:dyDescent="0.25">
      <c r="A608" t="s">
        <v>134</v>
      </c>
      <c r="B608" t="s">
        <v>101</v>
      </c>
      <c r="C608" t="s">
        <v>525</v>
      </c>
      <c r="E608" t="str">
        <f>'Remplissage - Sit. Init.'!F608</f>
        <v>FretFluvCat13Tech</v>
      </c>
      <c r="F608" s="32" t="s">
        <v>20</v>
      </c>
      <c r="G608">
        <f t="shared" si="69"/>
        <v>1</v>
      </c>
      <c r="H608" s="8"/>
      <c r="I608" s="33" t="str">
        <f>VLOOKUP(B608,'Parcs types'!$B$65:$AA$120,5,FALSE)</f>
        <v>H2 , PAC</v>
      </c>
      <c r="K608" t="str">
        <f t="shared" si="70"/>
        <v>H2 , PAC</v>
      </c>
    </row>
    <row r="609" spans="1:11" outlineLevel="1" x14ac:dyDescent="0.25">
      <c r="A609" t="s">
        <v>134</v>
      </c>
      <c r="B609" t="s">
        <v>101</v>
      </c>
      <c r="C609" t="s">
        <v>140</v>
      </c>
      <c r="E609" t="str">
        <f>'Remplissage - Sit. Init.'!F609</f>
        <v>FretFluvCat13Request</v>
      </c>
      <c r="F609" s="32" t="s">
        <v>20</v>
      </c>
      <c r="G609">
        <f>IF($H$15="Oui",1,0)</f>
        <v>1</v>
      </c>
      <c r="H609" t="s">
        <v>141</v>
      </c>
      <c r="I609" s="33" t="s">
        <v>142</v>
      </c>
      <c r="K609" s="8"/>
    </row>
    <row r="610" spans="1:11" outlineLevel="1" x14ac:dyDescent="0.25">
      <c r="A610" t="s">
        <v>134</v>
      </c>
      <c r="B610" t="s">
        <v>101</v>
      </c>
      <c r="C610" t="s">
        <v>144</v>
      </c>
      <c r="E610" t="str">
        <f>'Remplissage - Sit. Init.'!F610</f>
        <v>FretFluvCat13NbTraj</v>
      </c>
      <c r="F610" t="s">
        <v>17</v>
      </c>
      <c r="G610">
        <f>IF($H$15="Oui",1,0)*IF(ISNUMBER(SEARCH("Une estimation du nombre annuel de trajets pour ce type de barge",H609)),1,0)</f>
        <v>1</v>
      </c>
      <c r="H610" s="8"/>
      <c r="I610" s="33"/>
      <c r="J610" t="s">
        <v>145</v>
      </c>
      <c r="K610" s="8"/>
    </row>
    <row r="611" spans="1:11" outlineLevel="1" x14ac:dyDescent="0.25">
      <c r="A611" t="s">
        <v>134</v>
      </c>
      <c r="B611" t="s">
        <v>101</v>
      </c>
      <c r="C611" t="s">
        <v>146</v>
      </c>
      <c r="E611" t="str">
        <f>'Remplissage - Sit. Init.'!F611</f>
        <v>FretFluvCat13DistMoy</v>
      </c>
      <c r="F611" t="s">
        <v>17</v>
      </c>
      <c r="G611">
        <f>IF($H$15="Oui",1,0)*IF(ISNUMBER(SEARCH("La distance moyenne d'un trajet",H609)),1,0)</f>
        <v>1</v>
      </c>
      <c r="H611" s="8"/>
      <c r="I611" s="33"/>
      <c r="J611" t="s">
        <v>88</v>
      </c>
      <c r="K611" s="8"/>
    </row>
    <row r="612" spans="1:11" outlineLevel="1" x14ac:dyDescent="0.25">
      <c r="A612" t="s">
        <v>134</v>
      </c>
      <c r="B612" t="s">
        <v>101</v>
      </c>
      <c r="C612" t="s">
        <v>147</v>
      </c>
      <c r="E612" t="str">
        <f>'Remplissage - Sit. Init.'!F612</f>
        <v>FretFluvCat13EmportMoy</v>
      </c>
      <c r="F612" t="s">
        <v>17</v>
      </c>
      <c r="G612">
        <f>IF($H$15="Oui",1,0)*IF(ISNUMBER(SEARCH("La masse moyenne transportée pour un trajet",H609)),1,0)</f>
        <v>1</v>
      </c>
      <c r="H612" s="8"/>
      <c r="I612" s="33"/>
      <c r="J612" t="s">
        <v>148</v>
      </c>
      <c r="K612" s="8"/>
    </row>
    <row r="613" spans="1:11" outlineLevel="1" x14ac:dyDescent="0.25">
      <c r="A613" t="s">
        <v>134</v>
      </c>
      <c r="B613" t="s">
        <v>101</v>
      </c>
      <c r="C613" t="s">
        <v>149</v>
      </c>
      <c r="E613" t="str">
        <f>'Remplissage - Sit. Init.'!F613</f>
        <v>FretFluvCat13DistAn</v>
      </c>
      <c r="F613" t="s">
        <v>17</v>
      </c>
      <c r="G613">
        <f>IF($H$15="Oui",1,0)*IF(ISNUMBER(SEARCH("La distance parcourue annuellement pour ce type de barge",H609)),1,0)</f>
        <v>0</v>
      </c>
      <c r="I613" s="33"/>
      <c r="J613" t="s">
        <v>88</v>
      </c>
    </row>
    <row r="614" spans="1:11" outlineLevel="1" x14ac:dyDescent="0.25">
      <c r="A614" t="s">
        <v>134</v>
      </c>
      <c r="B614" t="s">
        <v>101</v>
      </c>
      <c r="C614" t="s">
        <v>150</v>
      </c>
      <c r="E614" t="str">
        <f>'Remplissage - Sit. Init.'!F614</f>
        <v>FretFluvCat13TauxChargeMoy</v>
      </c>
      <c r="F614" t="s">
        <v>17</v>
      </c>
      <c r="G614">
        <f>IF($H$15="Oui",1,0)*IF(ISNUMBER(SEARCH("Le taux de chargement moyen",H609)),1,0)</f>
        <v>0</v>
      </c>
      <c r="I614" s="33"/>
      <c r="J614" t="s">
        <v>70</v>
      </c>
    </row>
    <row r="615" spans="1:11" outlineLevel="1" x14ac:dyDescent="0.25">
      <c r="A615" t="s">
        <v>134</v>
      </c>
      <c r="B615" t="s">
        <v>101</v>
      </c>
      <c r="C615" t="s">
        <v>526</v>
      </c>
      <c r="E615" t="str">
        <f>'Remplissage - Sit. Init.'!F615</f>
        <v>FretFluvCat13NbBarges</v>
      </c>
      <c r="F615" t="s">
        <v>17</v>
      </c>
      <c r="G615">
        <f>IF($H$15="Oui",1,0)</f>
        <v>1</v>
      </c>
      <c r="I615" s="33"/>
      <c r="J615" t="s">
        <v>151</v>
      </c>
    </row>
    <row r="616" spans="1:11" outlineLevel="1" x14ac:dyDescent="0.25">
      <c r="A616" t="s">
        <v>134</v>
      </c>
      <c r="B616" t="s">
        <v>102</v>
      </c>
      <c r="C616" t="s">
        <v>135</v>
      </c>
      <c r="E616" t="str">
        <f>'Remplissage - Sit. Init.'!F616</f>
        <v>FretFluvCat14Nom</v>
      </c>
      <c r="F616" s="32" t="s">
        <v>20</v>
      </c>
      <c r="G616">
        <f>IF($H$15="Oui",1,0)</f>
        <v>1</v>
      </c>
      <c r="I616" s="33" t="str">
        <f>VLOOKUP(B616,'Parcs types'!$B$65:$AA$120,2,FALSE)</f>
        <v>Automoteurs 400-649 tonnes H2 , ICE</v>
      </c>
      <c r="K616" t="str">
        <f>I616</f>
        <v>Automoteurs 400-649 tonnes H2 , ICE</v>
      </c>
    </row>
    <row r="617" spans="1:11" outlineLevel="1" x14ac:dyDescent="0.25">
      <c r="A617" t="s">
        <v>134</v>
      </c>
      <c r="B617" t="s">
        <v>102</v>
      </c>
      <c r="C617" t="s">
        <v>136</v>
      </c>
      <c r="E617" t="str">
        <f>'Remplissage - Sit. Init.'!F617</f>
        <v>FretFluvCat14Type</v>
      </c>
      <c r="F617" t="s">
        <v>20</v>
      </c>
      <c r="G617">
        <f t="shared" ref="G617:G619" si="71">IF($H$15="Oui",1,0)</f>
        <v>1</v>
      </c>
      <c r="I617" s="33" t="str">
        <f>VLOOKUP(B617,'Parcs types'!$B$65:$AA$120,3,FALSE)</f>
        <v>Automoteurs</v>
      </c>
      <c r="K617" t="str">
        <f t="shared" ref="K617:K619" si="72">I617</f>
        <v>Automoteurs</v>
      </c>
    </row>
    <row r="618" spans="1:11" outlineLevel="1" x14ac:dyDescent="0.25">
      <c r="A618" t="s">
        <v>134</v>
      </c>
      <c r="B618" t="s">
        <v>102</v>
      </c>
      <c r="C618" t="s">
        <v>137</v>
      </c>
      <c r="E618" t="str">
        <f>'Remplissage - Sit. Init.'!F618</f>
        <v>FretFluvCat14Cap</v>
      </c>
      <c r="F618" s="32" t="s">
        <v>36</v>
      </c>
      <c r="G618">
        <f t="shared" si="71"/>
        <v>1</v>
      </c>
      <c r="I618" s="33" t="str">
        <f>VLOOKUP(B618,'Parcs types'!$B$65:$AA$120,4,FALSE)</f>
        <v>400-649 tonnes</v>
      </c>
      <c r="J618" t="s">
        <v>524</v>
      </c>
      <c r="K618" t="str">
        <f t="shared" si="72"/>
        <v>400-649 tonnes</v>
      </c>
    </row>
    <row r="619" spans="1:11" outlineLevel="1" x14ac:dyDescent="0.25">
      <c r="A619" t="s">
        <v>134</v>
      </c>
      <c r="B619" t="s">
        <v>102</v>
      </c>
      <c r="C619" t="s">
        <v>525</v>
      </c>
      <c r="E619" t="str">
        <f>'Remplissage - Sit. Init.'!F619</f>
        <v>FretFluvCat14Tech</v>
      </c>
      <c r="F619" s="32" t="s">
        <v>20</v>
      </c>
      <c r="G619">
        <f t="shared" si="71"/>
        <v>1</v>
      </c>
      <c r="I619" s="33" t="str">
        <f>VLOOKUP(B619,'Parcs types'!$B$65:$AA$120,5,FALSE)</f>
        <v>H2 , ICE</v>
      </c>
      <c r="K619" t="str">
        <f t="shared" si="72"/>
        <v>H2 , ICE</v>
      </c>
    </row>
    <row r="620" spans="1:11" outlineLevel="1" x14ac:dyDescent="0.25">
      <c r="A620" t="s">
        <v>134</v>
      </c>
      <c r="B620" t="s">
        <v>102</v>
      </c>
      <c r="C620" t="s">
        <v>140</v>
      </c>
      <c r="E620" t="str">
        <f>'Remplissage - Sit. Init.'!F620</f>
        <v>FretFluvCat14Request</v>
      </c>
      <c r="F620" s="32" t="s">
        <v>20</v>
      </c>
      <c r="G620">
        <f>IF($H$15="Oui",1,0)</f>
        <v>1</v>
      </c>
      <c r="H620" t="s">
        <v>141</v>
      </c>
      <c r="I620" s="33" t="s">
        <v>142</v>
      </c>
    </row>
    <row r="621" spans="1:11" outlineLevel="1" x14ac:dyDescent="0.25">
      <c r="A621" t="s">
        <v>134</v>
      </c>
      <c r="B621" t="s">
        <v>102</v>
      </c>
      <c r="C621" t="s">
        <v>144</v>
      </c>
      <c r="E621" t="str">
        <f>'Remplissage - Sit. Init.'!F621</f>
        <v>FretFluvCat14NbTraj</v>
      </c>
      <c r="F621" t="s">
        <v>17</v>
      </c>
      <c r="G621">
        <f>IF($H$15="Oui",1,0)*IF(ISNUMBER(SEARCH("Une estimation du nombre annuel de trajets pour ce type de barge",H620)),1,0)</f>
        <v>1</v>
      </c>
      <c r="I621" s="33"/>
      <c r="J621" t="s">
        <v>145</v>
      </c>
      <c r="K621" s="8"/>
    </row>
    <row r="622" spans="1:11" outlineLevel="1" x14ac:dyDescent="0.25">
      <c r="A622" t="s">
        <v>134</v>
      </c>
      <c r="B622" t="s">
        <v>102</v>
      </c>
      <c r="C622" t="s">
        <v>146</v>
      </c>
      <c r="E622" t="str">
        <f>'Remplissage - Sit. Init.'!F622</f>
        <v>FretFluvCat14DistMoy</v>
      </c>
      <c r="F622" t="s">
        <v>17</v>
      </c>
      <c r="G622">
        <f>IF($H$15="Oui",1,0)*IF(ISNUMBER(SEARCH("La distance moyenne d'un trajet",H620)),1,0)</f>
        <v>1</v>
      </c>
      <c r="H622" s="3"/>
      <c r="I622" s="33"/>
      <c r="J622" t="s">
        <v>88</v>
      </c>
      <c r="K622" s="7"/>
    </row>
    <row r="623" spans="1:11" outlineLevel="1" x14ac:dyDescent="0.25">
      <c r="A623" t="s">
        <v>134</v>
      </c>
      <c r="B623" t="s">
        <v>102</v>
      </c>
      <c r="C623" t="s">
        <v>147</v>
      </c>
      <c r="E623" t="str">
        <f>'Remplissage - Sit. Init.'!F623</f>
        <v>FretFluvCat14EmportMoy</v>
      </c>
      <c r="F623" t="s">
        <v>17</v>
      </c>
      <c r="G623">
        <f>IF($H$15="Oui",1,0)*IF(ISNUMBER(SEARCH("La masse moyenne transportée pour un trajet",H620)),1,0)</f>
        <v>1</v>
      </c>
      <c r="H623" s="8"/>
      <c r="I623" s="33"/>
      <c r="J623" t="s">
        <v>148</v>
      </c>
      <c r="K623" s="8"/>
    </row>
    <row r="624" spans="1:11" outlineLevel="1" x14ac:dyDescent="0.25">
      <c r="A624" t="s">
        <v>134</v>
      </c>
      <c r="B624" t="s">
        <v>102</v>
      </c>
      <c r="C624" t="s">
        <v>149</v>
      </c>
      <c r="E624" t="str">
        <f>'Remplissage - Sit. Init.'!F624</f>
        <v>FretFluvCat14DistAn</v>
      </c>
      <c r="F624" t="s">
        <v>17</v>
      </c>
      <c r="G624">
        <f>IF($H$15="Oui",1,0)*IF(ISNUMBER(SEARCH("La distance parcourue annuellement pour ce type de barge",H620)),1,0)</f>
        <v>0</v>
      </c>
      <c r="I624" s="33"/>
      <c r="J624" t="s">
        <v>88</v>
      </c>
    </row>
    <row r="625" spans="1:11" outlineLevel="1" x14ac:dyDescent="0.25">
      <c r="A625" t="s">
        <v>134</v>
      </c>
      <c r="B625" t="s">
        <v>102</v>
      </c>
      <c r="C625" t="s">
        <v>150</v>
      </c>
      <c r="E625" t="str">
        <f>'Remplissage - Sit. Init.'!F625</f>
        <v>FretFluvCat14TauxChargeMoy</v>
      </c>
      <c r="F625" t="s">
        <v>17</v>
      </c>
      <c r="G625">
        <f>IF($H$15="Oui",1,0)*IF(ISNUMBER(SEARCH("Le taux de chargement moyen",H620)),1,0)</f>
        <v>0</v>
      </c>
      <c r="I625" s="33"/>
      <c r="J625" t="s">
        <v>70</v>
      </c>
    </row>
    <row r="626" spans="1:11" outlineLevel="1" x14ac:dyDescent="0.25">
      <c r="A626" t="s">
        <v>134</v>
      </c>
      <c r="B626" t="s">
        <v>102</v>
      </c>
      <c r="C626" t="s">
        <v>526</v>
      </c>
      <c r="E626" t="str">
        <f>'Remplissage - Sit. Init.'!F626</f>
        <v>FretFluvCat14NbBarges</v>
      </c>
      <c r="F626" t="s">
        <v>17</v>
      </c>
      <c r="G626">
        <f>IF($H$15="Oui",1,0)</f>
        <v>1</v>
      </c>
      <c r="I626" s="33"/>
      <c r="J626" t="s">
        <v>151</v>
      </c>
    </row>
    <row r="627" spans="1:11" outlineLevel="1" x14ac:dyDescent="0.25">
      <c r="A627" t="s">
        <v>134</v>
      </c>
      <c r="B627" t="s">
        <v>103</v>
      </c>
      <c r="C627" t="s">
        <v>135</v>
      </c>
      <c r="E627" t="str">
        <f>'Remplissage - Sit. Init.'!F627</f>
        <v>FretFluvCat15Nom</v>
      </c>
      <c r="F627" s="32" t="s">
        <v>20</v>
      </c>
      <c r="G627">
        <f>IF($H$15="Oui",1,0)</f>
        <v>1</v>
      </c>
      <c r="I627" s="33" t="str">
        <f>VLOOKUP(B627,'Parcs types'!$B$65:$AA$120,2,FALSE)</f>
        <v>Automoteurs 650-999 tonnes CCNR 2 ou inférieur, diesel</v>
      </c>
      <c r="K627" t="str">
        <f>I627</f>
        <v>Automoteurs 650-999 tonnes CCNR 2 ou inférieur, diesel</v>
      </c>
    </row>
    <row r="628" spans="1:11" outlineLevel="1" x14ac:dyDescent="0.25">
      <c r="A628" t="s">
        <v>134</v>
      </c>
      <c r="B628" t="s">
        <v>103</v>
      </c>
      <c r="C628" t="s">
        <v>136</v>
      </c>
      <c r="E628" t="str">
        <f>'Remplissage - Sit. Init.'!F628</f>
        <v>FretFluvCat15Type</v>
      </c>
      <c r="F628" t="s">
        <v>20</v>
      </c>
      <c r="G628">
        <f t="shared" ref="G628:G630" si="73">IF($H$15="Oui",1,0)</f>
        <v>1</v>
      </c>
      <c r="I628" s="33" t="str">
        <f>VLOOKUP(B628,'Parcs types'!$B$65:$AA$120,3,FALSE)</f>
        <v>Automoteurs</v>
      </c>
      <c r="K628" t="str">
        <f t="shared" ref="K628:K630" si="74">I628</f>
        <v>Automoteurs</v>
      </c>
    </row>
    <row r="629" spans="1:11" outlineLevel="1" x14ac:dyDescent="0.25">
      <c r="A629" t="s">
        <v>134</v>
      </c>
      <c r="B629" t="s">
        <v>103</v>
      </c>
      <c r="C629" t="s">
        <v>137</v>
      </c>
      <c r="E629" t="str">
        <f>'Remplissage - Sit. Init.'!F629</f>
        <v>FretFluvCat15Cap</v>
      </c>
      <c r="F629" s="32" t="s">
        <v>36</v>
      </c>
      <c r="G629">
        <f t="shared" si="73"/>
        <v>1</v>
      </c>
      <c r="I629" s="33" t="str">
        <f>VLOOKUP(B629,'Parcs types'!$B$65:$AA$120,4,FALSE)</f>
        <v>650-999 tonnes</v>
      </c>
      <c r="J629" t="s">
        <v>524</v>
      </c>
      <c r="K629" t="str">
        <f t="shared" si="74"/>
        <v>650-999 tonnes</v>
      </c>
    </row>
    <row r="630" spans="1:11" outlineLevel="1" x14ac:dyDescent="0.25">
      <c r="A630" t="s">
        <v>134</v>
      </c>
      <c r="B630" t="s">
        <v>103</v>
      </c>
      <c r="C630" t="s">
        <v>525</v>
      </c>
      <c r="E630" t="str">
        <f>'Remplissage - Sit. Init.'!F630</f>
        <v>FretFluvCat15Tech</v>
      </c>
      <c r="F630" s="32" t="s">
        <v>20</v>
      </c>
      <c r="G630">
        <f t="shared" si="73"/>
        <v>1</v>
      </c>
      <c r="I630" s="33" t="str">
        <f>VLOOKUP(B630,'Parcs types'!$B$65:$AA$120,5,FALSE)</f>
        <v>CCNR 2 ou inférieur, diesel</v>
      </c>
      <c r="K630" t="str">
        <f t="shared" si="74"/>
        <v>CCNR 2 ou inférieur, diesel</v>
      </c>
    </row>
    <row r="631" spans="1:11" outlineLevel="1" x14ac:dyDescent="0.25">
      <c r="A631" t="s">
        <v>134</v>
      </c>
      <c r="B631" t="s">
        <v>103</v>
      </c>
      <c r="C631" t="s">
        <v>140</v>
      </c>
      <c r="E631" t="str">
        <f>'Remplissage - Sit. Init.'!F631</f>
        <v>FretFluvCat15Request</v>
      </c>
      <c r="F631" s="32" t="s">
        <v>20</v>
      </c>
      <c r="G631">
        <f>IF($H$15="Oui",1,0)</f>
        <v>1</v>
      </c>
      <c r="H631" t="s">
        <v>141</v>
      </c>
      <c r="I631" s="33" t="s">
        <v>142</v>
      </c>
    </row>
    <row r="632" spans="1:11" outlineLevel="1" x14ac:dyDescent="0.25">
      <c r="A632" t="s">
        <v>134</v>
      </c>
      <c r="B632" t="s">
        <v>103</v>
      </c>
      <c r="C632" t="s">
        <v>144</v>
      </c>
      <c r="E632" t="str">
        <f>'Remplissage - Sit. Init.'!F632</f>
        <v>FretFluvCat15NbTraj</v>
      </c>
      <c r="F632" t="s">
        <v>17</v>
      </c>
      <c r="G632">
        <f>IF($H$15="Oui",1,0)*IF(ISNUMBER(SEARCH("Une estimation du nombre annuel de trajets pour ce type de barge",H631)),1,0)</f>
        <v>1</v>
      </c>
      <c r="I632" s="33"/>
      <c r="J632" t="s">
        <v>145</v>
      </c>
      <c r="K632" s="8"/>
    </row>
    <row r="633" spans="1:11" outlineLevel="1" x14ac:dyDescent="0.25">
      <c r="A633" t="s">
        <v>134</v>
      </c>
      <c r="B633" t="s">
        <v>103</v>
      </c>
      <c r="C633" t="s">
        <v>146</v>
      </c>
      <c r="E633" t="str">
        <f>'Remplissage - Sit. Init.'!F633</f>
        <v>FretFluvCat15DistMoy</v>
      </c>
      <c r="F633" t="s">
        <v>17</v>
      </c>
      <c r="G633">
        <f>IF($H$15="Oui",1,0)*IF(ISNUMBER(SEARCH("La distance moyenne d'un trajet",H631)),1,0)</f>
        <v>1</v>
      </c>
      <c r="H633" s="3"/>
      <c r="I633" s="33"/>
      <c r="J633" t="s">
        <v>88</v>
      </c>
      <c r="K633" s="7"/>
    </row>
    <row r="634" spans="1:11" outlineLevel="1" x14ac:dyDescent="0.25">
      <c r="A634" t="s">
        <v>134</v>
      </c>
      <c r="B634" t="s">
        <v>103</v>
      </c>
      <c r="C634" t="s">
        <v>147</v>
      </c>
      <c r="E634" t="str">
        <f>'Remplissage - Sit. Init.'!F634</f>
        <v>FretFluvCat15EmportMoy</v>
      </c>
      <c r="F634" t="s">
        <v>17</v>
      </c>
      <c r="G634">
        <f>IF($H$15="Oui",1,0)*IF(ISNUMBER(SEARCH("La masse moyenne transportée pour un trajet",H631)),1,0)</f>
        <v>1</v>
      </c>
      <c r="H634" s="8"/>
      <c r="I634" s="33"/>
      <c r="J634" t="s">
        <v>148</v>
      </c>
      <c r="K634" s="8"/>
    </row>
    <row r="635" spans="1:11" outlineLevel="1" x14ac:dyDescent="0.25">
      <c r="A635" t="s">
        <v>134</v>
      </c>
      <c r="B635" t="s">
        <v>103</v>
      </c>
      <c r="C635" t="s">
        <v>149</v>
      </c>
      <c r="E635" t="str">
        <f>'Remplissage - Sit. Init.'!F635</f>
        <v>FretFluvCat15DistAn</v>
      </c>
      <c r="F635" t="s">
        <v>17</v>
      </c>
      <c r="G635">
        <f>IF($H$15="Oui",1,0)*IF(ISNUMBER(SEARCH("La distance parcourue annuellement pour ce type de barge",H631)),1,0)</f>
        <v>0</v>
      </c>
      <c r="I635" s="33"/>
      <c r="J635" t="s">
        <v>88</v>
      </c>
    </row>
    <row r="636" spans="1:11" outlineLevel="1" x14ac:dyDescent="0.25">
      <c r="A636" t="s">
        <v>134</v>
      </c>
      <c r="B636" t="s">
        <v>103</v>
      </c>
      <c r="C636" t="s">
        <v>150</v>
      </c>
      <c r="E636" t="str">
        <f>'Remplissage - Sit. Init.'!F636</f>
        <v>FretFluvCat15TauxChargeMoy</v>
      </c>
      <c r="F636" t="s">
        <v>17</v>
      </c>
      <c r="G636">
        <f>IF($H$15="Oui",1,0)*IF(ISNUMBER(SEARCH("Le taux de chargement moyen",H631)),1,0)</f>
        <v>0</v>
      </c>
      <c r="I636" s="33"/>
      <c r="J636" t="s">
        <v>70</v>
      </c>
    </row>
    <row r="637" spans="1:11" outlineLevel="1" x14ac:dyDescent="0.25">
      <c r="A637" t="s">
        <v>134</v>
      </c>
      <c r="B637" t="s">
        <v>103</v>
      </c>
      <c r="C637" t="s">
        <v>526</v>
      </c>
      <c r="E637" t="str">
        <f>'Remplissage - Sit. Init.'!F637</f>
        <v>FretFluvCat15NbBarges</v>
      </c>
      <c r="F637" t="s">
        <v>17</v>
      </c>
      <c r="G637">
        <f>IF($H$15="Oui",1,0)</f>
        <v>1</v>
      </c>
      <c r="I637" s="33"/>
      <c r="J637" t="s">
        <v>151</v>
      </c>
    </row>
    <row r="638" spans="1:11" outlineLevel="1" x14ac:dyDescent="0.25">
      <c r="A638" t="s">
        <v>134</v>
      </c>
      <c r="B638" t="s">
        <v>104</v>
      </c>
      <c r="C638" t="s">
        <v>135</v>
      </c>
      <c r="E638" t="str">
        <f>'Remplissage - Sit. Init.'!F638</f>
        <v>FretFluvCat16Nom</v>
      </c>
      <c r="F638" s="32" t="s">
        <v>20</v>
      </c>
      <c r="G638">
        <f>IF($H$15="Oui",1,0)</f>
        <v>1</v>
      </c>
      <c r="I638" s="33" t="str">
        <f>VLOOKUP(B638,'Parcs types'!$B$65:$AA$120,2,FALSE)</f>
        <v>Automoteurs 650-999 tonnes CCNR 2 + SCR, diesel</v>
      </c>
      <c r="K638" t="str">
        <f>I638</f>
        <v>Automoteurs 650-999 tonnes CCNR 2 + SCR, diesel</v>
      </c>
    </row>
    <row r="639" spans="1:11" outlineLevel="1" x14ac:dyDescent="0.25">
      <c r="A639" t="s">
        <v>134</v>
      </c>
      <c r="B639" t="s">
        <v>104</v>
      </c>
      <c r="C639" t="s">
        <v>136</v>
      </c>
      <c r="E639" t="str">
        <f>'Remplissage - Sit. Init.'!F639</f>
        <v>FretFluvCat16Type</v>
      </c>
      <c r="F639" t="s">
        <v>20</v>
      </c>
      <c r="G639">
        <f t="shared" ref="G639:G641" si="75">IF($H$15="Oui",1,0)</f>
        <v>1</v>
      </c>
      <c r="I639" s="33" t="str">
        <f>VLOOKUP(B639,'Parcs types'!$B$65:$AA$120,3,FALSE)</f>
        <v>Automoteurs</v>
      </c>
      <c r="K639" t="str">
        <f t="shared" ref="K639:K641" si="76">I639</f>
        <v>Automoteurs</v>
      </c>
    </row>
    <row r="640" spans="1:11" outlineLevel="1" x14ac:dyDescent="0.25">
      <c r="A640" t="s">
        <v>134</v>
      </c>
      <c r="B640" t="s">
        <v>104</v>
      </c>
      <c r="C640" t="s">
        <v>137</v>
      </c>
      <c r="E640" t="str">
        <f>'Remplissage - Sit. Init.'!F640</f>
        <v>FretFluvCat16Cap</v>
      </c>
      <c r="F640" s="32" t="s">
        <v>36</v>
      </c>
      <c r="G640">
        <f t="shared" si="75"/>
        <v>1</v>
      </c>
      <c r="I640" s="33" t="str">
        <f>VLOOKUP(B640,'Parcs types'!$B$65:$AA$120,4,FALSE)</f>
        <v>650-999 tonnes</v>
      </c>
      <c r="J640" t="s">
        <v>524</v>
      </c>
      <c r="K640" t="str">
        <f t="shared" si="76"/>
        <v>650-999 tonnes</v>
      </c>
    </row>
    <row r="641" spans="1:11" outlineLevel="1" x14ac:dyDescent="0.25">
      <c r="A641" t="s">
        <v>134</v>
      </c>
      <c r="B641" t="s">
        <v>104</v>
      </c>
      <c r="C641" t="s">
        <v>525</v>
      </c>
      <c r="E641" t="str">
        <f>'Remplissage - Sit. Init.'!F641</f>
        <v>FretFluvCat16Tech</v>
      </c>
      <c r="F641" s="32" t="s">
        <v>20</v>
      </c>
      <c r="G641">
        <f t="shared" si="75"/>
        <v>1</v>
      </c>
      <c r="I641" s="33" t="str">
        <f>VLOOKUP(B641,'Parcs types'!$B$65:$AA$120,5,FALSE)</f>
        <v>CCNR 2 + SCR, diesel</v>
      </c>
      <c r="K641" t="str">
        <f t="shared" si="76"/>
        <v>CCNR 2 + SCR, diesel</v>
      </c>
    </row>
    <row r="642" spans="1:11" outlineLevel="1" x14ac:dyDescent="0.25">
      <c r="A642" t="s">
        <v>134</v>
      </c>
      <c r="B642" t="s">
        <v>104</v>
      </c>
      <c r="C642" t="s">
        <v>140</v>
      </c>
      <c r="E642" t="str">
        <f>'Remplissage - Sit. Init.'!F642</f>
        <v>FretFluvCat16Request</v>
      </c>
      <c r="F642" s="32" t="s">
        <v>20</v>
      </c>
      <c r="G642">
        <f>IF($H$15="Oui",1,0)</f>
        <v>1</v>
      </c>
      <c r="H642" t="s">
        <v>141</v>
      </c>
      <c r="I642" s="33" t="s">
        <v>142</v>
      </c>
    </row>
    <row r="643" spans="1:11" outlineLevel="1" x14ac:dyDescent="0.25">
      <c r="A643" t="s">
        <v>134</v>
      </c>
      <c r="B643" t="s">
        <v>104</v>
      </c>
      <c r="C643" t="s">
        <v>144</v>
      </c>
      <c r="E643" t="str">
        <f>'Remplissage - Sit. Init.'!F643</f>
        <v>FretFluvCat16NbTraj</v>
      </c>
      <c r="F643" t="s">
        <v>17</v>
      </c>
      <c r="G643">
        <f>IF($H$15="Oui",1,0)*IF(ISNUMBER(SEARCH("Une estimation du nombre annuel de trajets pour ce type de barge",H642)),1,0)</f>
        <v>1</v>
      </c>
      <c r="I643" s="33"/>
      <c r="J643" t="s">
        <v>145</v>
      </c>
      <c r="K643" s="8"/>
    </row>
    <row r="644" spans="1:11" outlineLevel="1" x14ac:dyDescent="0.25">
      <c r="A644" t="s">
        <v>134</v>
      </c>
      <c r="B644" t="s">
        <v>104</v>
      </c>
      <c r="C644" t="s">
        <v>146</v>
      </c>
      <c r="E644" t="str">
        <f>'Remplissage - Sit. Init.'!F644</f>
        <v>FretFluvCat16DistMoy</v>
      </c>
      <c r="F644" t="s">
        <v>17</v>
      </c>
      <c r="G644">
        <f>IF($H$15="Oui",1,0)*IF(ISNUMBER(SEARCH("La distance moyenne d'un trajet",H642)),1,0)</f>
        <v>1</v>
      </c>
      <c r="H644" s="3"/>
      <c r="I644" s="33"/>
      <c r="J644" t="s">
        <v>88</v>
      </c>
      <c r="K644" s="7"/>
    </row>
    <row r="645" spans="1:11" outlineLevel="1" x14ac:dyDescent="0.25">
      <c r="A645" t="s">
        <v>134</v>
      </c>
      <c r="B645" t="s">
        <v>104</v>
      </c>
      <c r="C645" t="s">
        <v>147</v>
      </c>
      <c r="E645" t="str">
        <f>'Remplissage - Sit. Init.'!F645</f>
        <v>FretFluvCat16EmportMoy</v>
      </c>
      <c r="F645" t="s">
        <v>17</v>
      </c>
      <c r="G645">
        <f>IF($H$15="Oui",1,0)*IF(ISNUMBER(SEARCH("La masse moyenne transportée pour un trajet",H642)),1,0)</f>
        <v>1</v>
      </c>
      <c r="H645" s="8"/>
      <c r="I645" s="33"/>
      <c r="J645" t="s">
        <v>148</v>
      </c>
      <c r="K645" s="8"/>
    </row>
    <row r="646" spans="1:11" outlineLevel="1" x14ac:dyDescent="0.25">
      <c r="A646" t="s">
        <v>134</v>
      </c>
      <c r="B646" t="s">
        <v>104</v>
      </c>
      <c r="C646" t="s">
        <v>149</v>
      </c>
      <c r="E646" t="str">
        <f>'Remplissage - Sit. Init.'!F646</f>
        <v>FretFluvCat16DistAn</v>
      </c>
      <c r="F646" t="s">
        <v>17</v>
      </c>
      <c r="G646">
        <f>IF($H$15="Oui",1,0)*IF(ISNUMBER(SEARCH("La distance parcourue annuellement pour ce type de barge",H642)),1,0)</f>
        <v>0</v>
      </c>
      <c r="H646" s="8"/>
      <c r="I646" s="33"/>
      <c r="J646" t="s">
        <v>88</v>
      </c>
      <c r="K646" s="8"/>
    </row>
    <row r="647" spans="1:11" outlineLevel="1" x14ac:dyDescent="0.25">
      <c r="A647" t="s">
        <v>134</v>
      </c>
      <c r="B647" t="s">
        <v>104</v>
      </c>
      <c r="C647" t="s">
        <v>150</v>
      </c>
      <c r="E647" t="str">
        <f>'Remplissage - Sit. Init.'!F647</f>
        <v>FretFluvCat16TauxChargeMoy</v>
      </c>
      <c r="F647" t="s">
        <v>17</v>
      </c>
      <c r="G647">
        <f>IF($H$15="Oui",1,0)*IF(ISNUMBER(SEARCH("Le taux de chargement moyen",H642)),1,0)</f>
        <v>0</v>
      </c>
      <c r="H647" s="8"/>
      <c r="I647" s="33"/>
      <c r="J647" t="s">
        <v>70</v>
      </c>
      <c r="K647" s="8"/>
    </row>
    <row r="648" spans="1:11" outlineLevel="1" x14ac:dyDescent="0.25">
      <c r="A648" t="s">
        <v>134</v>
      </c>
      <c r="B648" t="s">
        <v>104</v>
      </c>
      <c r="C648" t="s">
        <v>526</v>
      </c>
      <c r="E648" t="str">
        <f>'Remplissage - Sit. Init.'!F648</f>
        <v>FretFluvCat16NbBarges</v>
      </c>
      <c r="F648" t="s">
        <v>17</v>
      </c>
      <c r="G648">
        <f>IF($H$15="Oui",1,0)</f>
        <v>1</v>
      </c>
      <c r="H648" s="8"/>
      <c r="I648" s="33"/>
      <c r="J648" t="s">
        <v>151</v>
      </c>
      <c r="K648" s="8"/>
    </row>
    <row r="649" spans="1:11" outlineLevel="1" x14ac:dyDescent="0.25">
      <c r="A649" t="s">
        <v>134</v>
      </c>
      <c r="B649" t="s">
        <v>105</v>
      </c>
      <c r="C649" t="s">
        <v>135</v>
      </c>
      <c r="E649" t="str">
        <f>'Remplissage - Sit. Init.'!F649</f>
        <v>FretFluvCat17Nom</v>
      </c>
      <c r="F649" s="32" t="s">
        <v>20</v>
      </c>
      <c r="G649">
        <f>IF($H$15="Oui",1,0)</f>
        <v>1</v>
      </c>
      <c r="H649" s="8"/>
      <c r="I649" s="33" t="str">
        <f>VLOOKUP(B649,'Parcs types'!$B$65:$AA$120,2,FALSE)</f>
        <v>Automoteurs 650-999 tonnes Phase V, diesel</v>
      </c>
      <c r="K649" t="str">
        <f>I649</f>
        <v>Automoteurs 650-999 tonnes Phase V, diesel</v>
      </c>
    </row>
    <row r="650" spans="1:11" outlineLevel="1" x14ac:dyDescent="0.25">
      <c r="A650" t="s">
        <v>134</v>
      </c>
      <c r="B650" t="s">
        <v>105</v>
      </c>
      <c r="C650" t="s">
        <v>136</v>
      </c>
      <c r="E650" t="str">
        <f>'Remplissage - Sit. Init.'!F650</f>
        <v>FretFluvCat17Type</v>
      </c>
      <c r="F650" t="s">
        <v>20</v>
      </c>
      <c r="G650">
        <f t="shared" ref="G650:G652" si="77">IF($H$15="Oui",1,0)</f>
        <v>1</v>
      </c>
      <c r="H650" s="8"/>
      <c r="I650" s="33" t="str">
        <f>VLOOKUP(B650,'Parcs types'!$B$65:$AA$120,3,FALSE)</f>
        <v>Automoteurs</v>
      </c>
      <c r="K650" t="str">
        <f t="shared" ref="K650:K652" si="78">I650</f>
        <v>Automoteurs</v>
      </c>
    </row>
    <row r="651" spans="1:11" outlineLevel="1" x14ac:dyDescent="0.25">
      <c r="A651" t="s">
        <v>134</v>
      </c>
      <c r="B651" t="s">
        <v>105</v>
      </c>
      <c r="C651" t="s">
        <v>137</v>
      </c>
      <c r="E651" t="str">
        <f>'Remplissage - Sit. Init.'!F651</f>
        <v>FretFluvCat17Cap</v>
      </c>
      <c r="F651" s="32" t="s">
        <v>36</v>
      </c>
      <c r="G651">
        <f t="shared" si="77"/>
        <v>1</v>
      </c>
      <c r="H651" s="8"/>
      <c r="I651" s="33" t="str">
        <f>VLOOKUP(B651,'Parcs types'!$B$65:$AA$120,4,FALSE)</f>
        <v>650-999 tonnes</v>
      </c>
      <c r="J651" t="s">
        <v>524</v>
      </c>
      <c r="K651" t="str">
        <f t="shared" si="78"/>
        <v>650-999 tonnes</v>
      </c>
    </row>
    <row r="652" spans="1:11" outlineLevel="1" x14ac:dyDescent="0.25">
      <c r="A652" t="s">
        <v>134</v>
      </c>
      <c r="B652" t="s">
        <v>105</v>
      </c>
      <c r="C652" t="s">
        <v>525</v>
      </c>
      <c r="E652" t="str">
        <f>'Remplissage - Sit. Init.'!F652</f>
        <v>FretFluvCat17Tech</v>
      </c>
      <c r="F652" s="32" t="s">
        <v>20</v>
      </c>
      <c r="G652">
        <f t="shared" si="77"/>
        <v>1</v>
      </c>
      <c r="H652" s="8"/>
      <c r="I652" s="33" t="str">
        <f>VLOOKUP(B652,'Parcs types'!$B$65:$AA$120,5,FALSE)</f>
        <v>Phase V, diesel</v>
      </c>
      <c r="K652" t="str">
        <f t="shared" si="78"/>
        <v>Phase V, diesel</v>
      </c>
    </row>
    <row r="653" spans="1:11" outlineLevel="1" x14ac:dyDescent="0.25">
      <c r="A653" t="s">
        <v>134</v>
      </c>
      <c r="B653" t="s">
        <v>105</v>
      </c>
      <c r="C653" t="s">
        <v>140</v>
      </c>
      <c r="E653" t="str">
        <f>'Remplissage - Sit. Init.'!F653</f>
        <v>FretFluvCat17Request</v>
      </c>
      <c r="F653" s="32" t="s">
        <v>20</v>
      </c>
      <c r="G653">
        <f>IF($H$15="Oui",1,0)</f>
        <v>1</v>
      </c>
      <c r="H653" t="s">
        <v>141</v>
      </c>
      <c r="I653" s="33" t="s">
        <v>142</v>
      </c>
      <c r="K653" s="8"/>
    </row>
    <row r="654" spans="1:11" outlineLevel="1" x14ac:dyDescent="0.25">
      <c r="A654" t="s">
        <v>134</v>
      </c>
      <c r="B654" t="s">
        <v>105</v>
      </c>
      <c r="C654" t="s">
        <v>144</v>
      </c>
      <c r="E654" t="str">
        <f>'Remplissage - Sit. Init.'!F654</f>
        <v>FretFluvCat17NbTraj</v>
      </c>
      <c r="F654" t="s">
        <v>17</v>
      </c>
      <c r="G654">
        <f>IF($H$15="Oui",1,0)*IF(ISNUMBER(SEARCH("Une estimation du nombre annuel de trajets pour ce type de barge",H653)),1,0)</f>
        <v>1</v>
      </c>
      <c r="H654" s="8"/>
      <c r="I654" s="33"/>
      <c r="J654" t="s">
        <v>145</v>
      </c>
      <c r="K654" s="8"/>
    </row>
    <row r="655" spans="1:11" outlineLevel="1" x14ac:dyDescent="0.25">
      <c r="A655" t="s">
        <v>134</v>
      </c>
      <c r="B655" t="s">
        <v>105</v>
      </c>
      <c r="C655" t="s">
        <v>146</v>
      </c>
      <c r="E655" t="str">
        <f>'Remplissage - Sit. Init.'!F655</f>
        <v>FretFluvCat17DistMoy</v>
      </c>
      <c r="F655" t="s">
        <v>17</v>
      </c>
      <c r="G655">
        <f>IF($H$15="Oui",1,0)*IF(ISNUMBER(SEARCH("La distance moyenne d'un trajet",H653)),1,0)</f>
        <v>1</v>
      </c>
      <c r="H655" s="8"/>
      <c r="I655" s="33"/>
      <c r="J655" t="s">
        <v>88</v>
      </c>
      <c r="K655" s="8"/>
    </row>
    <row r="656" spans="1:11" outlineLevel="1" x14ac:dyDescent="0.25">
      <c r="A656" t="s">
        <v>134</v>
      </c>
      <c r="B656" t="s">
        <v>105</v>
      </c>
      <c r="C656" t="s">
        <v>147</v>
      </c>
      <c r="E656" t="str">
        <f>'Remplissage - Sit. Init.'!F656</f>
        <v>FretFluvCat17EmportMoy</v>
      </c>
      <c r="F656" t="s">
        <v>17</v>
      </c>
      <c r="G656">
        <f>IF($H$15="Oui",1,0)*IF(ISNUMBER(SEARCH("La masse moyenne transportée pour un trajet",H653)),1,0)</f>
        <v>1</v>
      </c>
      <c r="H656" s="8"/>
      <c r="I656" s="33"/>
      <c r="J656" t="s">
        <v>148</v>
      </c>
      <c r="K656" s="8"/>
    </row>
    <row r="657" spans="1:11" outlineLevel="1" x14ac:dyDescent="0.25">
      <c r="A657" t="s">
        <v>134</v>
      </c>
      <c r="B657" t="s">
        <v>105</v>
      </c>
      <c r="C657" t="s">
        <v>149</v>
      </c>
      <c r="E657" t="str">
        <f>'Remplissage - Sit. Init.'!F657</f>
        <v>FretFluvCat17DistAn</v>
      </c>
      <c r="F657" t="s">
        <v>17</v>
      </c>
      <c r="G657">
        <f>IF($H$15="Oui",1,0)*IF(ISNUMBER(SEARCH("La distance parcourue annuellement pour ce type de barge",H653)),1,0)</f>
        <v>0</v>
      </c>
      <c r="H657" s="8"/>
      <c r="I657" s="33"/>
      <c r="J657" t="s">
        <v>88</v>
      </c>
      <c r="K657" s="8"/>
    </row>
    <row r="658" spans="1:11" outlineLevel="1" x14ac:dyDescent="0.25">
      <c r="A658" t="s">
        <v>134</v>
      </c>
      <c r="B658" t="s">
        <v>105</v>
      </c>
      <c r="C658" t="s">
        <v>150</v>
      </c>
      <c r="E658" t="str">
        <f>'Remplissage - Sit. Init.'!F658</f>
        <v>FretFluvCat17TauxChargeMoy</v>
      </c>
      <c r="F658" t="s">
        <v>17</v>
      </c>
      <c r="G658">
        <f>IF($H$15="Oui",1,0)*IF(ISNUMBER(SEARCH("Le taux de chargement moyen",H653)),1,0)</f>
        <v>0</v>
      </c>
      <c r="H658" s="8"/>
      <c r="I658" s="33"/>
      <c r="J658" t="s">
        <v>70</v>
      </c>
      <c r="K658" s="8"/>
    </row>
    <row r="659" spans="1:11" outlineLevel="1" x14ac:dyDescent="0.25">
      <c r="A659" t="s">
        <v>134</v>
      </c>
      <c r="B659" t="s">
        <v>105</v>
      </c>
      <c r="C659" t="s">
        <v>526</v>
      </c>
      <c r="E659" t="str">
        <f>'Remplissage - Sit. Init.'!F659</f>
        <v>FretFluvCat17NbBarges</v>
      </c>
      <c r="F659" t="s">
        <v>17</v>
      </c>
      <c r="G659">
        <f>IF($H$15="Oui",1,0)</f>
        <v>1</v>
      </c>
      <c r="H659" s="8"/>
      <c r="I659" s="33"/>
      <c r="J659" t="s">
        <v>151</v>
      </c>
      <c r="K659" s="8"/>
    </row>
    <row r="660" spans="1:11" outlineLevel="1" x14ac:dyDescent="0.25">
      <c r="A660" t="s">
        <v>134</v>
      </c>
      <c r="B660" t="s">
        <v>106</v>
      </c>
      <c r="C660" t="s">
        <v>135</v>
      </c>
      <c r="E660" t="str">
        <f>'Remplissage - Sit. Init.'!F660</f>
        <v>FretFluvCat18Nom</v>
      </c>
      <c r="F660" s="32" t="s">
        <v>20</v>
      </c>
      <c r="G660">
        <f>IF($H$15="Oui",1,0)</f>
        <v>1</v>
      </c>
      <c r="H660" s="8"/>
      <c r="I660" s="33" t="str">
        <f>VLOOKUP(B660,'Parcs types'!$B$65:$AA$120,2,FALSE)</f>
        <v>Automoteurs 650-999 tonnes Phase V, HVO</v>
      </c>
      <c r="K660" t="str">
        <f>I660</f>
        <v>Automoteurs 650-999 tonnes Phase V, HVO</v>
      </c>
    </row>
    <row r="661" spans="1:11" outlineLevel="1" x14ac:dyDescent="0.25">
      <c r="A661" t="s">
        <v>134</v>
      </c>
      <c r="B661" t="s">
        <v>106</v>
      </c>
      <c r="C661" t="s">
        <v>136</v>
      </c>
      <c r="E661" t="str">
        <f>'Remplissage - Sit. Init.'!F661</f>
        <v>FretFluvCat18Type</v>
      </c>
      <c r="F661" t="s">
        <v>20</v>
      </c>
      <c r="G661">
        <f t="shared" ref="G661:G663" si="79">IF($H$15="Oui",1,0)</f>
        <v>1</v>
      </c>
      <c r="H661" s="8"/>
      <c r="I661" s="33" t="str">
        <f>VLOOKUP(B661,'Parcs types'!$B$65:$AA$120,3,FALSE)</f>
        <v>Automoteurs</v>
      </c>
      <c r="K661" t="str">
        <f t="shared" ref="K661:K663" si="80">I661</f>
        <v>Automoteurs</v>
      </c>
    </row>
    <row r="662" spans="1:11" outlineLevel="1" x14ac:dyDescent="0.25">
      <c r="A662" t="s">
        <v>134</v>
      </c>
      <c r="B662" t="s">
        <v>106</v>
      </c>
      <c r="C662" t="s">
        <v>137</v>
      </c>
      <c r="E662" t="str">
        <f>'Remplissage - Sit. Init.'!F662</f>
        <v>FretFluvCat18Cap</v>
      </c>
      <c r="F662" s="32" t="s">
        <v>36</v>
      </c>
      <c r="G662">
        <f t="shared" si="79"/>
        <v>1</v>
      </c>
      <c r="H662" s="8"/>
      <c r="I662" s="33" t="str">
        <f>VLOOKUP(B662,'Parcs types'!$B$65:$AA$120,4,FALSE)</f>
        <v>650-999 tonnes</v>
      </c>
      <c r="J662" t="s">
        <v>524</v>
      </c>
      <c r="K662" t="str">
        <f t="shared" si="80"/>
        <v>650-999 tonnes</v>
      </c>
    </row>
    <row r="663" spans="1:11" outlineLevel="1" x14ac:dyDescent="0.25">
      <c r="A663" t="s">
        <v>134</v>
      </c>
      <c r="B663" t="s">
        <v>106</v>
      </c>
      <c r="C663" t="s">
        <v>525</v>
      </c>
      <c r="E663" t="str">
        <f>'Remplissage - Sit. Init.'!F663</f>
        <v>FretFluvCat18Tech</v>
      </c>
      <c r="F663" s="32" t="s">
        <v>20</v>
      </c>
      <c r="G663">
        <f t="shared" si="79"/>
        <v>1</v>
      </c>
      <c r="H663" s="8"/>
      <c r="I663" s="33" t="str">
        <f>VLOOKUP(B663,'Parcs types'!$B$65:$AA$120,5,FALSE)</f>
        <v>Phase V, HVO</v>
      </c>
      <c r="K663" t="str">
        <f t="shared" si="80"/>
        <v>Phase V, HVO</v>
      </c>
    </row>
    <row r="664" spans="1:11" outlineLevel="1" x14ac:dyDescent="0.25">
      <c r="A664" t="s">
        <v>134</v>
      </c>
      <c r="B664" t="s">
        <v>106</v>
      </c>
      <c r="C664" t="s">
        <v>140</v>
      </c>
      <c r="E664" t="str">
        <f>'Remplissage - Sit. Init.'!F664</f>
        <v>FretFluvCat18Request</v>
      </c>
      <c r="F664" s="32" t="s">
        <v>20</v>
      </c>
      <c r="G664">
        <f>IF($H$15="Oui",1,0)</f>
        <v>1</v>
      </c>
      <c r="H664" t="s">
        <v>141</v>
      </c>
      <c r="I664" s="33" t="s">
        <v>142</v>
      </c>
      <c r="K664" s="8"/>
    </row>
    <row r="665" spans="1:11" outlineLevel="1" x14ac:dyDescent="0.25">
      <c r="A665" t="s">
        <v>134</v>
      </c>
      <c r="B665" t="s">
        <v>106</v>
      </c>
      <c r="C665" t="s">
        <v>144</v>
      </c>
      <c r="E665" t="str">
        <f>'Remplissage - Sit. Init.'!F665</f>
        <v>FretFluvCat18NbTraj</v>
      </c>
      <c r="F665" t="s">
        <v>17</v>
      </c>
      <c r="G665">
        <f>IF($H$15="Oui",1,0)*IF(ISNUMBER(SEARCH("Une estimation du nombre annuel de trajets pour ce type de barge",H664)),1,0)</f>
        <v>1</v>
      </c>
      <c r="H665" s="8"/>
      <c r="I665" s="33"/>
      <c r="J665" t="s">
        <v>145</v>
      </c>
      <c r="K665" s="8"/>
    </row>
    <row r="666" spans="1:11" outlineLevel="1" x14ac:dyDescent="0.25">
      <c r="A666" t="s">
        <v>134</v>
      </c>
      <c r="B666" t="s">
        <v>106</v>
      </c>
      <c r="C666" t="s">
        <v>146</v>
      </c>
      <c r="E666" t="str">
        <f>'Remplissage - Sit. Init.'!F666</f>
        <v>FretFluvCat18DistMoy</v>
      </c>
      <c r="F666" t="s">
        <v>17</v>
      </c>
      <c r="G666">
        <f>IF($H$15="Oui",1,0)*IF(ISNUMBER(SEARCH("La distance moyenne d'un trajet",H664)),1,0)</f>
        <v>1</v>
      </c>
      <c r="H666" s="8"/>
      <c r="I666" s="33"/>
      <c r="J666" t="s">
        <v>88</v>
      </c>
      <c r="K666" s="8"/>
    </row>
    <row r="667" spans="1:11" outlineLevel="1" x14ac:dyDescent="0.25">
      <c r="A667" t="s">
        <v>134</v>
      </c>
      <c r="B667" t="s">
        <v>106</v>
      </c>
      <c r="C667" t="s">
        <v>147</v>
      </c>
      <c r="E667" t="str">
        <f>'Remplissage - Sit. Init.'!F667</f>
        <v>FretFluvCat18EmportMoy</v>
      </c>
      <c r="F667" t="s">
        <v>17</v>
      </c>
      <c r="G667">
        <f>IF($H$15="Oui",1,0)*IF(ISNUMBER(SEARCH("La masse moyenne transportée pour un trajet",H664)),1,0)</f>
        <v>1</v>
      </c>
      <c r="H667" s="8"/>
      <c r="I667" s="33"/>
      <c r="J667" t="s">
        <v>148</v>
      </c>
      <c r="K667" s="8"/>
    </row>
    <row r="668" spans="1:11" outlineLevel="1" x14ac:dyDescent="0.25">
      <c r="A668" t="s">
        <v>134</v>
      </c>
      <c r="B668" t="s">
        <v>106</v>
      </c>
      <c r="C668" t="s">
        <v>149</v>
      </c>
      <c r="E668" t="str">
        <f>'Remplissage - Sit. Init.'!F668</f>
        <v>FretFluvCat18DistAn</v>
      </c>
      <c r="F668" t="s">
        <v>17</v>
      </c>
      <c r="G668">
        <f>IF($H$15="Oui",1,0)*IF(ISNUMBER(SEARCH("La distance parcourue annuellement pour ce type de barge",H664)),1,0)</f>
        <v>0</v>
      </c>
      <c r="H668" s="8"/>
      <c r="I668" s="33"/>
      <c r="J668" t="s">
        <v>88</v>
      </c>
      <c r="K668" s="8"/>
    </row>
    <row r="669" spans="1:11" outlineLevel="1" x14ac:dyDescent="0.25">
      <c r="A669" t="s">
        <v>134</v>
      </c>
      <c r="B669" t="s">
        <v>106</v>
      </c>
      <c r="C669" t="s">
        <v>150</v>
      </c>
      <c r="E669" t="str">
        <f>'Remplissage - Sit. Init.'!F669</f>
        <v>FretFluvCat18TauxChargeMoy</v>
      </c>
      <c r="F669" t="s">
        <v>17</v>
      </c>
      <c r="G669">
        <f>IF($H$15="Oui",1,0)*IF(ISNUMBER(SEARCH("Le taux de chargement moyen",H664)),1,0)</f>
        <v>0</v>
      </c>
      <c r="H669" s="8"/>
      <c r="I669" s="33"/>
      <c r="J669" t="s">
        <v>70</v>
      </c>
      <c r="K669" s="8"/>
    </row>
    <row r="670" spans="1:11" outlineLevel="1" x14ac:dyDescent="0.25">
      <c r="A670" t="s">
        <v>134</v>
      </c>
      <c r="B670" t="s">
        <v>106</v>
      </c>
      <c r="C670" t="s">
        <v>526</v>
      </c>
      <c r="E670" t="str">
        <f>'Remplissage - Sit. Init.'!F670</f>
        <v>FretFluvCat18NbBarges</v>
      </c>
      <c r="F670" t="s">
        <v>17</v>
      </c>
      <c r="G670">
        <f>IF($H$15="Oui",1,0)</f>
        <v>1</v>
      </c>
      <c r="H670" s="8"/>
      <c r="I670" s="33"/>
      <c r="J670" t="s">
        <v>151</v>
      </c>
      <c r="K670" s="8"/>
    </row>
    <row r="671" spans="1:11" outlineLevel="1" x14ac:dyDescent="0.25">
      <c r="A671" t="s">
        <v>134</v>
      </c>
      <c r="B671" t="s">
        <v>107</v>
      </c>
      <c r="C671" t="s">
        <v>135</v>
      </c>
      <c r="E671" t="str">
        <f>'Remplissage - Sit. Init.'!F671</f>
        <v>FretFluvCat19Nom</v>
      </c>
      <c r="F671" s="32" t="s">
        <v>20</v>
      </c>
      <c r="G671">
        <f>IF($H$15="Oui",1,0)</f>
        <v>1</v>
      </c>
      <c r="H671" s="8"/>
      <c r="I671" s="33" t="str">
        <f>VLOOKUP(B671,'Parcs types'!$B$65:$AA$120,2,FALSE)</f>
        <v>Automoteurs 650-999 tonnes Batterie</v>
      </c>
      <c r="K671" t="str">
        <f>I671</f>
        <v>Automoteurs 650-999 tonnes Batterie</v>
      </c>
    </row>
    <row r="672" spans="1:11" outlineLevel="1" x14ac:dyDescent="0.25">
      <c r="A672" t="s">
        <v>134</v>
      </c>
      <c r="B672" t="s">
        <v>107</v>
      </c>
      <c r="C672" t="s">
        <v>136</v>
      </c>
      <c r="E672" t="str">
        <f>'Remplissage - Sit. Init.'!F672</f>
        <v>FretFluvCat19Type</v>
      </c>
      <c r="F672" t="s">
        <v>20</v>
      </c>
      <c r="G672">
        <f t="shared" ref="G672:G674" si="81">IF($H$15="Oui",1,0)</f>
        <v>1</v>
      </c>
      <c r="H672" s="8"/>
      <c r="I672" s="33" t="str">
        <f>VLOOKUP(B672,'Parcs types'!$B$65:$AA$120,3,FALSE)</f>
        <v>Automoteurs</v>
      </c>
      <c r="K672" t="str">
        <f t="shared" ref="K672:K674" si="82">I672</f>
        <v>Automoteurs</v>
      </c>
    </row>
    <row r="673" spans="1:11" outlineLevel="1" x14ac:dyDescent="0.25">
      <c r="A673" t="s">
        <v>134</v>
      </c>
      <c r="B673" t="s">
        <v>107</v>
      </c>
      <c r="C673" t="s">
        <v>137</v>
      </c>
      <c r="E673" t="str">
        <f>'Remplissage - Sit. Init.'!F673</f>
        <v>FretFluvCat19Cap</v>
      </c>
      <c r="F673" s="32" t="s">
        <v>36</v>
      </c>
      <c r="G673">
        <f t="shared" si="81"/>
        <v>1</v>
      </c>
      <c r="H673" s="8"/>
      <c r="I673" s="33" t="str">
        <f>VLOOKUP(B673,'Parcs types'!$B$65:$AA$120,4,FALSE)</f>
        <v>650-999 tonnes</v>
      </c>
      <c r="J673" t="s">
        <v>524</v>
      </c>
      <c r="K673" t="str">
        <f t="shared" si="82"/>
        <v>650-999 tonnes</v>
      </c>
    </row>
    <row r="674" spans="1:11" outlineLevel="1" x14ac:dyDescent="0.25">
      <c r="A674" t="s">
        <v>134</v>
      </c>
      <c r="B674" t="s">
        <v>107</v>
      </c>
      <c r="C674" t="s">
        <v>525</v>
      </c>
      <c r="E674" t="str">
        <f>'Remplissage - Sit. Init.'!F674</f>
        <v>FretFluvCat19Tech</v>
      </c>
      <c r="F674" s="32" t="s">
        <v>20</v>
      </c>
      <c r="G674">
        <f t="shared" si="81"/>
        <v>1</v>
      </c>
      <c r="H674" s="8"/>
      <c r="I674" s="33" t="str">
        <f>VLOOKUP(B674,'Parcs types'!$B$65:$AA$120,5,FALSE)</f>
        <v>Batterie</v>
      </c>
      <c r="K674" t="str">
        <f t="shared" si="82"/>
        <v>Batterie</v>
      </c>
    </row>
    <row r="675" spans="1:11" outlineLevel="1" x14ac:dyDescent="0.25">
      <c r="A675" t="s">
        <v>134</v>
      </c>
      <c r="B675" t="s">
        <v>107</v>
      </c>
      <c r="C675" t="s">
        <v>140</v>
      </c>
      <c r="E675" t="str">
        <f>'Remplissage - Sit. Init.'!F675</f>
        <v>FretFluvCat19Request</v>
      </c>
      <c r="F675" s="32" t="s">
        <v>20</v>
      </c>
      <c r="G675">
        <f>IF($H$15="Oui",1,0)</f>
        <v>1</v>
      </c>
      <c r="H675" t="s">
        <v>141</v>
      </c>
      <c r="I675" s="33" t="s">
        <v>142</v>
      </c>
      <c r="K675" s="8"/>
    </row>
    <row r="676" spans="1:11" outlineLevel="1" x14ac:dyDescent="0.25">
      <c r="A676" t="s">
        <v>134</v>
      </c>
      <c r="B676" t="s">
        <v>107</v>
      </c>
      <c r="C676" t="s">
        <v>144</v>
      </c>
      <c r="E676" t="str">
        <f>'Remplissage - Sit. Init.'!F676</f>
        <v>FretFluvCat19NbTraj</v>
      </c>
      <c r="F676" t="s">
        <v>17</v>
      </c>
      <c r="G676">
        <f>IF($H$15="Oui",1,0)*IF(ISNUMBER(SEARCH("Une estimation du nombre annuel de trajets pour ce type de barge",H675)),1,0)</f>
        <v>1</v>
      </c>
      <c r="H676" s="8"/>
      <c r="I676" s="33"/>
      <c r="J676" t="s">
        <v>145</v>
      </c>
      <c r="K676" s="8"/>
    </row>
    <row r="677" spans="1:11" outlineLevel="1" x14ac:dyDescent="0.25">
      <c r="A677" t="s">
        <v>134</v>
      </c>
      <c r="B677" t="s">
        <v>107</v>
      </c>
      <c r="C677" t="s">
        <v>146</v>
      </c>
      <c r="E677" t="str">
        <f>'Remplissage - Sit. Init.'!F677</f>
        <v>FretFluvCat19DistMoy</v>
      </c>
      <c r="F677" t="s">
        <v>17</v>
      </c>
      <c r="G677">
        <f>IF($H$15="Oui",1,0)*IF(ISNUMBER(SEARCH("La distance moyenne d'un trajet",H675)),1,0)</f>
        <v>1</v>
      </c>
      <c r="H677" s="8"/>
      <c r="I677" s="33"/>
      <c r="J677" t="s">
        <v>88</v>
      </c>
      <c r="K677" s="8"/>
    </row>
    <row r="678" spans="1:11" outlineLevel="1" x14ac:dyDescent="0.25">
      <c r="A678" t="s">
        <v>134</v>
      </c>
      <c r="B678" t="s">
        <v>107</v>
      </c>
      <c r="C678" t="s">
        <v>147</v>
      </c>
      <c r="E678" t="str">
        <f>'Remplissage - Sit. Init.'!F678</f>
        <v>FretFluvCat19EmportMoy</v>
      </c>
      <c r="F678" t="s">
        <v>17</v>
      </c>
      <c r="G678">
        <f>IF($H$15="Oui",1,0)*IF(ISNUMBER(SEARCH("La masse moyenne transportée pour un trajet",H675)),1,0)</f>
        <v>1</v>
      </c>
      <c r="H678" s="8"/>
      <c r="I678" s="33"/>
      <c r="J678" t="s">
        <v>148</v>
      </c>
      <c r="K678" s="8"/>
    </row>
    <row r="679" spans="1:11" outlineLevel="1" x14ac:dyDescent="0.25">
      <c r="A679" t="s">
        <v>134</v>
      </c>
      <c r="B679" t="s">
        <v>107</v>
      </c>
      <c r="C679" t="s">
        <v>149</v>
      </c>
      <c r="E679" t="str">
        <f>'Remplissage - Sit. Init.'!F679</f>
        <v>FretFluvCat19DistAn</v>
      </c>
      <c r="F679" t="s">
        <v>17</v>
      </c>
      <c r="G679">
        <f>IF($H$15="Oui",1,0)*IF(ISNUMBER(SEARCH("La distance parcourue annuellement pour ce type de barge",H675)),1,0)</f>
        <v>0</v>
      </c>
      <c r="H679" s="8"/>
      <c r="I679" s="33"/>
      <c r="J679" t="s">
        <v>88</v>
      </c>
      <c r="K679" s="8"/>
    </row>
    <row r="680" spans="1:11" outlineLevel="1" x14ac:dyDescent="0.25">
      <c r="A680" t="s">
        <v>134</v>
      </c>
      <c r="B680" t="s">
        <v>107</v>
      </c>
      <c r="C680" t="s">
        <v>150</v>
      </c>
      <c r="E680" t="str">
        <f>'Remplissage - Sit. Init.'!F680</f>
        <v>FretFluvCat19TauxChargeMoy</v>
      </c>
      <c r="F680" t="s">
        <v>17</v>
      </c>
      <c r="G680">
        <f>IF($H$15="Oui",1,0)*IF(ISNUMBER(SEARCH("Le taux de chargement moyen",H675)),1,0)</f>
        <v>0</v>
      </c>
      <c r="H680" s="8"/>
      <c r="I680" s="33"/>
      <c r="J680" t="s">
        <v>70</v>
      </c>
      <c r="K680" s="8"/>
    </row>
    <row r="681" spans="1:11" outlineLevel="1" x14ac:dyDescent="0.25">
      <c r="A681" t="s">
        <v>134</v>
      </c>
      <c r="B681" t="s">
        <v>107</v>
      </c>
      <c r="C681" t="s">
        <v>526</v>
      </c>
      <c r="E681" t="str">
        <f>'Remplissage - Sit. Init.'!F681</f>
        <v>FretFluvCat19NbBarges</v>
      </c>
      <c r="F681" t="s">
        <v>17</v>
      </c>
      <c r="G681">
        <f>IF($H$15="Oui",1,0)</f>
        <v>1</v>
      </c>
      <c r="H681" s="8"/>
      <c r="I681" s="33"/>
      <c r="J681" t="s">
        <v>151</v>
      </c>
      <c r="K681" s="8"/>
    </row>
    <row r="682" spans="1:11" outlineLevel="1" x14ac:dyDescent="0.25">
      <c r="A682" t="s">
        <v>134</v>
      </c>
      <c r="B682" t="s">
        <v>108</v>
      </c>
      <c r="C682" t="s">
        <v>135</v>
      </c>
      <c r="E682" t="str">
        <f>'Remplissage - Sit. Init.'!F682</f>
        <v>FretFluvCat20Nom</v>
      </c>
      <c r="F682" s="32" t="s">
        <v>20</v>
      </c>
      <c r="G682">
        <f>IF($H$15="Oui",1,0)</f>
        <v>1</v>
      </c>
      <c r="H682" s="8"/>
      <c r="I682" s="33" t="str">
        <f>VLOOKUP(B682,'Parcs types'!$B$65:$AA$120,2,FALSE)</f>
        <v>Automoteurs 650-999 tonnes H2 , PAC</v>
      </c>
      <c r="K682" t="str">
        <f>I682</f>
        <v>Automoteurs 650-999 tonnes H2 , PAC</v>
      </c>
    </row>
    <row r="683" spans="1:11" outlineLevel="1" x14ac:dyDescent="0.25">
      <c r="A683" t="s">
        <v>134</v>
      </c>
      <c r="B683" t="s">
        <v>108</v>
      </c>
      <c r="C683" t="s">
        <v>136</v>
      </c>
      <c r="E683" t="str">
        <f>'Remplissage - Sit. Init.'!F683</f>
        <v>FretFluvCat20Type</v>
      </c>
      <c r="F683" t="s">
        <v>20</v>
      </c>
      <c r="G683">
        <f t="shared" ref="G683:G685" si="83">IF($H$15="Oui",1,0)</f>
        <v>1</v>
      </c>
      <c r="H683" s="8"/>
      <c r="I683" s="33" t="str">
        <f>VLOOKUP(B683,'Parcs types'!$B$65:$AA$120,3,FALSE)</f>
        <v>Automoteurs</v>
      </c>
      <c r="K683" t="str">
        <f t="shared" ref="K683:K685" si="84">I683</f>
        <v>Automoteurs</v>
      </c>
    </row>
    <row r="684" spans="1:11" outlineLevel="1" x14ac:dyDescent="0.25">
      <c r="A684" t="s">
        <v>134</v>
      </c>
      <c r="B684" t="s">
        <v>108</v>
      </c>
      <c r="C684" t="s">
        <v>137</v>
      </c>
      <c r="E684" t="str">
        <f>'Remplissage - Sit. Init.'!F684</f>
        <v>FretFluvCat20Cap</v>
      </c>
      <c r="F684" s="32" t="s">
        <v>36</v>
      </c>
      <c r="G684">
        <f t="shared" si="83"/>
        <v>1</v>
      </c>
      <c r="H684" s="8"/>
      <c r="I684" s="33" t="str">
        <f>VLOOKUP(B684,'Parcs types'!$B$65:$AA$120,4,FALSE)</f>
        <v>650-999 tonnes</v>
      </c>
      <c r="J684" t="s">
        <v>524</v>
      </c>
      <c r="K684" t="str">
        <f t="shared" si="84"/>
        <v>650-999 tonnes</v>
      </c>
    </row>
    <row r="685" spans="1:11" outlineLevel="1" x14ac:dyDescent="0.25">
      <c r="A685" t="s">
        <v>134</v>
      </c>
      <c r="B685" t="s">
        <v>108</v>
      </c>
      <c r="C685" t="s">
        <v>525</v>
      </c>
      <c r="E685" t="str">
        <f>'Remplissage - Sit. Init.'!F685</f>
        <v>FretFluvCat20Tech</v>
      </c>
      <c r="F685" s="32" t="s">
        <v>20</v>
      </c>
      <c r="G685">
        <f t="shared" si="83"/>
        <v>1</v>
      </c>
      <c r="H685" s="8"/>
      <c r="I685" s="33" t="str">
        <f>VLOOKUP(B685,'Parcs types'!$B$65:$AA$120,5,FALSE)</f>
        <v>H2 , PAC</v>
      </c>
      <c r="K685" t="str">
        <f t="shared" si="84"/>
        <v>H2 , PAC</v>
      </c>
    </row>
    <row r="686" spans="1:11" outlineLevel="1" x14ac:dyDescent="0.25">
      <c r="A686" t="s">
        <v>134</v>
      </c>
      <c r="B686" t="s">
        <v>108</v>
      </c>
      <c r="C686" t="s">
        <v>140</v>
      </c>
      <c r="E686" t="str">
        <f>'Remplissage - Sit. Init.'!F686</f>
        <v>FretFluvCat20Request</v>
      </c>
      <c r="F686" s="32" t="s">
        <v>20</v>
      </c>
      <c r="G686">
        <f>IF($H$15="Oui",1,0)</f>
        <v>1</v>
      </c>
      <c r="H686" t="s">
        <v>141</v>
      </c>
      <c r="I686" s="33" t="s">
        <v>142</v>
      </c>
      <c r="K686" s="8"/>
    </row>
    <row r="687" spans="1:11" outlineLevel="1" x14ac:dyDescent="0.25">
      <c r="A687" t="s">
        <v>134</v>
      </c>
      <c r="B687" t="s">
        <v>108</v>
      </c>
      <c r="C687" t="s">
        <v>144</v>
      </c>
      <c r="E687" t="str">
        <f>'Remplissage - Sit. Init.'!F687</f>
        <v>FretFluvCat20NbTraj</v>
      </c>
      <c r="F687" t="s">
        <v>17</v>
      </c>
      <c r="G687">
        <f>IF($H$15="Oui",1,0)*IF(ISNUMBER(SEARCH("Une estimation du nombre annuel de trajets pour ce type de barge",H686)),1,0)</f>
        <v>1</v>
      </c>
      <c r="H687" s="8"/>
      <c r="I687" s="33"/>
      <c r="J687" t="s">
        <v>145</v>
      </c>
      <c r="K687" s="8"/>
    </row>
    <row r="688" spans="1:11" outlineLevel="1" x14ac:dyDescent="0.25">
      <c r="A688" t="s">
        <v>134</v>
      </c>
      <c r="B688" t="s">
        <v>108</v>
      </c>
      <c r="C688" t="s">
        <v>146</v>
      </c>
      <c r="E688" t="str">
        <f>'Remplissage - Sit. Init.'!F688</f>
        <v>FretFluvCat20DistMoy</v>
      </c>
      <c r="F688" t="s">
        <v>17</v>
      </c>
      <c r="G688">
        <f>IF($H$15="Oui",1,0)*IF(ISNUMBER(SEARCH("La distance moyenne d'un trajet",H686)),1,0)</f>
        <v>1</v>
      </c>
      <c r="H688" s="8"/>
      <c r="I688" s="33"/>
      <c r="J688" t="s">
        <v>88</v>
      </c>
      <c r="K688" s="8"/>
    </row>
    <row r="689" spans="1:11" outlineLevel="1" x14ac:dyDescent="0.25">
      <c r="A689" t="s">
        <v>134</v>
      </c>
      <c r="B689" t="s">
        <v>108</v>
      </c>
      <c r="C689" t="s">
        <v>147</v>
      </c>
      <c r="E689" t="str">
        <f>'Remplissage - Sit. Init.'!F689</f>
        <v>FretFluvCat20EmportMoy</v>
      </c>
      <c r="F689" t="s">
        <v>17</v>
      </c>
      <c r="G689">
        <f>IF($H$15="Oui",1,0)*IF(ISNUMBER(SEARCH("La masse moyenne transportée pour un trajet",H686)),1,0)</f>
        <v>1</v>
      </c>
      <c r="H689" s="8"/>
      <c r="I689" s="33"/>
      <c r="J689" t="s">
        <v>148</v>
      </c>
      <c r="K689" s="8"/>
    </row>
    <row r="690" spans="1:11" outlineLevel="1" x14ac:dyDescent="0.25">
      <c r="A690" t="s">
        <v>134</v>
      </c>
      <c r="B690" t="s">
        <v>108</v>
      </c>
      <c r="C690" t="s">
        <v>149</v>
      </c>
      <c r="E690" t="str">
        <f>'Remplissage - Sit. Init.'!F690</f>
        <v>FretFluvCat20DistAn</v>
      </c>
      <c r="F690" t="s">
        <v>17</v>
      </c>
      <c r="G690">
        <f>IF($H$15="Oui",1,0)*IF(ISNUMBER(SEARCH("La distance parcourue annuellement pour ce type de barge",H686)),1,0)</f>
        <v>0</v>
      </c>
      <c r="H690" s="8"/>
      <c r="I690" s="33"/>
      <c r="J690" t="s">
        <v>88</v>
      </c>
      <c r="K690" s="8"/>
    </row>
    <row r="691" spans="1:11" outlineLevel="1" x14ac:dyDescent="0.25">
      <c r="A691" t="s">
        <v>134</v>
      </c>
      <c r="B691" t="s">
        <v>108</v>
      </c>
      <c r="C691" t="s">
        <v>150</v>
      </c>
      <c r="E691" t="str">
        <f>'Remplissage - Sit. Init.'!F691</f>
        <v>FretFluvCat20TauxChargeMoy</v>
      </c>
      <c r="F691" t="s">
        <v>17</v>
      </c>
      <c r="G691">
        <f>IF($H$15="Oui",1,0)*IF(ISNUMBER(SEARCH("Le taux de chargement moyen",H686)),1,0)</f>
        <v>0</v>
      </c>
      <c r="H691" s="8"/>
      <c r="I691" s="33"/>
      <c r="J691" t="s">
        <v>70</v>
      </c>
      <c r="K691" s="8"/>
    </row>
    <row r="692" spans="1:11" outlineLevel="1" x14ac:dyDescent="0.25">
      <c r="A692" t="s">
        <v>134</v>
      </c>
      <c r="B692" t="s">
        <v>108</v>
      </c>
      <c r="C692" t="s">
        <v>526</v>
      </c>
      <c r="E692" t="str">
        <f>'Remplissage - Sit. Init.'!F692</f>
        <v>FretFluvCat20NbBarges</v>
      </c>
      <c r="F692" t="s">
        <v>17</v>
      </c>
      <c r="G692">
        <f>IF($H$15="Oui",1,0)</f>
        <v>1</v>
      </c>
      <c r="H692" s="8"/>
      <c r="I692" s="33"/>
      <c r="J692" t="s">
        <v>151</v>
      </c>
      <c r="K692" s="8"/>
    </row>
    <row r="693" spans="1:11" outlineLevel="1" x14ac:dyDescent="0.25">
      <c r="A693" t="s">
        <v>134</v>
      </c>
      <c r="B693" t="s">
        <v>109</v>
      </c>
      <c r="C693" t="s">
        <v>135</v>
      </c>
      <c r="E693" t="str">
        <f>'Remplissage - Sit. Init.'!F693</f>
        <v>FretFluvCat21Nom</v>
      </c>
      <c r="F693" s="32" t="s">
        <v>20</v>
      </c>
      <c r="G693">
        <f>IF($H$15="Oui",1,0)</f>
        <v>1</v>
      </c>
      <c r="H693" s="8"/>
      <c r="I693" s="33" t="str">
        <f>VLOOKUP(B693,'Parcs types'!$B$65:$AA$120,2,FALSE)</f>
        <v>Automoteurs 650-999 tonnes H2 , ICE</v>
      </c>
      <c r="K693" t="str">
        <f>I693</f>
        <v>Automoteurs 650-999 tonnes H2 , ICE</v>
      </c>
    </row>
    <row r="694" spans="1:11" outlineLevel="1" x14ac:dyDescent="0.25">
      <c r="A694" t="s">
        <v>134</v>
      </c>
      <c r="B694" t="s">
        <v>109</v>
      </c>
      <c r="C694" t="s">
        <v>136</v>
      </c>
      <c r="E694" t="str">
        <f>'Remplissage - Sit. Init.'!F694</f>
        <v>FretFluvCat21Type</v>
      </c>
      <c r="F694" t="s">
        <v>20</v>
      </c>
      <c r="G694">
        <f t="shared" ref="G694:G696" si="85">IF($H$15="Oui",1,0)</f>
        <v>1</v>
      </c>
      <c r="H694" s="8"/>
      <c r="I694" s="33" t="str">
        <f>VLOOKUP(B694,'Parcs types'!$B$65:$AA$120,3,FALSE)</f>
        <v>Automoteurs</v>
      </c>
      <c r="K694" t="str">
        <f t="shared" ref="K694:K696" si="86">I694</f>
        <v>Automoteurs</v>
      </c>
    </row>
    <row r="695" spans="1:11" outlineLevel="1" x14ac:dyDescent="0.25">
      <c r="A695" t="s">
        <v>134</v>
      </c>
      <c r="B695" t="s">
        <v>109</v>
      </c>
      <c r="C695" t="s">
        <v>137</v>
      </c>
      <c r="E695" t="str">
        <f>'Remplissage - Sit. Init.'!F695</f>
        <v>FretFluvCat21Cap</v>
      </c>
      <c r="F695" s="32" t="s">
        <v>36</v>
      </c>
      <c r="G695">
        <f t="shared" si="85"/>
        <v>1</v>
      </c>
      <c r="H695" s="8"/>
      <c r="I695" s="33" t="str">
        <f>VLOOKUP(B695,'Parcs types'!$B$65:$AA$120,4,FALSE)</f>
        <v>650-999 tonnes</v>
      </c>
      <c r="J695" t="s">
        <v>524</v>
      </c>
      <c r="K695" t="str">
        <f t="shared" si="86"/>
        <v>650-999 tonnes</v>
      </c>
    </row>
    <row r="696" spans="1:11" outlineLevel="1" x14ac:dyDescent="0.25">
      <c r="A696" t="s">
        <v>134</v>
      </c>
      <c r="B696" t="s">
        <v>109</v>
      </c>
      <c r="C696" t="s">
        <v>525</v>
      </c>
      <c r="E696" t="str">
        <f>'Remplissage - Sit. Init.'!F696</f>
        <v>FretFluvCat21Tech</v>
      </c>
      <c r="F696" s="32" t="s">
        <v>20</v>
      </c>
      <c r="G696">
        <f t="shared" si="85"/>
        <v>1</v>
      </c>
      <c r="H696" s="8"/>
      <c r="I696" s="33" t="str">
        <f>VLOOKUP(B696,'Parcs types'!$B$65:$AA$120,5,FALSE)</f>
        <v>H2 , ICE</v>
      </c>
      <c r="K696" t="str">
        <f t="shared" si="86"/>
        <v>H2 , ICE</v>
      </c>
    </row>
    <row r="697" spans="1:11" outlineLevel="1" x14ac:dyDescent="0.25">
      <c r="A697" t="s">
        <v>134</v>
      </c>
      <c r="B697" t="s">
        <v>109</v>
      </c>
      <c r="C697" t="s">
        <v>140</v>
      </c>
      <c r="E697" t="str">
        <f>'Remplissage - Sit. Init.'!F697</f>
        <v>FretFluvCat21Request</v>
      </c>
      <c r="F697" s="32" t="s">
        <v>20</v>
      </c>
      <c r="G697">
        <f>IF($H$15="Oui",1,0)</f>
        <v>1</v>
      </c>
      <c r="H697" t="s">
        <v>141</v>
      </c>
      <c r="I697" s="33" t="s">
        <v>142</v>
      </c>
      <c r="K697" s="8"/>
    </row>
    <row r="698" spans="1:11" outlineLevel="1" x14ac:dyDescent="0.25">
      <c r="A698" t="s">
        <v>134</v>
      </c>
      <c r="B698" t="s">
        <v>109</v>
      </c>
      <c r="C698" t="s">
        <v>144</v>
      </c>
      <c r="E698" t="str">
        <f>'Remplissage - Sit. Init.'!F698</f>
        <v>FretFluvCat21NbTraj</v>
      </c>
      <c r="F698" t="s">
        <v>17</v>
      </c>
      <c r="G698">
        <f>IF($H$15="Oui",1,0)*IF(ISNUMBER(SEARCH("Une estimation du nombre annuel de trajets pour ce type de barge",H697)),1,0)</f>
        <v>1</v>
      </c>
      <c r="H698" s="8"/>
      <c r="I698" s="33"/>
      <c r="J698" t="s">
        <v>145</v>
      </c>
      <c r="K698" s="8"/>
    </row>
    <row r="699" spans="1:11" outlineLevel="1" x14ac:dyDescent="0.25">
      <c r="A699" t="s">
        <v>134</v>
      </c>
      <c r="B699" t="s">
        <v>109</v>
      </c>
      <c r="C699" t="s">
        <v>146</v>
      </c>
      <c r="E699" t="str">
        <f>'Remplissage - Sit. Init.'!F699</f>
        <v>FretFluvCat21DistMoy</v>
      </c>
      <c r="F699" t="s">
        <v>17</v>
      </c>
      <c r="G699">
        <f>IF($H$15="Oui",1,0)*IF(ISNUMBER(SEARCH("La distance moyenne d'un trajet",H697)),1,0)</f>
        <v>1</v>
      </c>
      <c r="H699" s="8"/>
      <c r="I699" s="33"/>
      <c r="J699" t="s">
        <v>88</v>
      </c>
      <c r="K699" s="8"/>
    </row>
    <row r="700" spans="1:11" outlineLevel="1" x14ac:dyDescent="0.25">
      <c r="A700" t="s">
        <v>134</v>
      </c>
      <c r="B700" t="s">
        <v>109</v>
      </c>
      <c r="C700" t="s">
        <v>147</v>
      </c>
      <c r="E700" t="str">
        <f>'Remplissage - Sit. Init.'!F700</f>
        <v>FretFluvCat21EmportMoy</v>
      </c>
      <c r="F700" t="s">
        <v>17</v>
      </c>
      <c r="G700">
        <f>IF($H$15="Oui",1,0)*IF(ISNUMBER(SEARCH("La masse moyenne transportée pour un trajet",H697)),1,0)</f>
        <v>1</v>
      </c>
      <c r="H700" s="8"/>
      <c r="I700" s="33"/>
      <c r="J700" t="s">
        <v>148</v>
      </c>
      <c r="K700" s="8"/>
    </row>
    <row r="701" spans="1:11" outlineLevel="1" x14ac:dyDescent="0.25">
      <c r="A701" t="s">
        <v>134</v>
      </c>
      <c r="B701" t="s">
        <v>109</v>
      </c>
      <c r="C701" t="s">
        <v>149</v>
      </c>
      <c r="E701" t="str">
        <f>'Remplissage - Sit. Init.'!F701</f>
        <v>FretFluvCat21DistAn</v>
      </c>
      <c r="F701" t="s">
        <v>17</v>
      </c>
      <c r="G701">
        <f>IF($H$15="Oui",1,0)*IF(ISNUMBER(SEARCH("La distance parcourue annuellement pour ce type de barge",H697)),1,0)</f>
        <v>0</v>
      </c>
      <c r="H701" s="8"/>
      <c r="I701" s="33"/>
      <c r="J701" t="s">
        <v>88</v>
      </c>
      <c r="K701" s="8"/>
    </row>
    <row r="702" spans="1:11" outlineLevel="1" x14ac:dyDescent="0.25">
      <c r="A702" t="s">
        <v>134</v>
      </c>
      <c r="B702" t="s">
        <v>109</v>
      </c>
      <c r="C702" t="s">
        <v>150</v>
      </c>
      <c r="E702" t="str">
        <f>'Remplissage - Sit. Init.'!F702</f>
        <v>FretFluvCat21TauxChargeMoy</v>
      </c>
      <c r="F702" t="s">
        <v>17</v>
      </c>
      <c r="G702">
        <f>IF($H$15="Oui",1,0)*IF(ISNUMBER(SEARCH("Le taux de chargement moyen",H697)),1,0)</f>
        <v>0</v>
      </c>
      <c r="H702" s="8"/>
      <c r="I702" s="33"/>
      <c r="J702" t="s">
        <v>70</v>
      </c>
      <c r="K702" s="8"/>
    </row>
    <row r="703" spans="1:11" outlineLevel="1" x14ac:dyDescent="0.25">
      <c r="A703" t="s">
        <v>134</v>
      </c>
      <c r="B703" t="s">
        <v>109</v>
      </c>
      <c r="C703" t="s">
        <v>526</v>
      </c>
      <c r="E703" t="str">
        <f>'Remplissage - Sit. Init.'!F703</f>
        <v>FretFluvCat21NbBarges</v>
      </c>
      <c r="F703" t="s">
        <v>17</v>
      </c>
      <c r="G703">
        <f>IF($H$15="Oui",1,0)</f>
        <v>1</v>
      </c>
      <c r="H703" s="8"/>
      <c r="I703" s="33"/>
      <c r="J703" t="s">
        <v>151</v>
      </c>
      <c r="K703" s="8"/>
    </row>
    <row r="704" spans="1:11" outlineLevel="1" x14ac:dyDescent="0.25">
      <c r="A704" t="s">
        <v>134</v>
      </c>
      <c r="B704" t="s">
        <v>110</v>
      </c>
      <c r="C704" t="s">
        <v>135</v>
      </c>
      <c r="E704" t="str">
        <f>'Remplissage - Sit. Init.'!F704</f>
        <v>FretFluvCat22Nom</v>
      </c>
      <c r="F704" s="32" t="s">
        <v>20</v>
      </c>
      <c r="G704">
        <f>IF($H$15="Oui",1,0)</f>
        <v>1</v>
      </c>
      <c r="H704" s="8"/>
      <c r="I704" s="33" t="str">
        <f>VLOOKUP(B704,'Parcs types'!$B$65:$AA$120,2,FALSE)</f>
        <v>Automoteurs 1000-1499 tonnes CCNR 2 ou inférieur, diesel</v>
      </c>
      <c r="K704" t="str">
        <f>I704</f>
        <v>Automoteurs 1000-1499 tonnes CCNR 2 ou inférieur, diesel</v>
      </c>
    </row>
    <row r="705" spans="1:11" outlineLevel="1" x14ac:dyDescent="0.25">
      <c r="A705" t="s">
        <v>134</v>
      </c>
      <c r="B705" t="s">
        <v>110</v>
      </c>
      <c r="C705" t="s">
        <v>136</v>
      </c>
      <c r="E705" t="str">
        <f>'Remplissage - Sit. Init.'!F705</f>
        <v>FretFluvCat22Type</v>
      </c>
      <c r="F705" t="s">
        <v>20</v>
      </c>
      <c r="G705">
        <f t="shared" ref="G705:G707" si="87">IF($H$15="Oui",1,0)</f>
        <v>1</v>
      </c>
      <c r="H705" s="8"/>
      <c r="I705" s="33" t="str">
        <f>VLOOKUP(B705,'Parcs types'!$B$65:$AA$120,3,FALSE)</f>
        <v>Automoteurs</v>
      </c>
      <c r="K705" t="str">
        <f t="shared" ref="K705:K707" si="88">I705</f>
        <v>Automoteurs</v>
      </c>
    </row>
    <row r="706" spans="1:11" outlineLevel="1" x14ac:dyDescent="0.25">
      <c r="A706" t="s">
        <v>134</v>
      </c>
      <c r="B706" t="s">
        <v>110</v>
      </c>
      <c r="C706" t="s">
        <v>137</v>
      </c>
      <c r="E706" t="str">
        <f>'Remplissage - Sit. Init.'!F706</f>
        <v>FretFluvCat22Cap</v>
      </c>
      <c r="F706" s="32" t="s">
        <v>36</v>
      </c>
      <c r="G706">
        <f t="shared" si="87"/>
        <v>1</v>
      </c>
      <c r="I706" s="33" t="str">
        <f>VLOOKUP(B706,'Parcs types'!$B$65:$AA$120,4,FALSE)</f>
        <v>1000-1499 tonnes</v>
      </c>
      <c r="J706" t="s">
        <v>524</v>
      </c>
      <c r="K706" t="str">
        <f t="shared" si="88"/>
        <v>1000-1499 tonnes</v>
      </c>
    </row>
    <row r="707" spans="1:11" outlineLevel="1" x14ac:dyDescent="0.25">
      <c r="A707" t="s">
        <v>134</v>
      </c>
      <c r="B707" t="s">
        <v>110</v>
      </c>
      <c r="C707" t="s">
        <v>525</v>
      </c>
      <c r="E707" t="str">
        <f>'Remplissage - Sit. Init.'!F707</f>
        <v>FretFluvCat22Tech</v>
      </c>
      <c r="F707" s="32" t="s">
        <v>20</v>
      </c>
      <c r="G707">
        <f t="shared" si="87"/>
        <v>1</v>
      </c>
      <c r="I707" s="33" t="str">
        <f>VLOOKUP(B707,'Parcs types'!$B$65:$AA$120,5,FALSE)</f>
        <v>CCNR 2 ou inférieur, diesel</v>
      </c>
      <c r="K707" t="str">
        <f t="shared" si="88"/>
        <v>CCNR 2 ou inférieur, diesel</v>
      </c>
    </row>
    <row r="708" spans="1:11" outlineLevel="1" x14ac:dyDescent="0.25">
      <c r="A708" t="s">
        <v>134</v>
      </c>
      <c r="B708" t="s">
        <v>110</v>
      </c>
      <c r="C708" t="s">
        <v>140</v>
      </c>
      <c r="E708" t="str">
        <f>'Remplissage - Sit. Init.'!F708</f>
        <v>FretFluvCat22Request</v>
      </c>
      <c r="F708" s="32" t="s">
        <v>20</v>
      </c>
      <c r="G708">
        <f>IF($H$15="Oui",1,0)</f>
        <v>1</v>
      </c>
      <c r="H708" t="s">
        <v>141</v>
      </c>
      <c r="I708" s="33" t="s">
        <v>142</v>
      </c>
    </row>
    <row r="709" spans="1:11" outlineLevel="1" x14ac:dyDescent="0.25">
      <c r="A709" t="s">
        <v>134</v>
      </c>
      <c r="B709" t="s">
        <v>110</v>
      </c>
      <c r="C709" t="s">
        <v>144</v>
      </c>
      <c r="E709" t="str">
        <f>'Remplissage - Sit. Init.'!F709</f>
        <v>FretFluvCat22NbTraj</v>
      </c>
      <c r="F709" t="s">
        <v>17</v>
      </c>
      <c r="G709">
        <f>IF($H$15="Oui",1,0)*IF(ISNUMBER(SEARCH("Une estimation du nombre annuel de trajets pour ce type de barge",H708)),1,0)</f>
        <v>1</v>
      </c>
      <c r="I709" s="33"/>
      <c r="J709" t="s">
        <v>145</v>
      </c>
    </row>
    <row r="710" spans="1:11" outlineLevel="1" x14ac:dyDescent="0.25">
      <c r="A710" t="s">
        <v>134</v>
      </c>
      <c r="B710" t="s">
        <v>110</v>
      </c>
      <c r="C710" t="s">
        <v>146</v>
      </c>
      <c r="E710" t="str">
        <f>'Remplissage - Sit. Init.'!F710</f>
        <v>FretFluvCat22DistMoy</v>
      </c>
      <c r="F710" t="s">
        <v>17</v>
      </c>
      <c r="G710">
        <f>IF($H$15="Oui",1,0)*IF(ISNUMBER(SEARCH("La distance moyenne d'un trajet",H708)),1,0)</f>
        <v>1</v>
      </c>
      <c r="I710" s="33"/>
      <c r="J710" t="s">
        <v>88</v>
      </c>
    </row>
    <row r="711" spans="1:11" outlineLevel="1" x14ac:dyDescent="0.25">
      <c r="A711" t="s">
        <v>134</v>
      </c>
      <c r="B711" t="s">
        <v>110</v>
      </c>
      <c r="C711" t="s">
        <v>147</v>
      </c>
      <c r="E711" t="str">
        <f>'Remplissage - Sit. Init.'!F711</f>
        <v>FretFluvCat22EmportMoy</v>
      </c>
      <c r="F711" t="s">
        <v>17</v>
      </c>
      <c r="G711">
        <f>IF($H$15="Oui",1,0)*IF(ISNUMBER(SEARCH("La masse moyenne transportée pour un trajet",H708)),1,0)</f>
        <v>1</v>
      </c>
      <c r="I711" s="33"/>
      <c r="J711" t="s">
        <v>148</v>
      </c>
    </row>
    <row r="712" spans="1:11" outlineLevel="1" x14ac:dyDescent="0.25">
      <c r="A712" t="s">
        <v>134</v>
      </c>
      <c r="B712" t="s">
        <v>110</v>
      </c>
      <c r="C712" t="s">
        <v>149</v>
      </c>
      <c r="E712" t="str">
        <f>'Remplissage - Sit. Init.'!F712</f>
        <v>FretFluvCat22DistAn</v>
      </c>
      <c r="F712" t="s">
        <v>17</v>
      </c>
      <c r="G712">
        <f>IF($H$15="Oui",1,0)*IF(ISNUMBER(SEARCH("La distance parcourue annuellement pour ce type de barge",H708)),1,0)</f>
        <v>0</v>
      </c>
      <c r="I712" s="33"/>
      <c r="J712" t="s">
        <v>88</v>
      </c>
    </row>
    <row r="713" spans="1:11" outlineLevel="1" x14ac:dyDescent="0.25">
      <c r="A713" t="s">
        <v>134</v>
      </c>
      <c r="B713" t="s">
        <v>110</v>
      </c>
      <c r="C713" t="s">
        <v>150</v>
      </c>
      <c r="E713" t="str">
        <f>'Remplissage - Sit. Init.'!F713</f>
        <v>FretFluvCat22TauxChargeMoy</v>
      </c>
      <c r="F713" t="s">
        <v>17</v>
      </c>
      <c r="G713">
        <f>IF($H$15="Oui",1,0)*IF(ISNUMBER(SEARCH("Le taux de chargement moyen",H708)),1,0)</f>
        <v>0</v>
      </c>
      <c r="I713" s="33"/>
      <c r="J713" t="s">
        <v>70</v>
      </c>
    </row>
    <row r="714" spans="1:11" outlineLevel="1" x14ac:dyDescent="0.25">
      <c r="A714" t="s">
        <v>134</v>
      </c>
      <c r="B714" t="s">
        <v>110</v>
      </c>
      <c r="C714" t="s">
        <v>526</v>
      </c>
      <c r="E714" t="str">
        <f>'Remplissage - Sit. Init.'!F714</f>
        <v>FretFluvCat22NbBarges</v>
      </c>
      <c r="F714" t="s">
        <v>17</v>
      </c>
      <c r="G714">
        <f>IF($H$15="Oui",1,0)</f>
        <v>1</v>
      </c>
      <c r="I714" s="33"/>
      <c r="J714" t="s">
        <v>151</v>
      </c>
      <c r="K714" s="8"/>
    </row>
    <row r="715" spans="1:11" outlineLevel="1" x14ac:dyDescent="0.25">
      <c r="A715" t="s">
        <v>134</v>
      </c>
      <c r="B715" t="s">
        <v>111</v>
      </c>
      <c r="C715" t="s">
        <v>135</v>
      </c>
      <c r="E715" t="str">
        <f>'Remplissage - Sit. Init.'!F715</f>
        <v>FretFluvCat23Nom</v>
      </c>
      <c r="F715" s="32" t="s">
        <v>20</v>
      </c>
      <c r="G715">
        <f>IF($H$15="Oui",1,0)</f>
        <v>1</v>
      </c>
      <c r="H715" s="3"/>
      <c r="I715" s="33" t="str">
        <f>VLOOKUP(B715,'Parcs types'!$B$65:$AA$120,2,FALSE)</f>
        <v>Automoteurs 1000-1499 tonnes CCNR 2 + SCR, diesel</v>
      </c>
      <c r="K715" t="str">
        <f>I715</f>
        <v>Automoteurs 1000-1499 tonnes CCNR 2 + SCR, diesel</v>
      </c>
    </row>
    <row r="716" spans="1:11" outlineLevel="1" x14ac:dyDescent="0.25">
      <c r="A716" t="s">
        <v>134</v>
      </c>
      <c r="B716" t="s">
        <v>111</v>
      </c>
      <c r="C716" t="s">
        <v>136</v>
      </c>
      <c r="E716" t="str">
        <f>'Remplissage - Sit. Init.'!F716</f>
        <v>FretFluvCat23Type</v>
      </c>
      <c r="F716" t="s">
        <v>20</v>
      </c>
      <c r="G716">
        <f t="shared" ref="G716:G718" si="89">IF($H$15="Oui",1,0)</f>
        <v>1</v>
      </c>
      <c r="H716" s="8"/>
      <c r="I716" s="33" t="str">
        <f>VLOOKUP(B716,'Parcs types'!$B$65:$AA$120,3,FALSE)</f>
        <v>Automoteurs</v>
      </c>
      <c r="K716" t="str">
        <f t="shared" ref="K716:K718" si="90">I716</f>
        <v>Automoteurs</v>
      </c>
    </row>
    <row r="717" spans="1:11" outlineLevel="1" x14ac:dyDescent="0.25">
      <c r="A717" t="s">
        <v>134</v>
      </c>
      <c r="B717" t="s">
        <v>111</v>
      </c>
      <c r="C717" t="s">
        <v>137</v>
      </c>
      <c r="E717" t="str">
        <f>'Remplissage - Sit. Init.'!F717</f>
        <v>FretFluvCat23Cap</v>
      </c>
      <c r="F717" s="32" t="s">
        <v>36</v>
      </c>
      <c r="G717">
        <f t="shared" si="89"/>
        <v>1</v>
      </c>
      <c r="I717" s="33" t="str">
        <f>VLOOKUP(B717,'Parcs types'!$B$65:$AA$120,4,FALSE)</f>
        <v>1000-1499 tonnes</v>
      </c>
      <c r="J717" t="s">
        <v>524</v>
      </c>
      <c r="K717" t="str">
        <f t="shared" si="90"/>
        <v>1000-1499 tonnes</v>
      </c>
    </row>
    <row r="718" spans="1:11" outlineLevel="1" x14ac:dyDescent="0.25">
      <c r="A718" t="s">
        <v>134</v>
      </c>
      <c r="B718" t="s">
        <v>111</v>
      </c>
      <c r="C718" t="s">
        <v>525</v>
      </c>
      <c r="E718" t="str">
        <f>'Remplissage - Sit. Init.'!F718</f>
        <v>FretFluvCat23Tech</v>
      </c>
      <c r="F718" s="32" t="s">
        <v>20</v>
      </c>
      <c r="G718">
        <f t="shared" si="89"/>
        <v>1</v>
      </c>
      <c r="I718" s="33" t="str">
        <f>VLOOKUP(B718,'Parcs types'!$B$65:$AA$120,5,FALSE)</f>
        <v>CCNR 2 + SCR, diesel</v>
      </c>
      <c r="K718" t="str">
        <f t="shared" si="90"/>
        <v>CCNR 2 + SCR, diesel</v>
      </c>
    </row>
    <row r="719" spans="1:11" outlineLevel="1" x14ac:dyDescent="0.25">
      <c r="A719" t="s">
        <v>134</v>
      </c>
      <c r="B719" t="s">
        <v>111</v>
      </c>
      <c r="C719" t="s">
        <v>140</v>
      </c>
      <c r="E719" t="str">
        <f>'Remplissage - Sit. Init.'!F719</f>
        <v>FretFluvCat23Request</v>
      </c>
      <c r="F719" s="32" t="s">
        <v>20</v>
      </c>
      <c r="G719">
        <f>IF($H$15="Oui",1,0)</f>
        <v>1</v>
      </c>
      <c r="H719" t="s">
        <v>141</v>
      </c>
      <c r="I719" s="33" t="s">
        <v>142</v>
      </c>
    </row>
    <row r="720" spans="1:11" outlineLevel="1" x14ac:dyDescent="0.25">
      <c r="A720" t="s">
        <v>134</v>
      </c>
      <c r="B720" t="s">
        <v>111</v>
      </c>
      <c r="C720" t="s">
        <v>144</v>
      </c>
      <c r="E720" t="str">
        <f>'Remplissage - Sit. Init.'!F720</f>
        <v>FretFluvCat23NbTraj</v>
      </c>
      <c r="F720" t="s">
        <v>17</v>
      </c>
      <c r="G720">
        <f>IF($H$15="Oui",1,0)*IF(ISNUMBER(SEARCH("Une estimation du nombre annuel de trajets pour ce type de barge",H719)),1,0)</f>
        <v>1</v>
      </c>
      <c r="I720" s="33"/>
      <c r="J720" t="s">
        <v>145</v>
      </c>
    </row>
    <row r="721" spans="1:11" outlineLevel="1" x14ac:dyDescent="0.25">
      <c r="A721" t="s">
        <v>134</v>
      </c>
      <c r="B721" t="s">
        <v>111</v>
      </c>
      <c r="C721" t="s">
        <v>146</v>
      </c>
      <c r="E721" t="str">
        <f>'Remplissage - Sit. Init.'!F721</f>
        <v>FretFluvCat23DistMoy</v>
      </c>
      <c r="F721" t="s">
        <v>17</v>
      </c>
      <c r="G721">
        <f>IF($H$15="Oui",1,0)*IF(ISNUMBER(SEARCH("La distance moyenne d'un trajet",H719)),1,0)</f>
        <v>1</v>
      </c>
      <c r="I721" s="33"/>
      <c r="J721" t="s">
        <v>88</v>
      </c>
    </row>
    <row r="722" spans="1:11" outlineLevel="1" x14ac:dyDescent="0.25">
      <c r="A722" t="s">
        <v>134</v>
      </c>
      <c r="B722" t="s">
        <v>111</v>
      </c>
      <c r="C722" t="s">
        <v>147</v>
      </c>
      <c r="E722" t="str">
        <f>'Remplissage - Sit. Init.'!F722</f>
        <v>FretFluvCat23EmportMoy</v>
      </c>
      <c r="F722" t="s">
        <v>17</v>
      </c>
      <c r="G722">
        <f>IF($H$15="Oui",1,0)*IF(ISNUMBER(SEARCH("La masse moyenne transportée pour un trajet",H719)),1,0)</f>
        <v>1</v>
      </c>
      <c r="I722" s="33"/>
      <c r="J722" t="s">
        <v>148</v>
      </c>
    </row>
    <row r="723" spans="1:11" outlineLevel="1" x14ac:dyDescent="0.25">
      <c r="A723" t="s">
        <v>134</v>
      </c>
      <c r="B723" t="s">
        <v>111</v>
      </c>
      <c r="C723" t="s">
        <v>149</v>
      </c>
      <c r="E723" t="str">
        <f>'Remplissage - Sit. Init.'!F723</f>
        <v>FretFluvCat23DistAn</v>
      </c>
      <c r="F723" t="s">
        <v>17</v>
      </c>
      <c r="G723">
        <f>IF($H$15="Oui",1,0)*IF(ISNUMBER(SEARCH("La distance parcourue annuellement pour ce type de barge",H719)),1,0)</f>
        <v>0</v>
      </c>
      <c r="I723" s="33"/>
      <c r="J723" t="s">
        <v>88</v>
      </c>
    </row>
    <row r="724" spans="1:11" outlineLevel="1" x14ac:dyDescent="0.25">
      <c r="A724" t="s">
        <v>134</v>
      </c>
      <c r="B724" t="s">
        <v>111</v>
      </c>
      <c r="C724" t="s">
        <v>150</v>
      </c>
      <c r="E724" t="str">
        <f>'Remplissage - Sit. Init.'!F724</f>
        <v>FretFluvCat23TauxChargeMoy</v>
      </c>
      <c r="F724" t="s">
        <v>17</v>
      </c>
      <c r="G724">
        <f>IF($H$15="Oui",1,0)*IF(ISNUMBER(SEARCH("Le taux de chargement moyen",H719)),1,0)</f>
        <v>0</v>
      </c>
      <c r="I724" s="33"/>
      <c r="J724" t="s">
        <v>70</v>
      </c>
    </row>
    <row r="725" spans="1:11" outlineLevel="1" x14ac:dyDescent="0.25">
      <c r="A725" t="s">
        <v>134</v>
      </c>
      <c r="B725" t="s">
        <v>111</v>
      </c>
      <c r="C725" t="s">
        <v>526</v>
      </c>
      <c r="E725" t="str">
        <f>'Remplissage - Sit. Init.'!F725</f>
        <v>FretFluvCat23NbBarges</v>
      </c>
      <c r="F725" t="s">
        <v>17</v>
      </c>
      <c r="G725">
        <f>IF($H$15="Oui",1,0)</f>
        <v>1</v>
      </c>
      <c r="I725" s="33"/>
      <c r="J725" t="s">
        <v>151</v>
      </c>
      <c r="K725" s="8"/>
    </row>
    <row r="726" spans="1:11" outlineLevel="1" x14ac:dyDescent="0.25">
      <c r="A726" t="s">
        <v>134</v>
      </c>
      <c r="B726" t="s">
        <v>112</v>
      </c>
      <c r="C726" t="s">
        <v>135</v>
      </c>
      <c r="E726" t="str">
        <f>'Remplissage - Sit. Init.'!F726</f>
        <v>FretFluvCat24Nom</v>
      </c>
      <c r="F726" s="32" t="s">
        <v>20</v>
      </c>
      <c r="G726">
        <f>IF($H$15="Oui",1,0)</f>
        <v>1</v>
      </c>
      <c r="H726" s="3"/>
      <c r="I726" s="33" t="str">
        <f>VLOOKUP(B726,'Parcs types'!$B$65:$AA$120,2,FALSE)</f>
        <v>Automoteurs 1000-1499 tonnes Phase V, diesel</v>
      </c>
      <c r="K726" t="str">
        <f>I726</f>
        <v>Automoteurs 1000-1499 tonnes Phase V, diesel</v>
      </c>
    </row>
    <row r="727" spans="1:11" outlineLevel="1" x14ac:dyDescent="0.25">
      <c r="A727" t="s">
        <v>134</v>
      </c>
      <c r="B727" t="s">
        <v>112</v>
      </c>
      <c r="C727" t="s">
        <v>136</v>
      </c>
      <c r="E727" t="str">
        <f>'Remplissage - Sit. Init.'!F727</f>
        <v>FretFluvCat24Type</v>
      </c>
      <c r="F727" t="s">
        <v>20</v>
      </c>
      <c r="G727">
        <f t="shared" ref="G727:G729" si="91">IF($H$15="Oui",1,0)</f>
        <v>1</v>
      </c>
      <c r="H727" s="8"/>
      <c r="I727" s="33" t="str">
        <f>VLOOKUP(B727,'Parcs types'!$B$65:$AA$120,3,FALSE)</f>
        <v>Automoteurs</v>
      </c>
      <c r="K727" t="str">
        <f t="shared" ref="K727:K729" si="92">I727</f>
        <v>Automoteurs</v>
      </c>
    </row>
    <row r="728" spans="1:11" outlineLevel="1" x14ac:dyDescent="0.25">
      <c r="A728" t="s">
        <v>134</v>
      </c>
      <c r="B728" t="s">
        <v>112</v>
      </c>
      <c r="C728" t="s">
        <v>137</v>
      </c>
      <c r="E728" t="str">
        <f>'Remplissage - Sit. Init.'!F728</f>
        <v>FretFluvCat24Cap</v>
      </c>
      <c r="F728" s="32" t="s">
        <v>36</v>
      </c>
      <c r="G728">
        <f t="shared" si="91"/>
        <v>1</v>
      </c>
      <c r="I728" s="33" t="str">
        <f>VLOOKUP(B728,'Parcs types'!$B$65:$AA$120,4,FALSE)</f>
        <v>1000-1499 tonnes</v>
      </c>
      <c r="J728" t="s">
        <v>524</v>
      </c>
      <c r="K728" t="str">
        <f t="shared" si="92"/>
        <v>1000-1499 tonnes</v>
      </c>
    </row>
    <row r="729" spans="1:11" outlineLevel="1" x14ac:dyDescent="0.25">
      <c r="A729" t="s">
        <v>134</v>
      </c>
      <c r="B729" t="s">
        <v>112</v>
      </c>
      <c r="C729" t="s">
        <v>525</v>
      </c>
      <c r="E729" t="str">
        <f>'Remplissage - Sit. Init.'!F729</f>
        <v>FretFluvCat24Tech</v>
      </c>
      <c r="F729" s="32" t="s">
        <v>20</v>
      </c>
      <c r="G729">
        <f t="shared" si="91"/>
        <v>1</v>
      </c>
      <c r="I729" s="33" t="str">
        <f>VLOOKUP(B729,'Parcs types'!$B$65:$AA$120,5,FALSE)</f>
        <v>Phase V, diesel</v>
      </c>
      <c r="K729" t="str">
        <f t="shared" si="92"/>
        <v>Phase V, diesel</v>
      </c>
    </row>
    <row r="730" spans="1:11" outlineLevel="1" x14ac:dyDescent="0.25">
      <c r="A730" t="s">
        <v>134</v>
      </c>
      <c r="B730" t="s">
        <v>112</v>
      </c>
      <c r="C730" t="s">
        <v>140</v>
      </c>
      <c r="E730" t="str">
        <f>'Remplissage - Sit. Init.'!F730</f>
        <v>FretFluvCat24Request</v>
      </c>
      <c r="F730" s="32" t="s">
        <v>20</v>
      </c>
      <c r="G730">
        <f>IF($H$15="Oui",1,0)</f>
        <v>1</v>
      </c>
      <c r="H730" t="s">
        <v>141</v>
      </c>
      <c r="I730" s="33" t="s">
        <v>142</v>
      </c>
    </row>
    <row r="731" spans="1:11" outlineLevel="1" x14ac:dyDescent="0.25">
      <c r="A731" t="s">
        <v>134</v>
      </c>
      <c r="B731" t="s">
        <v>112</v>
      </c>
      <c r="C731" t="s">
        <v>144</v>
      </c>
      <c r="E731" t="str">
        <f>'Remplissage - Sit. Init.'!F731</f>
        <v>FretFluvCat24NbTraj</v>
      </c>
      <c r="F731" t="s">
        <v>17</v>
      </c>
      <c r="G731">
        <f>IF($H$15="Oui",1,0)*IF(ISNUMBER(SEARCH("Une estimation du nombre annuel de trajets pour ce type de barge",H730)),1,0)</f>
        <v>1</v>
      </c>
      <c r="I731" s="33"/>
      <c r="J731" t="s">
        <v>145</v>
      </c>
    </row>
    <row r="732" spans="1:11" outlineLevel="1" x14ac:dyDescent="0.25">
      <c r="A732" t="s">
        <v>134</v>
      </c>
      <c r="B732" t="s">
        <v>112</v>
      </c>
      <c r="C732" t="s">
        <v>146</v>
      </c>
      <c r="E732" t="str">
        <f>'Remplissage - Sit. Init.'!F732</f>
        <v>FretFluvCat24DistMoy</v>
      </c>
      <c r="F732" t="s">
        <v>17</v>
      </c>
      <c r="G732">
        <f>IF($H$15="Oui",1,0)*IF(ISNUMBER(SEARCH("La distance moyenne d'un trajet",H730)),1,0)</f>
        <v>1</v>
      </c>
      <c r="I732" s="33"/>
      <c r="J732" t="s">
        <v>88</v>
      </c>
    </row>
    <row r="733" spans="1:11" outlineLevel="1" x14ac:dyDescent="0.25">
      <c r="A733" t="s">
        <v>134</v>
      </c>
      <c r="B733" t="s">
        <v>112</v>
      </c>
      <c r="C733" t="s">
        <v>147</v>
      </c>
      <c r="E733" t="str">
        <f>'Remplissage - Sit. Init.'!F733</f>
        <v>FretFluvCat24EmportMoy</v>
      </c>
      <c r="F733" t="s">
        <v>17</v>
      </c>
      <c r="G733">
        <f>IF($H$15="Oui",1,0)*IF(ISNUMBER(SEARCH("La masse moyenne transportée pour un trajet",H730)),1,0)</f>
        <v>1</v>
      </c>
      <c r="I733" s="33"/>
      <c r="J733" t="s">
        <v>148</v>
      </c>
    </row>
    <row r="734" spans="1:11" outlineLevel="1" x14ac:dyDescent="0.25">
      <c r="A734" t="s">
        <v>134</v>
      </c>
      <c r="B734" t="s">
        <v>112</v>
      </c>
      <c r="C734" t="s">
        <v>149</v>
      </c>
      <c r="E734" t="str">
        <f>'Remplissage - Sit. Init.'!F734</f>
        <v>FretFluvCat24DistAn</v>
      </c>
      <c r="F734" t="s">
        <v>17</v>
      </c>
      <c r="G734">
        <f>IF($H$15="Oui",1,0)*IF(ISNUMBER(SEARCH("La distance parcourue annuellement pour ce type de barge",H730)),1,0)</f>
        <v>0</v>
      </c>
      <c r="I734" s="33"/>
      <c r="J734" t="s">
        <v>88</v>
      </c>
    </row>
    <row r="735" spans="1:11" outlineLevel="1" x14ac:dyDescent="0.25">
      <c r="A735" t="s">
        <v>134</v>
      </c>
      <c r="B735" t="s">
        <v>112</v>
      </c>
      <c r="C735" t="s">
        <v>150</v>
      </c>
      <c r="E735" t="str">
        <f>'Remplissage - Sit. Init.'!F735</f>
        <v>FretFluvCat24TauxChargeMoy</v>
      </c>
      <c r="F735" t="s">
        <v>17</v>
      </c>
      <c r="G735">
        <f>IF($H$15="Oui",1,0)*IF(ISNUMBER(SEARCH("Le taux de chargement moyen",H730)),1,0)</f>
        <v>0</v>
      </c>
      <c r="I735" s="33"/>
      <c r="J735" t="s">
        <v>70</v>
      </c>
    </row>
    <row r="736" spans="1:11" outlineLevel="1" x14ac:dyDescent="0.25">
      <c r="A736" t="s">
        <v>134</v>
      </c>
      <c r="B736" t="s">
        <v>112</v>
      </c>
      <c r="C736" t="s">
        <v>526</v>
      </c>
      <c r="E736" t="str">
        <f>'Remplissage - Sit. Init.'!F736</f>
        <v>FretFluvCat24NbBarges</v>
      </c>
      <c r="F736" t="s">
        <v>17</v>
      </c>
      <c r="G736">
        <f>IF($H$15="Oui",1,0)</f>
        <v>1</v>
      </c>
      <c r="I736" s="33"/>
      <c r="J736" t="s">
        <v>151</v>
      </c>
      <c r="K736" s="8"/>
    </row>
    <row r="737" spans="1:11" outlineLevel="1" x14ac:dyDescent="0.25">
      <c r="A737" t="s">
        <v>134</v>
      </c>
      <c r="B737" t="s">
        <v>113</v>
      </c>
      <c r="C737" t="s">
        <v>135</v>
      </c>
      <c r="E737" t="str">
        <f>'Remplissage - Sit. Init.'!F737</f>
        <v>FretFluvCat25Nom</v>
      </c>
      <c r="F737" s="32" t="s">
        <v>20</v>
      </c>
      <c r="G737">
        <f>IF($H$15="Oui",1,0)</f>
        <v>1</v>
      </c>
      <c r="H737" s="3"/>
      <c r="I737" s="33" t="str">
        <f>VLOOKUP(B737,'Parcs types'!$B$65:$AA$120,2,FALSE)</f>
        <v>Automoteurs 1000-1499 tonnes Phase V, HVO</v>
      </c>
      <c r="K737" t="str">
        <f>I737</f>
        <v>Automoteurs 1000-1499 tonnes Phase V, HVO</v>
      </c>
    </row>
    <row r="738" spans="1:11" outlineLevel="1" x14ac:dyDescent="0.25">
      <c r="A738" t="s">
        <v>134</v>
      </c>
      <c r="B738" t="s">
        <v>113</v>
      </c>
      <c r="C738" t="s">
        <v>136</v>
      </c>
      <c r="E738" t="str">
        <f>'Remplissage - Sit. Init.'!F738</f>
        <v>FretFluvCat25Type</v>
      </c>
      <c r="F738" t="s">
        <v>20</v>
      </c>
      <c r="G738">
        <f t="shared" ref="G738:G740" si="93">IF($H$15="Oui",1,0)</f>
        <v>1</v>
      </c>
      <c r="H738" s="8"/>
      <c r="I738" s="33" t="str">
        <f>VLOOKUP(B738,'Parcs types'!$B$65:$AA$120,3,FALSE)</f>
        <v>Automoteurs</v>
      </c>
      <c r="K738" t="str">
        <f t="shared" ref="K738:K740" si="94">I738</f>
        <v>Automoteurs</v>
      </c>
    </row>
    <row r="739" spans="1:11" outlineLevel="1" x14ac:dyDescent="0.25">
      <c r="A739" t="s">
        <v>134</v>
      </c>
      <c r="B739" t="s">
        <v>113</v>
      </c>
      <c r="C739" t="s">
        <v>137</v>
      </c>
      <c r="E739" t="str">
        <f>'Remplissage - Sit. Init.'!F739</f>
        <v>FretFluvCat25Cap</v>
      </c>
      <c r="F739" s="32" t="s">
        <v>36</v>
      </c>
      <c r="G739">
        <f t="shared" si="93"/>
        <v>1</v>
      </c>
      <c r="H739" s="8"/>
      <c r="I739" s="33" t="str">
        <f>VLOOKUP(B739,'Parcs types'!$B$65:$AA$120,4,FALSE)</f>
        <v>1000-1499 tonnes</v>
      </c>
      <c r="J739" t="s">
        <v>524</v>
      </c>
      <c r="K739" t="str">
        <f t="shared" si="94"/>
        <v>1000-1499 tonnes</v>
      </c>
    </row>
    <row r="740" spans="1:11" outlineLevel="1" x14ac:dyDescent="0.25">
      <c r="A740" t="s">
        <v>134</v>
      </c>
      <c r="B740" t="s">
        <v>113</v>
      </c>
      <c r="C740" t="s">
        <v>525</v>
      </c>
      <c r="E740" t="str">
        <f>'Remplissage - Sit. Init.'!F740</f>
        <v>FretFluvCat25Tech</v>
      </c>
      <c r="F740" s="32" t="s">
        <v>20</v>
      </c>
      <c r="G740">
        <f t="shared" si="93"/>
        <v>1</v>
      </c>
      <c r="H740" s="8"/>
      <c r="I740" s="33" t="str">
        <f>VLOOKUP(B740,'Parcs types'!$B$65:$AA$120,5,FALSE)</f>
        <v>Phase V, HVO</v>
      </c>
      <c r="K740" t="str">
        <f t="shared" si="94"/>
        <v>Phase V, HVO</v>
      </c>
    </row>
    <row r="741" spans="1:11" outlineLevel="1" x14ac:dyDescent="0.25">
      <c r="A741" t="s">
        <v>134</v>
      </c>
      <c r="B741" t="s">
        <v>113</v>
      </c>
      <c r="C741" t="s">
        <v>140</v>
      </c>
      <c r="E741" t="str">
        <f>'Remplissage - Sit. Init.'!F741</f>
        <v>FretFluvCat25Request</v>
      </c>
      <c r="F741" s="32" t="s">
        <v>20</v>
      </c>
      <c r="G741">
        <f>IF($H$15="Oui",1,0)</f>
        <v>1</v>
      </c>
      <c r="H741" t="s">
        <v>141</v>
      </c>
      <c r="I741" s="33" t="s">
        <v>142</v>
      </c>
      <c r="K741" s="8"/>
    </row>
    <row r="742" spans="1:11" outlineLevel="1" x14ac:dyDescent="0.25">
      <c r="A742" t="s">
        <v>134</v>
      </c>
      <c r="B742" t="s">
        <v>113</v>
      </c>
      <c r="C742" t="s">
        <v>144</v>
      </c>
      <c r="E742" t="str">
        <f>'Remplissage - Sit. Init.'!F742</f>
        <v>FretFluvCat25NbTraj</v>
      </c>
      <c r="F742" t="s">
        <v>17</v>
      </c>
      <c r="G742">
        <f>IF($H$15="Oui",1,0)*IF(ISNUMBER(SEARCH("Une estimation du nombre annuel de trajets pour ce type de barge",H741)),1,0)</f>
        <v>1</v>
      </c>
      <c r="H742" s="8"/>
      <c r="I742" s="33"/>
      <c r="J742" t="s">
        <v>145</v>
      </c>
      <c r="K742" s="8"/>
    </row>
    <row r="743" spans="1:11" outlineLevel="1" x14ac:dyDescent="0.25">
      <c r="A743" t="s">
        <v>134</v>
      </c>
      <c r="B743" t="s">
        <v>113</v>
      </c>
      <c r="C743" t="s">
        <v>146</v>
      </c>
      <c r="E743" t="str">
        <f>'Remplissage - Sit. Init.'!F743</f>
        <v>FretFluvCat25DistMoy</v>
      </c>
      <c r="F743" t="s">
        <v>17</v>
      </c>
      <c r="G743">
        <f>IF($H$15="Oui",1,0)*IF(ISNUMBER(SEARCH("La distance moyenne d'un trajet",H741)),1,0)</f>
        <v>1</v>
      </c>
      <c r="H743" s="8"/>
      <c r="I743" s="33"/>
      <c r="J743" t="s">
        <v>88</v>
      </c>
      <c r="K743" s="8"/>
    </row>
    <row r="744" spans="1:11" outlineLevel="1" x14ac:dyDescent="0.25">
      <c r="A744" t="s">
        <v>134</v>
      </c>
      <c r="B744" t="s">
        <v>113</v>
      </c>
      <c r="C744" t="s">
        <v>147</v>
      </c>
      <c r="E744" t="str">
        <f>'Remplissage - Sit. Init.'!F744</f>
        <v>FretFluvCat25EmportMoy</v>
      </c>
      <c r="F744" t="s">
        <v>17</v>
      </c>
      <c r="G744">
        <f>IF($H$15="Oui",1,0)*IF(ISNUMBER(SEARCH("La masse moyenne transportée pour un trajet",H741)),1,0)</f>
        <v>1</v>
      </c>
      <c r="H744" s="8"/>
      <c r="I744" s="33"/>
      <c r="J744" t="s">
        <v>148</v>
      </c>
      <c r="K744" s="8"/>
    </row>
    <row r="745" spans="1:11" outlineLevel="1" x14ac:dyDescent="0.25">
      <c r="A745" t="s">
        <v>134</v>
      </c>
      <c r="B745" t="s">
        <v>113</v>
      </c>
      <c r="C745" t="s">
        <v>149</v>
      </c>
      <c r="E745" t="str">
        <f>'Remplissage - Sit. Init.'!F745</f>
        <v>FretFluvCat25DistAn</v>
      </c>
      <c r="F745" t="s">
        <v>17</v>
      </c>
      <c r="G745">
        <f>IF($H$15="Oui",1,0)*IF(ISNUMBER(SEARCH("La distance parcourue annuellement pour ce type de barge",H741)),1,0)</f>
        <v>0</v>
      </c>
      <c r="H745" s="8"/>
      <c r="I745" s="33"/>
      <c r="J745" t="s">
        <v>88</v>
      </c>
      <c r="K745" s="8"/>
    </row>
    <row r="746" spans="1:11" outlineLevel="1" x14ac:dyDescent="0.25">
      <c r="A746" t="s">
        <v>134</v>
      </c>
      <c r="B746" t="s">
        <v>113</v>
      </c>
      <c r="C746" t="s">
        <v>150</v>
      </c>
      <c r="E746" t="str">
        <f>'Remplissage - Sit. Init.'!F746</f>
        <v>FretFluvCat25TauxChargeMoy</v>
      </c>
      <c r="F746" t="s">
        <v>17</v>
      </c>
      <c r="G746">
        <f>IF($H$15="Oui",1,0)*IF(ISNUMBER(SEARCH("Le taux de chargement moyen",H741)),1,0)</f>
        <v>0</v>
      </c>
      <c r="H746" s="8"/>
      <c r="I746" s="33"/>
      <c r="J746" t="s">
        <v>70</v>
      </c>
      <c r="K746" s="8"/>
    </row>
    <row r="747" spans="1:11" outlineLevel="1" x14ac:dyDescent="0.25">
      <c r="A747" t="s">
        <v>134</v>
      </c>
      <c r="B747" t="s">
        <v>113</v>
      </c>
      <c r="C747" t="s">
        <v>526</v>
      </c>
      <c r="E747" t="str">
        <f>'Remplissage - Sit. Init.'!F747</f>
        <v>FretFluvCat25NbBarges</v>
      </c>
      <c r="F747" t="s">
        <v>17</v>
      </c>
      <c r="G747">
        <f>IF($H$15="Oui",1,0)</f>
        <v>1</v>
      </c>
      <c r="H747" s="8"/>
      <c r="I747" s="33"/>
      <c r="J747" t="s">
        <v>151</v>
      </c>
      <c r="K747" s="8"/>
    </row>
    <row r="748" spans="1:11" outlineLevel="1" x14ac:dyDescent="0.25">
      <c r="A748" t="s">
        <v>134</v>
      </c>
      <c r="B748" t="s">
        <v>114</v>
      </c>
      <c r="C748" t="s">
        <v>135</v>
      </c>
      <c r="E748" t="str">
        <f>'Remplissage - Sit. Init.'!F748</f>
        <v>FretFluvCat26Nom</v>
      </c>
      <c r="F748" s="32" t="s">
        <v>20</v>
      </c>
      <c r="G748">
        <f>IF($H$15="Oui",1,0)</f>
        <v>1</v>
      </c>
      <c r="H748" s="8"/>
      <c r="I748" s="33" t="str">
        <f>VLOOKUP(B748,'Parcs types'!$B$65:$AA$120,2,FALSE)</f>
        <v>Automoteurs 1000-1499 tonnes Batterie</v>
      </c>
      <c r="K748" t="str">
        <f>I748</f>
        <v>Automoteurs 1000-1499 tonnes Batterie</v>
      </c>
    </row>
    <row r="749" spans="1:11" outlineLevel="1" x14ac:dyDescent="0.25">
      <c r="A749" t="s">
        <v>134</v>
      </c>
      <c r="B749" t="s">
        <v>114</v>
      </c>
      <c r="C749" t="s">
        <v>136</v>
      </c>
      <c r="E749" t="str">
        <f>'Remplissage - Sit. Init.'!F749</f>
        <v>FretFluvCat26Type</v>
      </c>
      <c r="F749" t="s">
        <v>20</v>
      </c>
      <c r="G749">
        <f t="shared" ref="G749:G751" si="95">IF($H$15="Oui",1,0)</f>
        <v>1</v>
      </c>
      <c r="H749" s="8"/>
      <c r="I749" s="33" t="str">
        <f>VLOOKUP(B749,'Parcs types'!$B$65:$AA$120,3,FALSE)</f>
        <v>Automoteurs</v>
      </c>
      <c r="K749" t="str">
        <f t="shared" ref="K749:K751" si="96">I749</f>
        <v>Automoteurs</v>
      </c>
    </row>
    <row r="750" spans="1:11" outlineLevel="1" x14ac:dyDescent="0.25">
      <c r="A750" t="s">
        <v>134</v>
      </c>
      <c r="B750" t="s">
        <v>114</v>
      </c>
      <c r="C750" t="s">
        <v>137</v>
      </c>
      <c r="E750" t="str">
        <f>'Remplissage - Sit. Init.'!F750</f>
        <v>FretFluvCat26Cap</v>
      </c>
      <c r="F750" s="32" t="s">
        <v>36</v>
      </c>
      <c r="G750">
        <f t="shared" si="95"/>
        <v>1</v>
      </c>
      <c r="H750" s="8"/>
      <c r="I750" s="33" t="str">
        <f>VLOOKUP(B750,'Parcs types'!$B$65:$AA$120,4,FALSE)</f>
        <v>1000-1499 tonnes</v>
      </c>
      <c r="J750" t="s">
        <v>524</v>
      </c>
      <c r="K750" t="str">
        <f t="shared" si="96"/>
        <v>1000-1499 tonnes</v>
      </c>
    </row>
    <row r="751" spans="1:11" outlineLevel="1" x14ac:dyDescent="0.25">
      <c r="A751" t="s">
        <v>134</v>
      </c>
      <c r="B751" t="s">
        <v>114</v>
      </c>
      <c r="C751" t="s">
        <v>525</v>
      </c>
      <c r="E751" t="str">
        <f>'Remplissage - Sit. Init.'!F751</f>
        <v>FretFluvCat26Tech</v>
      </c>
      <c r="F751" s="32" t="s">
        <v>20</v>
      </c>
      <c r="G751">
        <f t="shared" si="95"/>
        <v>1</v>
      </c>
      <c r="H751" s="8"/>
      <c r="I751" s="33" t="str">
        <f>VLOOKUP(B751,'Parcs types'!$B$65:$AA$120,5,FALSE)</f>
        <v>Batterie</v>
      </c>
      <c r="K751" t="str">
        <f t="shared" si="96"/>
        <v>Batterie</v>
      </c>
    </row>
    <row r="752" spans="1:11" outlineLevel="1" x14ac:dyDescent="0.25">
      <c r="A752" t="s">
        <v>134</v>
      </c>
      <c r="B752" t="s">
        <v>114</v>
      </c>
      <c r="C752" t="s">
        <v>140</v>
      </c>
      <c r="E752" t="str">
        <f>'Remplissage - Sit. Init.'!F752</f>
        <v>FretFluvCat26Request</v>
      </c>
      <c r="F752" s="32" t="s">
        <v>20</v>
      </c>
      <c r="G752">
        <f>IF($H$15="Oui",1,0)</f>
        <v>1</v>
      </c>
      <c r="H752" t="s">
        <v>141</v>
      </c>
      <c r="I752" s="33" t="s">
        <v>142</v>
      </c>
      <c r="K752" s="8"/>
    </row>
    <row r="753" spans="1:11" outlineLevel="1" x14ac:dyDescent="0.25">
      <c r="A753" t="s">
        <v>134</v>
      </c>
      <c r="B753" t="s">
        <v>114</v>
      </c>
      <c r="C753" t="s">
        <v>144</v>
      </c>
      <c r="E753" t="str">
        <f>'Remplissage - Sit. Init.'!F753</f>
        <v>FretFluvCat26NbTraj</v>
      </c>
      <c r="F753" t="s">
        <v>17</v>
      </c>
      <c r="G753">
        <f>IF($H$15="Oui",1,0)*IF(ISNUMBER(SEARCH("Une estimation du nombre annuel de trajets pour ce type de barge",H752)),1,0)</f>
        <v>1</v>
      </c>
      <c r="H753" s="8"/>
      <c r="I753" s="33"/>
      <c r="J753" t="s">
        <v>145</v>
      </c>
      <c r="K753" s="8"/>
    </row>
    <row r="754" spans="1:11" outlineLevel="1" x14ac:dyDescent="0.25">
      <c r="A754" t="s">
        <v>134</v>
      </c>
      <c r="B754" t="s">
        <v>114</v>
      </c>
      <c r="C754" t="s">
        <v>146</v>
      </c>
      <c r="E754" t="str">
        <f>'Remplissage - Sit. Init.'!F754</f>
        <v>FretFluvCat26DistMoy</v>
      </c>
      <c r="F754" t="s">
        <v>17</v>
      </c>
      <c r="G754">
        <f>IF($H$15="Oui",1,0)*IF(ISNUMBER(SEARCH("La distance moyenne d'un trajet",H752)),1,0)</f>
        <v>1</v>
      </c>
      <c r="H754" s="8"/>
      <c r="I754" s="33"/>
      <c r="J754" t="s">
        <v>88</v>
      </c>
      <c r="K754" s="8"/>
    </row>
    <row r="755" spans="1:11" outlineLevel="1" x14ac:dyDescent="0.25">
      <c r="A755" t="s">
        <v>134</v>
      </c>
      <c r="B755" t="s">
        <v>114</v>
      </c>
      <c r="C755" t="s">
        <v>147</v>
      </c>
      <c r="E755" t="str">
        <f>'Remplissage - Sit. Init.'!F755</f>
        <v>FretFluvCat26EmportMoy</v>
      </c>
      <c r="F755" t="s">
        <v>17</v>
      </c>
      <c r="G755">
        <f>IF($H$15="Oui",1,0)*IF(ISNUMBER(SEARCH("La masse moyenne transportée pour un trajet",H752)),1,0)</f>
        <v>1</v>
      </c>
      <c r="H755" s="8"/>
      <c r="I755" s="33"/>
      <c r="J755" t="s">
        <v>148</v>
      </c>
      <c r="K755" s="8"/>
    </row>
    <row r="756" spans="1:11" outlineLevel="1" x14ac:dyDescent="0.25">
      <c r="A756" t="s">
        <v>134</v>
      </c>
      <c r="B756" t="s">
        <v>114</v>
      </c>
      <c r="C756" t="s">
        <v>149</v>
      </c>
      <c r="E756" t="str">
        <f>'Remplissage - Sit. Init.'!F756</f>
        <v>FretFluvCat26DistAn</v>
      </c>
      <c r="F756" t="s">
        <v>17</v>
      </c>
      <c r="G756">
        <f>IF($H$15="Oui",1,0)*IF(ISNUMBER(SEARCH("La distance parcourue annuellement pour ce type de barge",H752)),1,0)</f>
        <v>0</v>
      </c>
      <c r="H756" s="8"/>
      <c r="I756" s="33"/>
      <c r="J756" t="s">
        <v>88</v>
      </c>
      <c r="K756" s="8"/>
    </row>
    <row r="757" spans="1:11" outlineLevel="1" x14ac:dyDescent="0.25">
      <c r="A757" t="s">
        <v>134</v>
      </c>
      <c r="B757" t="s">
        <v>114</v>
      </c>
      <c r="C757" t="s">
        <v>150</v>
      </c>
      <c r="E757" t="str">
        <f>'Remplissage - Sit. Init.'!F757</f>
        <v>FretFluvCat26TauxChargeMoy</v>
      </c>
      <c r="F757" t="s">
        <v>17</v>
      </c>
      <c r="G757">
        <f>IF($H$15="Oui",1,0)*IF(ISNUMBER(SEARCH("Le taux de chargement moyen",H752)),1,0)</f>
        <v>0</v>
      </c>
      <c r="H757" s="8"/>
      <c r="I757" s="33"/>
      <c r="J757" t="s">
        <v>70</v>
      </c>
      <c r="K757" s="8"/>
    </row>
    <row r="758" spans="1:11" outlineLevel="1" x14ac:dyDescent="0.25">
      <c r="A758" t="s">
        <v>134</v>
      </c>
      <c r="B758" t="s">
        <v>114</v>
      </c>
      <c r="C758" t="s">
        <v>526</v>
      </c>
      <c r="E758" t="str">
        <f>'Remplissage - Sit. Init.'!F758</f>
        <v>FretFluvCat26NbBarges</v>
      </c>
      <c r="F758" t="s">
        <v>17</v>
      </c>
      <c r="G758">
        <f>IF($H$15="Oui",1,0)</f>
        <v>1</v>
      </c>
      <c r="H758" s="8"/>
      <c r="I758" s="33"/>
      <c r="J758" t="s">
        <v>151</v>
      </c>
      <c r="K758" s="8"/>
    </row>
    <row r="759" spans="1:11" outlineLevel="1" x14ac:dyDescent="0.25">
      <c r="A759" t="s">
        <v>134</v>
      </c>
      <c r="B759" t="s">
        <v>115</v>
      </c>
      <c r="C759" t="s">
        <v>135</v>
      </c>
      <c r="E759" t="str">
        <f>'Remplissage - Sit. Init.'!F759</f>
        <v>FretFluvCat27Nom</v>
      </c>
      <c r="F759" s="32" t="s">
        <v>20</v>
      </c>
      <c r="G759">
        <f>IF($H$15="Oui",1,0)</f>
        <v>1</v>
      </c>
      <c r="H759" s="8"/>
      <c r="I759" s="33" t="str">
        <f>VLOOKUP(B759,'Parcs types'!$B$65:$AA$120,2,FALSE)</f>
        <v>Automoteurs 1000-1499 tonnes H2 , PAC</v>
      </c>
      <c r="K759" t="str">
        <f>I759</f>
        <v>Automoteurs 1000-1499 tonnes H2 , PAC</v>
      </c>
    </row>
    <row r="760" spans="1:11" outlineLevel="1" x14ac:dyDescent="0.25">
      <c r="A760" t="s">
        <v>134</v>
      </c>
      <c r="B760" t="s">
        <v>115</v>
      </c>
      <c r="C760" t="s">
        <v>136</v>
      </c>
      <c r="E760" t="str">
        <f>'Remplissage - Sit. Init.'!F760</f>
        <v>FretFluvCat27Type</v>
      </c>
      <c r="F760" t="s">
        <v>20</v>
      </c>
      <c r="G760">
        <f t="shared" ref="G760:G762" si="97">IF($H$15="Oui",1,0)</f>
        <v>1</v>
      </c>
      <c r="H760" s="8"/>
      <c r="I760" s="33" t="str">
        <f>VLOOKUP(B760,'Parcs types'!$B$65:$AA$120,3,FALSE)</f>
        <v>Automoteurs</v>
      </c>
      <c r="K760" t="str">
        <f t="shared" ref="K760:K762" si="98">I760</f>
        <v>Automoteurs</v>
      </c>
    </row>
    <row r="761" spans="1:11" outlineLevel="1" x14ac:dyDescent="0.25">
      <c r="A761" t="s">
        <v>134</v>
      </c>
      <c r="B761" t="s">
        <v>115</v>
      </c>
      <c r="C761" t="s">
        <v>137</v>
      </c>
      <c r="E761" t="str">
        <f>'Remplissage - Sit. Init.'!F761</f>
        <v>FretFluvCat27Cap</v>
      </c>
      <c r="F761" s="32" t="s">
        <v>36</v>
      </c>
      <c r="G761">
        <f t="shared" si="97"/>
        <v>1</v>
      </c>
      <c r="H761" s="8"/>
      <c r="I761" s="33" t="str">
        <f>VLOOKUP(B761,'Parcs types'!$B$65:$AA$120,4,FALSE)</f>
        <v>1000-1499 tonnes</v>
      </c>
      <c r="J761" t="s">
        <v>524</v>
      </c>
      <c r="K761" t="str">
        <f t="shared" si="98"/>
        <v>1000-1499 tonnes</v>
      </c>
    </row>
    <row r="762" spans="1:11" outlineLevel="1" x14ac:dyDescent="0.25">
      <c r="A762" t="s">
        <v>134</v>
      </c>
      <c r="B762" t="s">
        <v>115</v>
      </c>
      <c r="C762" t="s">
        <v>525</v>
      </c>
      <c r="E762" t="str">
        <f>'Remplissage - Sit. Init.'!F762</f>
        <v>FretFluvCat27Tech</v>
      </c>
      <c r="F762" s="32" t="s">
        <v>20</v>
      </c>
      <c r="G762">
        <f t="shared" si="97"/>
        <v>1</v>
      </c>
      <c r="H762" s="8"/>
      <c r="I762" s="33" t="str">
        <f>VLOOKUP(B762,'Parcs types'!$B$65:$AA$120,5,FALSE)</f>
        <v>H2 , PAC</v>
      </c>
      <c r="K762" t="str">
        <f t="shared" si="98"/>
        <v>H2 , PAC</v>
      </c>
    </row>
    <row r="763" spans="1:11" outlineLevel="1" x14ac:dyDescent="0.25">
      <c r="A763" t="s">
        <v>134</v>
      </c>
      <c r="B763" t="s">
        <v>115</v>
      </c>
      <c r="C763" t="s">
        <v>140</v>
      </c>
      <c r="E763" t="str">
        <f>'Remplissage - Sit. Init.'!F763</f>
        <v>FretFluvCat27Request</v>
      </c>
      <c r="F763" s="32" t="s">
        <v>20</v>
      </c>
      <c r="G763">
        <f>IF($H$15="Oui",1,0)</f>
        <v>1</v>
      </c>
      <c r="H763" t="s">
        <v>141</v>
      </c>
      <c r="I763" s="33" t="s">
        <v>142</v>
      </c>
      <c r="K763" s="8"/>
    </row>
    <row r="764" spans="1:11" outlineLevel="1" x14ac:dyDescent="0.25">
      <c r="A764" t="s">
        <v>134</v>
      </c>
      <c r="B764" t="s">
        <v>115</v>
      </c>
      <c r="C764" t="s">
        <v>144</v>
      </c>
      <c r="E764" t="str">
        <f>'Remplissage - Sit. Init.'!F764</f>
        <v>FretFluvCat27NbTraj</v>
      </c>
      <c r="F764" t="s">
        <v>17</v>
      </c>
      <c r="G764">
        <f>IF($H$15="Oui",1,0)*IF(ISNUMBER(SEARCH("Une estimation du nombre annuel de trajets pour ce type de barge",H763)),1,0)</f>
        <v>1</v>
      </c>
      <c r="H764" s="8"/>
      <c r="I764" s="33"/>
      <c r="J764" t="s">
        <v>145</v>
      </c>
      <c r="K764" s="8"/>
    </row>
    <row r="765" spans="1:11" outlineLevel="1" x14ac:dyDescent="0.25">
      <c r="A765" t="s">
        <v>134</v>
      </c>
      <c r="B765" t="s">
        <v>115</v>
      </c>
      <c r="C765" t="s">
        <v>146</v>
      </c>
      <c r="E765" t="str">
        <f>'Remplissage - Sit. Init.'!F765</f>
        <v>FretFluvCat27DistMoy</v>
      </c>
      <c r="F765" t="s">
        <v>17</v>
      </c>
      <c r="G765">
        <f>IF($H$15="Oui",1,0)*IF(ISNUMBER(SEARCH("La distance moyenne d'un trajet",H763)),1,0)</f>
        <v>1</v>
      </c>
      <c r="H765" s="8"/>
      <c r="I765" s="33"/>
      <c r="J765" t="s">
        <v>88</v>
      </c>
      <c r="K765" s="8"/>
    </row>
    <row r="766" spans="1:11" outlineLevel="1" x14ac:dyDescent="0.25">
      <c r="A766" t="s">
        <v>134</v>
      </c>
      <c r="B766" t="s">
        <v>115</v>
      </c>
      <c r="C766" t="s">
        <v>147</v>
      </c>
      <c r="E766" t="str">
        <f>'Remplissage - Sit. Init.'!F766</f>
        <v>FretFluvCat27EmportMoy</v>
      </c>
      <c r="F766" t="s">
        <v>17</v>
      </c>
      <c r="G766">
        <f>IF($H$15="Oui",1,0)*IF(ISNUMBER(SEARCH("La masse moyenne transportée pour un trajet",H763)),1,0)</f>
        <v>1</v>
      </c>
      <c r="H766" s="8"/>
      <c r="I766" s="33"/>
      <c r="J766" t="s">
        <v>148</v>
      </c>
      <c r="K766" s="8"/>
    </row>
    <row r="767" spans="1:11" outlineLevel="1" x14ac:dyDescent="0.25">
      <c r="A767" t="s">
        <v>134</v>
      </c>
      <c r="B767" t="s">
        <v>115</v>
      </c>
      <c r="C767" t="s">
        <v>149</v>
      </c>
      <c r="E767" t="str">
        <f>'Remplissage - Sit. Init.'!F767</f>
        <v>FretFluvCat27DistAn</v>
      </c>
      <c r="F767" t="s">
        <v>17</v>
      </c>
      <c r="G767">
        <f>IF($H$15="Oui",1,0)*IF(ISNUMBER(SEARCH("La distance parcourue annuellement pour ce type de barge",H763)),1,0)</f>
        <v>0</v>
      </c>
      <c r="H767" s="8"/>
      <c r="I767" s="33"/>
      <c r="J767" t="s">
        <v>88</v>
      </c>
      <c r="K767" s="8"/>
    </row>
    <row r="768" spans="1:11" outlineLevel="1" x14ac:dyDescent="0.25">
      <c r="A768" t="s">
        <v>134</v>
      </c>
      <c r="B768" t="s">
        <v>115</v>
      </c>
      <c r="C768" t="s">
        <v>150</v>
      </c>
      <c r="E768" t="str">
        <f>'Remplissage - Sit. Init.'!F768</f>
        <v>FretFluvCat27TauxChargeMoy</v>
      </c>
      <c r="F768" t="s">
        <v>17</v>
      </c>
      <c r="G768">
        <f>IF($H$15="Oui",1,0)*IF(ISNUMBER(SEARCH("Le taux de chargement moyen",H763)),1,0)</f>
        <v>0</v>
      </c>
      <c r="H768" s="8"/>
      <c r="I768" s="33"/>
      <c r="J768" t="s">
        <v>70</v>
      </c>
      <c r="K768" s="8"/>
    </row>
    <row r="769" spans="1:11" outlineLevel="1" x14ac:dyDescent="0.25">
      <c r="A769" t="s">
        <v>134</v>
      </c>
      <c r="B769" t="s">
        <v>115</v>
      </c>
      <c r="C769" t="s">
        <v>526</v>
      </c>
      <c r="E769" t="str">
        <f>'Remplissage - Sit. Init.'!F769</f>
        <v>FretFluvCat27NbBarges</v>
      </c>
      <c r="F769" t="s">
        <v>17</v>
      </c>
      <c r="G769">
        <f>IF($H$15="Oui",1,0)</f>
        <v>1</v>
      </c>
      <c r="H769" s="8"/>
      <c r="I769" s="33"/>
      <c r="J769" t="s">
        <v>151</v>
      </c>
      <c r="K769" s="8"/>
    </row>
    <row r="770" spans="1:11" outlineLevel="1" x14ac:dyDescent="0.25">
      <c r="A770" t="s">
        <v>134</v>
      </c>
      <c r="B770" t="s">
        <v>116</v>
      </c>
      <c r="C770" t="s">
        <v>135</v>
      </c>
      <c r="E770" t="str">
        <f>'Remplissage - Sit. Init.'!F770</f>
        <v>FretFluvCat28Nom</v>
      </c>
      <c r="F770" s="32" t="s">
        <v>20</v>
      </c>
      <c r="G770">
        <f>IF($H$15="Oui",1,0)</f>
        <v>1</v>
      </c>
      <c r="H770" s="8"/>
      <c r="I770" s="33" t="str">
        <f>VLOOKUP(B770,'Parcs types'!$B$65:$AA$120,2,FALSE)</f>
        <v>Automoteurs 1000-1499 tonnes H2 , ICE</v>
      </c>
      <c r="K770" t="str">
        <f>I770</f>
        <v>Automoteurs 1000-1499 tonnes H2 , ICE</v>
      </c>
    </row>
    <row r="771" spans="1:11" outlineLevel="1" x14ac:dyDescent="0.25">
      <c r="A771" t="s">
        <v>134</v>
      </c>
      <c r="B771" t="s">
        <v>116</v>
      </c>
      <c r="C771" t="s">
        <v>136</v>
      </c>
      <c r="E771" t="str">
        <f>'Remplissage - Sit. Init.'!F771</f>
        <v>FretFluvCat28Type</v>
      </c>
      <c r="F771" t="s">
        <v>20</v>
      </c>
      <c r="G771">
        <f t="shared" ref="G771:G773" si="99">IF($H$15="Oui",1,0)</f>
        <v>1</v>
      </c>
      <c r="H771" s="8"/>
      <c r="I771" s="33" t="str">
        <f>VLOOKUP(B771,'Parcs types'!$B$65:$AA$120,3,FALSE)</f>
        <v>Automoteurs</v>
      </c>
      <c r="K771" t="str">
        <f t="shared" ref="K771:K773" si="100">I771</f>
        <v>Automoteurs</v>
      </c>
    </row>
    <row r="772" spans="1:11" outlineLevel="1" x14ac:dyDescent="0.25">
      <c r="A772" t="s">
        <v>134</v>
      </c>
      <c r="B772" t="s">
        <v>116</v>
      </c>
      <c r="C772" t="s">
        <v>137</v>
      </c>
      <c r="E772" t="str">
        <f>'Remplissage - Sit. Init.'!F772</f>
        <v>FretFluvCat28Cap</v>
      </c>
      <c r="F772" s="32" t="s">
        <v>36</v>
      </c>
      <c r="G772">
        <f t="shared" si="99"/>
        <v>1</v>
      </c>
      <c r="H772" s="8"/>
      <c r="I772" s="33" t="str">
        <f>VLOOKUP(B772,'Parcs types'!$B$65:$AA$120,4,FALSE)</f>
        <v>1000-1499 tonnes</v>
      </c>
      <c r="J772" t="s">
        <v>524</v>
      </c>
      <c r="K772" t="str">
        <f t="shared" si="100"/>
        <v>1000-1499 tonnes</v>
      </c>
    </row>
    <row r="773" spans="1:11" outlineLevel="1" x14ac:dyDescent="0.25">
      <c r="A773" t="s">
        <v>134</v>
      </c>
      <c r="B773" t="s">
        <v>116</v>
      </c>
      <c r="C773" t="s">
        <v>525</v>
      </c>
      <c r="E773" t="str">
        <f>'Remplissage - Sit. Init.'!F773</f>
        <v>FretFluvCat28Tech</v>
      </c>
      <c r="F773" s="32" t="s">
        <v>20</v>
      </c>
      <c r="G773">
        <f t="shared" si="99"/>
        <v>1</v>
      </c>
      <c r="H773" s="8"/>
      <c r="I773" s="33" t="str">
        <f>VLOOKUP(B773,'Parcs types'!$B$65:$AA$120,5,FALSE)</f>
        <v>H2 , ICE</v>
      </c>
      <c r="K773" t="str">
        <f t="shared" si="100"/>
        <v>H2 , ICE</v>
      </c>
    </row>
    <row r="774" spans="1:11" outlineLevel="1" x14ac:dyDescent="0.25">
      <c r="A774" t="s">
        <v>134</v>
      </c>
      <c r="B774" t="s">
        <v>116</v>
      </c>
      <c r="C774" t="s">
        <v>140</v>
      </c>
      <c r="E774" t="str">
        <f>'Remplissage - Sit. Init.'!F774</f>
        <v>FretFluvCat28Request</v>
      </c>
      <c r="F774" s="32" t="s">
        <v>20</v>
      </c>
      <c r="G774">
        <f>IF($H$15="Oui",1,0)</f>
        <v>1</v>
      </c>
      <c r="H774" t="s">
        <v>141</v>
      </c>
      <c r="I774" s="33" t="s">
        <v>142</v>
      </c>
      <c r="K774" s="8"/>
    </row>
    <row r="775" spans="1:11" outlineLevel="1" x14ac:dyDescent="0.25">
      <c r="A775" t="s">
        <v>134</v>
      </c>
      <c r="B775" t="s">
        <v>116</v>
      </c>
      <c r="C775" t="s">
        <v>144</v>
      </c>
      <c r="E775" t="str">
        <f>'Remplissage - Sit. Init.'!F775</f>
        <v>FretFluvCat28NbTraj</v>
      </c>
      <c r="F775" t="s">
        <v>17</v>
      </c>
      <c r="G775">
        <f>IF($H$15="Oui",1,0)*IF(ISNUMBER(SEARCH("Une estimation du nombre annuel de trajets pour ce type de barge",H774)),1,0)</f>
        <v>1</v>
      </c>
      <c r="H775" s="8"/>
      <c r="I775" s="33"/>
      <c r="J775" t="s">
        <v>145</v>
      </c>
      <c r="K775" s="8"/>
    </row>
    <row r="776" spans="1:11" outlineLevel="1" x14ac:dyDescent="0.25">
      <c r="A776" t="s">
        <v>134</v>
      </c>
      <c r="B776" t="s">
        <v>116</v>
      </c>
      <c r="C776" t="s">
        <v>146</v>
      </c>
      <c r="E776" t="str">
        <f>'Remplissage - Sit. Init.'!F776</f>
        <v>FretFluvCat28DistMoy</v>
      </c>
      <c r="F776" t="s">
        <v>17</v>
      </c>
      <c r="G776">
        <f>IF($H$15="Oui",1,0)*IF(ISNUMBER(SEARCH("La distance moyenne d'un trajet",H774)),1,0)</f>
        <v>1</v>
      </c>
      <c r="H776" s="8"/>
      <c r="I776" s="33"/>
      <c r="J776" t="s">
        <v>88</v>
      </c>
      <c r="K776" s="8"/>
    </row>
    <row r="777" spans="1:11" outlineLevel="1" x14ac:dyDescent="0.25">
      <c r="A777" t="s">
        <v>134</v>
      </c>
      <c r="B777" t="s">
        <v>116</v>
      </c>
      <c r="C777" t="s">
        <v>147</v>
      </c>
      <c r="E777" t="str">
        <f>'Remplissage - Sit. Init.'!F777</f>
        <v>FretFluvCat28EmportMoy</v>
      </c>
      <c r="F777" t="s">
        <v>17</v>
      </c>
      <c r="G777">
        <f>IF($H$15="Oui",1,0)*IF(ISNUMBER(SEARCH("La masse moyenne transportée pour un trajet",H774)),1,0)</f>
        <v>1</v>
      </c>
      <c r="H777" s="8"/>
      <c r="I777" s="33"/>
      <c r="J777" t="s">
        <v>148</v>
      </c>
      <c r="K777" s="8"/>
    </row>
    <row r="778" spans="1:11" outlineLevel="1" x14ac:dyDescent="0.25">
      <c r="A778" t="s">
        <v>134</v>
      </c>
      <c r="B778" t="s">
        <v>116</v>
      </c>
      <c r="C778" t="s">
        <v>149</v>
      </c>
      <c r="E778" t="str">
        <f>'Remplissage - Sit. Init.'!F778</f>
        <v>FretFluvCat28DistAn</v>
      </c>
      <c r="F778" t="s">
        <v>17</v>
      </c>
      <c r="G778">
        <f>IF($H$15="Oui",1,0)*IF(ISNUMBER(SEARCH("La distance parcourue annuellement pour ce type de barge",H774)),1,0)</f>
        <v>0</v>
      </c>
      <c r="H778" s="8"/>
      <c r="I778" s="33"/>
      <c r="J778" t="s">
        <v>88</v>
      </c>
      <c r="K778" s="8"/>
    </row>
    <row r="779" spans="1:11" outlineLevel="1" x14ac:dyDescent="0.25">
      <c r="A779" t="s">
        <v>134</v>
      </c>
      <c r="B779" t="s">
        <v>116</v>
      </c>
      <c r="C779" t="s">
        <v>150</v>
      </c>
      <c r="E779" t="str">
        <f>'Remplissage - Sit. Init.'!F779</f>
        <v>FretFluvCat28TauxChargeMoy</v>
      </c>
      <c r="F779" t="s">
        <v>17</v>
      </c>
      <c r="G779">
        <f>IF($H$15="Oui",1,0)*IF(ISNUMBER(SEARCH("Le taux de chargement moyen",H774)),1,0)</f>
        <v>0</v>
      </c>
      <c r="H779" s="8"/>
      <c r="I779" s="33"/>
      <c r="J779" t="s">
        <v>70</v>
      </c>
      <c r="K779" s="8"/>
    </row>
    <row r="780" spans="1:11" outlineLevel="1" x14ac:dyDescent="0.25">
      <c r="A780" t="s">
        <v>134</v>
      </c>
      <c r="B780" t="s">
        <v>116</v>
      </c>
      <c r="C780" t="s">
        <v>526</v>
      </c>
      <c r="E780" t="str">
        <f>'Remplissage - Sit. Init.'!F780</f>
        <v>FretFluvCat28NbBarges</v>
      </c>
      <c r="F780" t="s">
        <v>17</v>
      </c>
      <c r="G780">
        <f>IF($H$15="Oui",1,0)</f>
        <v>1</v>
      </c>
      <c r="H780" s="8"/>
      <c r="I780" s="33"/>
      <c r="J780" t="s">
        <v>151</v>
      </c>
      <c r="K780" s="8"/>
    </row>
    <row r="781" spans="1:11" outlineLevel="1" x14ac:dyDescent="0.25">
      <c r="A781" t="s">
        <v>134</v>
      </c>
      <c r="B781" t="s">
        <v>117</v>
      </c>
      <c r="C781" t="s">
        <v>135</v>
      </c>
      <c r="E781" t="str">
        <f>'Remplissage - Sit. Init.'!F781</f>
        <v>FretFluvCat29Nom</v>
      </c>
      <c r="F781" s="32" t="s">
        <v>20</v>
      </c>
      <c r="G781">
        <f>IF($H$15="Oui",1,0)</f>
        <v>1</v>
      </c>
      <c r="H781" s="8"/>
      <c r="I781" s="33" t="str">
        <f>VLOOKUP(B781,'Parcs types'!$B$65:$AA$120,2,FALSE)</f>
        <v>Automoteurs 1500-3000 tonnes CCNR 2 ou inférieur, diesel</v>
      </c>
      <c r="K781" t="str">
        <f>I781</f>
        <v>Automoteurs 1500-3000 tonnes CCNR 2 ou inférieur, diesel</v>
      </c>
    </row>
    <row r="782" spans="1:11" outlineLevel="1" x14ac:dyDescent="0.25">
      <c r="A782" t="s">
        <v>134</v>
      </c>
      <c r="B782" t="s">
        <v>117</v>
      </c>
      <c r="C782" t="s">
        <v>136</v>
      </c>
      <c r="E782" t="str">
        <f>'Remplissage - Sit. Init.'!F782</f>
        <v>FretFluvCat29Type</v>
      </c>
      <c r="F782" t="s">
        <v>20</v>
      </c>
      <c r="G782">
        <f t="shared" ref="G782:G784" si="101">IF($H$15="Oui",1,0)</f>
        <v>1</v>
      </c>
      <c r="H782" s="8"/>
      <c r="I782" s="33" t="str">
        <f>VLOOKUP(B782,'Parcs types'!$B$65:$AA$120,3,FALSE)</f>
        <v>Automoteurs</v>
      </c>
      <c r="K782" t="str">
        <f t="shared" ref="K782:K784" si="102">I782</f>
        <v>Automoteurs</v>
      </c>
    </row>
    <row r="783" spans="1:11" outlineLevel="1" x14ac:dyDescent="0.25">
      <c r="A783" t="s">
        <v>134</v>
      </c>
      <c r="B783" t="s">
        <v>117</v>
      </c>
      <c r="C783" t="s">
        <v>137</v>
      </c>
      <c r="E783" t="str">
        <f>'Remplissage - Sit. Init.'!F783</f>
        <v>FretFluvCat29Cap</v>
      </c>
      <c r="F783" s="32" t="s">
        <v>36</v>
      </c>
      <c r="G783">
        <f t="shared" si="101"/>
        <v>1</v>
      </c>
      <c r="H783" s="8"/>
      <c r="I783" s="33" t="str">
        <f>VLOOKUP(B783,'Parcs types'!$B$65:$AA$120,4,FALSE)</f>
        <v>1500-3000 tonnes</v>
      </c>
      <c r="J783" t="s">
        <v>524</v>
      </c>
      <c r="K783" t="str">
        <f t="shared" si="102"/>
        <v>1500-3000 tonnes</v>
      </c>
    </row>
    <row r="784" spans="1:11" outlineLevel="1" x14ac:dyDescent="0.25">
      <c r="A784" t="s">
        <v>134</v>
      </c>
      <c r="B784" t="s">
        <v>117</v>
      </c>
      <c r="C784" t="s">
        <v>525</v>
      </c>
      <c r="E784" t="str">
        <f>'Remplissage - Sit. Init.'!F784</f>
        <v>FretFluvCat29Tech</v>
      </c>
      <c r="F784" s="32" t="s">
        <v>20</v>
      </c>
      <c r="G784">
        <f t="shared" si="101"/>
        <v>1</v>
      </c>
      <c r="H784" s="8"/>
      <c r="I784" s="33" t="str">
        <f>VLOOKUP(B784,'Parcs types'!$B$65:$AA$120,5,FALSE)</f>
        <v>CCNR 2 ou inférieur, diesel</v>
      </c>
      <c r="K784" t="str">
        <f t="shared" si="102"/>
        <v>CCNR 2 ou inférieur, diesel</v>
      </c>
    </row>
    <row r="785" spans="1:11" outlineLevel="1" x14ac:dyDescent="0.25">
      <c r="A785" t="s">
        <v>134</v>
      </c>
      <c r="B785" t="s">
        <v>117</v>
      </c>
      <c r="C785" t="s">
        <v>140</v>
      </c>
      <c r="E785" t="str">
        <f>'Remplissage - Sit. Init.'!F785</f>
        <v>FretFluvCat29Request</v>
      </c>
      <c r="F785" s="32" t="s">
        <v>20</v>
      </c>
      <c r="G785">
        <f>IF($H$15="Oui",1,0)</f>
        <v>1</v>
      </c>
      <c r="H785" t="s">
        <v>141</v>
      </c>
      <c r="I785" s="33" t="s">
        <v>142</v>
      </c>
      <c r="K785" s="8"/>
    </row>
    <row r="786" spans="1:11" outlineLevel="1" x14ac:dyDescent="0.25">
      <c r="A786" t="s">
        <v>134</v>
      </c>
      <c r="B786" t="s">
        <v>117</v>
      </c>
      <c r="C786" t="s">
        <v>144</v>
      </c>
      <c r="E786" t="str">
        <f>'Remplissage - Sit. Init.'!F786</f>
        <v>FretFluvCat29NbTraj</v>
      </c>
      <c r="F786" t="s">
        <v>17</v>
      </c>
      <c r="G786">
        <f>IF($H$15="Oui",1,0)*IF(ISNUMBER(SEARCH("Une estimation du nombre annuel de trajets pour ce type de barge",H785)),1,0)</f>
        <v>1</v>
      </c>
      <c r="H786" s="8"/>
      <c r="I786" s="33"/>
      <c r="J786" t="s">
        <v>145</v>
      </c>
      <c r="K786" s="8"/>
    </row>
    <row r="787" spans="1:11" outlineLevel="1" x14ac:dyDescent="0.25">
      <c r="A787" t="s">
        <v>134</v>
      </c>
      <c r="B787" t="s">
        <v>117</v>
      </c>
      <c r="C787" t="s">
        <v>146</v>
      </c>
      <c r="E787" t="str">
        <f>'Remplissage - Sit. Init.'!F787</f>
        <v>FretFluvCat29DistMoy</v>
      </c>
      <c r="F787" t="s">
        <v>17</v>
      </c>
      <c r="G787">
        <f>IF($H$15="Oui",1,0)*IF(ISNUMBER(SEARCH("La distance moyenne d'un trajet",H785)),1,0)</f>
        <v>1</v>
      </c>
      <c r="H787" s="8"/>
      <c r="I787" s="33"/>
      <c r="J787" t="s">
        <v>88</v>
      </c>
      <c r="K787" s="8"/>
    </row>
    <row r="788" spans="1:11" outlineLevel="1" x14ac:dyDescent="0.25">
      <c r="A788" t="s">
        <v>134</v>
      </c>
      <c r="B788" t="s">
        <v>117</v>
      </c>
      <c r="C788" t="s">
        <v>147</v>
      </c>
      <c r="E788" t="str">
        <f>'Remplissage - Sit. Init.'!F788</f>
        <v>FretFluvCat29EmportMoy</v>
      </c>
      <c r="F788" t="s">
        <v>17</v>
      </c>
      <c r="G788">
        <f>IF($H$15="Oui",1,0)*IF(ISNUMBER(SEARCH("La masse moyenne transportée pour un trajet",H785)),1,0)</f>
        <v>1</v>
      </c>
      <c r="H788" s="8"/>
      <c r="I788" s="33"/>
      <c r="J788" t="s">
        <v>148</v>
      </c>
      <c r="K788" s="8"/>
    </row>
    <row r="789" spans="1:11" outlineLevel="1" x14ac:dyDescent="0.25">
      <c r="A789" t="s">
        <v>134</v>
      </c>
      <c r="B789" t="s">
        <v>117</v>
      </c>
      <c r="C789" t="s">
        <v>149</v>
      </c>
      <c r="E789" t="str">
        <f>'Remplissage - Sit. Init.'!F789</f>
        <v>FretFluvCat29DistAn</v>
      </c>
      <c r="F789" t="s">
        <v>17</v>
      </c>
      <c r="G789">
        <f>IF($H$15="Oui",1,0)*IF(ISNUMBER(SEARCH("La distance parcourue annuellement pour ce type de barge",H785)),1,0)</f>
        <v>0</v>
      </c>
      <c r="H789" s="8"/>
      <c r="I789" s="33"/>
      <c r="J789" t="s">
        <v>88</v>
      </c>
      <c r="K789" s="8"/>
    </row>
    <row r="790" spans="1:11" outlineLevel="1" x14ac:dyDescent="0.25">
      <c r="A790" t="s">
        <v>134</v>
      </c>
      <c r="B790" t="s">
        <v>117</v>
      </c>
      <c r="C790" t="s">
        <v>150</v>
      </c>
      <c r="E790" t="str">
        <f>'Remplissage - Sit. Init.'!F790</f>
        <v>FretFluvCat29TauxChargeMoy</v>
      </c>
      <c r="F790" t="s">
        <v>17</v>
      </c>
      <c r="G790">
        <f>IF($H$15="Oui",1,0)*IF(ISNUMBER(SEARCH("Le taux de chargement moyen",H785)),1,0)</f>
        <v>0</v>
      </c>
      <c r="H790" s="8"/>
      <c r="I790" s="33"/>
      <c r="J790" t="s">
        <v>70</v>
      </c>
      <c r="K790" s="8"/>
    </row>
    <row r="791" spans="1:11" outlineLevel="1" x14ac:dyDescent="0.25">
      <c r="A791" t="s">
        <v>134</v>
      </c>
      <c r="B791" t="s">
        <v>117</v>
      </c>
      <c r="C791" t="s">
        <v>526</v>
      </c>
      <c r="E791" t="str">
        <f>'Remplissage - Sit. Init.'!F791</f>
        <v>FretFluvCat29NbBarges</v>
      </c>
      <c r="F791" t="s">
        <v>17</v>
      </c>
      <c r="G791">
        <f>IF($H$15="Oui",1,0)</f>
        <v>1</v>
      </c>
      <c r="H791" s="8"/>
      <c r="I791" s="33"/>
      <c r="J791" t="s">
        <v>151</v>
      </c>
      <c r="K791" s="8"/>
    </row>
    <row r="792" spans="1:11" outlineLevel="1" x14ac:dyDescent="0.25">
      <c r="A792" t="s">
        <v>134</v>
      </c>
      <c r="B792" t="s">
        <v>118</v>
      </c>
      <c r="C792" t="s">
        <v>135</v>
      </c>
      <c r="E792" t="str">
        <f>'Remplissage - Sit. Init.'!F792</f>
        <v>FretFluvCat30Nom</v>
      </c>
      <c r="F792" s="32" t="s">
        <v>20</v>
      </c>
      <c r="G792">
        <f>IF($H$15="Oui",1,0)</f>
        <v>1</v>
      </c>
      <c r="H792" s="8"/>
      <c r="I792" s="33" t="str">
        <f>VLOOKUP(B792,'Parcs types'!$B$65:$AA$120,2,FALSE)</f>
        <v>Automoteurs 1500-3000 tonnes CCNR 2 + SCR, diesel</v>
      </c>
      <c r="K792" t="str">
        <f>I792</f>
        <v>Automoteurs 1500-3000 tonnes CCNR 2 + SCR, diesel</v>
      </c>
    </row>
    <row r="793" spans="1:11" outlineLevel="1" x14ac:dyDescent="0.25">
      <c r="A793" t="s">
        <v>134</v>
      </c>
      <c r="B793" t="s">
        <v>118</v>
      </c>
      <c r="C793" t="s">
        <v>136</v>
      </c>
      <c r="E793" t="str">
        <f>'Remplissage - Sit. Init.'!F793</f>
        <v>FretFluvCat30Type</v>
      </c>
      <c r="F793" t="s">
        <v>20</v>
      </c>
      <c r="G793">
        <f t="shared" ref="G793:G795" si="103">IF($H$15="Oui",1,0)</f>
        <v>1</v>
      </c>
      <c r="H793" s="8"/>
      <c r="I793" s="33" t="str">
        <f>VLOOKUP(B793,'Parcs types'!$B$65:$AA$120,3,FALSE)</f>
        <v>Automoteurs</v>
      </c>
      <c r="K793" t="str">
        <f t="shared" ref="K793:K795" si="104">I793</f>
        <v>Automoteurs</v>
      </c>
    </row>
    <row r="794" spans="1:11" outlineLevel="1" x14ac:dyDescent="0.25">
      <c r="A794" t="s">
        <v>134</v>
      </c>
      <c r="B794" t="s">
        <v>118</v>
      </c>
      <c r="C794" t="s">
        <v>137</v>
      </c>
      <c r="E794" t="str">
        <f>'Remplissage - Sit. Init.'!F794</f>
        <v>FretFluvCat30Cap</v>
      </c>
      <c r="F794" s="32" t="s">
        <v>36</v>
      </c>
      <c r="G794">
        <f t="shared" si="103"/>
        <v>1</v>
      </c>
      <c r="H794" s="8"/>
      <c r="I794" s="33" t="str">
        <f>VLOOKUP(B794,'Parcs types'!$B$65:$AA$120,4,FALSE)</f>
        <v>1500-3000 tonnes</v>
      </c>
      <c r="J794" t="s">
        <v>524</v>
      </c>
      <c r="K794" t="str">
        <f t="shared" si="104"/>
        <v>1500-3000 tonnes</v>
      </c>
    </row>
    <row r="795" spans="1:11" outlineLevel="1" x14ac:dyDescent="0.25">
      <c r="A795" t="s">
        <v>134</v>
      </c>
      <c r="B795" t="s">
        <v>118</v>
      </c>
      <c r="C795" t="s">
        <v>525</v>
      </c>
      <c r="E795" t="str">
        <f>'Remplissage - Sit. Init.'!F795</f>
        <v>FretFluvCat30Tech</v>
      </c>
      <c r="F795" s="32" t="s">
        <v>20</v>
      </c>
      <c r="G795">
        <f t="shared" si="103"/>
        <v>1</v>
      </c>
      <c r="H795" s="8"/>
      <c r="I795" s="33" t="str">
        <f>VLOOKUP(B795,'Parcs types'!$B$65:$AA$120,5,FALSE)</f>
        <v>CCNR 2 + SCR, diesel</v>
      </c>
      <c r="K795" t="str">
        <f t="shared" si="104"/>
        <v>CCNR 2 + SCR, diesel</v>
      </c>
    </row>
    <row r="796" spans="1:11" outlineLevel="1" x14ac:dyDescent="0.25">
      <c r="A796" t="s">
        <v>134</v>
      </c>
      <c r="B796" t="s">
        <v>118</v>
      </c>
      <c r="C796" t="s">
        <v>140</v>
      </c>
      <c r="E796" t="str">
        <f>'Remplissage - Sit. Init.'!F796</f>
        <v>FretFluvCat30Request</v>
      </c>
      <c r="F796" s="32" t="s">
        <v>20</v>
      </c>
      <c r="G796">
        <f>IF($H$15="Oui",1,0)</f>
        <v>1</v>
      </c>
      <c r="H796" t="s">
        <v>141</v>
      </c>
      <c r="I796" s="33" t="s">
        <v>142</v>
      </c>
      <c r="K796" s="8"/>
    </row>
    <row r="797" spans="1:11" outlineLevel="1" x14ac:dyDescent="0.25">
      <c r="A797" t="s">
        <v>134</v>
      </c>
      <c r="B797" t="s">
        <v>118</v>
      </c>
      <c r="C797" t="s">
        <v>144</v>
      </c>
      <c r="E797" t="str">
        <f>'Remplissage - Sit. Init.'!F797</f>
        <v>FretFluvCat30NbTraj</v>
      </c>
      <c r="F797" t="s">
        <v>17</v>
      </c>
      <c r="G797">
        <f>IF($H$15="Oui",1,0)*IF(ISNUMBER(SEARCH("Une estimation du nombre annuel de trajets pour ce type de barge",H796)),1,0)</f>
        <v>1</v>
      </c>
      <c r="H797" s="8"/>
      <c r="I797" s="33"/>
      <c r="J797" t="s">
        <v>145</v>
      </c>
      <c r="K797" s="8"/>
    </row>
    <row r="798" spans="1:11" outlineLevel="1" x14ac:dyDescent="0.25">
      <c r="A798" t="s">
        <v>134</v>
      </c>
      <c r="B798" t="s">
        <v>118</v>
      </c>
      <c r="C798" t="s">
        <v>146</v>
      </c>
      <c r="E798" t="str">
        <f>'Remplissage - Sit. Init.'!F798</f>
        <v>FretFluvCat30DistMoy</v>
      </c>
      <c r="F798" t="s">
        <v>17</v>
      </c>
      <c r="G798">
        <f>IF($H$15="Oui",1,0)*IF(ISNUMBER(SEARCH("La distance moyenne d'un trajet",H796)),1,0)</f>
        <v>1</v>
      </c>
      <c r="H798" s="8"/>
      <c r="I798" s="33"/>
      <c r="J798" t="s">
        <v>88</v>
      </c>
      <c r="K798" s="8"/>
    </row>
    <row r="799" spans="1:11" outlineLevel="1" x14ac:dyDescent="0.25">
      <c r="A799" t="s">
        <v>134</v>
      </c>
      <c r="B799" t="s">
        <v>118</v>
      </c>
      <c r="C799" t="s">
        <v>147</v>
      </c>
      <c r="E799" t="str">
        <f>'Remplissage - Sit. Init.'!F799</f>
        <v>FretFluvCat30EmportMoy</v>
      </c>
      <c r="F799" t="s">
        <v>17</v>
      </c>
      <c r="G799">
        <f>IF($H$15="Oui",1,0)*IF(ISNUMBER(SEARCH("La masse moyenne transportée pour un trajet",H796)),1,0)</f>
        <v>1</v>
      </c>
      <c r="I799" s="33"/>
      <c r="J799" t="s">
        <v>148</v>
      </c>
    </row>
    <row r="800" spans="1:11" outlineLevel="1" x14ac:dyDescent="0.25">
      <c r="A800" t="s">
        <v>134</v>
      </c>
      <c r="B800" t="s">
        <v>118</v>
      </c>
      <c r="C800" t="s">
        <v>149</v>
      </c>
      <c r="E800" t="str">
        <f>'Remplissage - Sit. Init.'!F800</f>
        <v>FretFluvCat30DistAn</v>
      </c>
      <c r="F800" t="s">
        <v>17</v>
      </c>
      <c r="G800">
        <f>IF($H$15="Oui",1,0)*IF(ISNUMBER(SEARCH("La distance parcourue annuellement pour ce type de barge",H796)),1,0)</f>
        <v>0</v>
      </c>
      <c r="I800" s="33"/>
      <c r="J800" t="s">
        <v>88</v>
      </c>
    </row>
    <row r="801" spans="1:11" outlineLevel="1" x14ac:dyDescent="0.25">
      <c r="A801" t="s">
        <v>134</v>
      </c>
      <c r="B801" t="s">
        <v>118</v>
      </c>
      <c r="C801" t="s">
        <v>150</v>
      </c>
      <c r="E801" t="str">
        <f>'Remplissage - Sit. Init.'!F801</f>
        <v>FretFluvCat30TauxChargeMoy</v>
      </c>
      <c r="F801" t="s">
        <v>17</v>
      </c>
      <c r="G801">
        <f>IF($H$15="Oui",1,0)*IF(ISNUMBER(SEARCH("Le taux de chargement moyen",H796)),1,0)</f>
        <v>0</v>
      </c>
      <c r="I801" s="33"/>
      <c r="J801" t="s">
        <v>70</v>
      </c>
    </row>
    <row r="802" spans="1:11" outlineLevel="1" x14ac:dyDescent="0.25">
      <c r="A802" t="s">
        <v>134</v>
      </c>
      <c r="B802" t="s">
        <v>118</v>
      </c>
      <c r="C802" t="s">
        <v>526</v>
      </c>
      <c r="E802" t="str">
        <f>'Remplissage - Sit. Init.'!F802</f>
        <v>FretFluvCat30NbBarges</v>
      </c>
      <c r="F802" t="s">
        <v>17</v>
      </c>
      <c r="G802">
        <f>IF($H$15="Oui",1,0)</f>
        <v>1</v>
      </c>
      <c r="I802" s="33"/>
      <c r="J802" t="s">
        <v>151</v>
      </c>
    </row>
    <row r="803" spans="1:11" outlineLevel="1" x14ac:dyDescent="0.25">
      <c r="A803" t="s">
        <v>134</v>
      </c>
      <c r="B803" t="s">
        <v>119</v>
      </c>
      <c r="C803" t="s">
        <v>135</v>
      </c>
      <c r="E803" t="str">
        <f>'Remplissage - Sit. Init.'!F803</f>
        <v>FretFluvCat31Nom</v>
      </c>
      <c r="F803" s="32" t="s">
        <v>20</v>
      </c>
      <c r="G803">
        <f>IF($H$15="Oui",1,0)</f>
        <v>1</v>
      </c>
      <c r="I803" s="33" t="str">
        <f>VLOOKUP(B803,'Parcs types'!$B$65:$AA$120,2,FALSE)</f>
        <v>Automoteurs 1500-3000 tonnes Phase V, diesel</v>
      </c>
      <c r="K803" t="str">
        <f>I803</f>
        <v>Automoteurs 1500-3000 tonnes Phase V, diesel</v>
      </c>
    </row>
    <row r="804" spans="1:11" outlineLevel="1" x14ac:dyDescent="0.25">
      <c r="A804" t="s">
        <v>134</v>
      </c>
      <c r="B804" t="s">
        <v>119</v>
      </c>
      <c r="C804" t="s">
        <v>136</v>
      </c>
      <c r="E804" t="str">
        <f>'Remplissage - Sit. Init.'!F804</f>
        <v>FretFluvCat31Type</v>
      </c>
      <c r="F804" t="s">
        <v>20</v>
      </c>
      <c r="G804">
        <f t="shared" ref="G804:G806" si="105">IF($H$15="Oui",1,0)</f>
        <v>1</v>
      </c>
      <c r="I804" s="33" t="str">
        <f>VLOOKUP(B804,'Parcs types'!$B$65:$AA$120,3,FALSE)</f>
        <v>Automoteurs</v>
      </c>
      <c r="K804" t="str">
        <f t="shared" ref="K804:K806" si="106">I804</f>
        <v>Automoteurs</v>
      </c>
    </row>
    <row r="805" spans="1:11" outlineLevel="1" x14ac:dyDescent="0.25">
      <c r="A805" t="s">
        <v>134</v>
      </c>
      <c r="B805" t="s">
        <v>119</v>
      </c>
      <c r="C805" t="s">
        <v>137</v>
      </c>
      <c r="E805" t="str">
        <f>'Remplissage - Sit. Init.'!F805</f>
        <v>FretFluvCat31Cap</v>
      </c>
      <c r="F805" s="32" t="s">
        <v>36</v>
      </c>
      <c r="G805">
        <f t="shared" si="105"/>
        <v>1</v>
      </c>
      <c r="I805" s="33" t="str">
        <f>VLOOKUP(B805,'Parcs types'!$B$65:$AA$120,4,FALSE)</f>
        <v>1500-3000 tonnes</v>
      </c>
      <c r="J805" t="s">
        <v>524</v>
      </c>
      <c r="K805" t="str">
        <f t="shared" si="106"/>
        <v>1500-3000 tonnes</v>
      </c>
    </row>
    <row r="806" spans="1:11" outlineLevel="1" x14ac:dyDescent="0.25">
      <c r="A806" t="s">
        <v>134</v>
      </c>
      <c r="B806" t="s">
        <v>119</v>
      </c>
      <c r="C806" t="s">
        <v>525</v>
      </c>
      <c r="E806" t="str">
        <f>'Remplissage - Sit. Init.'!F806</f>
        <v>FretFluvCat31Tech</v>
      </c>
      <c r="F806" s="32" t="s">
        <v>20</v>
      </c>
      <c r="G806">
        <f t="shared" si="105"/>
        <v>1</v>
      </c>
      <c r="I806" s="33" t="str">
        <f>VLOOKUP(B806,'Parcs types'!$B$65:$AA$120,5,FALSE)</f>
        <v>Phase V, diesel</v>
      </c>
      <c r="K806" t="str">
        <f t="shared" si="106"/>
        <v>Phase V, diesel</v>
      </c>
    </row>
    <row r="807" spans="1:11" outlineLevel="1" x14ac:dyDescent="0.25">
      <c r="A807" t="s">
        <v>134</v>
      </c>
      <c r="B807" t="s">
        <v>119</v>
      </c>
      <c r="C807" t="s">
        <v>140</v>
      </c>
      <c r="E807" t="str">
        <f>'Remplissage - Sit. Init.'!F807</f>
        <v>FretFluvCat31Request</v>
      </c>
      <c r="F807" s="32" t="s">
        <v>20</v>
      </c>
      <c r="G807">
        <f>IF($H$15="Oui",1,0)</f>
        <v>1</v>
      </c>
      <c r="H807" t="s">
        <v>141</v>
      </c>
      <c r="I807" s="33" t="s">
        <v>142</v>
      </c>
      <c r="K807" s="8"/>
    </row>
    <row r="808" spans="1:11" outlineLevel="1" x14ac:dyDescent="0.25">
      <c r="A808" t="s">
        <v>134</v>
      </c>
      <c r="B808" t="s">
        <v>119</v>
      </c>
      <c r="C808" t="s">
        <v>144</v>
      </c>
      <c r="E808" t="str">
        <f>'Remplissage - Sit. Init.'!F808</f>
        <v>FretFluvCat31NbTraj</v>
      </c>
      <c r="F808" t="s">
        <v>17</v>
      </c>
      <c r="G808">
        <f>IF($H$15="Oui",1,0)*IF(ISNUMBER(SEARCH("Une estimation du nombre annuel de trajets pour ce type de barge",H807)),1,0)</f>
        <v>1</v>
      </c>
      <c r="H808" s="3"/>
      <c r="I808" s="33"/>
      <c r="J808" t="s">
        <v>145</v>
      </c>
      <c r="K808" s="7"/>
    </row>
    <row r="809" spans="1:11" outlineLevel="1" x14ac:dyDescent="0.25">
      <c r="A809" t="s">
        <v>134</v>
      </c>
      <c r="B809" t="s">
        <v>119</v>
      </c>
      <c r="C809" t="s">
        <v>146</v>
      </c>
      <c r="E809" t="str">
        <f>'Remplissage - Sit. Init.'!F809</f>
        <v>FretFluvCat31DistMoy</v>
      </c>
      <c r="F809" t="s">
        <v>17</v>
      </c>
      <c r="G809">
        <f>IF($H$15="Oui",1,0)*IF(ISNUMBER(SEARCH("La distance moyenne d'un trajet",H807)),1,0)</f>
        <v>1</v>
      </c>
      <c r="H809" s="8"/>
      <c r="I809" s="33"/>
      <c r="J809" t="s">
        <v>88</v>
      </c>
      <c r="K809" s="8"/>
    </row>
    <row r="810" spans="1:11" outlineLevel="1" x14ac:dyDescent="0.25">
      <c r="A810" t="s">
        <v>134</v>
      </c>
      <c r="B810" t="s">
        <v>119</v>
      </c>
      <c r="C810" t="s">
        <v>147</v>
      </c>
      <c r="E810" t="str">
        <f>'Remplissage - Sit. Init.'!F810</f>
        <v>FretFluvCat31EmportMoy</v>
      </c>
      <c r="F810" t="s">
        <v>17</v>
      </c>
      <c r="G810">
        <f>IF($H$15="Oui",1,0)*IF(ISNUMBER(SEARCH("La masse moyenne transportée pour un trajet",H807)),1,0)</f>
        <v>1</v>
      </c>
      <c r="I810" s="33"/>
      <c r="J810" t="s">
        <v>148</v>
      </c>
    </row>
    <row r="811" spans="1:11" outlineLevel="1" x14ac:dyDescent="0.25">
      <c r="A811" t="s">
        <v>134</v>
      </c>
      <c r="B811" t="s">
        <v>119</v>
      </c>
      <c r="C811" t="s">
        <v>149</v>
      </c>
      <c r="E811" t="str">
        <f>'Remplissage - Sit. Init.'!F811</f>
        <v>FretFluvCat31DistAn</v>
      </c>
      <c r="F811" t="s">
        <v>17</v>
      </c>
      <c r="G811">
        <f>IF($H$15="Oui",1,0)*IF(ISNUMBER(SEARCH("La distance parcourue annuellement pour ce type de barge",H807)),1,0)</f>
        <v>0</v>
      </c>
      <c r="I811" s="33"/>
      <c r="J811" t="s">
        <v>88</v>
      </c>
    </row>
    <row r="812" spans="1:11" outlineLevel="1" x14ac:dyDescent="0.25">
      <c r="A812" t="s">
        <v>134</v>
      </c>
      <c r="B812" t="s">
        <v>119</v>
      </c>
      <c r="C812" t="s">
        <v>150</v>
      </c>
      <c r="E812" t="str">
        <f>'Remplissage - Sit. Init.'!F812</f>
        <v>FretFluvCat31TauxChargeMoy</v>
      </c>
      <c r="F812" t="s">
        <v>17</v>
      </c>
      <c r="G812">
        <f>IF($H$15="Oui",1,0)*IF(ISNUMBER(SEARCH("Le taux de chargement moyen",H807)),1,0)</f>
        <v>0</v>
      </c>
      <c r="I812" s="33"/>
      <c r="J812" t="s">
        <v>70</v>
      </c>
    </row>
    <row r="813" spans="1:11" outlineLevel="1" x14ac:dyDescent="0.25">
      <c r="A813" t="s">
        <v>134</v>
      </c>
      <c r="B813" t="s">
        <v>119</v>
      </c>
      <c r="C813" t="s">
        <v>526</v>
      </c>
      <c r="E813" t="str">
        <f>'Remplissage - Sit. Init.'!F813</f>
        <v>FretFluvCat31NbBarges</v>
      </c>
      <c r="F813" t="s">
        <v>17</v>
      </c>
      <c r="G813">
        <f>IF($H$15="Oui",1,0)</f>
        <v>1</v>
      </c>
      <c r="I813" s="33"/>
      <c r="J813" t="s">
        <v>151</v>
      </c>
    </row>
    <row r="814" spans="1:11" outlineLevel="1" x14ac:dyDescent="0.25">
      <c r="A814" t="s">
        <v>134</v>
      </c>
      <c r="B814" t="s">
        <v>120</v>
      </c>
      <c r="C814" t="s">
        <v>135</v>
      </c>
      <c r="E814" t="str">
        <f>'Remplissage - Sit. Init.'!F814</f>
        <v>FretFluvCat32Nom</v>
      </c>
      <c r="F814" s="32" t="s">
        <v>20</v>
      </c>
      <c r="G814">
        <f>IF($H$15="Oui",1,0)</f>
        <v>1</v>
      </c>
      <c r="I814" s="33" t="str">
        <f>VLOOKUP(B814,'Parcs types'!$B$65:$AA$120,2,FALSE)</f>
        <v>Automoteurs 1500-3000 tonnes Phase V, HVO</v>
      </c>
      <c r="K814" t="str">
        <f>I814</f>
        <v>Automoteurs 1500-3000 tonnes Phase V, HVO</v>
      </c>
    </row>
    <row r="815" spans="1:11" outlineLevel="1" x14ac:dyDescent="0.25">
      <c r="A815" t="s">
        <v>134</v>
      </c>
      <c r="B815" t="s">
        <v>120</v>
      </c>
      <c r="C815" t="s">
        <v>136</v>
      </c>
      <c r="E815" t="str">
        <f>'Remplissage - Sit. Init.'!F815</f>
        <v>FretFluvCat32Type</v>
      </c>
      <c r="F815" t="s">
        <v>20</v>
      </c>
      <c r="G815">
        <f t="shared" ref="G815:G817" si="107">IF($H$15="Oui",1,0)</f>
        <v>1</v>
      </c>
      <c r="I815" s="33" t="str">
        <f>VLOOKUP(B815,'Parcs types'!$B$65:$AA$120,3,FALSE)</f>
        <v>Automoteurs</v>
      </c>
      <c r="K815" t="str">
        <f t="shared" ref="K815:K817" si="108">I815</f>
        <v>Automoteurs</v>
      </c>
    </row>
    <row r="816" spans="1:11" outlineLevel="1" x14ac:dyDescent="0.25">
      <c r="A816" t="s">
        <v>134</v>
      </c>
      <c r="B816" t="s">
        <v>120</v>
      </c>
      <c r="C816" t="s">
        <v>137</v>
      </c>
      <c r="E816" t="str">
        <f>'Remplissage - Sit. Init.'!F816</f>
        <v>FretFluvCat32Cap</v>
      </c>
      <c r="F816" s="32" t="s">
        <v>36</v>
      </c>
      <c r="G816">
        <f t="shared" si="107"/>
        <v>1</v>
      </c>
      <c r="I816" s="33" t="str">
        <f>VLOOKUP(B816,'Parcs types'!$B$65:$AA$120,4,FALSE)</f>
        <v>1500-3000 tonnes</v>
      </c>
      <c r="J816" t="s">
        <v>524</v>
      </c>
      <c r="K816" t="str">
        <f t="shared" si="108"/>
        <v>1500-3000 tonnes</v>
      </c>
    </row>
    <row r="817" spans="1:11" outlineLevel="1" x14ac:dyDescent="0.25">
      <c r="A817" t="s">
        <v>134</v>
      </c>
      <c r="B817" t="s">
        <v>120</v>
      </c>
      <c r="C817" t="s">
        <v>525</v>
      </c>
      <c r="E817" t="str">
        <f>'Remplissage - Sit. Init.'!F817</f>
        <v>FretFluvCat32Tech</v>
      </c>
      <c r="F817" s="32" t="s">
        <v>20</v>
      </c>
      <c r="G817">
        <f t="shared" si="107"/>
        <v>1</v>
      </c>
      <c r="I817" s="33" t="str">
        <f>VLOOKUP(B817,'Parcs types'!$B$65:$AA$120,5,FALSE)</f>
        <v>Phase V, HVO</v>
      </c>
      <c r="K817" t="str">
        <f t="shared" si="108"/>
        <v>Phase V, HVO</v>
      </c>
    </row>
    <row r="818" spans="1:11" outlineLevel="1" x14ac:dyDescent="0.25">
      <c r="A818" t="s">
        <v>134</v>
      </c>
      <c r="B818" t="s">
        <v>120</v>
      </c>
      <c r="C818" t="s">
        <v>140</v>
      </c>
      <c r="E818" t="str">
        <f>'Remplissage - Sit. Init.'!F818</f>
        <v>FretFluvCat32Request</v>
      </c>
      <c r="F818" s="32" t="s">
        <v>20</v>
      </c>
      <c r="G818">
        <f>IF($H$15="Oui",1,0)</f>
        <v>1</v>
      </c>
      <c r="H818" t="s">
        <v>141</v>
      </c>
      <c r="I818" s="33" t="s">
        <v>142</v>
      </c>
      <c r="K818" s="8"/>
    </row>
    <row r="819" spans="1:11" outlineLevel="1" x14ac:dyDescent="0.25">
      <c r="A819" t="s">
        <v>134</v>
      </c>
      <c r="B819" t="s">
        <v>120</v>
      </c>
      <c r="C819" t="s">
        <v>144</v>
      </c>
      <c r="E819" t="str">
        <f>'Remplissage - Sit. Init.'!F819</f>
        <v>FretFluvCat32NbTraj</v>
      </c>
      <c r="F819" t="s">
        <v>17</v>
      </c>
      <c r="G819">
        <f>IF($H$15="Oui",1,0)*IF(ISNUMBER(SEARCH("Une estimation du nombre annuel de trajets pour ce type de barge",H818)),1,0)</f>
        <v>1</v>
      </c>
      <c r="H819" s="3"/>
      <c r="I819" s="33"/>
      <c r="J819" t="s">
        <v>145</v>
      </c>
      <c r="K819" s="7"/>
    </row>
    <row r="820" spans="1:11" outlineLevel="1" x14ac:dyDescent="0.25">
      <c r="A820" t="s">
        <v>134</v>
      </c>
      <c r="B820" t="s">
        <v>120</v>
      </c>
      <c r="C820" t="s">
        <v>146</v>
      </c>
      <c r="E820" t="str">
        <f>'Remplissage - Sit. Init.'!F820</f>
        <v>FretFluvCat32DistMoy</v>
      </c>
      <c r="F820" t="s">
        <v>17</v>
      </c>
      <c r="G820">
        <f>IF($H$15="Oui",1,0)*IF(ISNUMBER(SEARCH("La distance moyenne d'un trajet",H818)),1,0)</f>
        <v>1</v>
      </c>
      <c r="H820" s="8"/>
      <c r="I820" s="33"/>
      <c r="J820" t="s">
        <v>88</v>
      </c>
      <c r="K820" s="8"/>
    </row>
    <row r="821" spans="1:11" outlineLevel="1" x14ac:dyDescent="0.25">
      <c r="A821" t="s">
        <v>134</v>
      </c>
      <c r="B821" t="s">
        <v>120</v>
      </c>
      <c r="C821" t="s">
        <v>147</v>
      </c>
      <c r="E821" t="str">
        <f>'Remplissage - Sit. Init.'!F821</f>
        <v>FretFluvCat32EmportMoy</v>
      </c>
      <c r="F821" t="s">
        <v>17</v>
      </c>
      <c r="G821">
        <f>IF($H$15="Oui",1,0)*IF(ISNUMBER(SEARCH("La masse moyenne transportée pour un trajet",H818)),1,0)</f>
        <v>1</v>
      </c>
      <c r="I821" s="33"/>
      <c r="J821" t="s">
        <v>148</v>
      </c>
    </row>
    <row r="822" spans="1:11" outlineLevel="1" x14ac:dyDescent="0.25">
      <c r="A822" t="s">
        <v>134</v>
      </c>
      <c r="B822" t="s">
        <v>120</v>
      </c>
      <c r="C822" t="s">
        <v>149</v>
      </c>
      <c r="E822" t="str">
        <f>'Remplissage - Sit. Init.'!F822</f>
        <v>FretFluvCat32DistAn</v>
      </c>
      <c r="F822" t="s">
        <v>17</v>
      </c>
      <c r="G822">
        <f>IF($H$15="Oui",1,0)*IF(ISNUMBER(SEARCH("La distance parcourue annuellement pour ce type de barge",H818)),1,0)</f>
        <v>0</v>
      </c>
      <c r="I822" s="33"/>
      <c r="J822" t="s">
        <v>88</v>
      </c>
    </row>
    <row r="823" spans="1:11" outlineLevel="1" x14ac:dyDescent="0.25">
      <c r="A823" t="s">
        <v>134</v>
      </c>
      <c r="B823" t="s">
        <v>120</v>
      </c>
      <c r="C823" t="s">
        <v>150</v>
      </c>
      <c r="E823" t="str">
        <f>'Remplissage - Sit. Init.'!F823</f>
        <v>FretFluvCat32TauxChargeMoy</v>
      </c>
      <c r="F823" t="s">
        <v>17</v>
      </c>
      <c r="G823">
        <f>IF($H$15="Oui",1,0)*IF(ISNUMBER(SEARCH("Le taux de chargement moyen",H818)),1,0)</f>
        <v>0</v>
      </c>
      <c r="I823" s="33"/>
      <c r="J823" t="s">
        <v>70</v>
      </c>
    </row>
    <row r="824" spans="1:11" outlineLevel="1" x14ac:dyDescent="0.25">
      <c r="A824" t="s">
        <v>134</v>
      </c>
      <c r="B824" t="s">
        <v>120</v>
      </c>
      <c r="C824" t="s">
        <v>526</v>
      </c>
      <c r="E824" t="str">
        <f>'Remplissage - Sit. Init.'!F824</f>
        <v>FretFluvCat32NbBarges</v>
      </c>
      <c r="F824" t="s">
        <v>17</v>
      </c>
      <c r="G824">
        <f>IF($H$15="Oui",1,0)</f>
        <v>1</v>
      </c>
      <c r="I824" s="33"/>
      <c r="J824" t="s">
        <v>151</v>
      </c>
    </row>
    <row r="825" spans="1:11" outlineLevel="1" x14ac:dyDescent="0.25">
      <c r="A825" t="s">
        <v>134</v>
      </c>
      <c r="B825" t="s">
        <v>121</v>
      </c>
      <c r="C825" t="s">
        <v>135</v>
      </c>
      <c r="E825" t="str">
        <f>'Remplissage - Sit. Init.'!F825</f>
        <v>FretFluvCat33Nom</v>
      </c>
      <c r="F825" s="32" t="s">
        <v>20</v>
      </c>
      <c r="G825">
        <f>IF($H$15="Oui",1,0)</f>
        <v>1</v>
      </c>
      <c r="I825" s="33" t="str">
        <f>VLOOKUP(B825,'Parcs types'!$B$65:$AA$120,2,FALSE)</f>
        <v>Automoteurs 1500-3000 tonnes Batterie</v>
      </c>
      <c r="K825" t="str">
        <f>I825</f>
        <v>Automoteurs 1500-3000 tonnes Batterie</v>
      </c>
    </row>
    <row r="826" spans="1:11" outlineLevel="1" x14ac:dyDescent="0.25">
      <c r="A826" t="s">
        <v>134</v>
      </c>
      <c r="B826" t="s">
        <v>121</v>
      </c>
      <c r="C826" t="s">
        <v>136</v>
      </c>
      <c r="E826" t="str">
        <f>'Remplissage - Sit. Init.'!F826</f>
        <v>FretFluvCat33Type</v>
      </c>
      <c r="F826" t="s">
        <v>20</v>
      </c>
      <c r="G826">
        <f t="shared" ref="G826:G828" si="109">IF($H$15="Oui",1,0)</f>
        <v>1</v>
      </c>
      <c r="I826" s="33" t="str">
        <f>VLOOKUP(B826,'Parcs types'!$B$65:$AA$120,3,FALSE)</f>
        <v>Automoteurs</v>
      </c>
      <c r="K826" t="str">
        <f t="shared" ref="K826:K828" si="110">I826</f>
        <v>Automoteurs</v>
      </c>
    </row>
    <row r="827" spans="1:11" outlineLevel="1" x14ac:dyDescent="0.25">
      <c r="A827" t="s">
        <v>134</v>
      </c>
      <c r="B827" t="s">
        <v>121</v>
      </c>
      <c r="C827" t="s">
        <v>137</v>
      </c>
      <c r="E827" t="str">
        <f>'Remplissage - Sit. Init.'!F827</f>
        <v>FretFluvCat33Cap</v>
      </c>
      <c r="F827" s="32" t="s">
        <v>36</v>
      </c>
      <c r="G827">
        <f t="shared" si="109"/>
        <v>1</v>
      </c>
      <c r="I827" s="33" t="str">
        <f>VLOOKUP(B827,'Parcs types'!$B$65:$AA$120,4,FALSE)</f>
        <v>1500-3000 tonnes</v>
      </c>
      <c r="J827" t="s">
        <v>524</v>
      </c>
      <c r="K827" t="str">
        <f t="shared" si="110"/>
        <v>1500-3000 tonnes</v>
      </c>
    </row>
    <row r="828" spans="1:11" outlineLevel="1" x14ac:dyDescent="0.25">
      <c r="A828" t="s">
        <v>134</v>
      </c>
      <c r="B828" t="s">
        <v>121</v>
      </c>
      <c r="C828" t="s">
        <v>525</v>
      </c>
      <c r="E828" t="str">
        <f>'Remplissage - Sit. Init.'!F828</f>
        <v>FretFluvCat33Tech</v>
      </c>
      <c r="F828" s="32" t="s">
        <v>20</v>
      </c>
      <c r="G828">
        <f t="shared" si="109"/>
        <v>1</v>
      </c>
      <c r="I828" s="33" t="str">
        <f>VLOOKUP(B828,'Parcs types'!$B$65:$AA$120,5,FALSE)</f>
        <v>Batterie</v>
      </c>
      <c r="K828" t="str">
        <f t="shared" si="110"/>
        <v>Batterie</v>
      </c>
    </row>
    <row r="829" spans="1:11" outlineLevel="1" x14ac:dyDescent="0.25">
      <c r="A829" t="s">
        <v>134</v>
      </c>
      <c r="B829" t="s">
        <v>121</v>
      </c>
      <c r="C829" t="s">
        <v>140</v>
      </c>
      <c r="E829" t="str">
        <f>'Remplissage - Sit. Init.'!F829</f>
        <v>FretFluvCat33Request</v>
      </c>
      <c r="F829" s="32" t="s">
        <v>20</v>
      </c>
      <c r="G829">
        <f>IF($H$15="Oui",1,0)</f>
        <v>1</v>
      </c>
      <c r="H829" t="s">
        <v>141</v>
      </c>
      <c r="I829" s="33" t="s">
        <v>142</v>
      </c>
      <c r="K829" s="8"/>
    </row>
    <row r="830" spans="1:11" outlineLevel="1" x14ac:dyDescent="0.25">
      <c r="A830" t="s">
        <v>134</v>
      </c>
      <c r="B830" t="s">
        <v>121</v>
      </c>
      <c r="C830" t="s">
        <v>144</v>
      </c>
      <c r="E830" t="str">
        <f>'Remplissage - Sit. Init.'!F830</f>
        <v>FretFluvCat33NbTraj</v>
      </c>
      <c r="F830" t="s">
        <v>17</v>
      </c>
      <c r="G830">
        <f>IF($H$15="Oui",1,0)*IF(ISNUMBER(SEARCH("Une estimation du nombre annuel de trajets pour ce type de barge",H829)),1,0)</f>
        <v>1</v>
      </c>
      <c r="H830" s="3"/>
      <c r="I830" s="33"/>
      <c r="J830" t="s">
        <v>145</v>
      </c>
      <c r="K830" s="7"/>
    </row>
    <row r="831" spans="1:11" outlineLevel="1" x14ac:dyDescent="0.25">
      <c r="A831" t="s">
        <v>134</v>
      </c>
      <c r="B831" t="s">
        <v>121</v>
      </c>
      <c r="C831" t="s">
        <v>146</v>
      </c>
      <c r="E831" t="str">
        <f>'Remplissage - Sit. Init.'!F831</f>
        <v>FretFluvCat33DistMoy</v>
      </c>
      <c r="F831" t="s">
        <v>17</v>
      </c>
      <c r="G831">
        <f>IF($H$15="Oui",1,0)*IF(ISNUMBER(SEARCH("La distance moyenne d'un trajet",H829)),1,0)</f>
        <v>1</v>
      </c>
      <c r="H831" s="8"/>
      <c r="I831" s="33"/>
      <c r="J831" t="s">
        <v>88</v>
      </c>
      <c r="K831" s="8"/>
    </row>
    <row r="832" spans="1:11" outlineLevel="1" x14ac:dyDescent="0.25">
      <c r="A832" t="s">
        <v>134</v>
      </c>
      <c r="B832" t="s">
        <v>121</v>
      </c>
      <c r="C832" t="s">
        <v>147</v>
      </c>
      <c r="E832" t="str">
        <f>'Remplissage - Sit. Init.'!F832</f>
        <v>FretFluvCat33EmportMoy</v>
      </c>
      <c r="F832" t="s">
        <v>17</v>
      </c>
      <c r="G832">
        <f>IF($H$15="Oui",1,0)*IF(ISNUMBER(SEARCH("La masse moyenne transportée pour un trajet",H829)),1,0)</f>
        <v>1</v>
      </c>
      <c r="H832" s="8"/>
      <c r="I832" s="33"/>
      <c r="J832" t="s">
        <v>148</v>
      </c>
      <c r="K832" s="8"/>
    </row>
    <row r="833" spans="1:11" outlineLevel="1" x14ac:dyDescent="0.25">
      <c r="A833" t="s">
        <v>134</v>
      </c>
      <c r="B833" t="s">
        <v>121</v>
      </c>
      <c r="C833" t="s">
        <v>149</v>
      </c>
      <c r="E833" t="str">
        <f>'Remplissage - Sit. Init.'!F833</f>
        <v>FretFluvCat33DistAn</v>
      </c>
      <c r="F833" t="s">
        <v>17</v>
      </c>
      <c r="G833">
        <f>IF($H$15="Oui",1,0)*IF(ISNUMBER(SEARCH("La distance parcourue annuellement pour ce type de barge",H829)),1,0)</f>
        <v>0</v>
      </c>
      <c r="H833" s="8"/>
      <c r="I833" s="33"/>
      <c r="J833" t="s">
        <v>88</v>
      </c>
      <c r="K833" s="8"/>
    </row>
    <row r="834" spans="1:11" outlineLevel="1" x14ac:dyDescent="0.25">
      <c r="A834" t="s">
        <v>134</v>
      </c>
      <c r="B834" t="s">
        <v>121</v>
      </c>
      <c r="C834" t="s">
        <v>150</v>
      </c>
      <c r="E834" t="str">
        <f>'Remplissage - Sit. Init.'!F834</f>
        <v>FretFluvCat33TauxChargeMoy</v>
      </c>
      <c r="F834" t="s">
        <v>17</v>
      </c>
      <c r="G834">
        <f>IF($H$15="Oui",1,0)*IF(ISNUMBER(SEARCH("Le taux de chargement moyen",H829)),1,0)</f>
        <v>0</v>
      </c>
      <c r="H834" s="8"/>
      <c r="I834" s="33"/>
      <c r="J834" t="s">
        <v>70</v>
      </c>
      <c r="K834" s="8"/>
    </row>
    <row r="835" spans="1:11" outlineLevel="1" x14ac:dyDescent="0.25">
      <c r="A835" t="s">
        <v>134</v>
      </c>
      <c r="B835" t="s">
        <v>121</v>
      </c>
      <c r="C835" t="s">
        <v>526</v>
      </c>
      <c r="E835" t="str">
        <f>'Remplissage - Sit. Init.'!F835</f>
        <v>FretFluvCat33NbBarges</v>
      </c>
      <c r="F835" t="s">
        <v>17</v>
      </c>
      <c r="G835">
        <f>IF($H$15="Oui",1,0)</f>
        <v>1</v>
      </c>
      <c r="H835" s="8"/>
      <c r="I835" s="33"/>
      <c r="J835" t="s">
        <v>151</v>
      </c>
      <c r="K835" s="8"/>
    </row>
    <row r="836" spans="1:11" outlineLevel="1" x14ac:dyDescent="0.25">
      <c r="A836" t="s">
        <v>134</v>
      </c>
      <c r="B836" t="s">
        <v>122</v>
      </c>
      <c r="C836" t="s">
        <v>135</v>
      </c>
      <c r="E836" t="str">
        <f>'Remplissage - Sit. Init.'!F836</f>
        <v>FretFluvCat34Nom</v>
      </c>
      <c r="F836" s="32" t="s">
        <v>20</v>
      </c>
      <c r="G836">
        <f>IF($H$15="Oui",1,0)</f>
        <v>1</v>
      </c>
      <c r="H836" s="8"/>
      <c r="I836" s="33" t="str">
        <f>VLOOKUP(B836,'Parcs types'!$B$65:$AA$120,2,FALSE)</f>
        <v>Automoteurs 1500-3000 tonnes H2 , PAC</v>
      </c>
      <c r="K836" t="str">
        <f>I836</f>
        <v>Automoteurs 1500-3000 tonnes H2 , PAC</v>
      </c>
    </row>
    <row r="837" spans="1:11" outlineLevel="1" x14ac:dyDescent="0.25">
      <c r="A837" t="s">
        <v>134</v>
      </c>
      <c r="B837" t="s">
        <v>122</v>
      </c>
      <c r="C837" t="s">
        <v>136</v>
      </c>
      <c r="E837" t="str">
        <f>'Remplissage - Sit. Init.'!F837</f>
        <v>FretFluvCat34Type</v>
      </c>
      <c r="F837" t="s">
        <v>20</v>
      </c>
      <c r="G837">
        <f t="shared" ref="G837:G839" si="111">IF($H$15="Oui",1,0)</f>
        <v>1</v>
      </c>
      <c r="H837" s="8"/>
      <c r="I837" s="33" t="str">
        <f>VLOOKUP(B837,'Parcs types'!$B$65:$AA$120,3,FALSE)</f>
        <v>Automoteurs</v>
      </c>
      <c r="K837" t="str">
        <f t="shared" ref="K837:K839" si="112">I837</f>
        <v>Automoteurs</v>
      </c>
    </row>
    <row r="838" spans="1:11" outlineLevel="1" x14ac:dyDescent="0.25">
      <c r="A838" t="s">
        <v>134</v>
      </c>
      <c r="B838" t="s">
        <v>122</v>
      </c>
      <c r="C838" t="s">
        <v>137</v>
      </c>
      <c r="E838" t="str">
        <f>'Remplissage - Sit. Init.'!F838</f>
        <v>FretFluvCat34Cap</v>
      </c>
      <c r="F838" s="32" t="s">
        <v>36</v>
      </c>
      <c r="G838">
        <f t="shared" si="111"/>
        <v>1</v>
      </c>
      <c r="H838" s="8"/>
      <c r="I838" s="33" t="str">
        <f>VLOOKUP(B838,'Parcs types'!$B$65:$AA$120,4,FALSE)</f>
        <v>1500-3000 tonnes</v>
      </c>
      <c r="J838" t="s">
        <v>524</v>
      </c>
      <c r="K838" t="str">
        <f t="shared" si="112"/>
        <v>1500-3000 tonnes</v>
      </c>
    </row>
    <row r="839" spans="1:11" outlineLevel="1" x14ac:dyDescent="0.25">
      <c r="A839" t="s">
        <v>134</v>
      </c>
      <c r="B839" t="s">
        <v>122</v>
      </c>
      <c r="C839" t="s">
        <v>525</v>
      </c>
      <c r="E839" t="str">
        <f>'Remplissage - Sit. Init.'!F839</f>
        <v>FretFluvCat34Tech</v>
      </c>
      <c r="F839" s="32" t="s">
        <v>20</v>
      </c>
      <c r="G839">
        <f t="shared" si="111"/>
        <v>1</v>
      </c>
      <c r="H839" s="8"/>
      <c r="I839" s="33" t="str">
        <f>VLOOKUP(B839,'Parcs types'!$B$65:$AA$120,5,FALSE)</f>
        <v>H2 , PAC</v>
      </c>
      <c r="K839" t="str">
        <f t="shared" si="112"/>
        <v>H2 , PAC</v>
      </c>
    </row>
    <row r="840" spans="1:11" outlineLevel="1" x14ac:dyDescent="0.25">
      <c r="A840" t="s">
        <v>134</v>
      </c>
      <c r="B840" t="s">
        <v>122</v>
      </c>
      <c r="C840" t="s">
        <v>140</v>
      </c>
      <c r="E840" t="str">
        <f>'Remplissage - Sit. Init.'!F840</f>
        <v>FretFluvCat34Request</v>
      </c>
      <c r="F840" s="32" t="s">
        <v>20</v>
      </c>
      <c r="G840">
        <f>IF($H$15="Oui",1,0)</f>
        <v>1</v>
      </c>
      <c r="H840" t="s">
        <v>141</v>
      </c>
      <c r="I840" s="33" t="s">
        <v>142</v>
      </c>
      <c r="K840" s="8"/>
    </row>
    <row r="841" spans="1:11" outlineLevel="1" x14ac:dyDescent="0.25">
      <c r="A841" t="s">
        <v>134</v>
      </c>
      <c r="B841" t="s">
        <v>122</v>
      </c>
      <c r="C841" t="s">
        <v>144</v>
      </c>
      <c r="E841" t="str">
        <f>'Remplissage - Sit. Init.'!F841</f>
        <v>FretFluvCat34NbTraj</v>
      </c>
      <c r="F841" t="s">
        <v>17</v>
      </c>
      <c r="G841">
        <f>IF($H$15="Oui",1,0)*IF(ISNUMBER(SEARCH("Une estimation du nombre annuel de trajets pour ce type de barge",H840)),1,0)</f>
        <v>1</v>
      </c>
      <c r="H841" s="8"/>
      <c r="I841" s="33"/>
      <c r="J841" t="s">
        <v>145</v>
      </c>
      <c r="K841" s="8"/>
    </row>
    <row r="842" spans="1:11" outlineLevel="1" x14ac:dyDescent="0.25">
      <c r="A842" t="s">
        <v>134</v>
      </c>
      <c r="B842" t="s">
        <v>122</v>
      </c>
      <c r="C842" t="s">
        <v>146</v>
      </c>
      <c r="E842" t="str">
        <f>'Remplissage - Sit. Init.'!F842</f>
        <v>FretFluvCat34DistMoy</v>
      </c>
      <c r="F842" t="s">
        <v>17</v>
      </c>
      <c r="G842">
        <f>IF($H$15="Oui",1,0)*IF(ISNUMBER(SEARCH("La distance moyenne d'un trajet",H840)),1,0)</f>
        <v>1</v>
      </c>
      <c r="H842" s="8"/>
      <c r="I842" s="33"/>
      <c r="J842" t="s">
        <v>88</v>
      </c>
      <c r="K842" s="8"/>
    </row>
    <row r="843" spans="1:11" outlineLevel="1" x14ac:dyDescent="0.25">
      <c r="A843" t="s">
        <v>134</v>
      </c>
      <c r="B843" t="s">
        <v>122</v>
      </c>
      <c r="C843" t="s">
        <v>147</v>
      </c>
      <c r="E843" t="str">
        <f>'Remplissage - Sit. Init.'!F843</f>
        <v>FretFluvCat34EmportMoy</v>
      </c>
      <c r="F843" t="s">
        <v>17</v>
      </c>
      <c r="G843">
        <f>IF($H$15="Oui",1,0)*IF(ISNUMBER(SEARCH("La masse moyenne transportée pour un trajet",H840)),1,0)</f>
        <v>1</v>
      </c>
      <c r="H843" s="8"/>
      <c r="I843" s="33"/>
      <c r="J843" t="s">
        <v>148</v>
      </c>
      <c r="K843" s="8"/>
    </row>
    <row r="844" spans="1:11" outlineLevel="1" x14ac:dyDescent="0.25">
      <c r="A844" t="s">
        <v>134</v>
      </c>
      <c r="B844" t="s">
        <v>122</v>
      </c>
      <c r="C844" t="s">
        <v>149</v>
      </c>
      <c r="E844" t="str">
        <f>'Remplissage - Sit. Init.'!F844</f>
        <v>FretFluvCat34DistAn</v>
      </c>
      <c r="F844" t="s">
        <v>17</v>
      </c>
      <c r="G844">
        <f>IF($H$15="Oui",1,0)*IF(ISNUMBER(SEARCH("La distance parcourue annuellement pour ce type de barge",H840)),1,0)</f>
        <v>0</v>
      </c>
      <c r="H844" s="8"/>
      <c r="I844" s="33"/>
      <c r="J844" t="s">
        <v>88</v>
      </c>
      <c r="K844" s="8"/>
    </row>
    <row r="845" spans="1:11" outlineLevel="1" x14ac:dyDescent="0.25">
      <c r="A845" t="s">
        <v>134</v>
      </c>
      <c r="B845" t="s">
        <v>122</v>
      </c>
      <c r="C845" t="s">
        <v>150</v>
      </c>
      <c r="E845" t="str">
        <f>'Remplissage - Sit. Init.'!F845</f>
        <v>FretFluvCat34TauxChargeMoy</v>
      </c>
      <c r="F845" t="s">
        <v>17</v>
      </c>
      <c r="G845">
        <f>IF($H$15="Oui",1,0)*IF(ISNUMBER(SEARCH("Le taux de chargement moyen",H840)),1,0)</f>
        <v>0</v>
      </c>
      <c r="H845" s="8"/>
      <c r="I845" s="33"/>
      <c r="J845" t="s">
        <v>70</v>
      </c>
      <c r="K845" s="8"/>
    </row>
    <row r="846" spans="1:11" outlineLevel="1" x14ac:dyDescent="0.25">
      <c r="A846" t="s">
        <v>134</v>
      </c>
      <c r="B846" t="s">
        <v>122</v>
      </c>
      <c r="C846" t="s">
        <v>526</v>
      </c>
      <c r="E846" t="str">
        <f>'Remplissage - Sit. Init.'!F846</f>
        <v>FretFluvCat34NbBarges</v>
      </c>
      <c r="F846" t="s">
        <v>17</v>
      </c>
      <c r="G846">
        <f>IF($H$15="Oui",1,0)</f>
        <v>1</v>
      </c>
      <c r="H846" s="8"/>
      <c r="I846" s="33"/>
      <c r="J846" t="s">
        <v>151</v>
      </c>
      <c r="K846" s="8"/>
    </row>
    <row r="847" spans="1:11" outlineLevel="1" x14ac:dyDescent="0.25">
      <c r="A847" t="s">
        <v>134</v>
      </c>
      <c r="B847" t="s">
        <v>123</v>
      </c>
      <c r="C847" t="s">
        <v>135</v>
      </c>
      <c r="E847" t="str">
        <f>'Remplissage - Sit. Init.'!F847</f>
        <v>FretFluvCat35Nom</v>
      </c>
      <c r="F847" s="32" t="s">
        <v>20</v>
      </c>
      <c r="G847">
        <f>IF($H$15="Oui",1,0)</f>
        <v>1</v>
      </c>
      <c r="H847" s="8"/>
      <c r="I847" s="33" t="str">
        <f>VLOOKUP(B847,'Parcs types'!$B$65:$AA$120,2,FALSE)</f>
        <v>Automoteurs 1500-3000 tonnes H2 , ICE</v>
      </c>
      <c r="K847" t="str">
        <f>I847</f>
        <v>Automoteurs 1500-3000 tonnes H2 , ICE</v>
      </c>
    </row>
    <row r="848" spans="1:11" outlineLevel="1" x14ac:dyDescent="0.25">
      <c r="A848" t="s">
        <v>134</v>
      </c>
      <c r="B848" t="s">
        <v>123</v>
      </c>
      <c r="C848" t="s">
        <v>136</v>
      </c>
      <c r="E848" t="str">
        <f>'Remplissage - Sit. Init.'!F848</f>
        <v>FretFluvCat35Type</v>
      </c>
      <c r="F848" t="s">
        <v>20</v>
      </c>
      <c r="G848">
        <f t="shared" ref="G848:G850" si="113">IF($H$15="Oui",1,0)</f>
        <v>1</v>
      </c>
      <c r="H848" s="8"/>
      <c r="I848" s="33" t="str">
        <f>VLOOKUP(B848,'Parcs types'!$B$65:$AA$120,3,FALSE)</f>
        <v>Automoteurs</v>
      </c>
      <c r="K848" t="str">
        <f t="shared" ref="K848:K850" si="114">I848</f>
        <v>Automoteurs</v>
      </c>
    </row>
    <row r="849" spans="1:11" outlineLevel="1" x14ac:dyDescent="0.25">
      <c r="A849" t="s">
        <v>134</v>
      </c>
      <c r="B849" t="s">
        <v>123</v>
      </c>
      <c r="C849" t="s">
        <v>137</v>
      </c>
      <c r="E849" t="str">
        <f>'Remplissage - Sit. Init.'!F849</f>
        <v>FretFluvCat35Cap</v>
      </c>
      <c r="F849" s="32" t="s">
        <v>36</v>
      </c>
      <c r="G849">
        <f t="shared" si="113"/>
        <v>1</v>
      </c>
      <c r="H849" s="8"/>
      <c r="I849" s="33" t="str">
        <f>VLOOKUP(B849,'Parcs types'!$B$65:$AA$120,4,FALSE)</f>
        <v>1500-3000 tonnes</v>
      </c>
      <c r="J849" t="s">
        <v>524</v>
      </c>
      <c r="K849" t="str">
        <f t="shared" si="114"/>
        <v>1500-3000 tonnes</v>
      </c>
    </row>
    <row r="850" spans="1:11" outlineLevel="1" x14ac:dyDescent="0.25">
      <c r="A850" t="s">
        <v>134</v>
      </c>
      <c r="B850" t="s">
        <v>123</v>
      </c>
      <c r="C850" t="s">
        <v>525</v>
      </c>
      <c r="E850" t="str">
        <f>'Remplissage - Sit. Init.'!F850</f>
        <v>FretFluvCat35Tech</v>
      </c>
      <c r="F850" s="32" t="s">
        <v>20</v>
      </c>
      <c r="G850">
        <f t="shared" si="113"/>
        <v>1</v>
      </c>
      <c r="H850" s="8"/>
      <c r="I850" s="33" t="str">
        <f>VLOOKUP(B850,'Parcs types'!$B$65:$AA$120,5,FALSE)</f>
        <v>H2 , ICE</v>
      </c>
      <c r="K850" t="str">
        <f t="shared" si="114"/>
        <v>H2 , ICE</v>
      </c>
    </row>
    <row r="851" spans="1:11" outlineLevel="1" x14ac:dyDescent="0.25">
      <c r="A851" t="s">
        <v>134</v>
      </c>
      <c r="B851" t="s">
        <v>123</v>
      </c>
      <c r="C851" t="s">
        <v>140</v>
      </c>
      <c r="E851" t="str">
        <f>'Remplissage - Sit. Init.'!F851</f>
        <v>FretFluvCat35Request</v>
      </c>
      <c r="F851" s="32" t="s">
        <v>20</v>
      </c>
      <c r="G851">
        <f>IF($H$15="Oui",1,0)</f>
        <v>1</v>
      </c>
      <c r="H851" t="s">
        <v>141</v>
      </c>
      <c r="I851" s="33" t="s">
        <v>142</v>
      </c>
      <c r="K851" s="8"/>
    </row>
    <row r="852" spans="1:11" outlineLevel="1" x14ac:dyDescent="0.25">
      <c r="A852" t="s">
        <v>134</v>
      </c>
      <c r="B852" t="s">
        <v>123</v>
      </c>
      <c r="C852" t="s">
        <v>144</v>
      </c>
      <c r="E852" t="str">
        <f>'Remplissage - Sit. Init.'!F852</f>
        <v>FretFluvCat35NbTraj</v>
      </c>
      <c r="F852" t="s">
        <v>17</v>
      </c>
      <c r="G852">
        <f>IF($H$15="Oui",1,0)*IF(ISNUMBER(SEARCH("Une estimation du nombre annuel de trajets pour ce type de barge",H851)),1,0)</f>
        <v>1</v>
      </c>
      <c r="H852" s="8"/>
      <c r="I852" s="33"/>
      <c r="J852" t="s">
        <v>145</v>
      </c>
      <c r="K852" s="8"/>
    </row>
    <row r="853" spans="1:11" outlineLevel="1" x14ac:dyDescent="0.25">
      <c r="A853" t="s">
        <v>134</v>
      </c>
      <c r="B853" t="s">
        <v>123</v>
      </c>
      <c r="C853" t="s">
        <v>146</v>
      </c>
      <c r="E853" t="str">
        <f>'Remplissage - Sit. Init.'!F853</f>
        <v>FretFluvCat35DistMoy</v>
      </c>
      <c r="F853" t="s">
        <v>17</v>
      </c>
      <c r="G853">
        <f>IF($H$15="Oui",1,0)*IF(ISNUMBER(SEARCH("La distance moyenne d'un trajet",H851)),1,0)</f>
        <v>1</v>
      </c>
      <c r="H853" s="8"/>
      <c r="I853" s="33"/>
      <c r="J853" t="s">
        <v>88</v>
      </c>
      <c r="K853" s="8"/>
    </row>
    <row r="854" spans="1:11" outlineLevel="1" x14ac:dyDescent="0.25">
      <c r="A854" t="s">
        <v>134</v>
      </c>
      <c r="B854" t="s">
        <v>123</v>
      </c>
      <c r="C854" t="s">
        <v>147</v>
      </c>
      <c r="E854" t="str">
        <f>'Remplissage - Sit. Init.'!F854</f>
        <v>FretFluvCat35EmportMoy</v>
      </c>
      <c r="F854" t="s">
        <v>17</v>
      </c>
      <c r="G854">
        <f>IF($H$15="Oui",1,0)*IF(ISNUMBER(SEARCH("La masse moyenne transportée pour un trajet",H851)),1,0)</f>
        <v>1</v>
      </c>
      <c r="H854" s="8"/>
      <c r="I854" s="33"/>
      <c r="J854" t="s">
        <v>148</v>
      </c>
      <c r="K854" s="8"/>
    </row>
    <row r="855" spans="1:11" outlineLevel="1" x14ac:dyDescent="0.25">
      <c r="A855" t="s">
        <v>134</v>
      </c>
      <c r="B855" t="s">
        <v>123</v>
      </c>
      <c r="C855" t="s">
        <v>149</v>
      </c>
      <c r="E855" t="str">
        <f>'Remplissage - Sit. Init.'!F855</f>
        <v>FretFluvCat35DistAn</v>
      </c>
      <c r="F855" t="s">
        <v>17</v>
      </c>
      <c r="G855">
        <f>IF($H$15="Oui",1,0)*IF(ISNUMBER(SEARCH("La distance parcourue annuellement pour ce type de barge",H851)),1,0)</f>
        <v>0</v>
      </c>
      <c r="H855" s="8"/>
      <c r="I855" s="33"/>
      <c r="J855" t="s">
        <v>88</v>
      </c>
      <c r="K855" s="8"/>
    </row>
    <row r="856" spans="1:11" outlineLevel="1" x14ac:dyDescent="0.25">
      <c r="A856" t="s">
        <v>134</v>
      </c>
      <c r="B856" t="s">
        <v>123</v>
      </c>
      <c r="C856" t="s">
        <v>150</v>
      </c>
      <c r="E856" t="str">
        <f>'Remplissage - Sit. Init.'!F856</f>
        <v>FretFluvCat35TauxChargeMoy</v>
      </c>
      <c r="F856" t="s">
        <v>17</v>
      </c>
      <c r="G856">
        <f>IF($H$15="Oui",1,0)*IF(ISNUMBER(SEARCH("Le taux de chargement moyen",H851)),1,0)</f>
        <v>0</v>
      </c>
      <c r="H856" s="8"/>
      <c r="I856" s="33"/>
      <c r="J856" t="s">
        <v>70</v>
      </c>
      <c r="K856" s="8"/>
    </row>
    <row r="857" spans="1:11" outlineLevel="1" x14ac:dyDescent="0.25">
      <c r="A857" t="s">
        <v>134</v>
      </c>
      <c r="B857" t="s">
        <v>123</v>
      </c>
      <c r="C857" t="s">
        <v>526</v>
      </c>
      <c r="E857" t="str">
        <f>'Remplissage - Sit. Init.'!F857</f>
        <v>FretFluvCat35NbBarges</v>
      </c>
      <c r="F857" t="s">
        <v>17</v>
      </c>
      <c r="G857">
        <f>IF($H$15="Oui",1,0)</f>
        <v>1</v>
      </c>
      <c r="H857" s="8"/>
      <c r="I857" s="33"/>
      <c r="J857" t="s">
        <v>151</v>
      </c>
      <c r="K857" s="8"/>
    </row>
    <row r="858" spans="1:11" outlineLevel="1" x14ac:dyDescent="0.25">
      <c r="A858" t="s">
        <v>134</v>
      </c>
      <c r="B858" t="s">
        <v>124</v>
      </c>
      <c r="C858" t="s">
        <v>135</v>
      </c>
      <c r="E858" t="str">
        <f>'Remplissage - Sit. Init.'!F858</f>
        <v>FretFluvCat36Nom</v>
      </c>
      <c r="F858" s="32" t="s">
        <v>20</v>
      </c>
      <c r="G858">
        <f>IF($H$15="Oui",1,0)</f>
        <v>1</v>
      </c>
      <c r="H858" s="8"/>
      <c r="I858" s="33" t="str">
        <f>VLOOKUP(B858,'Parcs types'!$B$65:$AA$120,2,FALSE)</f>
        <v>Automoteurs &gt;3000 tonnes CCNR 2 ou inférieur, diesel</v>
      </c>
      <c r="K858" t="str">
        <f>I858</f>
        <v>Automoteurs &gt;3000 tonnes CCNR 2 ou inférieur, diesel</v>
      </c>
    </row>
    <row r="859" spans="1:11" outlineLevel="1" x14ac:dyDescent="0.25">
      <c r="A859" t="s">
        <v>134</v>
      </c>
      <c r="B859" t="s">
        <v>124</v>
      </c>
      <c r="C859" t="s">
        <v>136</v>
      </c>
      <c r="E859" t="str">
        <f>'Remplissage - Sit. Init.'!F859</f>
        <v>FretFluvCat36Type</v>
      </c>
      <c r="F859" t="s">
        <v>20</v>
      </c>
      <c r="G859">
        <f t="shared" ref="G859:G861" si="115">IF($H$15="Oui",1,0)</f>
        <v>1</v>
      </c>
      <c r="H859" s="8"/>
      <c r="I859" s="33" t="str">
        <f>VLOOKUP(B859,'Parcs types'!$B$65:$AA$120,3,FALSE)</f>
        <v>Automoteurs</v>
      </c>
      <c r="K859" t="str">
        <f t="shared" ref="K859:K861" si="116">I859</f>
        <v>Automoteurs</v>
      </c>
    </row>
    <row r="860" spans="1:11" outlineLevel="1" x14ac:dyDescent="0.25">
      <c r="A860" t="s">
        <v>134</v>
      </c>
      <c r="B860" t="s">
        <v>124</v>
      </c>
      <c r="C860" t="s">
        <v>137</v>
      </c>
      <c r="E860" t="str">
        <f>'Remplissage - Sit. Init.'!F860</f>
        <v>FretFluvCat36Cap</v>
      </c>
      <c r="F860" s="32" t="s">
        <v>36</v>
      </c>
      <c r="G860">
        <f t="shared" si="115"/>
        <v>1</v>
      </c>
      <c r="H860" s="8"/>
      <c r="I860" s="33" t="str">
        <f>VLOOKUP(B860,'Parcs types'!$B$65:$AA$120,4,FALSE)</f>
        <v>&gt;3000 tonnes</v>
      </c>
      <c r="J860" t="s">
        <v>524</v>
      </c>
      <c r="K860" t="str">
        <f t="shared" si="116"/>
        <v>&gt;3000 tonnes</v>
      </c>
    </row>
    <row r="861" spans="1:11" outlineLevel="1" x14ac:dyDescent="0.25">
      <c r="A861" t="s">
        <v>134</v>
      </c>
      <c r="B861" t="s">
        <v>124</v>
      </c>
      <c r="C861" t="s">
        <v>525</v>
      </c>
      <c r="E861" t="str">
        <f>'Remplissage - Sit. Init.'!F861</f>
        <v>FretFluvCat36Tech</v>
      </c>
      <c r="F861" s="32" t="s">
        <v>20</v>
      </c>
      <c r="G861">
        <f t="shared" si="115"/>
        <v>1</v>
      </c>
      <c r="H861" s="8"/>
      <c r="I861" s="33" t="str">
        <f>VLOOKUP(B861,'Parcs types'!$B$65:$AA$120,5,FALSE)</f>
        <v>CCNR 2 ou inférieur, diesel</v>
      </c>
      <c r="K861" t="str">
        <f t="shared" si="116"/>
        <v>CCNR 2 ou inférieur, diesel</v>
      </c>
    </row>
    <row r="862" spans="1:11" outlineLevel="1" x14ac:dyDescent="0.25">
      <c r="A862" t="s">
        <v>134</v>
      </c>
      <c r="B862" t="s">
        <v>124</v>
      </c>
      <c r="C862" t="s">
        <v>140</v>
      </c>
      <c r="E862" t="str">
        <f>'Remplissage - Sit. Init.'!F862</f>
        <v>FretFluvCat36Request</v>
      </c>
      <c r="F862" s="32" t="s">
        <v>20</v>
      </c>
      <c r="G862">
        <f>IF($H$15="Oui",1,0)</f>
        <v>1</v>
      </c>
      <c r="H862" t="s">
        <v>141</v>
      </c>
      <c r="I862" s="33" t="s">
        <v>142</v>
      </c>
      <c r="K862" s="8"/>
    </row>
    <row r="863" spans="1:11" outlineLevel="1" x14ac:dyDescent="0.25">
      <c r="A863" t="s">
        <v>134</v>
      </c>
      <c r="B863" t="s">
        <v>124</v>
      </c>
      <c r="C863" t="s">
        <v>144</v>
      </c>
      <c r="E863" t="str">
        <f>'Remplissage - Sit. Init.'!F863</f>
        <v>FretFluvCat36NbTraj</v>
      </c>
      <c r="F863" t="s">
        <v>17</v>
      </c>
      <c r="G863">
        <f>IF($H$15="Oui",1,0)*IF(ISNUMBER(SEARCH("Une estimation du nombre annuel de trajets pour ce type de barge",H862)),1,0)</f>
        <v>1</v>
      </c>
      <c r="H863" s="8"/>
      <c r="I863" s="33"/>
      <c r="J863" t="s">
        <v>145</v>
      </c>
      <c r="K863" s="8"/>
    </row>
    <row r="864" spans="1:11" outlineLevel="1" x14ac:dyDescent="0.25">
      <c r="A864" t="s">
        <v>134</v>
      </c>
      <c r="B864" t="s">
        <v>124</v>
      </c>
      <c r="C864" t="s">
        <v>146</v>
      </c>
      <c r="E864" t="str">
        <f>'Remplissage - Sit. Init.'!F864</f>
        <v>FretFluvCat36DistMoy</v>
      </c>
      <c r="F864" t="s">
        <v>17</v>
      </c>
      <c r="G864">
        <f>IF($H$15="Oui",1,0)*IF(ISNUMBER(SEARCH("La distance moyenne d'un trajet",H862)),1,0)</f>
        <v>1</v>
      </c>
      <c r="H864" s="8"/>
      <c r="I864" s="33"/>
      <c r="J864" t="s">
        <v>88</v>
      </c>
      <c r="K864" s="8"/>
    </row>
    <row r="865" spans="1:11" outlineLevel="1" x14ac:dyDescent="0.25">
      <c r="A865" t="s">
        <v>134</v>
      </c>
      <c r="B865" t="s">
        <v>124</v>
      </c>
      <c r="C865" t="s">
        <v>147</v>
      </c>
      <c r="E865" t="str">
        <f>'Remplissage - Sit. Init.'!F865</f>
        <v>FretFluvCat36EmportMoy</v>
      </c>
      <c r="F865" t="s">
        <v>17</v>
      </c>
      <c r="G865">
        <f>IF($H$15="Oui",1,0)*IF(ISNUMBER(SEARCH("La masse moyenne transportée pour un trajet",H862)),1,0)</f>
        <v>1</v>
      </c>
      <c r="H865" s="8"/>
      <c r="I865" s="33"/>
      <c r="J865" t="s">
        <v>148</v>
      </c>
      <c r="K865" s="8"/>
    </row>
    <row r="866" spans="1:11" outlineLevel="1" x14ac:dyDescent="0.25">
      <c r="A866" t="s">
        <v>134</v>
      </c>
      <c r="B866" t="s">
        <v>124</v>
      </c>
      <c r="C866" t="s">
        <v>149</v>
      </c>
      <c r="E866" t="str">
        <f>'Remplissage - Sit. Init.'!F866</f>
        <v>FretFluvCat36DistAn</v>
      </c>
      <c r="F866" t="s">
        <v>17</v>
      </c>
      <c r="G866">
        <f>IF($H$15="Oui",1,0)*IF(ISNUMBER(SEARCH("La distance parcourue annuellement pour ce type de barge",H862)),1,0)</f>
        <v>0</v>
      </c>
      <c r="H866" s="8"/>
      <c r="I866" s="33"/>
      <c r="J866" t="s">
        <v>88</v>
      </c>
      <c r="K866" s="8"/>
    </row>
    <row r="867" spans="1:11" outlineLevel="1" x14ac:dyDescent="0.25">
      <c r="A867" t="s">
        <v>134</v>
      </c>
      <c r="B867" t="s">
        <v>124</v>
      </c>
      <c r="C867" t="s">
        <v>150</v>
      </c>
      <c r="E867" t="str">
        <f>'Remplissage - Sit. Init.'!F867</f>
        <v>FretFluvCat36TauxChargeMoy</v>
      </c>
      <c r="F867" t="s">
        <v>17</v>
      </c>
      <c r="G867">
        <f>IF($H$15="Oui",1,0)*IF(ISNUMBER(SEARCH("Le taux de chargement moyen",H862)),1,0)</f>
        <v>0</v>
      </c>
      <c r="H867" s="8"/>
      <c r="I867" s="33"/>
      <c r="J867" t="s">
        <v>70</v>
      </c>
      <c r="K867" s="8"/>
    </row>
    <row r="868" spans="1:11" outlineLevel="1" x14ac:dyDescent="0.25">
      <c r="A868" t="s">
        <v>134</v>
      </c>
      <c r="B868" t="s">
        <v>124</v>
      </c>
      <c r="C868" t="s">
        <v>526</v>
      </c>
      <c r="E868" t="str">
        <f>'Remplissage - Sit. Init.'!F868</f>
        <v>FretFluvCat36NbBarges</v>
      </c>
      <c r="F868" t="s">
        <v>17</v>
      </c>
      <c r="G868">
        <f>IF($H$15="Oui",1,0)</f>
        <v>1</v>
      </c>
      <c r="H868" s="8"/>
      <c r="I868" s="33"/>
      <c r="J868" t="s">
        <v>151</v>
      </c>
      <c r="K868" s="8"/>
    </row>
    <row r="869" spans="1:11" outlineLevel="1" x14ac:dyDescent="0.25">
      <c r="A869" t="s">
        <v>134</v>
      </c>
      <c r="B869" t="s">
        <v>125</v>
      </c>
      <c r="C869" t="s">
        <v>135</v>
      </c>
      <c r="E869" t="str">
        <f>'Remplissage - Sit. Init.'!F869</f>
        <v>FretFluvCat37Nom</v>
      </c>
      <c r="F869" s="32" t="s">
        <v>20</v>
      </c>
      <c r="G869">
        <f>IF($H$15="Oui",1,0)</f>
        <v>1</v>
      </c>
      <c r="H869" s="8"/>
      <c r="I869" s="33" t="str">
        <f>VLOOKUP(B869,'Parcs types'!$B$65:$AA$120,2,FALSE)</f>
        <v>Automoteurs &gt;3000 tonnes CCNR 2 + SCR, diesel</v>
      </c>
      <c r="K869" t="str">
        <f>I869</f>
        <v>Automoteurs &gt;3000 tonnes CCNR 2 + SCR, diesel</v>
      </c>
    </row>
    <row r="870" spans="1:11" outlineLevel="1" x14ac:dyDescent="0.25">
      <c r="A870" t="s">
        <v>134</v>
      </c>
      <c r="B870" t="s">
        <v>125</v>
      </c>
      <c r="C870" t="s">
        <v>136</v>
      </c>
      <c r="E870" t="str">
        <f>'Remplissage - Sit. Init.'!F870</f>
        <v>FretFluvCat37Type</v>
      </c>
      <c r="F870" t="s">
        <v>20</v>
      </c>
      <c r="G870">
        <f t="shared" ref="G870:G872" si="117">IF($H$15="Oui",1,0)</f>
        <v>1</v>
      </c>
      <c r="H870" s="8"/>
      <c r="I870" s="33" t="str">
        <f>VLOOKUP(B870,'Parcs types'!$B$65:$AA$120,3,FALSE)</f>
        <v>Automoteurs</v>
      </c>
      <c r="K870" t="str">
        <f t="shared" ref="K870:K872" si="118">I870</f>
        <v>Automoteurs</v>
      </c>
    </row>
    <row r="871" spans="1:11" outlineLevel="1" x14ac:dyDescent="0.25">
      <c r="A871" t="s">
        <v>134</v>
      </c>
      <c r="B871" t="s">
        <v>125</v>
      </c>
      <c r="C871" t="s">
        <v>137</v>
      </c>
      <c r="E871" t="str">
        <f>'Remplissage - Sit. Init.'!F871</f>
        <v>FretFluvCat37Cap</v>
      </c>
      <c r="F871" s="32" t="s">
        <v>36</v>
      </c>
      <c r="G871">
        <f t="shared" si="117"/>
        <v>1</v>
      </c>
      <c r="H871" s="8"/>
      <c r="I871" s="33" t="str">
        <f>VLOOKUP(B871,'Parcs types'!$B$65:$AA$120,4,FALSE)</f>
        <v>&gt;3000 tonnes</v>
      </c>
      <c r="J871" t="s">
        <v>524</v>
      </c>
      <c r="K871" t="str">
        <f t="shared" si="118"/>
        <v>&gt;3000 tonnes</v>
      </c>
    </row>
    <row r="872" spans="1:11" outlineLevel="1" x14ac:dyDescent="0.25">
      <c r="A872" t="s">
        <v>134</v>
      </c>
      <c r="B872" t="s">
        <v>125</v>
      </c>
      <c r="C872" t="s">
        <v>525</v>
      </c>
      <c r="E872" t="str">
        <f>'Remplissage - Sit. Init.'!F872</f>
        <v>FretFluvCat37Tech</v>
      </c>
      <c r="F872" s="32" t="s">
        <v>20</v>
      </c>
      <c r="G872">
        <f t="shared" si="117"/>
        <v>1</v>
      </c>
      <c r="H872" s="8"/>
      <c r="I872" s="33" t="str">
        <f>VLOOKUP(B872,'Parcs types'!$B$65:$AA$120,5,FALSE)</f>
        <v>CCNR 2 + SCR, diesel</v>
      </c>
      <c r="K872" t="str">
        <f t="shared" si="118"/>
        <v>CCNR 2 + SCR, diesel</v>
      </c>
    </row>
    <row r="873" spans="1:11" outlineLevel="1" x14ac:dyDescent="0.25">
      <c r="A873" t="s">
        <v>134</v>
      </c>
      <c r="B873" t="s">
        <v>125</v>
      </c>
      <c r="C873" t="s">
        <v>140</v>
      </c>
      <c r="E873" t="str">
        <f>'Remplissage - Sit. Init.'!F873</f>
        <v>FretFluvCat37Request</v>
      </c>
      <c r="F873" s="32" t="s">
        <v>20</v>
      </c>
      <c r="G873">
        <f>IF($H$15="Oui",1,0)</f>
        <v>1</v>
      </c>
      <c r="H873" t="s">
        <v>141</v>
      </c>
      <c r="I873" s="33" t="s">
        <v>142</v>
      </c>
      <c r="K873" s="8"/>
    </row>
    <row r="874" spans="1:11" outlineLevel="1" x14ac:dyDescent="0.25">
      <c r="A874" t="s">
        <v>134</v>
      </c>
      <c r="B874" t="s">
        <v>125</v>
      </c>
      <c r="C874" t="s">
        <v>144</v>
      </c>
      <c r="E874" t="str">
        <f>'Remplissage - Sit. Init.'!F874</f>
        <v>FretFluvCat37NbTraj</v>
      </c>
      <c r="F874" t="s">
        <v>17</v>
      </c>
      <c r="G874">
        <f>IF($H$15="Oui",1,0)*IF(ISNUMBER(SEARCH("Une estimation du nombre annuel de trajets pour ce type de barge",H873)),1,0)</f>
        <v>1</v>
      </c>
      <c r="H874" s="8"/>
      <c r="I874" s="33"/>
      <c r="J874" t="s">
        <v>145</v>
      </c>
      <c r="K874" s="8"/>
    </row>
    <row r="875" spans="1:11" outlineLevel="1" x14ac:dyDescent="0.25">
      <c r="A875" t="s">
        <v>134</v>
      </c>
      <c r="B875" t="s">
        <v>125</v>
      </c>
      <c r="C875" t="s">
        <v>146</v>
      </c>
      <c r="E875" t="str">
        <f>'Remplissage - Sit. Init.'!F875</f>
        <v>FretFluvCat37DistMoy</v>
      </c>
      <c r="F875" t="s">
        <v>17</v>
      </c>
      <c r="G875">
        <f>IF($H$15="Oui",1,0)*IF(ISNUMBER(SEARCH("La distance moyenne d'un trajet",H873)),1,0)</f>
        <v>1</v>
      </c>
      <c r="H875" s="8"/>
      <c r="I875" s="33"/>
      <c r="J875" t="s">
        <v>88</v>
      </c>
      <c r="K875" s="8"/>
    </row>
    <row r="876" spans="1:11" outlineLevel="1" x14ac:dyDescent="0.25">
      <c r="A876" t="s">
        <v>134</v>
      </c>
      <c r="B876" t="s">
        <v>125</v>
      </c>
      <c r="C876" t="s">
        <v>147</v>
      </c>
      <c r="E876" t="str">
        <f>'Remplissage - Sit. Init.'!F876</f>
        <v>FretFluvCat37EmportMoy</v>
      </c>
      <c r="F876" t="s">
        <v>17</v>
      </c>
      <c r="G876">
        <f>IF($H$15="Oui",1,0)*IF(ISNUMBER(SEARCH("La masse moyenne transportée pour un trajet",H873)),1,0)</f>
        <v>1</v>
      </c>
      <c r="H876" s="8"/>
      <c r="I876" s="33"/>
      <c r="J876" t="s">
        <v>148</v>
      </c>
      <c r="K876" s="8"/>
    </row>
    <row r="877" spans="1:11" outlineLevel="1" x14ac:dyDescent="0.25">
      <c r="A877" t="s">
        <v>134</v>
      </c>
      <c r="B877" t="s">
        <v>125</v>
      </c>
      <c r="C877" t="s">
        <v>149</v>
      </c>
      <c r="E877" t="str">
        <f>'Remplissage - Sit. Init.'!F877</f>
        <v>FretFluvCat37DistAn</v>
      </c>
      <c r="F877" t="s">
        <v>17</v>
      </c>
      <c r="G877">
        <f>IF($H$15="Oui",1,0)*IF(ISNUMBER(SEARCH("La distance parcourue annuellement pour ce type de barge",H873)),1,0)</f>
        <v>0</v>
      </c>
      <c r="H877" s="8"/>
      <c r="I877" s="33"/>
      <c r="J877" t="s">
        <v>88</v>
      </c>
      <c r="K877" s="8"/>
    </row>
    <row r="878" spans="1:11" outlineLevel="1" x14ac:dyDescent="0.25">
      <c r="A878" t="s">
        <v>134</v>
      </c>
      <c r="B878" t="s">
        <v>125</v>
      </c>
      <c r="C878" t="s">
        <v>150</v>
      </c>
      <c r="E878" t="str">
        <f>'Remplissage - Sit. Init.'!F878</f>
        <v>FretFluvCat37TauxChargeMoy</v>
      </c>
      <c r="F878" t="s">
        <v>17</v>
      </c>
      <c r="G878">
        <f>IF($H$15="Oui",1,0)*IF(ISNUMBER(SEARCH("Le taux de chargement moyen",H873)),1,0)</f>
        <v>0</v>
      </c>
      <c r="H878" s="8"/>
      <c r="I878" s="33"/>
      <c r="J878" t="s">
        <v>70</v>
      </c>
      <c r="K878" s="8"/>
    </row>
    <row r="879" spans="1:11" outlineLevel="1" x14ac:dyDescent="0.25">
      <c r="A879" t="s">
        <v>134</v>
      </c>
      <c r="B879" t="s">
        <v>125</v>
      </c>
      <c r="C879" t="s">
        <v>526</v>
      </c>
      <c r="E879" t="str">
        <f>'Remplissage - Sit. Init.'!F879</f>
        <v>FretFluvCat37NbBarges</v>
      </c>
      <c r="F879" t="s">
        <v>17</v>
      </c>
      <c r="G879">
        <f>IF($H$15="Oui",1,0)</f>
        <v>1</v>
      </c>
      <c r="H879" s="8"/>
      <c r="I879" s="33"/>
      <c r="J879" t="s">
        <v>151</v>
      </c>
      <c r="K879" s="8"/>
    </row>
    <row r="880" spans="1:11" outlineLevel="1" x14ac:dyDescent="0.25">
      <c r="A880" t="s">
        <v>134</v>
      </c>
      <c r="B880" t="s">
        <v>126</v>
      </c>
      <c r="C880" t="s">
        <v>135</v>
      </c>
      <c r="E880" t="str">
        <f>'Remplissage - Sit. Init.'!F880</f>
        <v>FretFluvCat38Nom</v>
      </c>
      <c r="F880" s="32" t="s">
        <v>20</v>
      </c>
      <c r="G880">
        <f>IF($H$15="Oui",1,0)</f>
        <v>1</v>
      </c>
      <c r="H880" s="8"/>
      <c r="I880" s="33" t="str">
        <f>VLOOKUP(B880,'Parcs types'!$B$65:$AA$120,2,FALSE)</f>
        <v>Automoteurs &gt;3000 tonnes Phase V, diesel</v>
      </c>
      <c r="K880" t="str">
        <f>I880</f>
        <v>Automoteurs &gt;3000 tonnes Phase V, diesel</v>
      </c>
    </row>
    <row r="881" spans="1:11" outlineLevel="1" x14ac:dyDescent="0.25">
      <c r="A881" t="s">
        <v>134</v>
      </c>
      <c r="B881" t="s">
        <v>126</v>
      </c>
      <c r="C881" t="s">
        <v>136</v>
      </c>
      <c r="E881" t="str">
        <f>'Remplissage - Sit. Init.'!F881</f>
        <v>FretFluvCat38Type</v>
      </c>
      <c r="F881" t="s">
        <v>20</v>
      </c>
      <c r="G881">
        <f t="shared" ref="G881:G883" si="119">IF($H$15="Oui",1,0)</f>
        <v>1</v>
      </c>
      <c r="H881" s="8"/>
      <c r="I881" s="33" t="str">
        <f>VLOOKUP(B881,'Parcs types'!$B$65:$AA$120,3,FALSE)</f>
        <v>Automoteurs</v>
      </c>
      <c r="K881" t="str">
        <f t="shared" ref="K881:K883" si="120">I881</f>
        <v>Automoteurs</v>
      </c>
    </row>
    <row r="882" spans="1:11" outlineLevel="1" x14ac:dyDescent="0.25">
      <c r="A882" t="s">
        <v>134</v>
      </c>
      <c r="B882" t="s">
        <v>126</v>
      </c>
      <c r="C882" t="s">
        <v>137</v>
      </c>
      <c r="E882" t="str">
        <f>'Remplissage - Sit. Init.'!F882</f>
        <v>FretFluvCat38Cap</v>
      </c>
      <c r="F882" s="32" t="s">
        <v>36</v>
      </c>
      <c r="G882">
        <f t="shared" si="119"/>
        <v>1</v>
      </c>
      <c r="H882" s="8"/>
      <c r="I882" s="33" t="str">
        <f>VLOOKUP(B882,'Parcs types'!$B$65:$AA$120,4,FALSE)</f>
        <v>&gt;3000 tonnes</v>
      </c>
      <c r="J882" t="s">
        <v>524</v>
      </c>
      <c r="K882" t="str">
        <f t="shared" si="120"/>
        <v>&gt;3000 tonnes</v>
      </c>
    </row>
    <row r="883" spans="1:11" outlineLevel="1" x14ac:dyDescent="0.25">
      <c r="A883" t="s">
        <v>134</v>
      </c>
      <c r="B883" t="s">
        <v>126</v>
      </c>
      <c r="C883" t="s">
        <v>525</v>
      </c>
      <c r="E883" t="str">
        <f>'Remplissage - Sit. Init.'!F883</f>
        <v>FretFluvCat38Tech</v>
      </c>
      <c r="F883" s="32" t="s">
        <v>20</v>
      </c>
      <c r="G883">
        <f t="shared" si="119"/>
        <v>1</v>
      </c>
      <c r="H883" s="8"/>
      <c r="I883" s="33" t="str">
        <f>VLOOKUP(B883,'Parcs types'!$B$65:$AA$120,5,FALSE)</f>
        <v>Phase V, diesel</v>
      </c>
      <c r="K883" t="str">
        <f t="shared" si="120"/>
        <v>Phase V, diesel</v>
      </c>
    </row>
    <row r="884" spans="1:11" outlineLevel="1" x14ac:dyDescent="0.25">
      <c r="A884" t="s">
        <v>134</v>
      </c>
      <c r="B884" t="s">
        <v>126</v>
      </c>
      <c r="C884" t="s">
        <v>140</v>
      </c>
      <c r="E884" t="str">
        <f>'Remplissage - Sit. Init.'!F884</f>
        <v>FretFluvCat38Request</v>
      </c>
      <c r="F884" s="32" t="s">
        <v>20</v>
      </c>
      <c r="G884">
        <f>IF($H$15="Oui",1,0)</f>
        <v>1</v>
      </c>
      <c r="H884" t="s">
        <v>141</v>
      </c>
      <c r="I884" s="33" t="s">
        <v>142</v>
      </c>
      <c r="K884" s="8"/>
    </row>
    <row r="885" spans="1:11" outlineLevel="1" x14ac:dyDescent="0.25">
      <c r="A885" t="s">
        <v>134</v>
      </c>
      <c r="B885" t="s">
        <v>126</v>
      </c>
      <c r="C885" t="s">
        <v>144</v>
      </c>
      <c r="E885" t="str">
        <f>'Remplissage - Sit. Init.'!F885</f>
        <v>FretFluvCat38NbTraj</v>
      </c>
      <c r="F885" t="s">
        <v>17</v>
      </c>
      <c r="G885">
        <f>IF($H$15="Oui",1,0)*IF(ISNUMBER(SEARCH("Une estimation du nombre annuel de trajets pour ce type de barge",H884)),1,0)</f>
        <v>1</v>
      </c>
      <c r="H885" s="8"/>
      <c r="I885" s="33"/>
      <c r="J885" t="s">
        <v>145</v>
      </c>
      <c r="K885" s="8"/>
    </row>
    <row r="886" spans="1:11" outlineLevel="1" x14ac:dyDescent="0.25">
      <c r="A886" t="s">
        <v>134</v>
      </c>
      <c r="B886" t="s">
        <v>126</v>
      </c>
      <c r="C886" t="s">
        <v>146</v>
      </c>
      <c r="E886" t="str">
        <f>'Remplissage - Sit. Init.'!F886</f>
        <v>FretFluvCat38DistMoy</v>
      </c>
      <c r="F886" t="s">
        <v>17</v>
      </c>
      <c r="G886">
        <f>IF($H$15="Oui",1,0)*IF(ISNUMBER(SEARCH("La distance moyenne d'un trajet",H884)),1,0)</f>
        <v>1</v>
      </c>
      <c r="H886" s="8"/>
      <c r="I886" s="33"/>
      <c r="J886" t="s">
        <v>88</v>
      </c>
      <c r="K886" s="8"/>
    </row>
    <row r="887" spans="1:11" outlineLevel="1" x14ac:dyDescent="0.25">
      <c r="A887" t="s">
        <v>134</v>
      </c>
      <c r="B887" t="s">
        <v>126</v>
      </c>
      <c r="C887" t="s">
        <v>147</v>
      </c>
      <c r="E887" t="str">
        <f>'Remplissage - Sit. Init.'!F887</f>
        <v>FretFluvCat38EmportMoy</v>
      </c>
      <c r="F887" t="s">
        <v>17</v>
      </c>
      <c r="G887">
        <f>IF($H$15="Oui",1,0)*IF(ISNUMBER(SEARCH("La masse moyenne transportée pour un trajet",H884)),1,0)</f>
        <v>1</v>
      </c>
      <c r="H887" s="8"/>
      <c r="I887" s="33"/>
      <c r="J887" t="s">
        <v>148</v>
      </c>
      <c r="K887" s="8"/>
    </row>
    <row r="888" spans="1:11" outlineLevel="1" x14ac:dyDescent="0.25">
      <c r="A888" t="s">
        <v>134</v>
      </c>
      <c r="B888" t="s">
        <v>126</v>
      </c>
      <c r="C888" t="s">
        <v>149</v>
      </c>
      <c r="E888" t="str">
        <f>'Remplissage - Sit. Init.'!F888</f>
        <v>FretFluvCat38DistAn</v>
      </c>
      <c r="F888" t="s">
        <v>17</v>
      </c>
      <c r="G888">
        <f>IF($H$15="Oui",1,0)*IF(ISNUMBER(SEARCH("La distance parcourue annuellement pour ce type de barge",H884)),1,0)</f>
        <v>0</v>
      </c>
      <c r="H888" s="8"/>
      <c r="I888" s="33"/>
      <c r="J888" t="s">
        <v>88</v>
      </c>
      <c r="K888" s="8"/>
    </row>
    <row r="889" spans="1:11" outlineLevel="1" x14ac:dyDescent="0.25">
      <c r="A889" t="s">
        <v>134</v>
      </c>
      <c r="B889" t="s">
        <v>126</v>
      </c>
      <c r="C889" t="s">
        <v>150</v>
      </c>
      <c r="E889" t="str">
        <f>'Remplissage - Sit. Init.'!F889</f>
        <v>FretFluvCat38TauxChargeMoy</v>
      </c>
      <c r="F889" t="s">
        <v>17</v>
      </c>
      <c r="G889">
        <f>IF($H$15="Oui",1,0)*IF(ISNUMBER(SEARCH("Le taux de chargement moyen",H884)),1,0)</f>
        <v>0</v>
      </c>
      <c r="H889" s="8"/>
      <c r="I889" s="33"/>
      <c r="J889" t="s">
        <v>70</v>
      </c>
      <c r="K889" s="8"/>
    </row>
    <row r="890" spans="1:11" outlineLevel="1" x14ac:dyDescent="0.25">
      <c r="A890" t="s">
        <v>134</v>
      </c>
      <c r="B890" t="s">
        <v>126</v>
      </c>
      <c r="C890" t="s">
        <v>526</v>
      </c>
      <c r="E890" t="str">
        <f>'Remplissage - Sit. Init.'!F890</f>
        <v>FretFluvCat38NbBarges</v>
      </c>
      <c r="F890" t="s">
        <v>17</v>
      </c>
      <c r="G890">
        <f>IF($H$15="Oui",1,0)</f>
        <v>1</v>
      </c>
      <c r="H890" s="8"/>
      <c r="I890" s="33"/>
      <c r="J890" t="s">
        <v>151</v>
      </c>
      <c r="K890" s="8"/>
    </row>
    <row r="891" spans="1:11" outlineLevel="1" x14ac:dyDescent="0.25">
      <c r="A891" t="s">
        <v>134</v>
      </c>
      <c r="B891" t="s">
        <v>127</v>
      </c>
      <c r="C891" t="s">
        <v>135</v>
      </c>
      <c r="E891" t="str">
        <f>'Remplissage - Sit. Init.'!F891</f>
        <v>FretFluvCat39Nom</v>
      </c>
      <c r="F891" s="32" t="s">
        <v>20</v>
      </c>
      <c r="G891">
        <f>IF($H$15="Oui",1,0)</f>
        <v>1</v>
      </c>
      <c r="H891" s="8"/>
      <c r="I891" s="33" t="str">
        <f>VLOOKUP(B891,'Parcs types'!$B$65:$AA$120,2,FALSE)</f>
        <v>Automoteurs &gt;3000 tonnes Phase V, HVO</v>
      </c>
      <c r="K891" t="str">
        <f>I891</f>
        <v>Automoteurs &gt;3000 tonnes Phase V, HVO</v>
      </c>
    </row>
    <row r="892" spans="1:11" outlineLevel="1" x14ac:dyDescent="0.25">
      <c r="A892" t="s">
        <v>134</v>
      </c>
      <c r="B892" t="s">
        <v>127</v>
      </c>
      <c r="C892" t="s">
        <v>136</v>
      </c>
      <c r="E892" t="str">
        <f>'Remplissage - Sit. Init.'!F892</f>
        <v>FretFluvCat39Type</v>
      </c>
      <c r="F892" t="s">
        <v>20</v>
      </c>
      <c r="G892">
        <f t="shared" ref="G892:G894" si="121">IF($H$15="Oui",1,0)</f>
        <v>1</v>
      </c>
      <c r="I892" s="33" t="str">
        <f>VLOOKUP(B892,'Parcs types'!$B$65:$AA$120,3,FALSE)</f>
        <v>Automoteurs</v>
      </c>
      <c r="K892" t="str">
        <f t="shared" ref="K892:K894" si="122">I892</f>
        <v>Automoteurs</v>
      </c>
    </row>
    <row r="893" spans="1:11" outlineLevel="1" x14ac:dyDescent="0.25">
      <c r="A893" t="s">
        <v>134</v>
      </c>
      <c r="B893" t="s">
        <v>127</v>
      </c>
      <c r="C893" t="s">
        <v>137</v>
      </c>
      <c r="E893" t="str">
        <f>'Remplissage - Sit. Init.'!F893</f>
        <v>FretFluvCat39Cap</v>
      </c>
      <c r="F893" s="32" t="s">
        <v>36</v>
      </c>
      <c r="G893">
        <f t="shared" si="121"/>
        <v>1</v>
      </c>
      <c r="I893" s="33" t="str">
        <f>VLOOKUP(B893,'Parcs types'!$B$65:$AA$120,4,FALSE)</f>
        <v>&gt;3000 tonnes</v>
      </c>
      <c r="J893" t="s">
        <v>524</v>
      </c>
      <c r="K893" t="str">
        <f t="shared" si="122"/>
        <v>&gt;3000 tonnes</v>
      </c>
    </row>
    <row r="894" spans="1:11" outlineLevel="1" x14ac:dyDescent="0.25">
      <c r="A894" t="s">
        <v>134</v>
      </c>
      <c r="B894" t="s">
        <v>127</v>
      </c>
      <c r="C894" t="s">
        <v>525</v>
      </c>
      <c r="E894" t="str">
        <f>'Remplissage - Sit. Init.'!F894</f>
        <v>FretFluvCat39Tech</v>
      </c>
      <c r="F894" s="32" t="s">
        <v>20</v>
      </c>
      <c r="G894">
        <f t="shared" si="121"/>
        <v>1</v>
      </c>
      <c r="I894" s="33" t="str">
        <f>VLOOKUP(B894,'Parcs types'!$B$65:$AA$120,5,FALSE)</f>
        <v>Phase V, HVO</v>
      </c>
      <c r="K894" t="str">
        <f t="shared" si="122"/>
        <v>Phase V, HVO</v>
      </c>
    </row>
    <row r="895" spans="1:11" outlineLevel="1" x14ac:dyDescent="0.25">
      <c r="A895" t="s">
        <v>134</v>
      </c>
      <c r="B895" t="s">
        <v>127</v>
      </c>
      <c r="C895" t="s">
        <v>140</v>
      </c>
      <c r="E895" t="str">
        <f>'Remplissage - Sit. Init.'!F895</f>
        <v>FretFluvCat39Request</v>
      </c>
      <c r="F895" s="32" t="s">
        <v>20</v>
      </c>
      <c r="G895">
        <f>IF($H$15="Oui",1,0)</f>
        <v>1</v>
      </c>
      <c r="H895" t="s">
        <v>141</v>
      </c>
      <c r="I895" s="33" t="s">
        <v>142</v>
      </c>
    </row>
    <row r="896" spans="1:11" outlineLevel="1" x14ac:dyDescent="0.25">
      <c r="A896" t="s">
        <v>134</v>
      </c>
      <c r="B896" t="s">
        <v>127</v>
      </c>
      <c r="C896" t="s">
        <v>144</v>
      </c>
      <c r="E896" t="str">
        <f>'Remplissage - Sit. Init.'!F896</f>
        <v>FretFluvCat39NbTraj</v>
      </c>
      <c r="F896" t="s">
        <v>17</v>
      </c>
      <c r="G896">
        <f>IF($H$15="Oui",1,0)*IF(ISNUMBER(SEARCH("Une estimation du nombre annuel de trajets pour ce type de barge",H895)),1,0)</f>
        <v>1</v>
      </c>
      <c r="I896" s="33"/>
      <c r="J896" t="s">
        <v>145</v>
      </c>
    </row>
    <row r="897" spans="1:11" outlineLevel="1" x14ac:dyDescent="0.25">
      <c r="A897" t="s">
        <v>134</v>
      </c>
      <c r="B897" t="s">
        <v>127</v>
      </c>
      <c r="C897" t="s">
        <v>146</v>
      </c>
      <c r="E897" t="str">
        <f>'Remplissage - Sit. Init.'!F897</f>
        <v>FretFluvCat39DistMoy</v>
      </c>
      <c r="F897" t="s">
        <v>17</v>
      </c>
      <c r="G897">
        <f>IF($H$15="Oui",1,0)*IF(ISNUMBER(SEARCH("La distance moyenne d'un trajet",H895)),1,0)</f>
        <v>1</v>
      </c>
      <c r="I897" s="33"/>
      <c r="J897" t="s">
        <v>88</v>
      </c>
    </row>
    <row r="898" spans="1:11" outlineLevel="1" x14ac:dyDescent="0.25">
      <c r="A898" t="s">
        <v>134</v>
      </c>
      <c r="B898" t="s">
        <v>127</v>
      </c>
      <c r="C898" t="s">
        <v>147</v>
      </c>
      <c r="E898" t="str">
        <f>'Remplissage - Sit. Init.'!F898</f>
        <v>FretFluvCat39EmportMoy</v>
      </c>
      <c r="F898" t="s">
        <v>17</v>
      </c>
      <c r="G898">
        <f>IF($H$15="Oui",1,0)*IF(ISNUMBER(SEARCH("La masse moyenne transportée pour un trajet",H895)),1,0)</f>
        <v>1</v>
      </c>
      <c r="I898" s="33"/>
      <c r="J898" t="s">
        <v>148</v>
      </c>
    </row>
    <row r="899" spans="1:11" outlineLevel="1" x14ac:dyDescent="0.25">
      <c r="A899" t="s">
        <v>134</v>
      </c>
      <c r="B899" t="s">
        <v>127</v>
      </c>
      <c r="C899" t="s">
        <v>149</v>
      </c>
      <c r="E899" t="str">
        <f>'Remplissage - Sit. Init.'!F899</f>
        <v>FretFluvCat39DistAn</v>
      </c>
      <c r="F899" t="s">
        <v>17</v>
      </c>
      <c r="G899">
        <f>IF($H$15="Oui",1,0)*IF(ISNUMBER(SEARCH("La distance parcourue annuellement pour ce type de barge",H895)),1,0)</f>
        <v>0</v>
      </c>
      <c r="I899" s="33"/>
      <c r="J899" t="s">
        <v>88</v>
      </c>
    </row>
    <row r="900" spans="1:11" outlineLevel="1" x14ac:dyDescent="0.25">
      <c r="A900" t="s">
        <v>134</v>
      </c>
      <c r="B900" t="s">
        <v>127</v>
      </c>
      <c r="C900" t="s">
        <v>150</v>
      </c>
      <c r="E900" t="str">
        <f>'Remplissage - Sit. Init.'!F900</f>
        <v>FretFluvCat39TauxChargeMoy</v>
      </c>
      <c r="F900" t="s">
        <v>17</v>
      </c>
      <c r="G900">
        <f>IF($H$15="Oui",1,0)*IF(ISNUMBER(SEARCH("Le taux de chargement moyen",H895)),1,0)</f>
        <v>0</v>
      </c>
      <c r="I900" s="33"/>
      <c r="J900" t="s">
        <v>70</v>
      </c>
      <c r="K900" s="8"/>
    </row>
    <row r="901" spans="1:11" outlineLevel="1" x14ac:dyDescent="0.25">
      <c r="A901" t="s">
        <v>134</v>
      </c>
      <c r="B901" t="s">
        <v>127</v>
      </c>
      <c r="C901" t="s">
        <v>526</v>
      </c>
      <c r="E901" t="str">
        <f>'Remplissage - Sit. Init.'!F901</f>
        <v>FretFluvCat39NbBarges</v>
      </c>
      <c r="F901" t="s">
        <v>17</v>
      </c>
      <c r="G901">
        <f>IF($H$15="Oui",1,0)</f>
        <v>1</v>
      </c>
      <c r="H901" s="3"/>
      <c r="I901" s="33"/>
      <c r="J901" t="s">
        <v>151</v>
      </c>
      <c r="K901" s="7"/>
    </row>
    <row r="902" spans="1:11" outlineLevel="1" x14ac:dyDescent="0.25">
      <c r="A902" t="s">
        <v>134</v>
      </c>
      <c r="B902" t="s">
        <v>128</v>
      </c>
      <c r="C902" t="s">
        <v>135</v>
      </c>
      <c r="E902" t="str">
        <f>'Remplissage - Sit. Init.'!F902</f>
        <v>FretFluvCat40Nom</v>
      </c>
      <c r="F902" s="32" t="s">
        <v>20</v>
      </c>
      <c r="G902">
        <f>IF($H$15="Oui",1,0)</f>
        <v>1</v>
      </c>
      <c r="H902" s="8"/>
      <c r="I902" s="33" t="str">
        <f>VLOOKUP(B902,'Parcs types'!$B$65:$AA$120,2,FALSE)</f>
        <v>Automoteurs &gt;3000 tonnes Batterie</v>
      </c>
      <c r="K902" t="str">
        <f>I902</f>
        <v>Automoteurs &gt;3000 tonnes Batterie</v>
      </c>
    </row>
    <row r="903" spans="1:11" outlineLevel="1" x14ac:dyDescent="0.25">
      <c r="A903" t="s">
        <v>134</v>
      </c>
      <c r="B903" t="s">
        <v>128</v>
      </c>
      <c r="C903" t="s">
        <v>136</v>
      </c>
      <c r="E903" t="str">
        <f>'Remplissage - Sit. Init.'!F903</f>
        <v>FretFluvCat40Type</v>
      </c>
      <c r="F903" t="s">
        <v>20</v>
      </c>
      <c r="G903">
        <f t="shared" ref="G903:G905" si="123">IF($H$15="Oui",1,0)</f>
        <v>1</v>
      </c>
      <c r="I903" s="33" t="str">
        <f>VLOOKUP(B903,'Parcs types'!$B$65:$AA$120,3,FALSE)</f>
        <v>Automoteurs</v>
      </c>
      <c r="K903" t="str">
        <f t="shared" ref="K903:K905" si="124">I903</f>
        <v>Automoteurs</v>
      </c>
    </row>
    <row r="904" spans="1:11" outlineLevel="1" x14ac:dyDescent="0.25">
      <c r="A904" t="s">
        <v>134</v>
      </c>
      <c r="B904" t="s">
        <v>128</v>
      </c>
      <c r="C904" t="s">
        <v>137</v>
      </c>
      <c r="E904" t="str">
        <f>'Remplissage - Sit. Init.'!F904</f>
        <v>FretFluvCat40Cap</v>
      </c>
      <c r="F904" s="32" t="s">
        <v>36</v>
      </c>
      <c r="G904">
        <f t="shared" si="123"/>
        <v>1</v>
      </c>
      <c r="I904" s="33" t="str">
        <f>VLOOKUP(B904,'Parcs types'!$B$65:$AA$120,4,FALSE)</f>
        <v>&gt;3000 tonnes</v>
      </c>
      <c r="J904" t="s">
        <v>524</v>
      </c>
      <c r="K904" t="str">
        <f t="shared" si="124"/>
        <v>&gt;3000 tonnes</v>
      </c>
    </row>
    <row r="905" spans="1:11" outlineLevel="1" x14ac:dyDescent="0.25">
      <c r="A905" t="s">
        <v>134</v>
      </c>
      <c r="B905" t="s">
        <v>128</v>
      </c>
      <c r="C905" t="s">
        <v>525</v>
      </c>
      <c r="E905" t="str">
        <f>'Remplissage - Sit. Init.'!F905</f>
        <v>FretFluvCat40Tech</v>
      </c>
      <c r="F905" s="32" t="s">
        <v>20</v>
      </c>
      <c r="G905">
        <f t="shared" si="123"/>
        <v>1</v>
      </c>
      <c r="I905" s="33" t="str">
        <f>VLOOKUP(B905,'Parcs types'!$B$65:$AA$120,5,FALSE)</f>
        <v>Batterie</v>
      </c>
      <c r="K905" t="str">
        <f t="shared" si="124"/>
        <v>Batterie</v>
      </c>
    </row>
    <row r="906" spans="1:11" outlineLevel="1" x14ac:dyDescent="0.25">
      <c r="A906" t="s">
        <v>134</v>
      </c>
      <c r="B906" t="s">
        <v>128</v>
      </c>
      <c r="C906" t="s">
        <v>140</v>
      </c>
      <c r="E906" t="str">
        <f>'Remplissage - Sit. Init.'!F906</f>
        <v>FretFluvCat40Request</v>
      </c>
      <c r="F906" s="32" t="s">
        <v>20</v>
      </c>
      <c r="G906">
        <f>IF($H$15="Oui",1,0)</f>
        <v>1</v>
      </c>
      <c r="H906" t="s">
        <v>141</v>
      </c>
      <c r="I906" s="33" t="s">
        <v>142</v>
      </c>
    </row>
    <row r="907" spans="1:11" outlineLevel="1" x14ac:dyDescent="0.25">
      <c r="A907" t="s">
        <v>134</v>
      </c>
      <c r="B907" t="s">
        <v>128</v>
      </c>
      <c r="C907" t="s">
        <v>144</v>
      </c>
      <c r="E907" t="str">
        <f>'Remplissage - Sit. Init.'!F907</f>
        <v>FretFluvCat40NbTraj</v>
      </c>
      <c r="F907" t="s">
        <v>17</v>
      </c>
      <c r="G907">
        <f>IF($H$15="Oui",1,0)*IF(ISNUMBER(SEARCH("Une estimation du nombre annuel de trajets pour ce type de barge",H906)),1,0)</f>
        <v>1</v>
      </c>
      <c r="I907" s="33"/>
      <c r="J907" t="s">
        <v>145</v>
      </c>
    </row>
    <row r="908" spans="1:11" outlineLevel="1" x14ac:dyDescent="0.25">
      <c r="A908" t="s">
        <v>134</v>
      </c>
      <c r="B908" t="s">
        <v>128</v>
      </c>
      <c r="C908" t="s">
        <v>146</v>
      </c>
      <c r="E908" t="str">
        <f>'Remplissage - Sit. Init.'!F908</f>
        <v>FretFluvCat40DistMoy</v>
      </c>
      <c r="F908" t="s">
        <v>17</v>
      </c>
      <c r="G908">
        <f>IF($H$15="Oui",1,0)*IF(ISNUMBER(SEARCH("La distance moyenne d'un trajet",H906)),1,0)</f>
        <v>1</v>
      </c>
      <c r="I908" s="33"/>
      <c r="J908" t="s">
        <v>88</v>
      </c>
    </row>
    <row r="909" spans="1:11" outlineLevel="1" x14ac:dyDescent="0.25">
      <c r="A909" t="s">
        <v>134</v>
      </c>
      <c r="B909" t="s">
        <v>128</v>
      </c>
      <c r="C909" t="s">
        <v>147</v>
      </c>
      <c r="E909" t="str">
        <f>'Remplissage - Sit. Init.'!F909</f>
        <v>FretFluvCat40EmportMoy</v>
      </c>
      <c r="F909" t="s">
        <v>17</v>
      </c>
      <c r="G909">
        <f>IF($H$15="Oui",1,0)*IF(ISNUMBER(SEARCH("La masse moyenne transportée pour un trajet",H906)),1,0)</f>
        <v>1</v>
      </c>
      <c r="I909" s="33"/>
      <c r="J909" t="s">
        <v>148</v>
      </c>
    </row>
    <row r="910" spans="1:11" outlineLevel="1" x14ac:dyDescent="0.25">
      <c r="A910" t="s">
        <v>134</v>
      </c>
      <c r="B910" t="s">
        <v>128</v>
      </c>
      <c r="C910" t="s">
        <v>149</v>
      </c>
      <c r="E910" t="str">
        <f>'Remplissage - Sit. Init.'!F910</f>
        <v>FretFluvCat40DistAn</v>
      </c>
      <c r="F910" t="s">
        <v>17</v>
      </c>
      <c r="G910">
        <f>IF($H$15="Oui",1,0)*IF(ISNUMBER(SEARCH("La distance parcourue annuellement pour ce type de barge",H906)),1,0)</f>
        <v>0</v>
      </c>
      <c r="I910" s="33"/>
      <c r="J910" t="s">
        <v>88</v>
      </c>
    </row>
    <row r="911" spans="1:11" outlineLevel="1" x14ac:dyDescent="0.25">
      <c r="A911" t="s">
        <v>134</v>
      </c>
      <c r="B911" t="s">
        <v>128</v>
      </c>
      <c r="C911" t="s">
        <v>150</v>
      </c>
      <c r="E911" t="str">
        <f>'Remplissage - Sit. Init.'!F911</f>
        <v>FretFluvCat40TauxChargeMoy</v>
      </c>
      <c r="F911" t="s">
        <v>17</v>
      </c>
      <c r="G911">
        <f>IF($H$15="Oui",1,0)*IF(ISNUMBER(SEARCH("Le taux de chargement moyen",H906)),1,0)</f>
        <v>0</v>
      </c>
      <c r="I911" s="33"/>
      <c r="J911" t="s">
        <v>70</v>
      </c>
      <c r="K911" s="8"/>
    </row>
    <row r="912" spans="1:11" outlineLevel="1" x14ac:dyDescent="0.25">
      <c r="A912" t="s">
        <v>134</v>
      </c>
      <c r="B912" t="s">
        <v>128</v>
      </c>
      <c r="C912" t="s">
        <v>526</v>
      </c>
      <c r="E912" t="str">
        <f>'Remplissage - Sit. Init.'!F912</f>
        <v>FretFluvCat40NbBarges</v>
      </c>
      <c r="F912" t="s">
        <v>17</v>
      </c>
      <c r="G912">
        <f>IF($H$15="Oui",1,0)</f>
        <v>1</v>
      </c>
      <c r="H912" s="3"/>
      <c r="I912" s="33"/>
      <c r="J912" t="s">
        <v>151</v>
      </c>
      <c r="K912" s="7"/>
    </row>
    <row r="913" spans="1:11" outlineLevel="1" x14ac:dyDescent="0.25">
      <c r="A913" t="s">
        <v>134</v>
      </c>
      <c r="B913" t="s">
        <v>129</v>
      </c>
      <c r="C913" t="s">
        <v>135</v>
      </c>
      <c r="E913" t="str">
        <f>'Remplissage - Sit. Init.'!F913</f>
        <v>FretFluvCat41Nom</v>
      </c>
      <c r="F913" s="32" t="s">
        <v>20</v>
      </c>
      <c r="G913">
        <f>IF($H$15="Oui",1,0)</f>
        <v>1</v>
      </c>
      <c r="H913" s="8"/>
      <c r="I913" s="33" t="str">
        <f>VLOOKUP(B913,'Parcs types'!$B$65:$AA$120,2,FALSE)</f>
        <v>Automoteurs &gt;3000 tonnes H2 , PAC</v>
      </c>
      <c r="K913" t="str">
        <f>I913</f>
        <v>Automoteurs &gt;3000 tonnes H2 , PAC</v>
      </c>
    </row>
    <row r="914" spans="1:11" outlineLevel="1" x14ac:dyDescent="0.25">
      <c r="A914" t="s">
        <v>134</v>
      </c>
      <c r="B914" t="s">
        <v>129</v>
      </c>
      <c r="C914" t="s">
        <v>136</v>
      </c>
      <c r="E914" t="str">
        <f>'Remplissage - Sit. Init.'!F914</f>
        <v>FretFluvCat41Type</v>
      </c>
      <c r="F914" t="s">
        <v>20</v>
      </c>
      <c r="G914">
        <f t="shared" ref="G914:G916" si="125">IF($H$15="Oui",1,0)</f>
        <v>1</v>
      </c>
      <c r="I914" s="33" t="str">
        <f>VLOOKUP(B914,'Parcs types'!$B$65:$AA$120,3,FALSE)</f>
        <v>Automoteurs</v>
      </c>
      <c r="K914" t="str">
        <f t="shared" ref="K914:K916" si="126">I914</f>
        <v>Automoteurs</v>
      </c>
    </row>
    <row r="915" spans="1:11" outlineLevel="1" x14ac:dyDescent="0.25">
      <c r="A915" t="s">
        <v>134</v>
      </c>
      <c r="B915" t="s">
        <v>129</v>
      </c>
      <c r="C915" t="s">
        <v>137</v>
      </c>
      <c r="E915" t="str">
        <f>'Remplissage - Sit. Init.'!F915</f>
        <v>FretFluvCat41Cap</v>
      </c>
      <c r="F915" s="32" t="s">
        <v>36</v>
      </c>
      <c r="G915">
        <f t="shared" si="125"/>
        <v>1</v>
      </c>
      <c r="I915" s="33" t="str">
        <f>VLOOKUP(B915,'Parcs types'!$B$65:$AA$120,4,FALSE)</f>
        <v>&gt;3000 tonnes</v>
      </c>
      <c r="J915" t="s">
        <v>524</v>
      </c>
      <c r="K915" t="str">
        <f t="shared" si="126"/>
        <v>&gt;3000 tonnes</v>
      </c>
    </row>
    <row r="916" spans="1:11" outlineLevel="1" x14ac:dyDescent="0.25">
      <c r="A916" t="s">
        <v>134</v>
      </c>
      <c r="B916" t="s">
        <v>129</v>
      </c>
      <c r="C916" t="s">
        <v>525</v>
      </c>
      <c r="E916" t="str">
        <f>'Remplissage - Sit. Init.'!F916</f>
        <v>FretFluvCat41Tech</v>
      </c>
      <c r="F916" s="32" t="s">
        <v>20</v>
      </c>
      <c r="G916">
        <f t="shared" si="125"/>
        <v>1</v>
      </c>
      <c r="I916" s="33" t="str">
        <f>VLOOKUP(B916,'Parcs types'!$B$65:$AA$120,5,FALSE)</f>
        <v>H2 , PAC</v>
      </c>
      <c r="K916" t="str">
        <f t="shared" si="126"/>
        <v>H2 , PAC</v>
      </c>
    </row>
    <row r="917" spans="1:11" outlineLevel="1" x14ac:dyDescent="0.25">
      <c r="A917" t="s">
        <v>134</v>
      </c>
      <c r="B917" t="s">
        <v>129</v>
      </c>
      <c r="C917" t="s">
        <v>140</v>
      </c>
      <c r="E917" t="str">
        <f>'Remplissage - Sit. Init.'!F917</f>
        <v>FretFluvCat41Request</v>
      </c>
      <c r="F917" s="32" t="s">
        <v>20</v>
      </c>
      <c r="G917">
        <f>IF($H$15="Oui",1,0)</f>
        <v>1</v>
      </c>
      <c r="H917" t="s">
        <v>141</v>
      </c>
      <c r="I917" s="33" t="s">
        <v>142</v>
      </c>
    </row>
    <row r="918" spans="1:11" outlineLevel="1" x14ac:dyDescent="0.25">
      <c r="A918" t="s">
        <v>134</v>
      </c>
      <c r="B918" t="s">
        <v>129</v>
      </c>
      <c r="C918" t="s">
        <v>144</v>
      </c>
      <c r="E918" t="str">
        <f>'Remplissage - Sit. Init.'!F918</f>
        <v>FretFluvCat41NbTraj</v>
      </c>
      <c r="F918" t="s">
        <v>17</v>
      </c>
      <c r="G918">
        <f>IF($H$15="Oui",1,0)*IF(ISNUMBER(SEARCH("Une estimation du nombre annuel de trajets pour ce type de barge",H917)),1,0)</f>
        <v>1</v>
      </c>
      <c r="I918" s="33"/>
      <c r="J918" t="s">
        <v>145</v>
      </c>
    </row>
    <row r="919" spans="1:11" outlineLevel="1" x14ac:dyDescent="0.25">
      <c r="A919" t="s">
        <v>134</v>
      </c>
      <c r="B919" t="s">
        <v>129</v>
      </c>
      <c r="C919" t="s">
        <v>146</v>
      </c>
      <c r="E919" t="str">
        <f>'Remplissage - Sit. Init.'!F919</f>
        <v>FretFluvCat41DistMoy</v>
      </c>
      <c r="F919" t="s">
        <v>17</v>
      </c>
      <c r="G919">
        <f>IF($H$15="Oui",1,0)*IF(ISNUMBER(SEARCH("La distance moyenne d'un trajet",H917)),1,0)</f>
        <v>1</v>
      </c>
      <c r="I919" s="33"/>
      <c r="J919" t="s">
        <v>88</v>
      </c>
    </row>
    <row r="920" spans="1:11" outlineLevel="1" x14ac:dyDescent="0.25">
      <c r="A920" t="s">
        <v>134</v>
      </c>
      <c r="B920" t="s">
        <v>129</v>
      </c>
      <c r="C920" t="s">
        <v>147</v>
      </c>
      <c r="E920" t="str">
        <f>'Remplissage - Sit. Init.'!F920</f>
        <v>FretFluvCat41EmportMoy</v>
      </c>
      <c r="F920" t="s">
        <v>17</v>
      </c>
      <c r="G920">
        <f>IF($H$15="Oui",1,0)*IF(ISNUMBER(SEARCH("La masse moyenne transportée pour un trajet",H917)),1,0)</f>
        <v>1</v>
      </c>
      <c r="I920" s="33"/>
      <c r="J920" t="s">
        <v>148</v>
      </c>
    </row>
    <row r="921" spans="1:11" outlineLevel="1" x14ac:dyDescent="0.25">
      <c r="A921" t="s">
        <v>134</v>
      </c>
      <c r="B921" t="s">
        <v>129</v>
      </c>
      <c r="C921" t="s">
        <v>149</v>
      </c>
      <c r="E921" t="str">
        <f>'Remplissage - Sit. Init.'!F921</f>
        <v>FretFluvCat41DistAn</v>
      </c>
      <c r="F921" t="s">
        <v>17</v>
      </c>
      <c r="G921">
        <f>IF($H$15="Oui",1,0)*IF(ISNUMBER(SEARCH("La distance parcourue annuellement pour ce type de barge",H917)),1,0)</f>
        <v>0</v>
      </c>
      <c r="I921" s="33"/>
      <c r="J921" t="s">
        <v>88</v>
      </c>
    </row>
    <row r="922" spans="1:11" outlineLevel="1" x14ac:dyDescent="0.25">
      <c r="A922" t="s">
        <v>134</v>
      </c>
      <c r="B922" t="s">
        <v>129</v>
      </c>
      <c r="C922" t="s">
        <v>150</v>
      </c>
      <c r="E922" t="str">
        <f>'Remplissage - Sit. Init.'!F922</f>
        <v>FretFluvCat41TauxChargeMoy</v>
      </c>
      <c r="F922" t="s">
        <v>17</v>
      </c>
      <c r="G922">
        <f>IF($H$15="Oui",1,0)*IF(ISNUMBER(SEARCH("Le taux de chargement moyen",H917)),1,0)</f>
        <v>0</v>
      </c>
      <c r="I922" s="33"/>
      <c r="J922" t="s">
        <v>70</v>
      </c>
      <c r="K922" s="8"/>
    </row>
    <row r="923" spans="1:11" outlineLevel="1" x14ac:dyDescent="0.25">
      <c r="A923" t="s">
        <v>134</v>
      </c>
      <c r="B923" t="s">
        <v>129</v>
      </c>
      <c r="C923" t="s">
        <v>526</v>
      </c>
      <c r="E923" t="str">
        <f>'Remplissage - Sit. Init.'!F923</f>
        <v>FretFluvCat41NbBarges</v>
      </c>
      <c r="F923" t="s">
        <v>17</v>
      </c>
      <c r="G923">
        <f>IF($H$15="Oui",1,0)</f>
        <v>1</v>
      </c>
      <c r="H923" s="3"/>
      <c r="I923" s="33"/>
      <c r="J923" t="s">
        <v>151</v>
      </c>
      <c r="K923" s="7"/>
    </row>
    <row r="924" spans="1:11" outlineLevel="1" x14ac:dyDescent="0.25">
      <c r="A924" t="s">
        <v>134</v>
      </c>
      <c r="B924" t="s">
        <v>130</v>
      </c>
      <c r="C924" t="s">
        <v>135</v>
      </c>
      <c r="E924" t="str">
        <f>'Remplissage - Sit. Init.'!F924</f>
        <v>FretFluvCat42Nom</v>
      </c>
      <c r="F924" s="32" t="s">
        <v>20</v>
      </c>
      <c r="G924">
        <f>IF($H$15="Oui",1,0)</f>
        <v>1</v>
      </c>
      <c r="H924" s="8"/>
      <c r="I924" s="33" t="str">
        <f>VLOOKUP(B924,'Parcs types'!$B$65:$AA$120,2,FALSE)</f>
        <v>Automoteurs &gt;3000 tonnes H2 , ICE</v>
      </c>
      <c r="K924" t="str">
        <f>I924</f>
        <v>Automoteurs &gt;3000 tonnes H2 , ICE</v>
      </c>
    </row>
    <row r="925" spans="1:11" outlineLevel="1" x14ac:dyDescent="0.25">
      <c r="A925" t="s">
        <v>134</v>
      </c>
      <c r="B925" t="s">
        <v>130</v>
      </c>
      <c r="C925" t="s">
        <v>136</v>
      </c>
      <c r="E925" t="str">
        <f>'Remplissage - Sit. Init.'!F925</f>
        <v>FretFluvCat42Type</v>
      </c>
      <c r="F925" t="s">
        <v>20</v>
      </c>
      <c r="G925">
        <f t="shared" ref="G925:G927" si="127">IF($H$15="Oui",1,0)</f>
        <v>1</v>
      </c>
      <c r="H925" s="8"/>
      <c r="I925" s="33" t="str">
        <f>VLOOKUP(B925,'Parcs types'!$B$65:$AA$120,3,FALSE)</f>
        <v>Automoteurs</v>
      </c>
      <c r="K925" t="str">
        <f t="shared" ref="K925:K927" si="128">I925</f>
        <v>Automoteurs</v>
      </c>
    </row>
    <row r="926" spans="1:11" outlineLevel="1" x14ac:dyDescent="0.25">
      <c r="A926" t="s">
        <v>134</v>
      </c>
      <c r="B926" t="s">
        <v>130</v>
      </c>
      <c r="C926" t="s">
        <v>137</v>
      </c>
      <c r="E926" t="str">
        <f>'Remplissage - Sit. Init.'!F926</f>
        <v>FretFluvCat42Cap</v>
      </c>
      <c r="F926" s="32" t="s">
        <v>36</v>
      </c>
      <c r="G926">
        <f t="shared" si="127"/>
        <v>1</v>
      </c>
      <c r="H926" s="8"/>
      <c r="I926" s="33" t="str">
        <f>VLOOKUP(B926,'Parcs types'!$B$65:$AA$120,4,FALSE)</f>
        <v>&gt;3000 tonnes</v>
      </c>
      <c r="J926" t="s">
        <v>524</v>
      </c>
      <c r="K926" t="str">
        <f t="shared" si="128"/>
        <v>&gt;3000 tonnes</v>
      </c>
    </row>
    <row r="927" spans="1:11" outlineLevel="1" x14ac:dyDescent="0.25">
      <c r="A927" t="s">
        <v>134</v>
      </c>
      <c r="B927" t="s">
        <v>130</v>
      </c>
      <c r="C927" t="s">
        <v>525</v>
      </c>
      <c r="E927" t="str">
        <f>'Remplissage - Sit. Init.'!F927</f>
        <v>FretFluvCat42Tech</v>
      </c>
      <c r="F927" s="32" t="s">
        <v>20</v>
      </c>
      <c r="G927">
        <f t="shared" si="127"/>
        <v>1</v>
      </c>
      <c r="H927" s="8"/>
      <c r="I927" s="33" t="str">
        <f>VLOOKUP(B927,'Parcs types'!$B$65:$AA$120,5,FALSE)</f>
        <v>H2 , ICE</v>
      </c>
      <c r="K927" t="str">
        <f t="shared" si="128"/>
        <v>H2 , ICE</v>
      </c>
    </row>
    <row r="928" spans="1:11" outlineLevel="1" x14ac:dyDescent="0.25">
      <c r="A928" t="s">
        <v>134</v>
      </c>
      <c r="B928" t="s">
        <v>130</v>
      </c>
      <c r="C928" t="s">
        <v>140</v>
      </c>
      <c r="E928" t="str">
        <f>'Remplissage - Sit. Init.'!F928</f>
        <v>FretFluvCat42Request</v>
      </c>
      <c r="F928" s="32" t="s">
        <v>20</v>
      </c>
      <c r="G928">
        <f>IF($H$15="Oui",1,0)</f>
        <v>1</v>
      </c>
      <c r="H928" t="s">
        <v>141</v>
      </c>
      <c r="I928" s="33" t="s">
        <v>142</v>
      </c>
      <c r="K928" s="8"/>
    </row>
    <row r="929" spans="1:11" outlineLevel="1" x14ac:dyDescent="0.25">
      <c r="A929" t="s">
        <v>134</v>
      </c>
      <c r="B929" t="s">
        <v>130</v>
      </c>
      <c r="C929" t="s">
        <v>144</v>
      </c>
      <c r="E929" t="str">
        <f>'Remplissage - Sit. Init.'!F929</f>
        <v>FretFluvCat42NbTraj</v>
      </c>
      <c r="F929" t="s">
        <v>17</v>
      </c>
      <c r="G929">
        <f>IF($H$15="Oui",1,0)*IF(ISNUMBER(SEARCH("Une estimation du nombre annuel de trajets pour ce type de barge",H928)),1,0)</f>
        <v>1</v>
      </c>
      <c r="H929" s="8"/>
      <c r="I929" s="33"/>
      <c r="J929" t="s">
        <v>145</v>
      </c>
      <c r="K929" s="8"/>
    </row>
    <row r="930" spans="1:11" outlineLevel="1" x14ac:dyDescent="0.25">
      <c r="A930" t="s">
        <v>134</v>
      </c>
      <c r="B930" t="s">
        <v>130</v>
      </c>
      <c r="C930" t="s">
        <v>146</v>
      </c>
      <c r="E930" t="str">
        <f>'Remplissage - Sit. Init.'!F930</f>
        <v>FretFluvCat42DistMoy</v>
      </c>
      <c r="F930" t="s">
        <v>17</v>
      </c>
      <c r="G930">
        <f>IF($H$15="Oui",1,0)*IF(ISNUMBER(SEARCH("La distance moyenne d'un trajet",H928)),1,0)</f>
        <v>1</v>
      </c>
      <c r="H930" s="8"/>
      <c r="I930" s="33"/>
      <c r="J930" t="s">
        <v>88</v>
      </c>
      <c r="K930" s="8"/>
    </row>
    <row r="931" spans="1:11" outlineLevel="1" x14ac:dyDescent="0.25">
      <c r="A931" t="s">
        <v>134</v>
      </c>
      <c r="B931" t="s">
        <v>130</v>
      </c>
      <c r="C931" t="s">
        <v>147</v>
      </c>
      <c r="E931" t="str">
        <f>'Remplissage - Sit. Init.'!F931</f>
        <v>FretFluvCat42EmportMoy</v>
      </c>
      <c r="F931" t="s">
        <v>17</v>
      </c>
      <c r="G931">
        <f>IF($H$15="Oui",1,0)*IF(ISNUMBER(SEARCH("La masse moyenne transportée pour un trajet",H928)),1,0)</f>
        <v>1</v>
      </c>
      <c r="H931" s="8"/>
      <c r="I931" s="33"/>
      <c r="J931" t="s">
        <v>148</v>
      </c>
      <c r="K931" s="8"/>
    </row>
    <row r="932" spans="1:11" outlineLevel="1" x14ac:dyDescent="0.25">
      <c r="A932" t="s">
        <v>134</v>
      </c>
      <c r="B932" t="s">
        <v>130</v>
      </c>
      <c r="C932" t="s">
        <v>149</v>
      </c>
      <c r="E932" t="str">
        <f>'Remplissage - Sit. Init.'!F932</f>
        <v>FretFluvCat42DistAn</v>
      </c>
      <c r="F932" t="s">
        <v>17</v>
      </c>
      <c r="G932">
        <f>IF($H$15="Oui",1,0)*IF(ISNUMBER(SEARCH("La distance parcourue annuellement pour ce type de barge",H928)),1,0)</f>
        <v>0</v>
      </c>
      <c r="H932" s="8"/>
      <c r="I932" s="33"/>
      <c r="J932" t="s">
        <v>88</v>
      </c>
      <c r="K932" s="8"/>
    </row>
    <row r="933" spans="1:11" outlineLevel="1" x14ac:dyDescent="0.25">
      <c r="A933" t="s">
        <v>134</v>
      </c>
      <c r="B933" t="s">
        <v>130</v>
      </c>
      <c r="C933" t="s">
        <v>150</v>
      </c>
      <c r="E933" t="str">
        <f>'Remplissage - Sit. Init.'!F933</f>
        <v>FretFluvCat42TauxChargeMoy</v>
      </c>
      <c r="F933" t="s">
        <v>17</v>
      </c>
      <c r="G933">
        <f>IF($H$15="Oui",1,0)*IF(ISNUMBER(SEARCH("Le taux de chargement moyen",H928)),1,0)</f>
        <v>0</v>
      </c>
      <c r="H933" s="8"/>
      <c r="I933" s="33"/>
      <c r="J933" t="s">
        <v>70</v>
      </c>
      <c r="K933" s="8"/>
    </row>
    <row r="934" spans="1:11" outlineLevel="1" x14ac:dyDescent="0.25">
      <c r="A934" t="s">
        <v>134</v>
      </c>
      <c r="B934" t="s">
        <v>130</v>
      </c>
      <c r="C934" t="s">
        <v>526</v>
      </c>
      <c r="E934" t="str">
        <f>'Remplissage - Sit. Init.'!F934</f>
        <v>FretFluvCat42NbBarges</v>
      </c>
      <c r="F934" t="s">
        <v>17</v>
      </c>
      <c r="G934">
        <f>IF($H$15="Oui",1,0)</f>
        <v>1</v>
      </c>
      <c r="H934" s="8"/>
      <c r="I934" s="33"/>
      <c r="J934" t="s">
        <v>151</v>
      </c>
      <c r="K934" s="8"/>
    </row>
    <row r="935" spans="1:11" outlineLevel="1" x14ac:dyDescent="0.25">
      <c r="A935" t="s">
        <v>134</v>
      </c>
      <c r="B935" t="s">
        <v>131</v>
      </c>
      <c r="C935" t="s">
        <v>135</v>
      </c>
      <c r="E935" t="str">
        <f>'Remplissage - Sit. Init.'!F935</f>
        <v>FretFluvCat43Nom</v>
      </c>
      <c r="F935" s="32" t="s">
        <v>20</v>
      </c>
      <c r="G935">
        <f>IF($H$15="Oui",1,0)</f>
        <v>1</v>
      </c>
      <c r="H935" s="8"/>
      <c r="I935" s="33" t="str">
        <f>VLOOKUP(B935,'Parcs types'!$B$65:$AA$120,2,FALSE)</f>
        <v>Pousseurs &lt;880 kW CCNR 2 ou inférieur, diesel</v>
      </c>
      <c r="K935" t="str">
        <f>I935</f>
        <v>Pousseurs &lt;880 kW CCNR 2 ou inférieur, diesel</v>
      </c>
    </row>
    <row r="936" spans="1:11" outlineLevel="1" x14ac:dyDescent="0.25">
      <c r="A936" t="s">
        <v>134</v>
      </c>
      <c r="B936" t="s">
        <v>131</v>
      </c>
      <c r="C936" t="s">
        <v>136</v>
      </c>
      <c r="E936" t="str">
        <f>'Remplissage - Sit. Init.'!F936</f>
        <v>FretFluvCat43Type</v>
      </c>
      <c r="F936" t="s">
        <v>20</v>
      </c>
      <c r="G936">
        <f t="shared" ref="G936:G938" si="129">IF($H$15="Oui",1,0)</f>
        <v>1</v>
      </c>
      <c r="H936" s="8"/>
      <c r="I936" s="33" t="str">
        <f>VLOOKUP(B936,'Parcs types'!$B$65:$AA$120,3,FALSE)</f>
        <v>Pousseurs</v>
      </c>
      <c r="K936" t="str">
        <f t="shared" ref="K936:K938" si="130">I936</f>
        <v>Pousseurs</v>
      </c>
    </row>
    <row r="937" spans="1:11" outlineLevel="1" x14ac:dyDescent="0.25">
      <c r="A937" t="s">
        <v>134</v>
      </c>
      <c r="B937" t="s">
        <v>131</v>
      </c>
      <c r="C937" t="s">
        <v>137</v>
      </c>
      <c r="E937" t="str">
        <f>'Remplissage - Sit. Init.'!F937</f>
        <v>FretFluvCat43Cap</v>
      </c>
      <c r="F937" s="32" t="s">
        <v>36</v>
      </c>
      <c r="G937">
        <f t="shared" si="129"/>
        <v>1</v>
      </c>
      <c r="H937" s="8"/>
      <c r="I937" s="33" t="str">
        <f>VLOOKUP(B937,'Parcs types'!$B$65:$AA$120,4,FALSE)</f>
        <v>&lt;880 kW</v>
      </c>
      <c r="J937" t="s">
        <v>524</v>
      </c>
      <c r="K937" t="str">
        <f t="shared" si="130"/>
        <v>&lt;880 kW</v>
      </c>
    </row>
    <row r="938" spans="1:11" outlineLevel="1" x14ac:dyDescent="0.25">
      <c r="A938" t="s">
        <v>134</v>
      </c>
      <c r="B938" t="s">
        <v>131</v>
      </c>
      <c r="C938" t="s">
        <v>525</v>
      </c>
      <c r="E938" t="str">
        <f>'Remplissage - Sit. Init.'!F938</f>
        <v>FretFluvCat43Tech</v>
      </c>
      <c r="F938" s="32" t="s">
        <v>20</v>
      </c>
      <c r="G938">
        <f t="shared" si="129"/>
        <v>1</v>
      </c>
      <c r="H938" s="8"/>
      <c r="I938" s="33" t="str">
        <f>VLOOKUP(B938,'Parcs types'!$B$65:$AA$120,5,FALSE)</f>
        <v>CCNR 2 ou inférieur, diesel</v>
      </c>
      <c r="K938" t="str">
        <f t="shared" si="130"/>
        <v>CCNR 2 ou inférieur, diesel</v>
      </c>
    </row>
    <row r="939" spans="1:11" outlineLevel="1" x14ac:dyDescent="0.25">
      <c r="A939" t="s">
        <v>134</v>
      </c>
      <c r="B939" t="s">
        <v>131</v>
      </c>
      <c r="C939" t="s">
        <v>140</v>
      </c>
      <c r="E939" t="str">
        <f>'Remplissage - Sit. Init.'!F939</f>
        <v>FretFluvCat43Request</v>
      </c>
      <c r="F939" s="32" t="s">
        <v>20</v>
      </c>
      <c r="G939">
        <f>IF($H$15="Oui",1,0)</f>
        <v>1</v>
      </c>
      <c r="H939" t="s">
        <v>141</v>
      </c>
      <c r="I939" s="33" t="s">
        <v>142</v>
      </c>
      <c r="K939" s="8"/>
    </row>
    <row r="940" spans="1:11" outlineLevel="1" x14ac:dyDescent="0.25">
      <c r="A940" t="s">
        <v>134</v>
      </c>
      <c r="B940" t="s">
        <v>131</v>
      </c>
      <c r="C940" t="s">
        <v>144</v>
      </c>
      <c r="E940" t="str">
        <f>'Remplissage - Sit. Init.'!F940</f>
        <v>FretFluvCat43NbTraj</v>
      </c>
      <c r="F940" t="s">
        <v>17</v>
      </c>
      <c r="G940">
        <f>IF($H$15="Oui",1,0)*IF(ISNUMBER(SEARCH("Une estimation du nombre annuel de trajets pour ce type de barge",H939)),1,0)</f>
        <v>1</v>
      </c>
      <c r="H940" s="8"/>
      <c r="I940" s="33"/>
      <c r="J940" t="s">
        <v>145</v>
      </c>
      <c r="K940" s="8"/>
    </row>
    <row r="941" spans="1:11" outlineLevel="1" x14ac:dyDescent="0.25">
      <c r="A941" t="s">
        <v>134</v>
      </c>
      <c r="B941" t="s">
        <v>131</v>
      </c>
      <c r="C941" t="s">
        <v>146</v>
      </c>
      <c r="E941" t="str">
        <f>'Remplissage - Sit. Init.'!F941</f>
        <v>FretFluvCat43DistMoy</v>
      </c>
      <c r="F941" t="s">
        <v>17</v>
      </c>
      <c r="G941">
        <f>IF($H$15="Oui",1,0)*IF(ISNUMBER(SEARCH("La distance moyenne d'un trajet",H939)),1,0)</f>
        <v>1</v>
      </c>
      <c r="H941" s="8"/>
      <c r="I941" s="33"/>
      <c r="J941" t="s">
        <v>88</v>
      </c>
      <c r="K941" s="8"/>
    </row>
    <row r="942" spans="1:11" outlineLevel="1" x14ac:dyDescent="0.25">
      <c r="A942" t="s">
        <v>134</v>
      </c>
      <c r="B942" t="s">
        <v>131</v>
      </c>
      <c r="C942" t="s">
        <v>147</v>
      </c>
      <c r="E942" t="str">
        <f>'Remplissage - Sit. Init.'!F942</f>
        <v>FretFluvCat43EmportMoy</v>
      </c>
      <c r="F942" t="s">
        <v>17</v>
      </c>
      <c r="G942">
        <f>IF($H$15="Oui",1,0)*IF(ISNUMBER(SEARCH("La masse moyenne transportée pour un trajet",H939)),1,0)</f>
        <v>1</v>
      </c>
      <c r="H942" s="8"/>
      <c r="I942" s="33"/>
      <c r="J942" t="s">
        <v>148</v>
      </c>
      <c r="K942" s="8"/>
    </row>
    <row r="943" spans="1:11" outlineLevel="1" x14ac:dyDescent="0.25">
      <c r="A943" t="s">
        <v>134</v>
      </c>
      <c r="B943" t="s">
        <v>131</v>
      </c>
      <c r="C943" t="s">
        <v>149</v>
      </c>
      <c r="E943" t="str">
        <f>'Remplissage - Sit. Init.'!F943</f>
        <v>FretFluvCat43DistAn</v>
      </c>
      <c r="F943" t="s">
        <v>17</v>
      </c>
      <c r="G943">
        <f>IF($H$15="Oui",1,0)*IF(ISNUMBER(SEARCH("La distance parcourue annuellement pour ce type de barge",H939)),1,0)</f>
        <v>0</v>
      </c>
      <c r="H943" s="8"/>
      <c r="I943" s="33"/>
      <c r="J943" t="s">
        <v>88</v>
      </c>
      <c r="K943" s="8"/>
    </row>
    <row r="944" spans="1:11" outlineLevel="1" x14ac:dyDescent="0.25">
      <c r="A944" t="s">
        <v>134</v>
      </c>
      <c r="B944" t="s">
        <v>131</v>
      </c>
      <c r="C944" t="s">
        <v>150</v>
      </c>
      <c r="E944" t="str">
        <f>'Remplissage - Sit. Init.'!F944</f>
        <v>FretFluvCat43TauxChargeMoy</v>
      </c>
      <c r="F944" t="s">
        <v>17</v>
      </c>
      <c r="G944">
        <f>IF($H$15="Oui",1,0)*IF(ISNUMBER(SEARCH("Le taux de chargement moyen",H939)),1,0)</f>
        <v>0</v>
      </c>
      <c r="H944" s="8"/>
      <c r="I944" s="33"/>
      <c r="J944" t="s">
        <v>70</v>
      </c>
      <c r="K944" s="8"/>
    </row>
    <row r="945" spans="1:11" outlineLevel="1" x14ac:dyDescent="0.25">
      <c r="A945" t="s">
        <v>134</v>
      </c>
      <c r="B945" t="s">
        <v>131</v>
      </c>
      <c r="C945" t="s">
        <v>526</v>
      </c>
      <c r="E945" t="str">
        <f>'Remplissage - Sit. Init.'!F945</f>
        <v>FretFluvCat43NbBarges</v>
      </c>
      <c r="F945" t="s">
        <v>17</v>
      </c>
      <c r="G945">
        <f>IF($H$15="Oui",1,0)</f>
        <v>1</v>
      </c>
      <c r="H945" s="8"/>
      <c r="I945" s="33"/>
      <c r="J945" t="s">
        <v>151</v>
      </c>
      <c r="K945" s="8"/>
    </row>
    <row r="946" spans="1:11" outlineLevel="1" x14ac:dyDescent="0.25">
      <c r="A946" t="s">
        <v>134</v>
      </c>
      <c r="B946" t="s">
        <v>132</v>
      </c>
      <c r="C946" t="s">
        <v>135</v>
      </c>
      <c r="E946" t="str">
        <f>'Remplissage - Sit. Init.'!F946</f>
        <v>FretFluvCat44Nom</v>
      </c>
      <c r="F946" s="32" t="s">
        <v>20</v>
      </c>
      <c r="G946">
        <f>IF($H$15="Oui",1,0)</f>
        <v>1</v>
      </c>
      <c r="H946" s="8"/>
      <c r="I946" s="33" t="str">
        <f>VLOOKUP(B946,'Parcs types'!$B$65:$AA$120,2,FALSE)</f>
        <v>Pousseurs &lt;880 kW CCNR 2 + SCR, diesel</v>
      </c>
      <c r="K946" t="str">
        <f>I946</f>
        <v>Pousseurs &lt;880 kW CCNR 2 + SCR, diesel</v>
      </c>
    </row>
    <row r="947" spans="1:11" outlineLevel="1" x14ac:dyDescent="0.25">
      <c r="A947" t="s">
        <v>134</v>
      </c>
      <c r="B947" t="s">
        <v>132</v>
      </c>
      <c r="C947" t="s">
        <v>136</v>
      </c>
      <c r="E947" t="str">
        <f>'Remplissage - Sit. Init.'!F947</f>
        <v>FretFluvCat44Type</v>
      </c>
      <c r="F947" t="s">
        <v>20</v>
      </c>
      <c r="G947">
        <f t="shared" ref="G947:G949" si="131">IF($H$15="Oui",1,0)</f>
        <v>1</v>
      </c>
      <c r="H947" s="8"/>
      <c r="I947" s="33" t="str">
        <f>VLOOKUP(B947,'Parcs types'!$B$65:$AA$120,3,FALSE)</f>
        <v>Pousseurs</v>
      </c>
      <c r="K947" t="str">
        <f t="shared" ref="K947:K949" si="132">I947</f>
        <v>Pousseurs</v>
      </c>
    </row>
    <row r="948" spans="1:11" outlineLevel="1" x14ac:dyDescent="0.25">
      <c r="A948" t="s">
        <v>134</v>
      </c>
      <c r="B948" t="s">
        <v>132</v>
      </c>
      <c r="C948" t="s">
        <v>137</v>
      </c>
      <c r="E948" t="str">
        <f>'Remplissage - Sit. Init.'!F948</f>
        <v>FretFluvCat44Cap</v>
      </c>
      <c r="F948" s="32" t="s">
        <v>36</v>
      </c>
      <c r="G948">
        <f t="shared" si="131"/>
        <v>1</v>
      </c>
      <c r="H948" s="8"/>
      <c r="I948" s="33" t="str">
        <f>VLOOKUP(B948,'Parcs types'!$B$65:$AA$120,4,FALSE)</f>
        <v>&lt;880 kW</v>
      </c>
      <c r="J948" t="s">
        <v>524</v>
      </c>
      <c r="K948" t="str">
        <f t="shared" si="132"/>
        <v>&lt;880 kW</v>
      </c>
    </row>
    <row r="949" spans="1:11" outlineLevel="1" x14ac:dyDescent="0.25">
      <c r="A949" t="s">
        <v>134</v>
      </c>
      <c r="B949" t="s">
        <v>132</v>
      </c>
      <c r="C949" t="s">
        <v>525</v>
      </c>
      <c r="E949" t="str">
        <f>'Remplissage - Sit. Init.'!F949</f>
        <v>FretFluvCat44Tech</v>
      </c>
      <c r="F949" s="32" t="s">
        <v>20</v>
      </c>
      <c r="G949">
        <f t="shared" si="131"/>
        <v>1</v>
      </c>
      <c r="H949" s="8"/>
      <c r="I949" s="33" t="str">
        <f>VLOOKUP(B949,'Parcs types'!$B$65:$AA$120,5,FALSE)</f>
        <v>CCNR 2 + SCR, diesel</v>
      </c>
      <c r="K949" t="str">
        <f t="shared" si="132"/>
        <v>CCNR 2 + SCR, diesel</v>
      </c>
    </row>
    <row r="950" spans="1:11" outlineLevel="1" x14ac:dyDescent="0.25">
      <c r="A950" t="s">
        <v>134</v>
      </c>
      <c r="B950" t="s">
        <v>132</v>
      </c>
      <c r="C950" t="s">
        <v>140</v>
      </c>
      <c r="E950" t="str">
        <f>'Remplissage - Sit. Init.'!F950</f>
        <v>FretFluvCat44Request</v>
      </c>
      <c r="F950" s="32" t="s">
        <v>20</v>
      </c>
      <c r="G950">
        <f>IF($H$15="Oui",1,0)</f>
        <v>1</v>
      </c>
      <c r="H950" t="s">
        <v>141</v>
      </c>
      <c r="I950" s="33" t="s">
        <v>142</v>
      </c>
      <c r="K950" s="8"/>
    </row>
    <row r="951" spans="1:11" outlineLevel="1" x14ac:dyDescent="0.25">
      <c r="A951" t="s">
        <v>134</v>
      </c>
      <c r="B951" t="s">
        <v>132</v>
      </c>
      <c r="C951" t="s">
        <v>144</v>
      </c>
      <c r="E951" t="str">
        <f>'Remplissage - Sit. Init.'!F951</f>
        <v>FretFluvCat44NbTraj</v>
      </c>
      <c r="F951" t="s">
        <v>17</v>
      </c>
      <c r="G951">
        <f>IF($H$15="Oui",1,0)*IF(ISNUMBER(SEARCH("Une estimation du nombre annuel de trajets pour ce type de barge",H950)),1,0)</f>
        <v>1</v>
      </c>
      <c r="H951" s="8"/>
      <c r="I951" s="33"/>
      <c r="J951" t="s">
        <v>145</v>
      </c>
      <c r="K951" s="8"/>
    </row>
    <row r="952" spans="1:11" outlineLevel="1" x14ac:dyDescent="0.25">
      <c r="A952" t="s">
        <v>134</v>
      </c>
      <c r="B952" t="s">
        <v>132</v>
      </c>
      <c r="C952" t="s">
        <v>146</v>
      </c>
      <c r="E952" t="str">
        <f>'Remplissage - Sit. Init.'!F952</f>
        <v>FretFluvCat44DistMoy</v>
      </c>
      <c r="F952" t="s">
        <v>17</v>
      </c>
      <c r="G952">
        <f>IF($H$15="Oui",1,0)*IF(ISNUMBER(SEARCH("La distance moyenne d'un trajet",H950)),1,0)</f>
        <v>1</v>
      </c>
      <c r="H952" s="8"/>
      <c r="I952" s="33"/>
      <c r="J952" t="s">
        <v>88</v>
      </c>
      <c r="K952" s="8"/>
    </row>
    <row r="953" spans="1:11" outlineLevel="1" x14ac:dyDescent="0.25">
      <c r="A953" t="s">
        <v>134</v>
      </c>
      <c r="B953" t="s">
        <v>132</v>
      </c>
      <c r="C953" t="s">
        <v>147</v>
      </c>
      <c r="E953" t="str">
        <f>'Remplissage - Sit. Init.'!F953</f>
        <v>FretFluvCat44EmportMoy</v>
      </c>
      <c r="F953" t="s">
        <v>17</v>
      </c>
      <c r="G953">
        <f>IF($H$15="Oui",1,0)*IF(ISNUMBER(SEARCH("La masse moyenne transportée pour un trajet",H950)),1,0)</f>
        <v>1</v>
      </c>
      <c r="H953" s="8"/>
      <c r="I953" s="33"/>
      <c r="J953" t="s">
        <v>148</v>
      </c>
      <c r="K953" s="8"/>
    </row>
    <row r="954" spans="1:11" outlineLevel="1" x14ac:dyDescent="0.25">
      <c r="A954" t="s">
        <v>134</v>
      </c>
      <c r="B954" t="s">
        <v>132</v>
      </c>
      <c r="C954" t="s">
        <v>149</v>
      </c>
      <c r="E954" t="str">
        <f>'Remplissage - Sit. Init.'!F954</f>
        <v>FretFluvCat44DistAn</v>
      </c>
      <c r="F954" t="s">
        <v>17</v>
      </c>
      <c r="G954">
        <f>IF($H$15="Oui",1,0)*IF(ISNUMBER(SEARCH("La distance parcourue annuellement pour ce type de barge",H950)),1,0)</f>
        <v>0</v>
      </c>
      <c r="H954" s="8"/>
      <c r="I954" s="33"/>
      <c r="J954" t="s">
        <v>88</v>
      </c>
      <c r="K954" s="8"/>
    </row>
    <row r="955" spans="1:11" outlineLevel="1" x14ac:dyDescent="0.25">
      <c r="A955" t="s">
        <v>134</v>
      </c>
      <c r="B955" t="s">
        <v>132</v>
      </c>
      <c r="C955" t="s">
        <v>150</v>
      </c>
      <c r="E955" t="str">
        <f>'Remplissage - Sit. Init.'!F955</f>
        <v>FretFluvCat44TauxChargeMoy</v>
      </c>
      <c r="F955" t="s">
        <v>17</v>
      </c>
      <c r="G955">
        <f>IF($H$15="Oui",1,0)*IF(ISNUMBER(SEARCH("Le taux de chargement moyen",H950)),1,0)</f>
        <v>0</v>
      </c>
      <c r="H955" s="8"/>
      <c r="I955" s="33"/>
      <c r="J955" t="s">
        <v>70</v>
      </c>
      <c r="K955" s="8"/>
    </row>
    <row r="956" spans="1:11" outlineLevel="1" x14ac:dyDescent="0.25">
      <c r="A956" t="s">
        <v>134</v>
      </c>
      <c r="B956" t="s">
        <v>132</v>
      </c>
      <c r="C956" t="s">
        <v>526</v>
      </c>
      <c r="E956" t="str">
        <f>'Remplissage - Sit. Init.'!F956</f>
        <v>FretFluvCat44NbBarges</v>
      </c>
      <c r="F956" t="s">
        <v>17</v>
      </c>
      <c r="G956">
        <f>IF($H$15="Oui",1,0)</f>
        <v>1</v>
      </c>
      <c r="H956" s="8"/>
      <c r="I956" s="33"/>
      <c r="J956" t="s">
        <v>151</v>
      </c>
      <c r="K956" s="8"/>
    </row>
    <row r="957" spans="1:11" outlineLevel="1" x14ac:dyDescent="0.25">
      <c r="A957" t="s">
        <v>134</v>
      </c>
      <c r="B957" t="s">
        <v>133</v>
      </c>
      <c r="C957" t="s">
        <v>135</v>
      </c>
      <c r="E957" t="str">
        <f>'Remplissage - Sit. Init.'!F957</f>
        <v>FretFluvCat45Nom</v>
      </c>
      <c r="F957" s="32" t="s">
        <v>20</v>
      </c>
      <c r="G957">
        <f>IF($H$15="Oui",1,0)</f>
        <v>1</v>
      </c>
      <c r="H957" s="8"/>
      <c r="I957" s="33" t="str">
        <f>VLOOKUP(B957,'Parcs types'!$B$65:$AA$120,2,FALSE)</f>
        <v>Pousseurs &lt;880 kW Phase V, diesel</v>
      </c>
      <c r="K957" t="str">
        <f>I957</f>
        <v>Pousseurs &lt;880 kW Phase V, diesel</v>
      </c>
    </row>
    <row r="958" spans="1:11" outlineLevel="1" x14ac:dyDescent="0.25">
      <c r="A958" t="s">
        <v>134</v>
      </c>
      <c r="B958" t="s">
        <v>133</v>
      </c>
      <c r="C958" t="s">
        <v>136</v>
      </c>
      <c r="E958" t="str">
        <f>'Remplissage - Sit. Init.'!F958</f>
        <v>FretFluvCat45Type</v>
      </c>
      <c r="F958" t="s">
        <v>20</v>
      </c>
      <c r="G958">
        <f t="shared" ref="G958:G960" si="133">IF($H$15="Oui",1,0)</f>
        <v>1</v>
      </c>
      <c r="H958" s="8"/>
      <c r="I958" s="33" t="str">
        <f>VLOOKUP(B958,'Parcs types'!$B$65:$AA$120,3,FALSE)</f>
        <v>Pousseurs</v>
      </c>
      <c r="K958" t="str">
        <f t="shared" ref="K958:K960" si="134">I958</f>
        <v>Pousseurs</v>
      </c>
    </row>
    <row r="959" spans="1:11" outlineLevel="1" x14ac:dyDescent="0.25">
      <c r="A959" t="s">
        <v>134</v>
      </c>
      <c r="B959" t="s">
        <v>133</v>
      </c>
      <c r="C959" t="s">
        <v>137</v>
      </c>
      <c r="E959" t="str">
        <f>'Remplissage - Sit. Init.'!F959</f>
        <v>FretFluvCat45Cap</v>
      </c>
      <c r="F959" s="32" t="s">
        <v>36</v>
      </c>
      <c r="G959">
        <f t="shared" si="133"/>
        <v>1</v>
      </c>
      <c r="H959" s="8"/>
      <c r="I959" s="33" t="str">
        <f>VLOOKUP(B959,'Parcs types'!$B$65:$AA$120,4,FALSE)</f>
        <v>&lt;880 kW</v>
      </c>
      <c r="J959" t="s">
        <v>524</v>
      </c>
      <c r="K959" t="str">
        <f t="shared" si="134"/>
        <v>&lt;880 kW</v>
      </c>
    </row>
    <row r="960" spans="1:11" outlineLevel="1" x14ac:dyDescent="0.25">
      <c r="A960" t="s">
        <v>134</v>
      </c>
      <c r="B960" t="s">
        <v>133</v>
      </c>
      <c r="C960" t="s">
        <v>525</v>
      </c>
      <c r="E960" t="str">
        <f>'Remplissage - Sit. Init.'!F960</f>
        <v>FretFluvCat45Tech</v>
      </c>
      <c r="F960" s="32" t="s">
        <v>20</v>
      </c>
      <c r="G960">
        <f t="shared" si="133"/>
        <v>1</v>
      </c>
      <c r="H960" s="8"/>
      <c r="I960" s="33" t="str">
        <f>VLOOKUP(B960,'Parcs types'!$B$65:$AA$120,5,FALSE)</f>
        <v>Phase V, diesel</v>
      </c>
      <c r="K960" t="str">
        <f t="shared" si="134"/>
        <v>Phase V, diesel</v>
      </c>
    </row>
    <row r="961" spans="1:11" outlineLevel="1" x14ac:dyDescent="0.25">
      <c r="A961" t="s">
        <v>134</v>
      </c>
      <c r="B961" t="s">
        <v>133</v>
      </c>
      <c r="C961" t="s">
        <v>140</v>
      </c>
      <c r="E961" t="str">
        <f>'Remplissage - Sit. Init.'!F961</f>
        <v>FretFluvCat45Request</v>
      </c>
      <c r="F961" s="32" t="s">
        <v>20</v>
      </c>
      <c r="G961">
        <f>IF($H$15="Oui",1,0)</f>
        <v>1</v>
      </c>
      <c r="H961" t="s">
        <v>141</v>
      </c>
      <c r="I961" s="33" t="s">
        <v>142</v>
      </c>
      <c r="K961" s="8"/>
    </row>
    <row r="962" spans="1:11" outlineLevel="1" x14ac:dyDescent="0.25">
      <c r="A962" t="s">
        <v>134</v>
      </c>
      <c r="B962" t="s">
        <v>133</v>
      </c>
      <c r="C962" t="s">
        <v>144</v>
      </c>
      <c r="E962" t="str">
        <f>'Remplissage - Sit. Init.'!F962</f>
        <v>FretFluvCat45NbTraj</v>
      </c>
      <c r="F962" t="s">
        <v>17</v>
      </c>
      <c r="G962">
        <f>IF($H$15="Oui",1,0)*IF(ISNUMBER(SEARCH("Une estimation du nombre annuel de trajets pour ce type de barge",H961)),1,0)</f>
        <v>1</v>
      </c>
      <c r="H962" s="8"/>
      <c r="I962" s="33"/>
      <c r="J962" t="s">
        <v>145</v>
      </c>
      <c r="K962" s="8"/>
    </row>
    <row r="963" spans="1:11" outlineLevel="1" x14ac:dyDescent="0.25">
      <c r="A963" t="s">
        <v>134</v>
      </c>
      <c r="B963" t="s">
        <v>133</v>
      </c>
      <c r="C963" t="s">
        <v>146</v>
      </c>
      <c r="E963" t="str">
        <f>'Remplissage - Sit. Init.'!F963</f>
        <v>FretFluvCat45DistMoy</v>
      </c>
      <c r="F963" t="s">
        <v>17</v>
      </c>
      <c r="G963">
        <f>IF($H$15="Oui",1,0)*IF(ISNUMBER(SEARCH("La distance moyenne d'un trajet",H961)),1,0)</f>
        <v>1</v>
      </c>
      <c r="H963" s="8"/>
      <c r="I963" s="33"/>
      <c r="J963" t="s">
        <v>88</v>
      </c>
      <c r="K963" s="8"/>
    </row>
    <row r="964" spans="1:11" outlineLevel="1" x14ac:dyDescent="0.25">
      <c r="A964" t="s">
        <v>134</v>
      </c>
      <c r="B964" t="s">
        <v>133</v>
      </c>
      <c r="C964" t="s">
        <v>147</v>
      </c>
      <c r="E964" t="str">
        <f>'Remplissage - Sit. Init.'!F964</f>
        <v>FretFluvCat45EmportMoy</v>
      </c>
      <c r="F964" t="s">
        <v>17</v>
      </c>
      <c r="G964">
        <f>IF($H$15="Oui",1,0)*IF(ISNUMBER(SEARCH("La masse moyenne transportée pour un trajet",H961)),1,0)</f>
        <v>1</v>
      </c>
      <c r="H964" s="8"/>
      <c r="I964" s="33"/>
      <c r="J964" t="s">
        <v>148</v>
      </c>
      <c r="K964" s="8"/>
    </row>
    <row r="965" spans="1:11" outlineLevel="1" x14ac:dyDescent="0.25">
      <c r="A965" t="s">
        <v>134</v>
      </c>
      <c r="B965" t="s">
        <v>133</v>
      </c>
      <c r="C965" t="s">
        <v>149</v>
      </c>
      <c r="E965" t="str">
        <f>'Remplissage - Sit. Init.'!F965</f>
        <v>FretFluvCat45DistAn</v>
      </c>
      <c r="F965" t="s">
        <v>17</v>
      </c>
      <c r="G965">
        <f>IF($H$15="Oui",1,0)*IF(ISNUMBER(SEARCH("La distance parcourue annuellement pour ce type de barge",H961)),1,0)</f>
        <v>0</v>
      </c>
      <c r="H965" s="8"/>
      <c r="I965" s="33"/>
      <c r="J965" t="s">
        <v>88</v>
      </c>
      <c r="K965" s="8"/>
    </row>
    <row r="966" spans="1:11" outlineLevel="1" x14ac:dyDescent="0.25">
      <c r="A966" t="s">
        <v>134</v>
      </c>
      <c r="B966" t="s">
        <v>133</v>
      </c>
      <c r="C966" t="s">
        <v>150</v>
      </c>
      <c r="E966" t="str">
        <f>'Remplissage - Sit. Init.'!F966</f>
        <v>FretFluvCat45TauxChargeMoy</v>
      </c>
      <c r="F966" t="s">
        <v>17</v>
      </c>
      <c r="G966">
        <f>IF($H$15="Oui",1,0)*IF(ISNUMBER(SEARCH("Le taux de chargement moyen",H961)),1,0)</f>
        <v>0</v>
      </c>
      <c r="H966" s="8"/>
      <c r="I966" s="33"/>
      <c r="J966" t="s">
        <v>70</v>
      </c>
      <c r="K966" s="8"/>
    </row>
    <row r="967" spans="1:11" outlineLevel="1" x14ac:dyDescent="0.25">
      <c r="A967" t="s">
        <v>134</v>
      </c>
      <c r="B967" t="s">
        <v>133</v>
      </c>
      <c r="C967" t="s">
        <v>526</v>
      </c>
      <c r="E967" t="str">
        <f>'Remplissage - Sit. Init.'!F967</f>
        <v>FretFluvCat45NbBarges</v>
      </c>
      <c r="F967" t="s">
        <v>17</v>
      </c>
      <c r="G967">
        <f>IF($H$15="Oui",1,0)</f>
        <v>1</v>
      </c>
      <c r="H967" s="8"/>
      <c r="I967" s="33"/>
      <c r="J967" t="s">
        <v>151</v>
      </c>
      <c r="K967" s="8"/>
    </row>
    <row r="968" spans="1:11" outlineLevel="1" x14ac:dyDescent="0.25">
      <c r="A968" t="s">
        <v>134</v>
      </c>
      <c r="B968" t="s">
        <v>1085</v>
      </c>
      <c r="C968" t="s">
        <v>135</v>
      </c>
      <c r="E968" t="str">
        <f>'Remplissage - Sit. Init.'!F968</f>
        <v>FretFluvCat46Nom</v>
      </c>
      <c r="F968" s="32" t="s">
        <v>20</v>
      </c>
      <c r="G968">
        <f>IF($H$15="Oui",1,0)</f>
        <v>1</v>
      </c>
      <c r="H968" s="8"/>
      <c r="I968" s="33" t="str">
        <f>VLOOKUP(B968,'Parcs types'!$B$65:$AA$120,2,FALSE)</f>
        <v>Pousseurs &lt;880 kW Phase V, HVO</v>
      </c>
      <c r="K968" t="str">
        <f>I968</f>
        <v>Pousseurs &lt;880 kW Phase V, HVO</v>
      </c>
    </row>
    <row r="969" spans="1:11" outlineLevel="1" x14ac:dyDescent="0.25">
      <c r="A969" t="s">
        <v>134</v>
      </c>
      <c r="B969" t="s">
        <v>1085</v>
      </c>
      <c r="C969" t="s">
        <v>136</v>
      </c>
      <c r="E969" t="str">
        <f>'Remplissage - Sit. Init.'!F969</f>
        <v>FretFluvCat46Type</v>
      </c>
      <c r="F969" t="s">
        <v>20</v>
      </c>
      <c r="G969">
        <f t="shared" ref="G969:G971" si="135">IF($H$15="Oui",1,0)</f>
        <v>1</v>
      </c>
      <c r="H969" s="8"/>
      <c r="I969" s="33" t="str">
        <f>VLOOKUP(B969,'Parcs types'!$B$65:$AA$120,3,FALSE)</f>
        <v>Pousseurs</v>
      </c>
      <c r="K969" t="str">
        <f t="shared" ref="K969:K971" si="136">I969</f>
        <v>Pousseurs</v>
      </c>
    </row>
    <row r="970" spans="1:11" outlineLevel="1" x14ac:dyDescent="0.25">
      <c r="A970" t="s">
        <v>134</v>
      </c>
      <c r="B970" t="s">
        <v>1085</v>
      </c>
      <c r="C970" t="s">
        <v>137</v>
      </c>
      <c r="E970" t="str">
        <f>'Remplissage - Sit. Init.'!F970</f>
        <v>FretFluvCat46Cap</v>
      </c>
      <c r="F970" s="32" t="s">
        <v>36</v>
      </c>
      <c r="G970">
        <f t="shared" si="135"/>
        <v>1</v>
      </c>
      <c r="H970" s="8"/>
      <c r="I970" s="33" t="str">
        <f>VLOOKUP(B970,'Parcs types'!$B$65:$AA$120,4,FALSE)</f>
        <v>&lt;880 kW</v>
      </c>
      <c r="J970" t="s">
        <v>524</v>
      </c>
      <c r="K970" t="str">
        <f t="shared" si="136"/>
        <v>&lt;880 kW</v>
      </c>
    </row>
    <row r="971" spans="1:11" outlineLevel="1" x14ac:dyDescent="0.25">
      <c r="A971" t="s">
        <v>134</v>
      </c>
      <c r="B971" t="s">
        <v>1085</v>
      </c>
      <c r="C971" t="s">
        <v>525</v>
      </c>
      <c r="E971" t="str">
        <f>'Remplissage - Sit. Init.'!F971</f>
        <v>FretFluvCat46Tech</v>
      </c>
      <c r="F971" s="32" t="s">
        <v>20</v>
      </c>
      <c r="G971">
        <f t="shared" si="135"/>
        <v>1</v>
      </c>
      <c r="H971" s="8"/>
      <c r="I971" s="33" t="str">
        <f>VLOOKUP(B971,'Parcs types'!$B$65:$AA$120,5,FALSE)</f>
        <v>Phase V, HVO</v>
      </c>
      <c r="K971" t="str">
        <f t="shared" si="136"/>
        <v>Phase V, HVO</v>
      </c>
    </row>
    <row r="972" spans="1:11" outlineLevel="1" x14ac:dyDescent="0.25">
      <c r="A972" t="s">
        <v>134</v>
      </c>
      <c r="B972" t="s">
        <v>1085</v>
      </c>
      <c r="C972" t="s">
        <v>140</v>
      </c>
      <c r="E972" t="str">
        <f>'Remplissage - Sit. Init.'!F972</f>
        <v>FretFluvCat46Request</v>
      </c>
      <c r="F972" s="32" t="s">
        <v>20</v>
      </c>
      <c r="G972">
        <f>IF($H$15="Oui",1,0)</f>
        <v>1</v>
      </c>
      <c r="H972" t="s">
        <v>141</v>
      </c>
      <c r="I972" s="33" t="s">
        <v>142</v>
      </c>
      <c r="K972" s="8"/>
    </row>
    <row r="973" spans="1:11" outlineLevel="1" x14ac:dyDescent="0.25">
      <c r="A973" t="s">
        <v>134</v>
      </c>
      <c r="B973" t="s">
        <v>1085</v>
      </c>
      <c r="C973" t="s">
        <v>144</v>
      </c>
      <c r="E973" t="str">
        <f>'Remplissage - Sit. Init.'!F973</f>
        <v>FretFluvCat46NbTraj</v>
      </c>
      <c r="F973" t="s">
        <v>17</v>
      </c>
      <c r="G973">
        <f>IF($H$15="Oui",1,0)*IF(ISNUMBER(SEARCH("Une estimation du nombre annuel de trajets pour ce type de barge",H972)),1,0)</f>
        <v>1</v>
      </c>
      <c r="H973" s="8"/>
      <c r="I973" s="33"/>
      <c r="J973" t="s">
        <v>145</v>
      </c>
      <c r="K973" s="8"/>
    </row>
    <row r="974" spans="1:11" outlineLevel="1" x14ac:dyDescent="0.25">
      <c r="A974" t="s">
        <v>134</v>
      </c>
      <c r="B974" t="s">
        <v>1085</v>
      </c>
      <c r="C974" t="s">
        <v>146</v>
      </c>
      <c r="E974" t="str">
        <f>'Remplissage - Sit. Init.'!F974</f>
        <v>FretFluvCat46DistMoy</v>
      </c>
      <c r="F974" t="s">
        <v>17</v>
      </c>
      <c r="G974">
        <f>IF($H$15="Oui",1,0)*IF(ISNUMBER(SEARCH("La distance moyenne d'un trajet",H972)),1,0)</f>
        <v>1</v>
      </c>
      <c r="H974" s="8"/>
      <c r="I974" s="33"/>
      <c r="J974" t="s">
        <v>88</v>
      </c>
      <c r="K974" s="8"/>
    </row>
    <row r="975" spans="1:11" outlineLevel="1" x14ac:dyDescent="0.25">
      <c r="A975" t="s">
        <v>134</v>
      </c>
      <c r="B975" t="s">
        <v>1085</v>
      </c>
      <c r="C975" t="s">
        <v>147</v>
      </c>
      <c r="E975" t="str">
        <f>'Remplissage - Sit. Init.'!F975</f>
        <v>FretFluvCat46EmportMoy</v>
      </c>
      <c r="F975" t="s">
        <v>17</v>
      </c>
      <c r="G975">
        <f>IF($H$15="Oui",1,0)*IF(ISNUMBER(SEARCH("La masse moyenne transportée pour un trajet",H972)),1,0)</f>
        <v>1</v>
      </c>
      <c r="H975" s="8"/>
      <c r="I975" s="33"/>
      <c r="J975" t="s">
        <v>148</v>
      </c>
      <c r="K975" s="8"/>
    </row>
    <row r="976" spans="1:11" outlineLevel="1" x14ac:dyDescent="0.25">
      <c r="A976" t="s">
        <v>134</v>
      </c>
      <c r="B976" t="s">
        <v>1085</v>
      </c>
      <c r="C976" t="s">
        <v>149</v>
      </c>
      <c r="E976" t="str">
        <f>'Remplissage - Sit. Init.'!F976</f>
        <v>FretFluvCat46DistAn</v>
      </c>
      <c r="F976" t="s">
        <v>17</v>
      </c>
      <c r="G976">
        <f>IF($H$15="Oui",1,0)*IF(ISNUMBER(SEARCH("La distance parcourue annuellement pour ce type de barge",H972)),1,0)</f>
        <v>0</v>
      </c>
      <c r="H976" s="8"/>
      <c r="I976" s="33"/>
      <c r="J976" t="s">
        <v>88</v>
      </c>
      <c r="K976" s="8"/>
    </row>
    <row r="977" spans="1:11" outlineLevel="1" x14ac:dyDescent="0.25">
      <c r="A977" t="s">
        <v>134</v>
      </c>
      <c r="B977" t="s">
        <v>1085</v>
      </c>
      <c r="C977" t="s">
        <v>150</v>
      </c>
      <c r="E977" t="str">
        <f>'Remplissage - Sit. Init.'!F977</f>
        <v>FretFluvCat46TauxChargeMoy</v>
      </c>
      <c r="F977" t="s">
        <v>17</v>
      </c>
      <c r="G977">
        <f>IF($H$15="Oui",1,0)*IF(ISNUMBER(SEARCH("Le taux de chargement moyen",H972)),1,0)</f>
        <v>0</v>
      </c>
      <c r="H977" s="8"/>
      <c r="I977" s="33"/>
      <c r="J977" t="s">
        <v>70</v>
      </c>
      <c r="K977" s="8"/>
    </row>
    <row r="978" spans="1:11" outlineLevel="1" x14ac:dyDescent="0.25">
      <c r="A978" t="s">
        <v>134</v>
      </c>
      <c r="B978" t="s">
        <v>1085</v>
      </c>
      <c r="C978" t="s">
        <v>526</v>
      </c>
      <c r="E978" t="str">
        <f>'Remplissage - Sit. Init.'!F978</f>
        <v>FretFluvCat46NbBarges</v>
      </c>
      <c r="F978" t="s">
        <v>17</v>
      </c>
      <c r="G978">
        <f>IF($H$15="Oui",1,0)</f>
        <v>1</v>
      </c>
      <c r="H978" s="8"/>
      <c r="I978" s="33"/>
      <c r="J978" t="s">
        <v>151</v>
      </c>
      <c r="K978" s="8"/>
    </row>
    <row r="979" spans="1:11" outlineLevel="1" x14ac:dyDescent="0.25">
      <c r="A979" t="s">
        <v>134</v>
      </c>
      <c r="B979" t="s">
        <v>1098</v>
      </c>
      <c r="C979" t="s">
        <v>135</v>
      </c>
      <c r="E979" t="str">
        <f>'Remplissage - Sit. Init.'!F979</f>
        <v>FretFluvCat47Nom</v>
      </c>
      <c r="F979" s="32" t="s">
        <v>20</v>
      </c>
      <c r="G979">
        <f>IF($H$15="Oui",1,0)</f>
        <v>1</v>
      </c>
      <c r="H979" s="8"/>
      <c r="I979" s="33" t="str">
        <f>VLOOKUP(B979,'Parcs types'!$B$65:$AA$120,2,FALSE)</f>
        <v>Pousseurs &lt;880 kW Batterie</v>
      </c>
      <c r="K979" t="str">
        <f>I979</f>
        <v>Pousseurs &lt;880 kW Batterie</v>
      </c>
    </row>
    <row r="980" spans="1:11" outlineLevel="1" x14ac:dyDescent="0.25">
      <c r="A980" t="s">
        <v>134</v>
      </c>
      <c r="B980" t="s">
        <v>1098</v>
      </c>
      <c r="C980" t="s">
        <v>136</v>
      </c>
      <c r="E980" t="str">
        <f>'Remplissage - Sit. Init.'!F980</f>
        <v>FretFluvCat47Type</v>
      </c>
      <c r="F980" t="s">
        <v>20</v>
      </c>
      <c r="G980">
        <f t="shared" ref="G980:G982" si="137">IF($H$15="Oui",1,0)</f>
        <v>1</v>
      </c>
      <c r="H980" s="8"/>
      <c r="I980" s="33" t="str">
        <f>VLOOKUP(B980,'Parcs types'!$B$65:$AA$120,3,FALSE)</f>
        <v>Pousseurs</v>
      </c>
      <c r="K980" t="str">
        <f t="shared" ref="K980:K982" si="138">I980</f>
        <v>Pousseurs</v>
      </c>
    </row>
    <row r="981" spans="1:11" outlineLevel="1" x14ac:dyDescent="0.25">
      <c r="A981" t="s">
        <v>134</v>
      </c>
      <c r="B981" t="s">
        <v>1098</v>
      </c>
      <c r="C981" t="s">
        <v>137</v>
      </c>
      <c r="E981" t="str">
        <f>'Remplissage - Sit. Init.'!F981</f>
        <v>FretFluvCat47Cap</v>
      </c>
      <c r="F981" s="32" t="s">
        <v>36</v>
      </c>
      <c r="G981">
        <f t="shared" si="137"/>
        <v>1</v>
      </c>
      <c r="H981" s="8"/>
      <c r="I981" s="33" t="str">
        <f>VLOOKUP(B981,'Parcs types'!$B$65:$AA$120,4,FALSE)</f>
        <v>&lt;880 kW</v>
      </c>
      <c r="J981" t="s">
        <v>524</v>
      </c>
      <c r="K981" t="str">
        <f t="shared" si="138"/>
        <v>&lt;880 kW</v>
      </c>
    </row>
    <row r="982" spans="1:11" outlineLevel="1" x14ac:dyDescent="0.25">
      <c r="A982" t="s">
        <v>134</v>
      </c>
      <c r="B982" t="s">
        <v>1098</v>
      </c>
      <c r="C982" t="s">
        <v>525</v>
      </c>
      <c r="E982" t="str">
        <f>'Remplissage - Sit. Init.'!F982</f>
        <v>FretFluvCat47Tech</v>
      </c>
      <c r="F982" s="32" t="s">
        <v>20</v>
      </c>
      <c r="G982">
        <f t="shared" si="137"/>
        <v>1</v>
      </c>
      <c r="H982" s="8"/>
      <c r="I982" s="33" t="str">
        <f>VLOOKUP(B982,'Parcs types'!$B$65:$AA$120,5,FALSE)</f>
        <v>Batterie</v>
      </c>
      <c r="K982" t="str">
        <f t="shared" si="138"/>
        <v>Batterie</v>
      </c>
    </row>
    <row r="983" spans="1:11" outlineLevel="1" x14ac:dyDescent="0.25">
      <c r="A983" t="s">
        <v>134</v>
      </c>
      <c r="B983" t="s">
        <v>1098</v>
      </c>
      <c r="C983" t="s">
        <v>140</v>
      </c>
      <c r="E983" t="str">
        <f>'Remplissage - Sit. Init.'!F983</f>
        <v>FretFluvCat47Request</v>
      </c>
      <c r="F983" s="32" t="s">
        <v>20</v>
      </c>
      <c r="G983">
        <f>IF($H$15="Oui",1,0)</f>
        <v>1</v>
      </c>
      <c r="H983" t="s">
        <v>141</v>
      </c>
      <c r="I983" s="33" t="s">
        <v>142</v>
      </c>
      <c r="K983" s="8"/>
    </row>
    <row r="984" spans="1:11" outlineLevel="1" x14ac:dyDescent="0.25">
      <c r="A984" t="s">
        <v>134</v>
      </c>
      <c r="B984" t="s">
        <v>1098</v>
      </c>
      <c r="C984" t="s">
        <v>144</v>
      </c>
      <c r="E984" t="str">
        <f>'Remplissage - Sit. Init.'!F984</f>
        <v>FretFluvCat47NbTraj</v>
      </c>
      <c r="F984" t="s">
        <v>17</v>
      </c>
      <c r="G984">
        <f>IF($H$15="Oui",1,0)*IF(ISNUMBER(SEARCH("Une estimation du nombre annuel de trajets pour ce type de barge",H983)),1,0)</f>
        <v>1</v>
      </c>
      <c r="H984" s="8"/>
      <c r="I984" s="33"/>
      <c r="J984" t="s">
        <v>145</v>
      </c>
      <c r="K984" s="8"/>
    </row>
    <row r="985" spans="1:11" outlineLevel="1" x14ac:dyDescent="0.25">
      <c r="A985" t="s">
        <v>134</v>
      </c>
      <c r="B985" t="s">
        <v>1098</v>
      </c>
      <c r="C985" t="s">
        <v>146</v>
      </c>
      <c r="E985" t="str">
        <f>'Remplissage - Sit. Init.'!F985</f>
        <v>FretFluvCat47DistMoy</v>
      </c>
      <c r="F985" t="s">
        <v>17</v>
      </c>
      <c r="G985">
        <f>IF($H$15="Oui",1,0)*IF(ISNUMBER(SEARCH("La distance moyenne d'un trajet",H983)),1,0)</f>
        <v>1</v>
      </c>
      <c r="I985" s="33"/>
      <c r="J985" t="s">
        <v>88</v>
      </c>
    </row>
    <row r="986" spans="1:11" outlineLevel="1" x14ac:dyDescent="0.25">
      <c r="A986" t="s">
        <v>134</v>
      </c>
      <c r="B986" t="s">
        <v>1098</v>
      </c>
      <c r="C986" t="s">
        <v>147</v>
      </c>
      <c r="E986" t="str">
        <f>'Remplissage - Sit. Init.'!F986</f>
        <v>FretFluvCat47EmportMoy</v>
      </c>
      <c r="F986" t="s">
        <v>17</v>
      </c>
      <c r="G986">
        <f>IF($H$15="Oui",1,0)*IF(ISNUMBER(SEARCH("La masse moyenne transportée pour un trajet",H983)),1,0)</f>
        <v>1</v>
      </c>
      <c r="I986" s="33"/>
      <c r="J986" t="s">
        <v>148</v>
      </c>
    </row>
    <row r="987" spans="1:11" outlineLevel="1" x14ac:dyDescent="0.25">
      <c r="A987" t="s">
        <v>134</v>
      </c>
      <c r="B987" t="s">
        <v>1098</v>
      </c>
      <c r="C987" t="s">
        <v>149</v>
      </c>
      <c r="E987" t="str">
        <f>'Remplissage - Sit. Init.'!F987</f>
        <v>FretFluvCat47DistAn</v>
      </c>
      <c r="F987" t="s">
        <v>17</v>
      </c>
      <c r="G987">
        <f>IF($H$15="Oui",1,0)*IF(ISNUMBER(SEARCH("La distance parcourue annuellement pour ce type de barge",H983)),1,0)</f>
        <v>0</v>
      </c>
      <c r="I987" s="33"/>
      <c r="J987" t="s">
        <v>88</v>
      </c>
    </row>
    <row r="988" spans="1:11" outlineLevel="1" x14ac:dyDescent="0.25">
      <c r="A988" t="s">
        <v>134</v>
      </c>
      <c r="B988" t="s">
        <v>1098</v>
      </c>
      <c r="C988" t="s">
        <v>150</v>
      </c>
      <c r="E988" t="str">
        <f>'Remplissage - Sit. Init.'!F988</f>
        <v>FretFluvCat47TauxChargeMoy</v>
      </c>
      <c r="F988" t="s">
        <v>17</v>
      </c>
      <c r="G988">
        <f>IF($H$15="Oui",1,0)*IF(ISNUMBER(SEARCH("Le taux de chargement moyen",H983)),1,0)</f>
        <v>0</v>
      </c>
      <c r="I988" s="33"/>
      <c r="J988" t="s">
        <v>70</v>
      </c>
    </row>
    <row r="989" spans="1:11" outlineLevel="1" x14ac:dyDescent="0.25">
      <c r="A989" t="s">
        <v>134</v>
      </c>
      <c r="B989" t="s">
        <v>1098</v>
      </c>
      <c r="C989" t="s">
        <v>526</v>
      </c>
      <c r="E989" t="str">
        <f>'Remplissage - Sit. Init.'!F989</f>
        <v>FretFluvCat47NbBarges</v>
      </c>
      <c r="F989" t="s">
        <v>17</v>
      </c>
      <c r="G989">
        <f>IF($H$15="Oui",1,0)</f>
        <v>1</v>
      </c>
      <c r="I989" s="33"/>
      <c r="J989" t="s">
        <v>151</v>
      </c>
    </row>
    <row r="990" spans="1:11" outlineLevel="1" x14ac:dyDescent="0.25">
      <c r="A990" t="s">
        <v>134</v>
      </c>
      <c r="B990" t="s">
        <v>1111</v>
      </c>
      <c r="C990" t="s">
        <v>135</v>
      </c>
      <c r="E990" t="str">
        <f>'Remplissage - Sit. Init.'!F990</f>
        <v>FretFluvCat48Nom</v>
      </c>
      <c r="F990" s="32" t="s">
        <v>20</v>
      </c>
      <c r="G990">
        <f>IF($H$15="Oui",1,0)</f>
        <v>1</v>
      </c>
      <c r="I990" s="33" t="str">
        <f>VLOOKUP(B990,'Parcs types'!$B$65:$AA$120,2,FALSE)</f>
        <v>Pousseurs &lt;880 kW H2 , PAC</v>
      </c>
      <c r="K990" t="str">
        <f>I990</f>
        <v>Pousseurs &lt;880 kW H2 , PAC</v>
      </c>
    </row>
    <row r="991" spans="1:11" outlineLevel="1" x14ac:dyDescent="0.25">
      <c r="A991" t="s">
        <v>134</v>
      </c>
      <c r="B991" t="s">
        <v>1111</v>
      </c>
      <c r="C991" t="s">
        <v>136</v>
      </c>
      <c r="E991" t="str">
        <f>'Remplissage - Sit. Init.'!F991</f>
        <v>FretFluvCat48Type</v>
      </c>
      <c r="F991" t="s">
        <v>20</v>
      </c>
      <c r="G991">
        <f t="shared" ref="G991:G993" si="139">IF($H$15="Oui",1,0)</f>
        <v>1</v>
      </c>
      <c r="I991" s="33" t="str">
        <f>VLOOKUP(B991,'Parcs types'!$B$65:$AA$120,3,FALSE)</f>
        <v>Pousseurs</v>
      </c>
      <c r="K991" t="str">
        <f t="shared" ref="K991:K993" si="140">I991</f>
        <v>Pousseurs</v>
      </c>
    </row>
    <row r="992" spans="1:11" outlineLevel="1" x14ac:dyDescent="0.25">
      <c r="A992" t="s">
        <v>134</v>
      </c>
      <c r="B992" t="s">
        <v>1111</v>
      </c>
      <c r="C992" t="s">
        <v>137</v>
      </c>
      <c r="E992" t="str">
        <f>'Remplissage - Sit. Init.'!F992</f>
        <v>FretFluvCat48Cap</v>
      </c>
      <c r="F992" s="32" t="s">
        <v>36</v>
      </c>
      <c r="G992">
        <f t="shared" si="139"/>
        <v>1</v>
      </c>
      <c r="I992" s="33" t="str">
        <f>VLOOKUP(B992,'Parcs types'!$B$65:$AA$120,4,FALSE)</f>
        <v>&lt;880 kW</v>
      </c>
      <c r="J992" t="s">
        <v>524</v>
      </c>
      <c r="K992" t="str">
        <f t="shared" si="140"/>
        <v>&lt;880 kW</v>
      </c>
    </row>
    <row r="993" spans="1:11" outlineLevel="1" x14ac:dyDescent="0.25">
      <c r="A993" t="s">
        <v>134</v>
      </c>
      <c r="B993" t="s">
        <v>1111</v>
      </c>
      <c r="C993" t="s">
        <v>525</v>
      </c>
      <c r="E993" t="str">
        <f>'Remplissage - Sit. Init.'!F993</f>
        <v>FretFluvCat48Tech</v>
      </c>
      <c r="F993" s="32" t="s">
        <v>20</v>
      </c>
      <c r="G993">
        <f t="shared" si="139"/>
        <v>1</v>
      </c>
      <c r="I993" s="33" t="str">
        <f>VLOOKUP(B993,'Parcs types'!$B$65:$AA$120,5,FALSE)</f>
        <v>H2 , PAC</v>
      </c>
      <c r="K993" t="str">
        <f t="shared" si="140"/>
        <v>H2 , PAC</v>
      </c>
    </row>
    <row r="994" spans="1:11" outlineLevel="1" x14ac:dyDescent="0.25">
      <c r="A994" t="s">
        <v>134</v>
      </c>
      <c r="B994" t="s">
        <v>1111</v>
      </c>
      <c r="C994" t="s">
        <v>140</v>
      </c>
      <c r="E994" t="str">
        <f>'Remplissage - Sit. Init.'!F994</f>
        <v>FretFluvCat48Request</v>
      </c>
      <c r="F994" s="32" t="s">
        <v>20</v>
      </c>
      <c r="G994">
        <f>IF($H$15="Oui",1,0)</f>
        <v>1</v>
      </c>
      <c r="H994" t="s">
        <v>141</v>
      </c>
      <c r="I994" s="33" t="s">
        <v>142</v>
      </c>
      <c r="K994" s="7"/>
    </row>
    <row r="995" spans="1:11" outlineLevel="1" x14ac:dyDescent="0.25">
      <c r="A995" t="s">
        <v>134</v>
      </c>
      <c r="B995" t="s">
        <v>1111</v>
      </c>
      <c r="C995" t="s">
        <v>144</v>
      </c>
      <c r="E995" t="str">
        <f>'Remplissage - Sit. Init.'!F995</f>
        <v>FretFluvCat48NbTraj</v>
      </c>
      <c r="F995" t="s">
        <v>17</v>
      </c>
      <c r="G995">
        <f>IF($H$15="Oui",1,0)*IF(ISNUMBER(SEARCH("Une estimation du nombre annuel de trajets pour ce type de barge",H994)),1,0)</f>
        <v>1</v>
      </c>
      <c r="H995" s="8"/>
      <c r="I995" s="33"/>
      <c r="J995" t="s">
        <v>145</v>
      </c>
      <c r="K995" s="8"/>
    </row>
    <row r="996" spans="1:11" outlineLevel="1" x14ac:dyDescent="0.25">
      <c r="A996" t="s">
        <v>134</v>
      </c>
      <c r="B996" t="s">
        <v>1111</v>
      </c>
      <c r="C996" t="s">
        <v>146</v>
      </c>
      <c r="E996" t="str">
        <f>'Remplissage - Sit. Init.'!F996</f>
        <v>FretFluvCat48DistMoy</v>
      </c>
      <c r="F996" t="s">
        <v>17</v>
      </c>
      <c r="G996">
        <f>IF($H$15="Oui",1,0)*IF(ISNUMBER(SEARCH("La distance moyenne d'un trajet",H994)),1,0)</f>
        <v>1</v>
      </c>
      <c r="I996" s="33"/>
      <c r="J996" t="s">
        <v>88</v>
      </c>
    </row>
    <row r="997" spans="1:11" outlineLevel="1" x14ac:dyDescent="0.25">
      <c r="A997" t="s">
        <v>134</v>
      </c>
      <c r="B997" t="s">
        <v>1111</v>
      </c>
      <c r="C997" t="s">
        <v>147</v>
      </c>
      <c r="E997" t="str">
        <f>'Remplissage - Sit. Init.'!F997</f>
        <v>FretFluvCat48EmportMoy</v>
      </c>
      <c r="F997" t="s">
        <v>17</v>
      </c>
      <c r="G997">
        <f>IF($H$15="Oui",1,0)*IF(ISNUMBER(SEARCH("La masse moyenne transportée pour un trajet",H994)),1,0)</f>
        <v>1</v>
      </c>
      <c r="I997" s="33"/>
      <c r="J997" t="s">
        <v>148</v>
      </c>
    </row>
    <row r="998" spans="1:11" outlineLevel="1" x14ac:dyDescent="0.25">
      <c r="A998" t="s">
        <v>134</v>
      </c>
      <c r="B998" t="s">
        <v>1111</v>
      </c>
      <c r="C998" t="s">
        <v>149</v>
      </c>
      <c r="E998" t="str">
        <f>'Remplissage - Sit. Init.'!F998</f>
        <v>FretFluvCat48DistAn</v>
      </c>
      <c r="F998" t="s">
        <v>17</v>
      </c>
      <c r="G998">
        <f>IF($H$15="Oui",1,0)*IF(ISNUMBER(SEARCH("La distance parcourue annuellement pour ce type de barge",H994)),1,0)</f>
        <v>0</v>
      </c>
      <c r="I998" s="33"/>
      <c r="J998" t="s">
        <v>88</v>
      </c>
    </row>
    <row r="999" spans="1:11" outlineLevel="1" x14ac:dyDescent="0.25">
      <c r="A999" t="s">
        <v>134</v>
      </c>
      <c r="B999" t="s">
        <v>1111</v>
      </c>
      <c r="C999" t="s">
        <v>150</v>
      </c>
      <c r="E999" t="str">
        <f>'Remplissage - Sit. Init.'!F999</f>
        <v>FretFluvCat48TauxChargeMoy</v>
      </c>
      <c r="F999" t="s">
        <v>17</v>
      </c>
      <c r="G999">
        <f>IF($H$15="Oui",1,0)*IF(ISNUMBER(SEARCH("Le taux de chargement moyen",H994)),1,0)</f>
        <v>0</v>
      </c>
      <c r="I999" s="33"/>
      <c r="J999" t="s">
        <v>70</v>
      </c>
    </row>
    <row r="1000" spans="1:11" outlineLevel="1" x14ac:dyDescent="0.25">
      <c r="A1000" t="s">
        <v>134</v>
      </c>
      <c r="B1000" t="s">
        <v>1111</v>
      </c>
      <c r="C1000" t="s">
        <v>526</v>
      </c>
      <c r="E1000" t="str">
        <f>'Remplissage - Sit. Init.'!F1000</f>
        <v>FretFluvCat48NbBarges</v>
      </c>
      <c r="F1000" t="s">
        <v>17</v>
      </c>
      <c r="G1000">
        <f>IF($H$15="Oui",1,0)</f>
        <v>1</v>
      </c>
      <c r="I1000" s="33"/>
      <c r="J1000" t="s">
        <v>151</v>
      </c>
    </row>
    <row r="1001" spans="1:11" outlineLevel="1" x14ac:dyDescent="0.25">
      <c r="A1001" t="s">
        <v>134</v>
      </c>
      <c r="B1001" t="s">
        <v>1124</v>
      </c>
      <c r="C1001" t="s">
        <v>135</v>
      </c>
      <c r="E1001" t="str">
        <f>'Remplissage - Sit. Init.'!F1001</f>
        <v>FretFluvCat49Nom</v>
      </c>
      <c r="F1001" s="32" t="s">
        <v>20</v>
      </c>
      <c r="G1001">
        <f>IF($H$15="Oui",1,0)</f>
        <v>1</v>
      </c>
      <c r="I1001" s="33" t="str">
        <f>VLOOKUP(B1001,'Parcs types'!$B$65:$AA$120,2,FALSE)</f>
        <v>Pousseurs &lt;880 kW H2 , ICE</v>
      </c>
      <c r="K1001" t="str">
        <f>I1001</f>
        <v>Pousseurs &lt;880 kW H2 , ICE</v>
      </c>
    </row>
    <row r="1002" spans="1:11" outlineLevel="1" x14ac:dyDescent="0.25">
      <c r="A1002" t="s">
        <v>134</v>
      </c>
      <c r="B1002" t="s">
        <v>1124</v>
      </c>
      <c r="C1002" t="s">
        <v>136</v>
      </c>
      <c r="E1002" t="str">
        <f>'Remplissage - Sit. Init.'!F1002</f>
        <v>FretFluvCat49Type</v>
      </c>
      <c r="F1002" t="s">
        <v>20</v>
      </c>
      <c r="G1002">
        <f t="shared" ref="G1002:G1004" si="141">IF($H$15="Oui",1,0)</f>
        <v>1</v>
      </c>
      <c r="I1002" s="33" t="str">
        <f>VLOOKUP(B1002,'Parcs types'!$B$65:$AA$120,3,FALSE)</f>
        <v>Pousseurs</v>
      </c>
      <c r="K1002" t="str">
        <f t="shared" ref="K1002:K1004" si="142">I1002</f>
        <v>Pousseurs</v>
      </c>
    </row>
    <row r="1003" spans="1:11" outlineLevel="1" x14ac:dyDescent="0.25">
      <c r="A1003" t="s">
        <v>134</v>
      </c>
      <c r="B1003" t="s">
        <v>1124</v>
      </c>
      <c r="C1003" t="s">
        <v>137</v>
      </c>
      <c r="E1003" t="str">
        <f>'Remplissage - Sit. Init.'!F1003</f>
        <v>FretFluvCat49Cap</v>
      </c>
      <c r="F1003" s="32" t="s">
        <v>36</v>
      </c>
      <c r="G1003">
        <f t="shared" si="141"/>
        <v>1</v>
      </c>
      <c r="I1003" s="33" t="str">
        <f>VLOOKUP(B1003,'Parcs types'!$B$65:$AA$120,4,FALSE)</f>
        <v>&lt;880 kW</v>
      </c>
      <c r="J1003" t="s">
        <v>524</v>
      </c>
      <c r="K1003" t="str">
        <f t="shared" si="142"/>
        <v>&lt;880 kW</v>
      </c>
    </row>
    <row r="1004" spans="1:11" outlineLevel="1" x14ac:dyDescent="0.25">
      <c r="A1004" t="s">
        <v>134</v>
      </c>
      <c r="B1004" t="s">
        <v>1124</v>
      </c>
      <c r="C1004" t="s">
        <v>525</v>
      </c>
      <c r="E1004" t="str">
        <f>'Remplissage - Sit. Init.'!F1004</f>
        <v>FretFluvCat49Tech</v>
      </c>
      <c r="F1004" s="32" t="s">
        <v>20</v>
      </c>
      <c r="G1004">
        <f t="shared" si="141"/>
        <v>1</v>
      </c>
      <c r="I1004" s="33" t="str">
        <f>VLOOKUP(B1004,'Parcs types'!$B$65:$AA$120,5,FALSE)</f>
        <v>H2 , ICE</v>
      </c>
      <c r="K1004" t="str">
        <f t="shared" si="142"/>
        <v>H2 , ICE</v>
      </c>
    </row>
    <row r="1005" spans="1:11" outlineLevel="1" x14ac:dyDescent="0.25">
      <c r="A1005" t="s">
        <v>134</v>
      </c>
      <c r="B1005" t="s">
        <v>1124</v>
      </c>
      <c r="C1005" t="s">
        <v>140</v>
      </c>
      <c r="E1005" t="str">
        <f>'Remplissage - Sit. Init.'!F1005</f>
        <v>FretFluvCat49Request</v>
      </c>
      <c r="F1005" s="32" t="s">
        <v>20</v>
      </c>
      <c r="G1005">
        <f>IF($H$15="Oui",1,0)</f>
        <v>1</v>
      </c>
      <c r="H1005" t="s">
        <v>141</v>
      </c>
      <c r="I1005" s="33" t="s">
        <v>142</v>
      </c>
      <c r="K1005" s="7"/>
    </row>
    <row r="1006" spans="1:11" outlineLevel="1" x14ac:dyDescent="0.25">
      <c r="A1006" t="s">
        <v>134</v>
      </c>
      <c r="B1006" t="s">
        <v>1124</v>
      </c>
      <c r="C1006" t="s">
        <v>144</v>
      </c>
      <c r="E1006" t="str">
        <f>'Remplissage - Sit. Init.'!F1006</f>
        <v>FretFluvCat49NbTraj</v>
      </c>
      <c r="F1006" t="s">
        <v>17</v>
      </c>
      <c r="G1006">
        <f>IF($H$15="Oui",1,0)*IF(ISNUMBER(SEARCH("Une estimation du nombre annuel de trajets pour ce type de barge",H1005)),1,0)</f>
        <v>1</v>
      </c>
      <c r="H1006" s="8"/>
      <c r="I1006" s="33"/>
      <c r="J1006" t="s">
        <v>145</v>
      </c>
      <c r="K1006" s="8"/>
    </row>
    <row r="1007" spans="1:11" outlineLevel="1" x14ac:dyDescent="0.25">
      <c r="A1007" t="s">
        <v>134</v>
      </c>
      <c r="B1007" t="s">
        <v>1124</v>
      </c>
      <c r="C1007" t="s">
        <v>146</v>
      </c>
      <c r="E1007" t="str">
        <f>'Remplissage - Sit. Init.'!F1007</f>
        <v>FretFluvCat49DistMoy</v>
      </c>
      <c r="F1007" t="s">
        <v>17</v>
      </c>
      <c r="G1007">
        <f>IF($H$15="Oui",1,0)*IF(ISNUMBER(SEARCH("La distance moyenne d'un trajet",H1005)),1,0)</f>
        <v>1</v>
      </c>
      <c r="I1007" s="33"/>
      <c r="J1007" t="s">
        <v>88</v>
      </c>
    </row>
    <row r="1008" spans="1:11" outlineLevel="1" x14ac:dyDescent="0.25">
      <c r="A1008" t="s">
        <v>134</v>
      </c>
      <c r="B1008" t="s">
        <v>1124</v>
      </c>
      <c r="C1008" t="s">
        <v>147</v>
      </c>
      <c r="E1008" t="str">
        <f>'Remplissage - Sit. Init.'!F1008</f>
        <v>FretFluvCat49EmportMoy</v>
      </c>
      <c r="F1008" t="s">
        <v>17</v>
      </c>
      <c r="G1008">
        <f>IF($H$15="Oui",1,0)*IF(ISNUMBER(SEARCH("La masse moyenne transportée pour un trajet",H1005)),1,0)</f>
        <v>1</v>
      </c>
      <c r="I1008" s="33"/>
      <c r="J1008" t="s">
        <v>148</v>
      </c>
    </row>
    <row r="1009" spans="1:11" outlineLevel="1" x14ac:dyDescent="0.25">
      <c r="A1009" t="s">
        <v>134</v>
      </c>
      <c r="B1009" t="s">
        <v>1124</v>
      </c>
      <c r="C1009" t="s">
        <v>149</v>
      </c>
      <c r="E1009" t="str">
        <f>'Remplissage - Sit. Init.'!F1009</f>
        <v>FretFluvCat49DistAn</v>
      </c>
      <c r="F1009" t="s">
        <v>17</v>
      </c>
      <c r="G1009">
        <f>IF($H$15="Oui",1,0)*IF(ISNUMBER(SEARCH("La distance parcourue annuellement pour ce type de barge",H1005)),1,0)</f>
        <v>0</v>
      </c>
      <c r="I1009" s="33"/>
      <c r="J1009" t="s">
        <v>88</v>
      </c>
    </row>
    <row r="1010" spans="1:11" outlineLevel="1" x14ac:dyDescent="0.25">
      <c r="A1010" t="s">
        <v>134</v>
      </c>
      <c r="B1010" t="s">
        <v>1124</v>
      </c>
      <c r="C1010" t="s">
        <v>150</v>
      </c>
      <c r="E1010" t="str">
        <f>'Remplissage - Sit. Init.'!F1010</f>
        <v>FretFluvCat49TauxChargeMoy</v>
      </c>
      <c r="F1010" t="s">
        <v>17</v>
      </c>
      <c r="G1010">
        <f>IF($H$15="Oui",1,0)*IF(ISNUMBER(SEARCH("Le taux de chargement moyen",H1005)),1,0)</f>
        <v>0</v>
      </c>
      <c r="I1010" s="33"/>
      <c r="J1010" t="s">
        <v>70</v>
      </c>
    </row>
    <row r="1011" spans="1:11" outlineLevel="1" x14ac:dyDescent="0.25">
      <c r="A1011" t="s">
        <v>134</v>
      </c>
      <c r="B1011" t="s">
        <v>1124</v>
      </c>
      <c r="C1011" t="s">
        <v>526</v>
      </c>
      <c r="E1011" t="str">
        <f>'Remplissage - Sit. Init.'!F1011</f>
        <v>FretFluvCat49NbBarges</v>
      </c>
      <c r="F1011" t="s">
        <v>17</v>
      </c>
      <c r="G1011">
        <f>IF($H$15="Oui",1,0)</f>
        <v>1</v>
      </c>
      <c r="I1011" s="33"/>
      <c r="J1011" t="s">
        <v>151</v>
      </c>
    </row>
    <row r="1012" spans="1:11" outlineLevel="1" x14ac:dyDescent="0.25">
      <c r="A1012" t="s">
        <v>134</v>
      </c>
      <c r="B1012" t="s">
        <v>1137</v>
      </c>
      <c r="C1012" t="s">
        <v>135</v>
      </c>
      <c r="E1012" t="str">
        <f>'Remplissage - Sit. Init.'!F1012</f>
        <v>FretFluvCat50Nom</v>
      </c>
      <c r="F1012" s="32" t="s">
        <v>20</v>
      </c>
      <c r="G1012">
        <f>IF($H$15="Oui",1,0)</f>
        <v>1</v>
      </c>
      <c r="I1012" s="33" t="str">
        <f>VLOOKUP(B1012,'Parcs types'!$B$65:$AA$120,2,FALSE)</f>
        <v>Pousseurs &gt;880 kW CCNR 2 ou inférieur, diesel</v>
      </c>
      <c r="K1012" t="str">
        <f>I1012</f>
        <v>Pousseurs &gt;880 kW CCNR 2 ou inférieur, diesel</v>
      </c>
    </row>
    <row r="1013" spans="1:11" outlineLevel="1" x14ac:dyDescent="0.25">
      <c r="A1013" t="s">
        <v>134</v>
      </c>
      <c r="B1013" t="s">
        <v>1137</v>
      </c>
      <c r="C1013" t="s">
        <v>136</v>
      </c>
      <c r="E1013" t="str">
        <f>'Remplissage - Sit. Init.'!F1013</f>
        <v>FretFluvCat50Type</v>
      </c>
      <c r="F1013" t="s">
        <v>20</v>
      </c>
      <c r="G1013">
        <f t="shared" ref="G1013:G1015" si="143">IF($H$15="Oui",1,0)</f>
        <v>1</v>
      </c>
      <c r="I1013" s="33" t="str">
        <f>VLOOKUP(B1013,'Parcs types'!$B$65:$AA$120,3,FALSE)</f>
        <v>Pousseurs</v>
      </c>
      <c r="K1013" t="str">
        <f t="shared" ref="K1013:K1015" si="144">I1013</f>
        <v>Pousseurs</v>
      </c>
    </row>
    <row r="1014" spans="1:11" outlineLevel="1" x14ac:dyDescent="0.25">
      <c r="A1014" t="s">
        <v>134</v>
      </c>
      <c r="B1014" t="s">
        <v>1137</v>
      </c>
      <c r="C1014" t="s">
        <v>137</v>
      </c>
      <c r="E1014" t="str">
        <f>'Remplissage - Sit. Init.'!F1014</f>
        <v>FretFluvCat50Cap</v>
      </c>
      <c r="F1014" s="32" t="s">
        <v>36</v>
      </c>
      <c r="G1014">
        <f t="shared" si="143"/>
        <v>1</v>
      </c>
      <c r="I1014" s="33" t="str">
        <f>VLOOKUP(B1014,'Parcs types'!$B$65:$AA$120,4,FALSE)</f>
        <v>&gt;880 kW</v>
      </c>
      <c r="J1014" t="s">
        <v>524</v>
      </c>
      <c r="K1014" t="str">
        <f t="shared" si="144"/>
        <v>&gt;880 kW</v>
      </c>
    </row>
    <row r="1015" spans="1:11" outlineLevel="1" x14ac:dyDescent="0.25">
      <c r="A1015" t="s">
        <v>134</v>
      </c>
      <c r="B1015" t="s">
        <v>1137</v>
      </c>
      <c r="C1015" t="s">
        <v>525</v>
      </c>
      <c r="E1015" t="str">
        <f>'Remplissage - Sit. Init.'!F1015</f>
        <v>FretFluvCat50Tech</v>
      </c>
      <c r="F1015" s="32" t="s">
        <v>20</v>
      </c>
      <c r="G1015">
        <f t="shared" si="143"/>
        <v>1</v>
      </c>
      <c r="I1015" s="33" t="str">
        <f>VLOOKUP(B1015,'Parcs types'!$B$65:$AA$120,5,FALSE)</f>
        <v>CCNR 2 ou inférieur, diesel</v>
      </c>
      <c r="K1015" t="str">
        <f t="shared" si="144"/>
        <v>CCNR 2 ou inférieur, diesel</v>
      </c>
    </row>
    <row r="1016" spans="1:11" outlineLevel="1" x14ac:dyDescent="0.25">
      <c r="A1016" t="s">
        <v>134</v>
      </c>
      <c r="B1016" t="s">
        <v>1137</v>
      </c>
      <c r="C1016" t="s">
        <v>140</v>
      </c>
      <c r="E1016" t="str">
        <f>'Remplissage - Sit. Init.'!F1016</f>
        <v>FretFluvCat50Request</v>
      </c>
      <c r="F1016" s="32" t="s">
        <v>20</v>
      </c>
      <c r="G1016">
        <f>IF($H$15="Oui",1,0)</f>
        <v>1</v>
      </c>
      <c r="H1016" t="s">
        <v>141</v>
      </c>
      <c r="I1016" s="33" t="s">
        <v>142</v>
      </c>
      <c r="K1016" s="7"/>
    </row>
    <row r="1017" spans="1:11" outlineLevel="1" x14ac:dyDescent="0.25">
      <c r="A1017" t="s">
        <v>134</v>
      </c>
      <c r="B1017" t="s">
        <v>1137</v>
      </c>
      <c r="C1017" t="s">
        <v>144</v>
      </c>
      <c r="E1017" t="str">
        <f>'Remplissage - Sit. Init.'!F1017</f>
        <v>FretFluvCat50NbTraj</v>
      </c>
      <c r="F1017" t="s">
        <v>17</v>
      </c>
      <c r="G1017">
        <f>IF($H$15="Oui",1,0)*IF(ISNUMBER(SEARCH("Une estimation du nombre annuel de trajets pour ce type de barge",H1016)),1,0)</f>
        <v>1</v>
      </c>
      <c r="H1017" s="8"/>
      <c r="I1017" s="33"/>
      <c r="J1017" t="s">
        <v>145</v>
      </c>
      <c r="K1017" s="8"/>
    </row>
    <row r="1018" spans="1:11" outlineLevel="1" x14ac:dyDescent="0.25">
      <c r="A1018" t="s">
        <v>134</v>
      </c>
      <c r="B1018" t="s">
        <v>1137</v>
      </c>
      <c r="C1018" t="s">
        <v>146</v>
      </c>
      <c r="E1018" t="str">
        <f>'Remplissage - Sit. Init.'!F1018</f>
        <v>FretFluvCat50DistMoy</v>
      </c>
      <c r="F1018" t="s">
        <v>17</v>
      </c>
      <c r="G1018">
        <f>IF($H$15="Oui",1,0)*IF(ISNUMBER(SEARCH("La distance moyenne d'un trajet",H1016)),1,0)</f>
        <v>1</v>
      </c>
      <c r="H1018" s="8"/>
      <c r="I1018" s="33"/>
      <c r="J1018" t="s">
        <v>88</v>
      </c>
      <c r="K1018" s="8"/>
    </row>
    <row r="1019" spans="1:11" outlineLevel="1" x14ac:dyDescent="0.25">
      <c r="A1019" t="s">
        <v>134</v>
      </c>
      <c r="B1019" t="s">
        <v>1137</v>
      </c>
      <c r="C1019" t="s">
        <v>147</v>
      </c>
      <c r="E1019" t="str">
        <f>'Remplissage - Sit. Init.'!F1019</f>
        <v>FretFluvCat50EmportMoy</v>
      </c>
      <c r="F1019" t="s">
        <v>17</v>
      </c>
      <c r="G1019">
        <f>IF($H$15="Oui",1,0)*IF(ISNUMBER(SEARCH("La masse moyenne transportée pour un trajet",H1016)),1,0)</f>
        <v>1</v>
      </c>
      <c r="H1019" s="8"/>
      <c r="I1019" s="33"/>
      <c r="J1019" t="s">
        <v>148</v>
      </c>
      <c r="K1019" s="8"/>
    </row>
    <row r="1020" spans="1:11" outlineLevel="1" x14ac:dyDescent="0.25">
      <c r="A1020" t="s">
        <v>134</v>
      </c>
      <c r="B1020" t="s">
        <v>1137</v>
      </c>
      <c r="C1020" t="s">
        <v>149</v>
      </c>
      <c r="E1020" t="str">
        <f>'Remplissage - Sit. Init.'!F1020</f>
        <v>FretFluvCat50DistAn</v>
      </c>
      <c r="F1020" t="s">
        <v>17</v>
      </c>
      <c r="G1020">
        <f>IF($H$15="Oui",1,0)*IF(ISNUMBER(SEARCH("La distance parcourue annuellement pour ce type de barge",H1016)),1,0)</f>
        <v>0</v>
      </c>
      <c r="H1020" s="8"/>
      <c r="I1020" s="33"/>
      <c r="J1020" t="s">
        <v>88</v>
      </c>
      <c r="K1020" s="8"/>
    </row>
    <row r="1021" spans="1:11" outlineLevel="1" x14ac:dyDescent="0.25">
      <c r="A1021" t="s">
        <v>134</v>
      </c>
      <c r="B1021" t="s">
        <v>1137</v>
      </c>
      <c r="C1021" t="s">
        <v>150</v>
      </c>
      <c r="E1021" t="str">
        <f>'Remplissage - Sit. Init.'!F1021</f>
        <v>FretFluvCat50TauxChargeMoy</v>
      </c>
      <c r="F1021" t="s">
        <v>17</v>
      </c>
      <c r="G1021">
        <f>IF($H$15="Oui",1,0)*IF(ISNUMBER(SEARCH("Le taux de chargement moyen",H1016)),1,0)</f>
        <v>0</v>
      </c>
      <c r="H1021" s="8"/>
      <c r="I1021" s="33"/>
      <c r="J1021" t="s">
        <v>70</v>
      </c>
      <c r="K1021" s="8"/>
    </row>
    <row r="1022" spans="1:11" outlineLevel="1" x14ac:dyDescent="0.25">
      <c r="A1022" t="s">
        <v>134</v>
      </c>
      <c r="B1022" t="s">
        <v>1137</v>
      </c>
      <c r="C1022" t="s">
        <v>526</v>
      </c>
      <c r="E1022" t="str">
        <f>'Remplissage - Sit. Init.'!F1022</f>
        <v>FretFluvCat50NbBarges</v>
      </c>
      <c r="F1022" t="s">
        <v>17</v>
      </c>
      <c r="G1022">
        <f>IF($H$15="Oui",1,0)</f>
        <v>1</v>
      </c>
      <c r="H1022" s="8"/>
      <c r="I1022" s="33"/>
      <c r="J1022" t="s">
        <v>151</v>
      </c>
      <c r="K1022" s="8"/>
    </row>
    <row r="1023" spans="1:11" outlineLevel="1" x14ac:dyDescent="0.25">
      <c r="A1023" t="s">
        <v>134</v>
      </c>
      <c r="B1023" t="s">
        <v>1151</v>
      </c>
      <c r="C1023" t="s">
        <v>135</v>
      </c>
      <c r="E1023" t="str">
        <f>'Remplissage - Sit. Init.'!F1023</f>
        <v>FretFluvCat51Nom</v>
      </c>
      <c r="F1023" s="32" t="s">
        <v>20</v>
      </c>
      <c r="G1023">
        <f>IF($H$15="Oui",1,0)</f>
        <v>1</v>
      </c>
      <c r="H1023" s="8"/>
      <c r="I1023" s="33" t="str">
        <f>VLOOKUP(B1023,'Parcs types'!$B$65:$AA$120,2,FALSE)</f>
        <v>Pousseurs &gt;880 kW CCNR 2 + SCR, diesel</v>
      </c>
      <c r="K1023" t="str">
        <f>I1023</f>
        <v>Pousseurs &gt;880 kW CCNR 2 + SCR, diesel</v>
      </c>
    </row>
    <row r="1024" spans="1:11" outlineLevel="1" x14ac:dyDescent="0.25">
      <c r="A1024" t="s">
        <v>134</v>
      </c>
      <c r="B1024" t="s">
        <v>1151</v>
      </c>
      <c r="C1024" t="s">
        <v>136</v>
      </c>
      <c r="E1024" t="str">
        <f>'Remplissage - Sit. Init.'!F1024</f>
        <v>FretFluvCat51Type</v>
      </c>
      <c r="F1024" t="s">
        <v>20</v>
      </c>
      <c r="G1024">
        <f t="shared" ref="G1024:G1026" si="145">IF($H$15="Oui",1,0)</f>
        <v>1</v>
      </c>
      <c r="H1024" s="8"/>
      <c r="I1024" s="33" t="str">
        <f>VLOOKUP(B1024,'Parcs types'!$B$65:$AA$120,3,FALSE)</f>
        <v>Pousseurs</v>
      </c>
      <c r="K1024" t="str">
        <f t="shared" ref="K1024:K1026" si="146">I1024</f>
        <v>Pousseurs</v>
      </c>
    </row>
    <row r="1025" spans="1:11" outlineLevel="1" x14ac:dyDescent="0.25">
      <c r="A1025" t="s">
        <v>134</v>
      </c>
      <c r="B1025" t="s">
        <v>1151</v>
      </c>
      <c r="C1025" t="s">
        <v>137</v>
      </c>
      <c r="E1025" t="str">
        <f>'Remplissage - Sit. Init.'!F1025</f>
        <v>FretFluvCat51Cap</v>
      </c>
      <c r="F1025" s="32" t="s">
        <v>36</v>
      </c>
      <c r="G1025">
        <f t="shared" si="145"/>
        <v>1</v>
      </c>
      <c r="H1025" s="8"/>
      <c r="I1025" s="33" t="str">
        <f>VLOOKUP(B1025,'Parcs types'!$B$65:$AA$120,4,FALSE)</f>
        <v>&gt;880 kW</v>
      </c>
      <c r="J1025" t="s">
        <v>524</v>
      </c>
      <c r="K1025" t="str">
        <f t="shared" si="146"/>
        <v>&gt;880 kW</v>
      </c>
    </row>
    <row r="1026" spans="1:11" outlineLevel="1" x14ac:dyDescent="0.25">
      <c r="A1026" t="s">
        <v>134</v>
      </c>
      <c r="B1026" t="s">
        <v>1151</v>
      </c>
      <c r="C1026" t="s">
        <v>525</v>
      </c>
      <c r="E1026" t="str">
        <f>'Remplissage - Sit. Init.'!F1026</f>
        <v>FretFluvCat51Tech</v>
      </c>
      <c r="F1026" s="32" t="s">
        <v>20</v>
      </c>
      <c r="G1026">
        <f t="shared" si="145"/>
        <v>1</v>
      </c>
      <c r="H1026" s="8"/>
      <c r="I1026" s="33" t="str">
        <f>VLOOKUP(B1026,'Parcs types'!$B$65:$AA$120,5,FALSE)</f>
        <v>CCNR 2 + SCR, diesel</v>
      </c>
      <c r="K1026" t="str">
        <f t="shared" si="146"/>
        <v>CCNR 2 + SCR, diesel</v>
      </c>
    </row>
    <row r="1027" spans="1:11" outlineLevel="1" x14ac:dyDescent="0.25">
      <c r="A1027" t="s">
        <v>134</v>
      </c>
      <c r="B1027" t="s">
        <v>1151</v>
      </c>
      <c r="C1027" t="s">
        <v>140</v>
      </c>
      <c r="E1027" t="str">
        <f>'Remplissage - Sit. Init.'!F1027</f>
        <v>FretFluvCat51Request</v>
      </c>
      <c r="F1027" s="32" t="s">
        <v>20</v>
      </c>
      <c r="G1027">
        <f>IF($H$15="Oui",1,0)</f>
        <v>1</v>
      </c>
      <c r="H1027" t="s">
        <v>141</v>
      </c>
      <c r="I1027" s="33" t="s">
        <v>142</v>
      </c>
      <c r="K1027" s="8"/>
    </row>
    <row r="1028" spans="1:11" outlineLevel="1" x14ac:dyDescent="0.25">
      <c r="A1028" t="s">
        <v>134</v>
      </c>
      <c r="B1028" t="s">
        <v>1151</v>
      </c>
      <c r="C1028" t="s">
        <v>144</v>
      </c>
      <c r="E1028" t="str">
        <f>'Remplissage - Sit. Init.'!F1028</f>
        <v>FretFluvCat51NbTraj</v>
      </c>
      <c r="F1028" t="s">
        <v>17</v>
      </c>
      <c r="G1028">
        <f>IF($H$15="Oui",1,0)*IF(ISNUMBER(SEARCH("Une estimation du nombre annuel de trajets pour ce type de barge",H1027)),1,0)</f>
        <v>1</v>
      </c>
      <c r="H1028" s="8"/>
      <c r="I1028" s="33"/>
      <c r="J1028" t="s">
        <v>145</v>
      </c>
      <c r="K1028" s="8"/>
    </row>
    <row r="1029" spans="1:11" outlineLevel="1" x14ac:dyDescent="0.25">
      <c r="A1029" t="s">
        <v>134</v>
      </c>
      <c r="B1029" t="s">
        <v>1151</v>
      </c>
      <c r="C1029" t="s">
        <v>146</v>
      </c>
      <c r="E1029" t="str">
        <f>'Remplissage - Sit. Init.'!F1029</f>
        <v>FretFluvCat51DistMoy</v>
      </c>
      <c r="F1029" t="s">
        <v>17</v>
      </c>
      <c r="G1029">
        <f>IF($H$15="Oui",1,0)*IF(ISNUMBER(SEARCH("La distance moyenne d'un trajet",H1027)),1,0)</f>
        <v>1</v>
      </c>
      <c r="H1029" s="8"/>
      <c r="I1029" s="33"/>
      <c r="J1029" t="s">
        <v>88</v>
      </c>
      <c r="K1029" s="8"/>
    </row>
    <row r="1030" spans="1:11" outlineLevel="1" x14ac:dyDescent="0.25">
      <c r="A1030" t="s">
        <v>134</v>
      </c>
      <c r="B1030" t="s">
        <v>1151</v>
      </c>
      <c r="C1030" t="s">
        <v>147</v>
      </c>
      <c r="E1030" t="str">
        <f>'Remplissage - Sit. Init.'!F1030</f>
        <v>FretFluvCat51EmportMoy</v>
      </c>
      <c r="F1030" t="s">
        <v>17</v>
      </c>
      <c r="G1030">
        <f>IF($H$15="Oui",1,0)*IF(ISNUMBER(SEARCH("La masse moyenne transportée pour un trajet",H1027)),1,0)</f>
        <v>1</v>
      </c>
      <c r="H1030" s="8"/>
      <c r="I1030" s="33"/>
      <c r="J1030" t="s">
        <v>148</v>
      </c>
      <c r="K1030" s="8"/>
    </row>
    <row r="1031" spans="1:11" outlineLevel="1" x14ac:dyDescent="0.25">
      <c r="A1031" t="s">
        <v>134</v>
      </c>
      <c r="B1031" t="s">
        <v>1151</v>
      </c>
      <c r="C1031" t="s">
        <v>149</v>
      </c>
      <c r="E1031" t="str">
        <f>'Remplissage - Sit. Init.'!F1031</f>
        <v>FretFluvCat51DistAn</v>
      </c>
      <c r="F1031" t="s">
        <v>17</v>
      </c>
      <c r="G1031">
        <f>IF($H$15="Oui",1,0)*IF(ISNUMBER(SEARCH("La distance parcourue annuellement pour ce type de barge",H1027)),1,0)</f>
        <v>0</v>
      </c>
      <c r="H1031" s="8"/>
      <c r="I1031" s="33"/>
      <c r="J1031" t="s">
        <v>88</v>
      </c>
      <c r="K1031" s="8"/>
    </row>
    <row r="1032" spans="1:11" outlineLevel="1" x14ac:dyDescent="0.25">
      <c r="A1032" t="s">
        <v>134</v>
      </c>
      <c r="B1032" t="s">
        <v>1151</v>
      </c>
      <c r="C1032" t="s">
        <v>150</v>
      </c>
      <c r="E1032" t="str">
        <f>'Remplissage - Sit. Init.'!F1032</f>
        <v>FretFluvCat51TauxChargeMoy</v>
      </c>
      <c r="F1032" t="s">
        <v>17</v>
      </c>
      <c r="G1032">
        <f>IF($H$15="Oui",1,0)*IF(ISNUMBER(SEARCH("Le taux de chargement moyen",H1027)),1,0)</f>
        <v>0</v>
      </c>
      <c r="H1032" s="8"/>
      <c r="I1032" s="33"/>
      <c r="J1032" t="s">
        <v>70</v>
      </c>
      <c r="K1032" s="8"/>
    </row>
    <row r="1033" spans="1:11" outlineLevel="1" x14ac:dyDescent="0.25">
      <c r="A1033" t="s">
        <v>134</v>
      </c>
      <c r="B1033" t="s">
        <v>1151</v>
      </c>
      <c r="C1033" t="s">
        <v>526</v>
      </c>
      <c r="E1033" t="str">
        <f>'Remplissage - Sit. Init.'!F1033</f>
        <v>FretFluvCat51NbBarges</v>
      </c>
      <c r="F1033" t="s">
        <v>17</v>
      </c>
      <c r="G1033">
        <f>IF($H$15="Oui",1,0)</f>
        <v>1</v>
      </c>
      <c r="H1033" s="8"/>
      <c r="I1033" s="33"/>
      <c r="J1033" t="s">
        <v>151</v>
      </c>
      <c r="K1033" s="8"/>
    </row>
    <row r="1034" spans="1:11" outlineLevel="1" x14ac:dyDescent="0.25">
      <c r="A1034" t="s">
        <v>134</v>
      </c>
      <c r="B1034" t="s">
        <v>1164</v>
      </c>
      <c r="C1034" t="s">
        <v>135</v>
      </c>
      <c r="E1034" t="str">
        <f>'Remplissage - Sit. Init.'!F1034</f>
        <v>FretFluvCat52Nom</v>
      </c>
      <c r="F1034" s="32" t="s">
        <v>20</v>
      </c>
      <c r="G1034">
        <f>IF($H$15="Oui",1,0)</f>
        <v>1</v>
      </c>
      <c r="H1034" s="8"/>
      <c r="I1034" s="33" t="str">
        <f>VLOOKUP(B1034,'Parcs types'!$B$65:$AA$120,2,FALSE)</f>
        <v>Pousseurs &gt;880 kW Phase V, diesel</v>
      </c>
      <c r="K1034" t="str">
        <f>I1034</f>
        <v>Pousseurs &gt;880 kW Phase V, diesel</v>
      </c>
    </row>
    <row r="1035" spans="1:11" outlineLevel="1" x14ac:dyDescent="0.25">
      <c r="A1035" t="s">
        <v>134</v>
      </c>
      <c r="B1035" t="s">
        <v>1164</v>
      </c>
      <c r="C1035" t="s">
        <v>136</v>
      </c>
      <c r="E1035" t="str">
        <f>'Remplissage - Sit. Init.'!F1035</f>
        <v>FretFluvCat52Type</v>
      </c>
      <c r="F1035" t="s">
        <v>20</v>
      </c>
      <c r="G1035">
        <f t="shared" ref="G1035:G1037" si="147">IF($H$15="Oui",1,0)</f>
        <v>1</v>
      </c>
      <c r="H1035" s="8"/>
      <c r="I1035" s="33" t="str">
        <f>VLOOKUP(B1035,'Parcs types'!$B$65:$AA$120,3,FALSE)</f>
        <v>Pousseurs</v>
      </c>
      <c r="K1035" t="str">
        <f t="shared" ref="K1035:K1037" si="148">I1035</f>
        <v>Pousseurs</v>
      </c>
    </row>
    <row r="1036" spans="1:11" outlineLevel="1" x14ac:dyDescent="0.25">
      <c r="A1036" t="s">
        <v>134</v>
      </c>
      <c r="B1036" t="s">
        <v>1164</v>
      </c>
      <c r="C1036" t="s">
        <v>137</v>
      </c>
      <c r="E1036" t="str">
        <f>'Remplissage - Sit. Init.'!F1036</f>
        <v>FretFluvCat52Cap</v>
      </c>
      <c r="F1036" s="32" t="s">
        <v>36</v>
      </c>
      <c r="G1036">
        <f t="shared" si="147"/>
        <v>1</v>
      </c>
      <c r="H1036" s="8"/>
      <c r="I1036" s="33" t="str">
        <f>VLOOKUP(B1036,'Parcs types'!$B$65:$AA$120,4,FALSE)</f>
        <v>&gt;880 kW</v>
      </c>
      <c r="J1036" t="s">
        <v>524</v>
      </c>
      <c r="K1036" t="str">
        <f t="shared" si="148"/>
        <v>&gt;880 kW</v>
      </c>
    </row>
    <row r="1037" spans="1:11" outlineLevel="1" x14ac:dyDescent="0.25">
      <c r="A1037" t="s">
        <v>134</v>
      </c>
      <c r="B1037" t="s">
        <v>1164</v>
      </c>
      <c r="C1037" t="s">
        <v>525</v>
      </c>
      <c r="E1037" t="str">
        <f>'Remplissage - Sit. Init.'!F1037</f>
        <v>FretFluvCat52Tech</v>
      </c>
      <c r="F1037" s="32" t="s">
        <v>20</v>
      </c>
      <c r="G1037">
        <f t="shared" si="147"/>
        <v>1</v>
      </c>
      <c r="H1037" s="8"/>
      <c r="I1037" s="33" t="str">
        <f>VLOOKUP(B1037,'Parcs types'!$B$65:$AA$120,5,FALSE)</f>
        <v>Phase V, diesel</v>
      </c>
      <c r="K1037" t="str">
        <f t="shared" si="148"/>
        <v>Phase V, diesel</v>
      </c>
    </row>
    <row r="1038" spans="1:11" outlineLevel="1" x14ac:dyDescent="0.25">
      <c r="A1038" t="s">
        <v>134</v>
      </c>
      <c r="B1038" t="s">
        <v>1164</v>
      </c>
      <c r="C1038" t="s">
        <v>140</v>
      </c>
      <c r="E1038" t="str">
        <f>'Remplissage - Sit. Init.'!F1038</f>
        <v>FretFluvCat52Request</v>
      </c>
      <c r="F1038" s="32" t="s">
        <v>20</v>
      </c>
      <c r="G1038">
        <f>IF($H$15="Oui",1,0)</f>
        <v>1</v>
      </c>
      <c r="H1038" t="s">
        <v>141</v>
      </c>
      <c r="I1038" s="33" t="s">
        <v>142</v>
      </c>
      <c r="K1038" s="8"/>
    </row>
    <row r="1039" spans="1:11" outlineLevel="1" x14ac:dyDescent="0.25">
      <c r="A1039" t="s">
        <v>134</v>
      </c>
      <c r="B1039" t="s">
        <v>1164</v>
      </c>
      <c r="C1039" t="s">
        <v>144</v>
      </c>
      <c r="E1039" t="str">
        <f>'Remplissage - Sit. Init.'!F1039</f>
        <v>FretFluvCat52NbTraj</v>
      </c>
      <c r="F1039" t="s">
        <v>17</v>
      </c>
      <c r="G1039">
        <f>IF($H$15="Oui",1,0)*IF(ISNUMBER(SEARCH("Une estimation du nombre annuel de trajets pour ce type de barge",H1038)),1,0)</f>
        <v>1</v>
      </c>
      <c r="H1039" s="8"/>
      <c r="I1039" s="33"/>
      <c r="J1039" t="s">
        <v>145</v>
      </c>
      <c r="K1039" s="8"/>
    </row>
    <row r="1040" spans="1:11" outlineLevel="1" x14ac:dyDescent="0.25">
      <c r="A1040" t="s">
        <v>134</v>
      </c>
      <c r="B1040" t="s">
        <v>1164</v>
      </c>
      <c r="C1040" t="s">
        <v>146</v>
      </c>
      <c r="E1040" t="str">
        <f>'Remplissage - Sit. Init.'!F1040</f>
        <v>FretFluvCat52DistMoy</v>
      </c>
      <c r="F1040" t="s">
        <v>17</v>
      </c>
      <c r="G1040">
        <f>IF($H$15="Oui",1,0)*IF(ISNUMBER(SEARCH("La distance moyenne d'un trajet",H1038)),1,0)</f>
        <v>1</v>
      </c>
      <c r="H1040" s="8"/>
      <c r="I1040" s="33"/>
      <c r="J1040" t="s">
        <v>88</v>
      </c>
      <c r="K1040" s="8"/>
    </row>
    <row r="1041" spans="1:11" outlineLevel="1" x14ac:dyDescent="0.25">
      <c r="A1041" t="s">
        <v>134</v>
      </c>
      <c r="B1041" t="s">
        <v>1164</v>
      </c>
      <c r="C1041" t="s">
        <v>147</v>
      </c>
      <c r="E1041" t="str">
        <f>'Remplissage - Sit. Init.'!F1041</f>
        <v>FretFluvCat52EmportMoy</v>
      </c>
      <c r="F1041" t="s">
        <v>17</v>
      </c>
      <c r="G1041">
        <f>IF($H$15="Oui",1,0)*IF(ISNUMBER(SEARCH("La masse moyenne transportée pour un trajet",H1038)),1,0)</f>
        <v>1</v>
      </c>
      <c r="H1041" s="8"/>
      <c r="I1041" s="33"/>
      <c r="J1041" t="s">
        <v>148</v>
      </c>
      <c r="K1041" s="8"/>
    </row>
    <row r="1042" spans="1:11" outlineLevel="1" x14ac:dyDescent="0.25">
      <c r="A1042" t="s">
        <v>134</v>
      </c>
      <c r="B1042" t="s">
        <v>1164</v>
      </c>
      <c r="C1042" t="s">
        <v>149</v>
      </c>
      <c r="E1042" t="str">
        <f>'Remplissage - Sit. Init.'!F1042</f>
        <v>FretFluvCat52DistAn</v>
      </c>
      <c r="F1042" t="s">
        <v>17</v>
      </c>
      <c r="G1042">
        <f>IF($H$15="Oui",1,0)*IF(ISNUMBER(SEARCH("La distance parcourue annuellement pour ce type de barge",H1038)),1,0)</f>
        <v>0</v>
      </c>
      <c r="H1042" s="8"/>
      <c r="I1042" s="33"/>
      <c r="J1042" t="s">
        <v>88</v>
      </c>
      <c r="K1042" s="8"/>
    </row>
    <row r="1043" spans="1:11" outlineLevel="1" x14ac:dyDescent="0.25">
      <c r="A1043" t="s">
        <v>134</v>
      </c>
      <c r="B1043" t="s">
        <v>1164</v>
      </c>
      <c r="C1043" t="s">
        <v>150</v>
      </c>
      <c r="E1043" t="str">
        <f>'Remplissage - Sit. Init.'!F1043</f>
        <v>FretFluvCat52TauxChargeMoy</v>
      </c>
      <c r="F1043" t="s">
        <v>17</v>
      </c>
      <c r="G1043">
        <f>IF($H$15="Oui",1,0)*IF(ISNUMBER(SEARCH("Le taux de chargement moyen",H1038)),1,0)</f>
        <v>0</v>
      </c>
      <c r="H1043" s="8"/>
      <c r="I1043" s="33"/>
      <c r="J1043" t="s">
        <v>70</v>
      </c>
      <c r="K1043" s="8"/>
    </row>
    <row r="1044" spans="1:11" outlineLevel="1" x14ac:dyDescent="0.25">
      <c r="A1044" t="s">
        <v>134</v>
      </c>
      <c r="B1044" t="s">
        <v>1164</v>
      </c>
      <c r="C1044" t="s">
        <v>526</v>
      </c>
      <c r="E1044" t="str">
        <f>'Remplissage - Sit. Init.'!F1044</f>
        <v>FretFluvCat52NbBarges</v>
      </c>
      <c r="F1044" t="s">
        <v>17</v>
      </c>
      <c r="G1044">
        <f>IF($H$15="Oui",1,0)</f>
        <v>1</v>
      </c>
      <c r="H1044" s="8"/>
      <c r="I1044" s="33"/>
      <c r="J1044" t="s">
        <v>151</v>
      </c>
      <c r="K1044" s="8"/>
    </row>
    <row r="1045" spans="1:11" outlineLevel="1" x14ac:dyDescent="0.25">
      <c r="A1045" t="s">
        <v>134</v>
      </c>
      <c r="B1045" t="s">
        <v>1177</v>
      </c>
      <c r="C1045" t="s">
        <v>135</v>
      </c>
      <c r="E1045" t="str">
        <f>'Remplissage - Sit. Init.'!F1045</f>
        <v>FretFluvCat53Nom</v>
      </c>
      <c r="F1045" s="32" t="s">
        <v>20</v>
      </c>
      <c r="G1045">
        <f>IF($H$15="Oui",1,0)</f>
        <v>1</v>
      </c>
      <c r="H1045" s="8"/>
      <c r="I1045" s="33" t="str">
        <f>VLOOKUP(B1045,'Parcs types'!$B$65:$AA$120,2,FALSE)</f>
        <v>Pousseurs &gt;880 kW Phase V, HVO</v>
      </c>
      <c r="K1045" t="str">
        <f>I1045</f>
        <v>Pousseurs &gt;880 kW Phase V, HVO</v>
      </c>
    </row>
    <row r="1046" spans="1:11" outlineLevel="1" x14ac:dyDescent="0.25">
      <c r="A1046" t="s">
        <v>134</v>
      </c>
      <c r="B1046" t="s">
        <v>1177</v>
      </c>
      <c r="C1046" t="s">
        <v>136</v>
      </c>
      <c r="E1046" t="str">
        <f>'Remplissage - Sit. Init.'!F1046</f>
        <v>FretFluvCat53Type</v>
      </c>
      <c r="F1046" t="s">
        <v>20</v>
      </c>
      <c r="G1046">
        <f t="shared" ref="G1046:G1048" si="149">IF($H$15="Oui",1,0)</f>
        <v>1</v>
      </c>
      <c r="H1046" s="8"/>
      <c r="I1046" s="33" t="str">
        <f>VLOOKUP(B1046,'Parcs types'!$B$65:$AA$120,3,FALSE)</f>
        <v>Pousseurs</v>
      </c>
      <c r="K1046" t="str">
        <f t="shared" ref="K1046:K1048" si="150">I1046</f>
        <v>Pousseurs</v>
      </c>
    </row>
    <row r="1047" spans="1:11" outlineLevel="1" x14ac:dyDescent="0.25">
      <c r="A1047" t="s">
        <v>134</v>
      </c>
      <c r="B1047" t="s">
        <v>1177</v>
      </c>
      <c r="C1047" t="s">
        <v>137</v>
      </c>
      <c r="E1047" t="str">
        <f>'Remplissage - Sit. Init.'!F1047</f>
        <v>FretFluvCat53Cap</v>
      </c>
      <c r="F1047" s="32" t="s">
        <v>36</v>
      </c>
      <c r="G1047">
        <f t="shared" si="149"/>
        <v>1</v>
      </c>
      <c r="H1047" s="8"/>
      <c r="I1047" s="33" t="str">
        <f>VLOOKUP(B1047,'Parcs types'!$B$65:$AA$120,4,FALSE)</f>
        <v>&gt;880 kW</v>
      </c>
      <c r="J1047" t="s">
        <v>524</v>
      </c>
      <c r="K1047" t="str">
        <f t="shared" si="150"/>
        <v>&gt;880 kW</v>
      </c>
    </row>
    <row r="1048" spans="1:11" outlineLevel="1" x14ac:dyDescent="0.25">
      <c r="A1048" t="s">
        <v>134</v>
      </c>
      <c r="B1048" t="s">
        <v>1177</v>
      </c>
      <c r="C1048" t="s">
        <v>525</v>
      </c>
      <c r="E1048" t="str">
        <f>'Remplissage - Sit. Init.'!F1048</f>
        <v>FretFluvCat53Tech</v>
      </c>
      <c r="F1048" s="32" t="s">
        <v>20</v>
      </c>
      <c r="G1048">
        <f t="shared" si="149"/>
        <v>1</v>
      </c>
      <c r="H1048" s="8"/>
      <c r="I1048" s="33" t="str">
        <f>VLOOKUP(B1048,'Parcs types'!$B$65:$AA$120,5,FALSE)</f>
        <v>Phase V, HVO</v>
      </c>
      <c r="K1048" t="str">
        <f t="shared" si="150"/>
        <v>Phase V, HVO</v>
      </c>
    </row>
    <row r="1049" spans="1:11" outlineLevel="1" x14ac:dyDescent="0.25">
      <c r="A1049" t="s">
        <v>134</v>
      </c>
      <c r="B1049" t="s">
        <v>1177</v>
      </c>
      <c r="C1049" t="s">
        <v>140</v>
      </c>
      <c r="E1049" t="str">
        <f>'Remplissage - Sit. Init.'!F1049</f>
        <v>FretFluvCat53Request</v>
      </c>
      <c r="F1049" s="32" t="s">
        <v>20</v>
      </c>
      <c r="G1049">
        <f>IF($H$15="Oui",1,0)</f>
        <v>1</v>
      </c>
      <c r="H1049" t="s">
        <v>141</v>
      </c>
      <c r="I1049" s="33" t="s">
        <v>142</v>
      </c>
      <c r="K1049" s="8"/>
    </row>
    <row r="1050" spans="1:11" outlineLevel="1" x14ac:dyDescent="0.25">
      <c r="A1050" t="s">
        <v>134</v>
      </c>
      <c r="B1050" t="s">
        <v>1177</v>
      </c>
      <c r="C1050" t="s">
        <v>144</v>
      </c>
      <c r="E1050" t="str">
        <f>'Remplissage - Sit. Init.'!F1050</f>
        <v>FretFluvCat53NbTraj</v>
      </c>
      <c r="F1050" t="s">
        <v>17</v>
      </c>
      <c r="G1050">
        <f>IF($H$15="Oui",1,0)*IF(ISNUMBER(SEARCH("Une estimation du nombre annuel de trajets pour ce type de barge",H1049)),1,0)</f>
        <v>1</v>
      </c>
      <c r="H1050" s="8"/>
      <c r="I1050" s="33"/>
      <c r="J1050" t="s">
        <v>145</v>
      </c>
      <c r="K1050" s="8"/>
    </row>
    <row r="1051" spans="1:11" outlineLevel="1" x14ac:dyDescent="0.25">
      <c r="A1051" t="s">
        <v>134</v>
      </c>
      <c r="B1051" t="s">
        <v>1177</v>
      </c>
      <c r="C1051" t="s">
        <v>146</v>
      </c>
      <c r="E1051" t="str">
        <f>'Remplissage - Sit. Init.'!F1051</f>
        <v>FretFluvCat53DistMoy</v>
      </c>
      <c r="F1051" t="s">
        <v>17</v>
      </c>
      <c r="G1051">
        <f>IF($H$15="Oui",1,0)*IF(ISNUMBER(SEARCH("La distance moyenne d'un trajet",H1049)),1,0)</f>
        <v>1</v>
      </c>
      <c r="H1051" s="8"/>
      <c r="I1051" s="33"/>
      <c r="J1051" t="s">
        <v>88</v>
      </c>
      <c r="K1051" s="8"/>
    </row>
    <row r="1052" spans="1:11" outlineLevel="1" x14ac:dyDescent="0.25">
      <c r="A1052" t="s">
        <v>134</v>
      </c>
      <c r="B1052" t="s">
        <v>1177</v>
      </c>
      <c r="C1052" t="s">
        <v>147</v>
      </c>
      <c r="E1052" t="str">
        <f>'Remplissage - Sit. Init.'!F1052</f>
        <v>FretFluvCat53EmportMoy</v>
      </c>
      <c r="F1052" t="s">
        <v>17</v>
      </c>
      <c r="G1052">
        <f>IF($H$15="Oui",1,0)*IF(ISNUMBER(SEARCH("La masse moyenne transportée pour un trajet",H1049)),1,0)</f>
        <v>1</v>
      </c>
      <c r="H1052" s="8"/>
      <c r="I1052" s="33"/>
      <c r="J1052" t="s">
        <v>148</v>
      </c>
      <c r="K1052" s="8"/>
    </row>
    <row r="1053" spans="1:11" outlineLevel="1" x14ac:dyDescent="0.25">
      <c r="A1053" t="s">
        <v>134</v>
      </c>
      <c r="B1053" t="s">
        <v>1177</v>
      </c>
      <c r="C1053" t="s">
        <v>149</v>
      </c>
      <c r="E1053" t="str">
        <f>'Remplissage - Sit. Init.'!F1053</f>
        <v>FretFluvCat53DistAn</v>
      </c>
      <c r="F1053" t="s">
        <v>17</v>
      </c>
      <c r="G1053">
        <f>IF($H$15="Oui",1,0)*IF(ISNUMBER(SEARCH("La distance parcourue annuellement pour ce type de barge",H1049)),1,0)</f>
        <v>0</v>
      </c>
      <c r="H1053" s="8"/>
      <c r="I1053" s="33"/>
      <c r="J1053" t="s">
        <v>88</v>
      </c>
      <c r="K1053" s="8"/>
    </row>
    <row r="1054" spans="1:11" outlineLevel="1" x14ac:dyDescent="0.25">
      <c r="A1054" t="s">
        <v>134</v>
      </c>
      <c r="B1054" t="s">
        <v>1177</v>
      </c>
      <c r="C1054" t="s">
        <v>150</v>
      </c>
      <c r="E1054" t="str">
        <f>'Remplissage - Sit. Init.'!F1054</f>
        <v>FretFluvCat53TauxChargeMoy</v>
      </c>
      <c r="F1054" t="s">
        <v>17</v>
      </c>
      <c r="G1054">
        <f>IF($H$15="Oui",1,0)*IF(ISNUMBER(SEARCH("Le taux de chargement moyen",H1049)),1,0)</f>
        <v>0</v>
      </c>
      <c r="H1054" s="8"/>
      <c r="I1054" s="33"/>
      <c r="J1054" t="s">
        <v>70</v>
      </c>
      <c r="K1054" s="8"/>
    </row>
    <row r="1055" spans="1:11" outlineLevel="1" x14ac:dyDescent="0.25">
      <c r="A1055" t="s">
        <v>134</v>
      </c>
      <c r="B1055" t="s">
        <v>1177</v>
      </c>
      <c r="C1055" t="s">
        <v>526</v>
      </c>
      <c r="E1055" t="str">
        <f>'Remplissage - Sit. Init.'!F1055</f>
        <v>FretFluvCat53NbBarges</v>
      </c>
      <c r="F1055" t="s">
        <v>17</v>
      </c>
      <c r="G1055">
        <f>IF($H$15="Oui",1,0)</f>
        <v>1</v>
      </c>
      <c r="H1055" s="8"/>
      <c r="I1055" s="33"/>
      <c r="J1055" t="s">
        <v>151</v>
      </c>
      <c r="K1055" s="8"/>
    </row>
    <row r="1056" spans="1:11" outlineLevel="1" x14ac:dyDescent="0.25">
      <c r="A1056" t="s">
        <v>134</v>
      </c>
      <c r="B1056" t="s">
        <v>1190</v>
      </c>
      <c r="C1056" t="s">
        <v>135</v>
      </c>
      <c r="E1056" t="str">
        <f>'Remplissage - Sit. Init.'!F1056</f>
        <v>FretFluvCat54Nom</v>
      </c>
      <c r="F1056" s="32" t="s">
        <v>20</v>
      </c>
      <c r="G1056">
        <f>IF($H$15="Oui",1,0)</f>
        <v>1</v>
      </c>
      <c r="H1056" s="8"/>
      <c r="I1056" s="33" t="str">
        <f>VLOOKUP(B1056,'Parcs types'!$B$65:$AA$120,2,FALSE)</f>
        <v>Pousseurs &gt;880 kW Batterie</v>
      </c>
      <c r="K1056" t="str">
        <f>I1056</f>
        <v>Pousseurs &gt;880 kW Batterie</v>
      </c>
    </row>
    <row r="1057" spans="1:11" outlineLevel="1" x14ac:dyDescent="0.25">
      <c r="A1057" t="s">
        <v>134</v>
      </c>
      <c r="B1057" t="s">
        <v>1190</v>
      </c>
      <c r="C1057" t="s">
        <v>136</v>
      </c>
      <c r="E1057" t="str">
        <f>'Remplissage - Sit. Init.'!F1057</f>
        <v>FretFluvCat54Type</v>
      </c>
      <c r="F1057" t="s">
        <v>20</v>
      </c>
      <c r="G1057">
        <f t="shared" ref="G1057:G1059" si="151">IF($H$15="Oui",1,0)</f>
        <v>1</v>
      </c>
      <c r="H1057" s="8"/>
      <c r="I1057" s="33" t="str">
        <f>VLOOKUP(B1057,'Parcs types'!$B$65:$AA$120,3,FALSE)</f>
        <v>Pousseurs</v>
      </c>
      <c r="K1057" t="str">
        <f t="shared" ref="K1057:K1059" si="152">I1057</f>
        <v>Pousseurs</v>
      </c>
    </row>
    <row r="1058" spans="1:11" outlineLevel="1" x14ac:dyDescent="0.25">
      <c r="A1058" t="s">
        <v>134</v>
      </c>
      <c r="B1058" t="s">
        <v>1190</v>
      </c>
      <c r="C1058" t="s">
        <v>137</v>
      </c>
      <c r="E1058" t="str">
        <f>'Remplissage - Sit. Init.'!F1058</f>
        <v>FretFluvCat54Cap</v>
      </c>
      <c r="F1058" s="32" t="s">
        <v>36</v>
      </c>
      <c r="G1058">
        <f t="shared" si="151"/>
        <v>1</v>
      </c>
      <c r="H1058" s="8"/>
      <c r="I1058" s="33" t="str">
        <f>VLOOKUP(B1058,'Parcs types'!$B$65:$AA$120,4,FALSE)</f>
        <v>&gt;880 kW</v>
      </c>
      <c r="J1058" t="s">
        <v>524</v>
      </c>
      <c r="K1058" t="str">
        <f t="shared" si="152"/>
        <v>&gt;880 kW</v>
      </c>
    </row>
    <row r="1059" spans="1:11" outlineLevel="1" x14ac:dyDescent="0.25">
      <c r="A1059" t="s">
        <v>134</v>
      </c>
      <c r="B1059" t="s">
        <v>1190</v>
      </c>
      <c r="C1059" t="s">
        <v>525</v>
      </c>
      <c r="E1059" t="str">
        <f>'Remplissage - Sit. Init.'!F1059</f>
        <v>FretFluvCat54Tech</v>
      </c>
      <c r="F1059" s="32" t="s">
        <v>20</v>
      </c>
      <c r="G1059">
        <f t="shared" si="151"/>
        <v>1</v>
      </c>
      <c r="H1059" s="8"/>
      <c r="I1059" s="33" t="str">
        <f>VLOOKUP(B1059,'Parcs types'!$B$65:$AA$120,5,FALSE)</f>
        <v>Batterie</v>
      </c>
      <c r="K1059" t="str">
        <f t="shared" si="152"/>
        <v>Batterie</v>
      </c>
    </row>
    <row r="1060" spans="1:11" outlineLevel="1" x14ac:dyDescent="0.25">
      <c r="A1060" t="s">
        <v>134</v>
      </c>
      <c r="B1060" t="s">
        <v>1190</v>
      </c>
      <c r="C1060" t="s">
        <v>140</v>
      </c>
      <c r="E1060" t="str">
        <f>'Remplissage - Sit. Init.'!F1060</f>
        <v>FretFluvCat54Request</v>
      </c>
      <c r="F1060" s="32" t="s">
        <v>20</v>
      </c>
      <c r="G1060">
        <f>IF($H$15="Oui",1,0)</f>
        <v>1</v>
      </c>
      <c r="H1060" t="s">
        <v>141</v>
      </c>
      <c r="I1060" s="33" t="s">
        <v>142</v>
      </c>
      <c r="K1060" s="8"/>
    </row>
    <row r="1061" spans="1:11" outlineLevel="1" x14ac:dyDescent="0.25">
      <c r="A1061" t="s">
        <v>134</v>
      </c>
      <c r="B1061" t="s">
        <v>1190</v>
      </c>
      <c r="C1061" t="s">
        <v>144</v>
      </c>
      <c r="E1061" t="str">
        <f>'Remplissage - Sit. Init.'!F1061</f>
        <v>FretFluvCat54NbTraj</v>
      </c>
      <c r="F1061" t="s">
        <v>17</v>
      </c>
      <c r="G1061">
        <f>IF($H$15="Oui",1,0)*IF(ISNUMBER(SEARCH("Une estimation du nombre annuel de trajets pour ce type de barge",H1060)),1,0)</f>
        <v>1</v>
      </c>
      <c r="H1061" s="8"/>
      <c r="I1061" s="33"/>
      <c r="J1061" t="s">
        <v>145</v>
      </c>
      <c r="K1061" s="8"/>
    </row>
    <row r="1062" spans="1:11" outlineLevel="1" x14ac:dyDescent="0.25">
      <c r="A1062" t="s">
        <v>134</v>
      </c>
      <c r="B1062" t="s">
        <v>1190</v>
      </c>
      <c r="C1062" t="s">
        <v>146</v>
      </c>
      <c r="E1062" t="str">
        <f>'Remplissage - Sit. Init.'!F1062</f>
        <v>FretFluvCat54DistMoy</v>
      </c>
      <c r="F1062" t="s">
        <v>17</v>
      </c>
      <c r="G1062">
        <f>IF($H$15="Oui",1,0)*IF(ISNUMBER(SEARCH("La distance moyenne d'un trajet",H1060)),1,0)</f>
        <v>1</v>
      </c>
      <c r="H1062" s="8"/>
      <c r="I1062" s="33"/>
      <c r="J1062" t="s">
        <v>88</v>
      </c>
      <c r="K1062" s="8"/>
    </row>
    <row r="1063" spans="1:11" outlineLevel="1" x14ac:dyDescent="0.25">
      <c r="A1063" t="s">
        <v>134</v>
      </c>
      <c r="B1063" t="s">
        <v>1190</v>
      </c>
      <c r="C1063" t="s">
        <v>147</v>
      </c>
      <c r="E1063" t="str">
        <f>'Remplissage - Sit. Init.'!F1063</f>
        <v>FretFluvCat54EmportMoy</v>
      </c>
      <c r="F1063" t="s">
        <v>17</v>
      </c>
      <c r="G1063">
        <f>IF($H$15="Oui",1,0)*IF(ISNUMBER(SEARCH("La masse moyenne transportée pour un trajet",H1060)),1,0)</f>
        <v>1</v>
      </c>
      <c r="H1063" s="8"/>
      <c r="I1063" s="33"/>
      <c r="J1063" t="s">
        <v>148</v>
      </c>
      <c r="K1063" s="8"/>
    </row>
    <row r="1064" spans="1:11" outlineLevel="1" x14ac:dyDescent="0.25">
      <c r="A1064" t="s">
        <v>134</v>
      </c>
      <c r="B1064" t="s">
        <v>1190</v>
      </c>
      <c r="C1064" t="s">
        <v>149</v>
      </c>
      <c r="E1064" t="str">
        <f>'Remplissage - Sit. Init.'!F1064</f>
        <v>FretFluvCat54DistAn</v>
      </c>
      <c r="F1064" t="s">
        <v>17</v>
      </c>
      <c r="G1064">
        <f>IF($H$15="Oui",1,0)*IF(ISNUMBER(SEARCH("La distance parcourue annuellement pour ce type de barge",H1060)),1,0)</f>
        <v>0</v>
      </c>
      <c r="H1064" s="8"/>
      <c r="I1064" s="33"/>
      <c r="J1064" t="s">
        <v>88</v>
      </c>
      <c r="K1064" s="8"/>
    </row>
    <row r="1065" spans="1:11" outlineLevel="1" x14ac:dyDescent="0.25">
      <c r="A1065" t="s">
        <v>134</v>
      </c>
      <c r="B1065" t="s">
        <v>1190</v>
      </c>
      <c r="C1065" t="s">
        <v>150</v>
      </c>
      <c r="E1065" t="str">
        <f>'Remplissage - Sit. Init.'!F1065</f>
        <v>FretFluvCat54TauxChargeMoy</v>
      </c>
      <c r="F1065" t="s">
        <v>17</v>
      </c>
      <c r="G1065">
        <f>IF($H$15="Oui",1,0)*IF(ISNUMBER(SEARCH("Le taux de chargement moyen",H1060)),1,0)</f>
        <v>0</v>
      </c>
      <c r="H1065" s="8"/>
      <c r="I1065" s="33"/>
      <c r="J1065" t="s">
        <v>70</v>
      </c>
      <c r="K1065" s="8"/>
    </row>
    <row r="1066" spans="1:11" outlineLevel="1" x14ac:dyDescent="0.25">
      <c r="A1066" t="s">
        <v>134</v>
      </c>
      <c r="B1066" t="s">
        <v>1190</v>
      </c>
      <c r="C1066" t="s">
        <v>526</v>
      </c>
      <c r="E1066" t="str">
        <f>'Remplissage - Sit. Init.'!F1066</f>
        <v>FretFluvCat54NbBarges</v>
      </c>
      <c r="F1066" t="s">
        <v>17</v>
      </c>
      <c r="G1066">
        <f>IF($H$15="Oui",1,0)</f>
        <v>1</v>
      </c>
      <c r="H1066" s="8"/>
      <c r="I1066" s="33"/>
      <c r="J1066" t="s">
        <v>151</v>
      </c>
      <c r="K1066" s="8"/>
    </row>
    <row r="1067" spans="1:11" outlineLevel="1" x14ac:dyDescent="0.25">
      <c r="A1067" t="s">
        <v>134</v>
      </c>
      <c r="B1067" t="s">
        <v>1203</v>
      </c>
      <c r="C1067" t="s">
        <v>135</v>
      </c>
      <c r="E1067" t="str">
        <f>'Remplissage - Sit. Init.'!F1067</f>
        <v>FretFluvCat55Nom</v>
      </c>
      <c r="F1067" s="32" t="s">
        <v>20</v>
      </c>
      <c r="G1067">
        <f>IF($H$15="Oui",1,0)</f>
        <v>1</v>
      </c>
      <c r="H1067" s="8"/>
      <c r="I1067" s="33" t="str">
        <f>VLOOKUP(B1067,'Parcs types'!$B$65:$AA$120,2,FALSE)</f>
        <v>Pousseurs &gt;880 kW H2 , PAC</v>
      </c>
      <c r="K1067" t="str">
        <f>I1067</f>
        <v>Pousseurs &gt;880 kW H2 , PAC</v>
      </c>
    </row>
    <row r="1068" spans="1:11" outlineLevel="1" x14ac:dyDescent="0.25">
      <c r="A1068" t="s">
        <v>134</v>
      </c>
      <c r="B1068" t="s">
        <v>1203</v>
      </c>
      <c r="C1068" t="s">
        <v>136</v>
      </c>
      <c r="E1068" t="str">
        <f>'Remplissage - Sit. Init.'!F1068</f>
        <v>FretFluvCat55Type</v>
      </c>
      <c r="F1068" t="s">
        <v>20</v>
      </c>
      <c r="G1068">
        <f t="shared" ref="G1068:G1070" si="153">IF($H$15="Oui",1,0)</f>
        <v>1</v>
      </c>
      <c r="H1068" s="8"/>
      <c r="I1068" s="33" t="str">
        <f>VLOOKUP(B1068,'Parcs types'!$B$65:$AA$120,3,FALSE)</f>
        <v>Pousseurs</v>
      </c>
      <c r="K1068" t="str">
        <f t="shared" ref="K1068:K1070" si="154">I1068</f>
        <v>Pousseurs</v>
      </c>
    </row>
    <row r="1069" spans="1:11" outlineLevel="1" x14ac:dyDescent="0.25">
      <c r="A1069" t="s">
        <v>134</v>
      </c>
      <c r="B1069" t="s">
        <v>1203</v>
      </c>
      <c r="C1069" t="s">
        <v>137</v>
      </c>
      <c r="E1069" t="str">
        <f>'Remplissage - Sit. Init.'!F1069</f>
        <v>FretFluvCat55Cap</v>
      </c>
      <c r="F1069" s="32" t="s">
        <v>36</v>
      </c>
      <c r="G1069">
        <f t="shared" si="153"/>
        <v>1</v>
      </c>
      <c r="H1069" s="8"/>
      <c r="I1069" s="33" t="str">
        <f>VLOOKUP(B1069,'Parcs types'!$B$65:$AA$120,4,FALSE)</f>
        <v>&gt;880 kW</v>
      </c>
      <c r="J1069" t="s">
        <v>524</v>
      </c>
      <c r="K1069" t="str">
        <f t="shared" si="154"/>
        <v>&gt;880 kW</v>
      </c>
    </row>
    <row r="1070" spans="1:11" outlineLevel="1" x14ac:dyDescent="0.25">
      <c r="A1070" t="s">
        <v>134</v>
      </c>
      <c r="B1070" t="s">
        <v>1203</v>
      </c>
      <c r="C1070" t="s">
        <v>525</v>
      </c>
      <c r="E1070" t="str">
        <f>'Remplissage - Sit. Init.'!F1070</f>
        <v>FretFluvCat55Tech</v>
      </c>
      <c r="F1070" s="32" t="s">
        <v>20</v>
      </c>
      <c r="G1070">
        <f t="shared" si="153"/>
        <v>1</v>
      </c>
      <c r="H1070" s="8"/>
      <c r="I1070" s="33" t="str">
        <f>VLOOKUP(B1070,'Parcs types'!$B$65:$AA$120,5,FALSE)</f>
        <v>H2 , PAC</v>
      </c>
      <c r="K1070" t="str">
        <f t="shared" si="154"/>
        <v>H2 , PAC</v>
      </c>
    </row>
    <row r="1071" spans="1:11" outlineLevel="1" x14ac:dyDescent="0.25">
      <c r="A1071" t="s">
        <v>134</v>
      </c>
      <c r="B1071" t="s">
        <v>1203</v>
      </c>
      <c r="C1071" t="s">
        <v>140</v>
      </c>
      <c r="E1071" t="str">
        <f>'Remplissage - Sit. Init.'!F1071</f>
        <v>FretFluvCat55Request</v>
      </c>
      <c r="F1071" s="32" t="s">
        <v>20</v>
      </c>
      <c r="G1071">
        <f>IF($H$15="Oui",1,0)</f>
        <v>1</v>
      </c>
      <c r="H1071" t="s">
        <v>141</v>
      </c>
      <c r="I1071" s="33" t="s">
        <v>142</v>
      </c>
      <c r="K1071" s="8"/>
    </row>
    <row r="1072" spans="1:11" outlineLevel="1" x14ac:dyDescent="0.25">
      <c r="A1072" t="s">
        <v>134</v>
      </c>
      <c r="B1072" t="s">
        <v>1203</v>
      </c>
      <c r="C1072" t="s">
        <v>144</v>
      </c>
      <c r="E1072" t="str">
        <f>'Remplissage - Sit. Init.'!F1072</f>
        <v>FretFluvCat55NbTraj</v>
      </c>
      <c r="F1072" t="s">
        <v>17</v>
      </c>
      <c r="G1072">
        <f>IF($H$15="Oui",1,0)*IF(ISNUMBER(SEARCH("Une estimation du nombre annuel de trajets pour ce type de barge",H1071)),1,0)</f>
        <v>1</v>
      </c>
      <c r="H1072" s="8"/>
      <c r="I1072" s="33"/>
      <c r="J1072" t="s">
        <v>145</v>
      </c>
      <c r="K1072" s="8"/>
    </row>
    <row r="1073" spans="1:11" outlineLevel="1" x14ac:dyDescent="0.25">
      <c r="A1073" t="s">
        <v>134</v>
      </c>
      <c r="B1073" t="s">
        <v>1203</v>
      </c>
      <c r="C1073" t="s">
        <v>146</v>
      </c>
      <c r="E1073" t="str">
        <f>'Remplissage - Sit. Init.'!F1073</f>
        <v>FretFluvCat55DistMoy</v>
      </c>
      <c r="F1073" t="s">
        <v>17</v>
      </c>
      <c r="G1073">
        <f>IF($H$15="Oui",1,0)*IF(ISNUMBER(SEARCH("La distance moyenne d'un trajet",H1071)),1,0)</f>
        <v>1</v>
      </c>
      <c r="H1073" s="8"/>
      <c r="I1073" s="33"/>
      <c r="J1073" t="s">
        <v>88</v>
      </c>
      <c r="K1073" s="8"/>
    </row>
    <row r="1074" spans="1:11" outlineLevel="1" x14ac:dyDescent="0.25">
      <c r="A1074" t="s">
        <v>134</v>
      </c>
      <c r="B1074" t="s">
        <v>1203</v>
      </c>
      <c r="C1074" t="s">
        <v>147</v>
      </c>
      <c r="E1074" t="str">
        <f>'Remplissage - Sit. Init.'!F1074</f>
        <v>FretFluvCat55EmportMoy</v>
      </c>
      <c r="F1074" t="s">
        <v>17</v>
      </c>
      <c r="G1074">
        <f>IF($H$15="Oui",1,0)*IF(ISNUMBER(SEARCH("La masse moyenne transportée pour un trajet",H1071)),1,0)</f>
        <v>1</v>
      </c>
      <c r="H1074" s="8"/>
      <c r="I1074" s="33"/>
      <c r="J1074" t="s">
        <v>148</v>
      </c>
      <c r="K1074" s="8"/>
    </row>
    <row r="1075" spans="1:11" outlineLevel="1" x14ac:dyDescent="0.25">
      <c r="A1075" t="s">
        <v>134</v>
      </c>
      <c r="B1075" t="s">
        <v>1203</v>
      </c>
      <c r="C1075" t="s">
        <v>149</v>
      </c>
      <c r="E1075" t="str">
        <f>'Remplissage - Sit. Init.'!F1075</f>
        <v>FretFluvCat55DistAn</v>
      </c>
      <c r="F1075" t="s">
        <v>17</v>
      </c>
      <c r="G1075">
        <f>IF($H$15="Oui",1,0)*IF(ISNUMBER(SEARCH("La distance parcourue annuellement pour ce type de barge",H1071)),1,0)</f>
        <v>0</v>
      </c>
      <c r="H1075" s="8"/>
      <c r="I1075" s="33"/>
      <c r="J1075" t="s">
        <v>88</v>
      </c>
      <c r="K1075" s="8"/>
    </row>
    <row r="1076" spans="1:11" outlineLevel="1" x14ac:dyDescent="0.25">
      <c r="A1076" t="s">
        <v>134</v>
      </c>
      <c r="B1076" t="s">
        <v>1203</v>
      </c>
      <c r="C1076" t="s">
        <v>150</v>
      </c>
      <c r="E1076" t="str">
        <f>'Remplissage - Sit. Init.'!F1076</f>
        <v>FretFluvCat55TauxChargeMoy</v>
      </c>
      <c r="F1076" t="s">
        <v>17</v>
      </c>
      <c r="G1076">
        <f>IF($H$15="Oui",1,0)*IF(ISNUMBER(SEARCH("Le taux de chargement moyen",H1071)),1,0)</f>
        <v>0</v>
      </c>
      <c r="H1076" s="8"/>
      <c r="I1076" s="33"/>
      <c r="J1076" t="s">
        <v>70</v>
      </c>
      <c r="K1076" s="8"/>
    </row>
    <row r="1077" spans="1:11" outlineLevel="1" x14ac:dyDescent="0.25">
      <c r="A1077" t="s">
        <v>134</v>
      </c>
      <c r="B1077" t="s">
        <v>1203</v>
      </c>
      <c r="C1077" t="s">
        <v>526</v>
      </c>
      <c r="E1077" t="str">
        <f>'Remplissage - Sit. Init.'!F1077</f>
        <v>FretFluvCat55NbBarges</v>
      </c>
      <c r="F1077" t="s">
        <v>17</v>
      </c>
      <c r="G1077">
        <f>IF($H$15="Oui",1,0)</f>
        <v>1</v>
      </c>
      <c r="H1077" s="8"/>
      <c r="I1077" s="33"/>
      <c r="J1077" t="s">
        <v>151</v>
      </c>
      <c r="K1077" s="8"/>
    </row>
    <row r="1078" spans="1:11" outlineLevel="1" x14ac:dyDescent="0.25">
      <c r="A1078" t="s">
        <v>134</v>
      </c>
      <c r="B1078" t="s">
        <v>1216</v>
      </c>
      <c r="C1078" t="s">
        <v>135</v>
      </c>
      <c r="E1078" t="str">
        <f>'Remplissage - Sit. Init.'!F1078</f>
        <v>FretFluvCat56Nom</v>
      </c>
      <c r="F1078" s="32" t="s">
        <v>20</v>
      </c>
      <c r="G1078">
        <f>IF($H$15="Oui",1,0)</f>
        <v>1</v>
      </c>
      <c r="H1078" s="8"/>
      <c r="I1078" s="33" t="str">
        <f>VLOOKUP(B1078,'Parcs types'!$B$65:$AA$120,2,FALSE)</f>
        <v>Pousseurs &gt;880 kW H2 , ICE</v>
      </c>
      <c r="K1078" t="str">
        <f>I1078</f>
        <v>Pousseurs &gt;880 kW H2 , ICE</v>
      </c>
    </row>
    <row r="1079" spans="1:11" outlineLevel="1" x14ac:dyDescent="0.25">
      <c r="A1079" t="s">
        <v>134</v>
      </c>
      <c r="B1079" t="s">
        <v>1216</v>
      </c>
      <c r="C1079" t="s">
        <v>136</v>
      </c>
      <c r="E1079" t="str">
        <f>'Remplissage - Sit. Init.'!F1079</f>
        <v>FretFluvCat56Type</v>
      </c>
      <c r="F1079" t="s">
        <v>20</v>
      </c>
      <c r="G1079">
        <f t="shared" ref="G1079:G1081" si="155">IF($H$15="Oui",1,0)</f>
        <v>1</v>
      </c>
      <c r="H1079" s="8"/>
      <c r="I1079" s="33" t="str">
        <f>VLOOKUP(B1079,'Parcs types'!$B$65:$AA$120,3,FALSE)</f>
        <v>Pousseurs</v>
      </c>
      <c r="K1079" t="str">
        <f t="shared" ref="K1079:K1081" si="156">I1079</f>
        <v>Pousseurs</v>
      </c>
    </row>
    <row r="1080" spans="1:11" outlineLevel="1" x14ac:dyDescent="0.25">
      <c r="A1080" t="s">
        <v>134</v>
      </c>
      <c r="B1080" t="s">
        <v>1216</v>
      </c>
      <c r="C1080" t="s">
        <v>137</v>
      </c>
      <c r="E1080" t="str">
        <f>'Remplissage - Sit. Init.'!F1080</f>
        <v>FretFluvCat56Cap</v>
      </c>
      <c r="F1080" s="32" t="s">
        <v>36</v>
      </c>
      <c r="G1080">
        <f t="shared" si="155"/>
        <v>1</v>
      </c>
      <c r="H1080" s="8"/>
      <c r="I1080" s="33" t="str">
        <f>VLOOKUP(B1080,'Parcs types'!$B$65:$AA$120,4,FALSE)</f>
        <v>&gt;880 kW</v>
      </c>
      <c r="J1080" t="s">
        <v>524</v>
      </c>
      <c r="K1080" t="str">
        <f t="shared" si="156"/>
        <v>&gt;880 kW</v>
      </c>
    </row>
    <row r="1081" spans="1:11" outlineLevel="1" x14ac:dyDescent="0.25">
      <c r="A1081" t="s">
        <v>134</v>
      </c>
      <c r="B1081" t="s">
        <v>1216</v>
      </c>
      <c r="C1081" t="s">
        <v>525</v>
      </c>
      <c r="E1081" t="str">
        <f>'Remplissage - Sit. Init.'!F1081</f>
        <v>FretFluvCat56Tech</v>
      </c>
      <c r="F1081" s="32" t="s">
        <v>20</v>
      </c>
      <c r="G1081">
        <f t="shared" si="155"/>
        <v>1</v>
      </c>
      <c r="H1081" s="8"/>
      <c r="I1081" s="33" t="str">
        <f>VLOOKUP(B1081,'Parcs types'!$B$65:$AA$120,5,FALSE)</f>
        <v>H2 , ICE</v>
      </c>
      <c r="K1081" t="str">
        <f t="shared" si="156"/>
        <v>H2 , ICE</v>
      </c>
    </row>
    <row r="1082" spans="1:11" outlineLevel="1" x14ac:dyDescent="0.25">
      <c r="A1082" t="s">
        <v>134</v>
      </c>
      <c r="B1082" t="s">
        <v>1216</v>
      </c>
      <c r="C1082" t="s">
        <v>140</v>
      </c>
      <c r="E1082" t="str">
        <f>'Remplissage - Sit. Init.'!F1082</f>
        <v>FretFluvCat56Request</v>
      </c>
      <c r="F1082" s="32" t="s">
        <v>20</v>
      </c>
      <c r="G1082">
        <f>IF($H$15="Oui",1,0)</f>
        <v>1</v>
      </c>
      <c r="H1082" t="s">
        <v>141</v>
      </c>
      <c r="I1082" s="33" t="s">
        <v>142</v>
      </c>
      <c r="K1082" s="8"/>
    </row>
    <row r="1083" spans="1:11" outlineLevel="1" x14ac:dyDescent="0.25">
      <c r="A1083" t="s">
        <v>134</v>
      </c>
      <c r="B1083" t="s">
        <v>1216</v>
      </c>
      <c r="C1083" t="s">
        <v>144</v>
      </c>
      <c r="E1083" t="str">
        <f>'Remplissage - Sit. Init.'!F1083</f>
        <v>FretFluvCat56NbTraj</v>
      </c>
      <c r="F1083" t="s">
        <v>17</v>
      </c>
      <c r="G1083">
        <f>IF($H$15="Oui",1,0)*IF(ISNUMBER(SEARCH("Une estimation du nombre annuel de trajets pour ce type de barge",H1082)),1,0)</f>
        <v>1</v>
      </c>
      <c r="H1083" s="8"/>
      <c r="I1083" s="33"/>
      <c r="J1083" t="s">
        <v>145</v>
      </c>
      <c r="K1083" s="8"/>
    </row>
    <row r="1084" spans="1:11" outlineLevel="1" x14ac:dyDescent="0.25">
      <c r="A1084" t="s">
        <v>134</v>
      </c>
      <c r="B1084" t="s">
        <v>1216</v>
      </c>
      <c r="C1084" t="s">
        <v>146</v>
      </c>
      <c r="E1084" t="str">
        <f>'Remplissage - Sit. Init.'!F1084</f>
        <v>FretFluvCat56DistMoy</v>
      </c>
      <c r="F1084" t="s">
        <v>17</v>
      </c>
      <c r="G1084">
        <f>IF($H$15="Oui",1,0)*IF(ISNUMBER(SEARCH("La distance moyenne d'un trajet",H1082)),1,0)</f>
        <v>1</v>
      </c>
      <c r="H1084" s="8"/>
      <c r="I1084" s="33"/>
      <c r="J1084" t="s">
        <v>88</v>
      </c>
      <c r="K1084" s="8"/>
    </row>
    <row r="1085" spans="1:11" outlineLevel="1" x14ac:dyDescent="0.25">
      <c r="A1085" t="s">
        <v>134</v>
      </c>
      <c r="B1085" t="s">
        <v>1216</v>
      </c>
      <c r="C1085" t="s">
        <v>147</v>
      </c>
      <c r="E1085" t="str">
        <f>'Remplissage - Sit. Init.'!F1085</f>
        <v>FretFluvCat56EmportMoy</v>
      </c>
      <c r="F1085" t="s">
        <v>17</v>
      </c>
      <c r="G1085">
        <f>IF($H$15="Oui",1,0)*IF(ISNUMBER(SEARCH("La masse moyenne transportée pour un trajet",H1082)),1,0)</f>
        <v>1</v>
      </c>
      <c r="H1085" s="8"/>
      <c r="I1085" s="33"/>
      <c r="J1085" t="s">
        <v>148</v>
      </c>
      <c r="K1085" s="8"/>
    </row>
    <row r="1086" spans="1:11" outlineLevel="1" x14ac:dyDescent="0.25">
      <c r="A1086" t="s">
        <v>134</v>
      </c>
      <c r="B1086" t="s">
        <v>1216</v>
      </c>
      <c r="C1086" t="s">
        <v>149</v>
      </c>
      <c r="E1086" t="str">
        <f>'Remplissage - Sit. Init.'!F1086</f>
        <v>FretFluvCat56DistAn</v>
      </c>
      <c r="F1086" t="s">
        <v>17</v>
      </c>
      <c r="G1086">
        <f>IF($H$15="Oui",1,0)*IF(ISNUMBER(SEARCH("La distance parcourue annuellement pour ce type de barge",H1082)),1,0)</f>
        <v>0</v>
      </c>
      <c r="H1086" s="8"/>
      <c r="I1086" s="33"/>
      <c r="J1086" t="s">
        <v>88</v>
      </c>
      <c r="K1086" s="8"/>
    </row>
    <row r="1087" spans="1:11" outlineLevel="1" x14ac:dyDescent="0.25">
      <c r="A1087" t="s">
        <v>134</v>
      </c>
      <c r="B1087" t="s">
        <v>1216</v>
      </c>
      <c r="C1087" t="s">
        <v>150</v>
      </c>
      <c r="E1087" t="str">
        <f>'Remplissage - Sit. Init.'!F1087</f>
        <v>FretFluvCat56TauxChargeMoy</v>
      </c>
      <c r="F1087" t="s">
        <v>17</v>
      </c>
      <c r="G1087">
        <f>IF($H$15="Oui",1,0)*IF(ISNUMBER(SEARCH("Le taux de chargement moyen",H1082)),1,0)</f>
        <v>0</v>
      </c>
      <c r="H1087" s="8"/>
      <c r="I1087" s="33"/>
      <c r="J1087" t="s">
        <v>70</v>
      </c>
      <c r="K1087" s="8"/>
    </row>
    <row r="1088" spans="1:11" outlineLevel="1" x14ac:dyDescent="0.25">
      <c r="A1088" t="s">
        <v>134</v>
      </c>
      <c r="B1088" t="s">
        <v>1216</v>
      </c>
      <c r="C1088" t="s">
        <v>526</v>
      </c>
      <c r="E1088" t="str">
        <f>'Remplissage - Sit. Init.'!F1088</f>
        <v>FretFluvCat56NbBarges</v>
      </c>
      <c r="F1088" t="s">
        <v>17</v>
      </c>
      <c r="G1088">
        <f>IF($H$15="Oui",1,0)</f>
        <v>1</v>
      </c>
      <c r="H1088" s="8"/>
      <c r="I1088" s="33"/>
      <c r="J1088" t="s">
        <v>151</v>
      </c>
      <c r="K1088" s="8"/>
    </row>
    <row r="1089" spans="1:13" x14ac:dyDescent="0.25">
      <c r="A1089" t="s">
        <v>152</v>
      </c>
      <c r="C1089" t="s">
        <v>81</v>
      </c>
      <c r="E1089" t="s">
        <v>153</v>
      </c>
      <c r="F1089" t="s">
        <v>60</v>
      </c>
      <c r="G1089">
        <f>IF($H$16="Oui",1,0)</f>
        <v>1</v>
      </c>
      <c r="H1089" t="s">
        <v>456</v>
      </c>
      <c r="I1089" t="s">
        <v>154</v>
      </c>
    </row>
    <row r="1090" spans="1:13" x14ac:dyDescent="0.25">
      <c r="A1090" t="s">
        <v>152</v>
      </c>
      <c r="C1090" t="s">
        <v>155</v>
      </c>
      <c r="E1090" t="s">
        <v>156</v>
      </c>
      <c r="F1090" t="s">
        <v>17</v>
      </c>
      <c r="G1090">
        <f>IF($H$16="Oui",1,0)*IF(ISNUMBER(SEARCH("Electrique",$H$1089)),1,0)</f>
        <v>1</v>
      </c>
      <c r="H1090">
        <v>10000</v>
      </c>
      <c r="J1090" t="s">
        <v>148</v>
      </c>
    </row>
    <row r="1091" spans="1:13" x14ac:dyDescent="0.25">
      <c r="A1091" t="s">
        <v>152</v>
      </c>
      <c r="C1091" t="s">
        <v>157</v>
      </c>
      <c r="E1091" t="s">
        <v>158</v>
      </c>
      <c r="F1091" t="s">
        <v>17</v>
      </c>
      <c r="G1091">
        <f>IF($H$16="Oui",1,0)*IF(ISNUMBER(SEARCH("Diesel",$H$1089)),1,0)</f>
        <v>0</v>
      </c>
      <c r="J1091" t="s">
        <v>148</v>
      </c>
    </row>
    <row r="1092" spans="1:13" x14ac:dyDescent="0.25">
      <c r="A1092" t="s">
        <v>152</v>
      </c>
      <c r="C1092" t="s">
        <v>159</v>
      </c>
      <c r="E1092" t="s">
        <v>160</v>
      </c>
      <c r="F1092" t="s">
        <v>17</v>
      </c>
      <c r="G1092">
        <f>IF($H$16="Oui",1,0)*IF(ISNUMBER(SEARCH("Electrique",$H$1089)),1,0)</f>
        <v>1</v>
      </c>
      <c r="H1092">
        <v>500</v>
      </c>
      <c r="J1092" t="s">
        <v>88</v>
      </c>
    </row>
    <row r="1093" spans="1:13" x14ac:dyDescent="0.25">
      <c r="A1093" t="s">
        <v>152</v>
      </c>
      <c r="C1093" t="s">
        <v>161</v>
      </c>
      <c r="E1093" t="s">
        <v>162</v>
      </c>
      <c r="F1093" t="s">
        <v>17</v>
      </c>
      <c r="G1093">
        <f>IF($H$16="Oui",1,0)*IF(ISNUMBER(SEARCH("Diesel",$H$1089)),1,0)</f>
        <v>0</v>
      </c>
      <c r="J1093" t="s">
        <v>88</v>
      </c>
    </row>
    <row r="1094" spans="1:13" x14ac:dyDescent="0.25">
      <c r="A1094" t="s">
        <v>163</v>
      </c>
      <c r="C1094" t="s">
        <v>164</v>
      </c>
      <c r="E1094" t="s">
        <v>165</v>
      </c>
      <c r="F1094" t="s">
        <v>36</v>
      </c>
      <c r="G1094">
        <v>1</v>
      </c>
      <c r="H1094" t="s">
        <v>54</v>
      </c>
      <c r="I1094" t="s">
        <v>55</v>
      </c>
    </row>
    <row r="1095" spans="1:13" x14ac:dyDescent="0.25">
      <c r="A1095" t="s">
        <v>163</v>
      </c>
      <c r="C1095" t="s">
        <v>166</v>
      </c>
      <c r="E1095" t="s">
        <v>167</v>
      </c>
      <c r="F1095" t="s">
        <v>17</v>
      </c>
      <c r="G1095">
        <f>IF($H$1094="Oui",1,0)</f>
        <v>1</v>
      </c>
      <c r="H1095">
        <v>400</v>
      </c>
      <c r="J1095" t="s">
        <v>148</v>
      </c>
    </row>
    <row r="1096" spans="1:13" x14ac:dyDescent="0.25">
      <c r="A1096" t="s">
        <v>163</v>
      </c>
      <c r="C1096" t="s">
        <v>168</v>
      </c>
      <c r="E1096" t="s">
        <v>169</v>
      </c>
      <c r="F1096" t="s">
        <v>17</v>
      </c>
      <c r="G1096">
        <f>IF($H$1094="Oui",1,0)</f>
        <v>1</v>
      </c>
      <c r="H1096">
        <v>4</v>
      </c>
      <c r="J1096" t="s">
        <v>170</v>
      </c>
    </row>
    <row r="1097" spans="1:13" x14ac:dyDescent="0.25">
      <c r="A1097" t="s">
        <v>171</v>
      </c>
      <c r="B1097" t="s">
        <v>172</v>
      </c>
      <c r="C1097" t="s">
        <v>173</v>
      </c>
      <c r="E1097" t="s">
        <v>174</v>
      </c>
      <c r="F1097" t="s">
        <v>17</v>
      </c>
      <c r="G1097">
        <v>1</v>
      </c>
      <c r="H1097" s="18">
        <v>0.25</v>
      </c>
      <c r="J1097" t="s">
        <v>70</v>
      </c>
    </row>
    <row r="1098" spans="1:13" x14ac:dyDescent="0.25">
      <c r="A1098" t="s">
        <v>171</v>
      </c>
      <c r="B1098" t="s">
        <v>172</v>
      </c>
      <c r="C1098" t="s">
        <v>175</v>
      </c>
      <c r="E1098" t="s">
        <v>176</v>
      </c>
      <c r="F1098" t="s">
        <v>17</v>
      </c>
      <c r="G1098">
        <v>1</v>
      </c>
      <c r="H1098" s="18">
        <v>0.3</v>
      </c>
      <c r="J1098" t="s">
        <v>70</v>
      </c>
    </row>
    <row r="1099" spans="1:13" x14ac:dyDescent="0.25">
      <c r="A1099" t="s">
        <v>171</v>
      </c>
      <c r="B1099" t="s">
        <v>172</v>
      </c>
      <c r="C1099" t="s">
        <v>177</v>
      </c>
      <c r="E1099" t="s">
        <v>178</v>
      </c>
      <c r="F1099" t="s">
        <v>17</v>
      </c>
      <c r="G1099">
        <v>1</v>
      </c>
      <c r="H1099" s="18">
        <v>0.02</v>
      </c>
      <c r="J1099" t="s">
        <v>70</v>
      </c>
    </row>
    <row r="1100" spans="1:13" x14ac:dyDescent="0.25">
      <c r="A1100" t="s">
        <v>171</v>
      </c>
      <c r="B1100" t="s">
        <v>172</v>
      </c>
      <c r="C1100" t="s">
        <v>179</v>
      </c>
      <c r="E1100" t="s">
        <v>180</v>
      </c>
      <c r="F1100" t="s">
        <v>17</v>
      </c>
      <c r="G1100">
        <v>1</v>
      </c>
      <c r="H1100" s="18">
        <v>0.23</v>
      </c>
      <c r="J1100" t="s">
        <v>70</v>
      </c>
    </row>
    <row r="1101" spans="1:13" x14ac:dyDescent="0.25">
      <c r="A1101" t="s">
        <v>171</v>
      </c>
      <c r="B1101" t="s">
        <v>172</v>
      </c>
      <c r="C1101" t="s">
        <v>181</v>
      </c>
      <c r="E1101" t="s">
        <v>182</v>
      </c>
      <c r="F1101" t="s">
        <v>17</v>
      </c>
      <c r="G1101">
        <v>1</v>
      </c>
      <c r="H1101" s="18">
        <v>0.2</v>
      </c>
      <c r="J1101" t="s">
        <v>70</v>
      </c>
    </row>
    <row r="1102" spans="1:13" x14ac:dyDescent="0.25">
      <c r="A1102" t="s">
        <v>183</v>
      </c>
      <c r="C1102" t="s">
        <v>184</v>
      </c>
      <c r="E1102" t="s">
        <v>185</v>
      </c>
      <c r="F1102" t="s">
        <v>17</v>
      </c>
      <c r="G1102">
        <f>IF(OR(ISNUMBER(SEARCH("B2",$H$18)),ISNUMBER(SEARCH("B2",$H$17))),1,0)</f>
        <v>0</v>
      </c>
      <c r="H1102">
        <v>40</v>
      </c>
      <c r="J1102" t="s">
        <v>186</v>
      </c>
      <c r="M1102" t="s">
        <v>188</v>
      </c>
    </row>
    <row r="1103" spans="1:13" x14ac:dyDescent="0.25">
      <c r="A1103" t="s">
        <v>183</v>
      </c>
      <c r="C1103" t="s">
        <v>189</v>
      </c>
      <c r="E1103" t="s">
        <v>190</v>
      </c>
      <c r="F1103" t="s">
        <v>17</v>
      </c>
      <c r="G1103">
        <f>IF(OR(ISNUMBER(SEARCH("B2",$H$18)),ISNUMBER(SEARCH("B2",$H$17))),1,0)</f>
        <v>0</v>
      </c>
      <c r="H1103">
        <v>20</v>
      </c>
      <c r="J1103" t="s">
        <v>186</v>
      </c>
      <c r="M1103" t="s">
        <v>188</v>
      </c>
    </row>
    <row r="1104" spans="1:13" x14ac:dyDescent="0.25">
      <c r="A1104" t="s">
        <v>183</v>
      </c>
      <c r="C1104" t="s">
        <v>191</v>
      </c>
      <c r="E1104" t="s">
        <v>192</v>
      </c>
      <c r="F1104" t="s">
        <v>17</v>
      </c>
      <c r="G1104">
        <f>IF(OR(ISNUMBER(SEARCH("B2",$H$18)),ISNUMBER(SEARCH("B2",$H$17))),1,0)</f>
        <v>0</v>
      </c>
      <c r="H1104">
        <v>3</v>
      </c>
      <c r="J1104" t="s">
        <v>193</v>
      </c>
      <c r="M1104" t="s">
        <v>188</v>
      </c>
    </row>
    <row r="1105" spans="1:13" x14ac:dyDescent="0.25">
      <c r="A1105" t="s">
        <v>183</v>
      </c>
      <c r="C1105" t="s">
        <v>194</v>
      </c>
      <c r="E1105" t="s">
        <v>195</v>
      </c>
      <c r="F1105" t="s">
        <v>17</v>
      </c>
      <c r="G1105">
        <f>IF(OR(ISNUMBER(SEARCH("B2",$H$18)),ISNUMBER(SEARCH("B2",$H$17))),1,0)</f>
        <v>0</v>
      </c>
      <c r="H1105">
        <v>10</v>
      </c>
      <c r="J1105" t="s">
        <v>196</v>
      </c>
      <c r="M1105" t="s">
        <v>188</v>
      </c>
    </row>
    <row r="1106" spans="1:13" x14ac:dyDescent="0.25">
      <c r="A1106" t="s">
        <v>183</v>
      </c>
      <c r="C1106" t="s">
        <v>205</v>
      </c>
      <c r="E1106" t="s">
        <v>206</v>
      </c>
      <c r="F1106" t="s">
        <v>17</v>
      </c>
      <c r="G1106">
        <f>IF(OR(ISNUMBER(SEARCH("B2",$H$18)),ISNUMBER(SEARCH("B2",$H$17))),1,0)</f>
        <v>0</v>
      </c>
      <c r="H1106">
        <v>800</v>
      </c>
      <c r="J1106" t="s">
        <v>207</v>
      </c>
      <c r="M1106" t="s">
        <v>188</v>
      </c>
    </row>
    <row r="1107" spans="1:13" x14ac:dyDescent="0.25">
      <c r="A1107" s="2" t="s">
        <v>208</v>
      </c>
      <c r="C1107" s="2" t="s">
        <v>455</v>
      </c>
      <c r="E1107" t="s">
        <v>454</v>
      </c>
      <c r="F1107" t="s">
        <v>60</v>
      </c>
      <c r="G1107">
        <v>1</v>
      </c>
      <c r="H1107" s="2" t="s">
        <v>453</v>
      </c>
      <c r="I1107" t="s">
        <v>452</v>
      </c>
      <c r="K1107" s="13" t="s">
        <v>187</v>
      </c>
      <c r="M1107" s="2" t="s">
        <v>212</v>
      </c>
    </row>
    <row r="1108" spans="1:13" x14ac:dyDescent="0.25">
      <c r="A1108" t="s">
        <v>208</v>
      </c>
      <c r="C1108" t="s">
        <v>523</v>
      </c>
      <c r="E1108" t="s">
        <v>522</v>
      </c>
      <c r="F1108" t="s">
        <v>60</v>
      </c>
      <c r="G1108">
        <v>1</v>
      </c>
      <c r="H1108" t="s">
        <v>451</v>
      </c>
      <c r="I1108" t="s">
        <v>452</v>
      </c>
      <c r="K1108" s="13" t="s">
        <v>187</v>
      </c>
      <c r="M1108" t="s">
        <v>212</v>
      </c>
    </row>
    <row r="1109" spans="1:13" x14ac:dyDescent="0.25">
      <c r="A1109" t="s">
        <v>208</v>
      </c>
      <c r="C1109" t="s">
        <v>209</v>
      </c>
      <c r="E1109" t="s">
        <v>210</v>
      </c>
      <c r="F1109" t="s">
        <v>17</v>
      </c>
      <c r="G1109">
        <f>IF(OR(ISNUMBER(SEARCH("B3",$H$18)),ISNUMBER(SEARCH("B3",$H$17))),1,0)</f>
        <v>1</v>
      </c>
      <c r="H1109" s="2">
        <v>10</v>
      </c>
      <c r="J1109" t="s">
        <v>211</v>
      </c>
      <c r="K1109">
        <v>15</v>
      </c>
      <c r="M1109" t="s">
        <v>212</v>
      </c>
    </row>
    <row r="1110" spans="1:13" x14ac:dyDescent="0.25">
      <c r="A1110" t="s">
        <v>208</v>
      </c>
      <c r="C1110" t="s">
        <v>213</v>
      </c>
      <c r="E1110" t="s">
        <v>214</v>
      </c>
      <c r="F1110" t="s">
        <v>17</v>
      </c>
      <c r="G1110">
        <f>IF(OR(ISNUMBER(SEARCH("B3",$H$18)),ISNUMBER(SEARCH("B3",$H$17))),1,0)</f>
        <v>1</v>
      </c>
      <c r="H1110" s="16">
        <v>0.5</v>
      </c>
      <c r="J1110" t="s">
        <v>70</v>
      </c>
      <c r="K1110" s="7">
        <v>0.5</v>
      </c>
      <c r="M1110" t="s">
        <v>212</v>
      </c>
    </row>
    <row r="1111" spans="1:13" x14ac:dyDescent="0.25">
      <c r="A1111" t="s">
        <v>215</v>
      </c>
      <c r="B1111" t="s">
        <v>216</v>
      </c>
      <c r="C1111" t="s">
        <v>217</v>
      </c>
      <c r="E1111" t="s">
        <v>218</v>
      </c>
      <c r="F1111" t="s">
        <v>17</v>
      </c>
      <c r="G1111">
        <f>IF(OR(ISNUMBER(SEARCH("B4",$H$18)),ISNUMBER(SEARCH("B4",$H$17))),1,0)</f>
        <v>1</v>
      </c>
      <c r="J1111" t="s">
        <v>219</v>
      </c>
      <c r="K1111" s="13" t="s">
        <v>187</v>
      </c>
      <c r="M1111" t="s">
        <v>220</v>
      </c>
    </row>
    <row r="1112" spans="1:13" x14ac:dyDescent="0.25">
      <c r="A1112" t="s">
        <v>215</v>
      </c>
      <c r="B1112" t="s">
        <v>216</v>
      </c>
      <c r="C1112" t="s">
        <v>221</v>
      </c>
      <c r="E1112" t="s">
        <v>222</v>
      </c>
      <c r="F1112" t="s">
        <v>17</v>
      </c>
      <c r="G1112">
        <f>IF(OR(ISNUMBER(SEARCH("B4",$H$18)),ISNUMBER(SEARCH("B4",$H$17))),1,0)</f>
        <v>1</v>
      </c>
      <c r="J1112" t="s">
        <v>223</v>
      </c>
      <c r="K1112">
        <v>90</v>
      </c>
      <c r="M1112" t="s">
        <v>220</v>
      </c>
    </row>
    <row r="1113" spans="1:13" x14ac:dyDescent="0.25">
      <c r="A1113" t="s">
        <v>215</v>
      </c>
      <c r="B1113" t="s">
        <v>216</v>
      </c>
      <c r="C1113" t="s">
        <v>234</v>
      </c>
      <c r="E1113" t="s">
        <v>235</v>
      </c>
      <c r="F1113" t="s">
        <v>20</v>
      </c>
      <c r="G1113">
        <f>IF(OR(ISNUMBER(SEARCH("B4",$H$18)),ISNUMBER(SEARCH("B4",$H$17))),1,0)</f>
        <v>1</v>
      </c>
      <c r="I1113" t="s">
        <v>55</v>
      </c>
      <c r="K1113" s="22" t="s">
        <v>54</v>
      </c>
      <c r="M1113" t="s">
        <v>220</v>
      </c>
    </row>
    <row r="1114" spans="1:13" x14ac:dyDescent="0.25">
      <c r="A1114" t="s">
        <v>215</v>
      </c>
      <c r="B1114" t="s">
        <v>236</v>
      </c>
      <c r="C1114" t="s">
        <v>237</v>
      </c>
      <c r="E1114" t="s">
        <v>238</v>
      </c>
      <c r="F1114" t="s">
        <v>20</v>
      </c>
      <c r="G1114">
        <f>IF(ISBLANK($H$1113),0,1)</f>
        <v>0</v>
      </c>
      <c r="H1114" t="s">
        <v>430</v>
      </c>
      <c r="I1114" t="s">
        <v>383</v>
      </c>
      <c r="M1114" t="s">
        <v>220</v>
      </c>
    </row>
    <row r="1115" spans="1:13" x14ac:dyDescent="0.25">
      <c r="A1115" t="s">
        <v>215</v>
      </c>
      <c r="B1115" t="s">
        <v>236</v>
      </c>
      <c r="C1115" t="s">
        <v>240</v>
      </c>
      <c r="E1115" t="s">
        <v>241</v>
      </c>
      <c r="F1115" t="s">
        <v>36</v>
      </c>
      <c r="G1115">
        <f>IF(OR(ISNUMBER(SEARCH("C3",$H$18)),ISNUMBER(SEARCH("C3",$H$17))),1,0)</f>
        <v>1</v>
      </c>
      <c r="H1115" t="s">
        <v>291</v>
      </c>
      <c r="I1115" s="2" t="s">
        <v>243</v>
      </c>
      <c r="K1115" s="13" t="s">
        <v>187</v>
      </c>
      <c r="M1115" t="s">
        <v>220</v>
      </c>
    </row>
    <row r="1116" spans="1:13" x14ac:dyDescent="0.25">
      <c r="A1116" t="s">
        <v>215</v>
      </c>
      <c r="B1116" t="s">
        <v>236</v>
      </c>
      <c r="C1116" t="s">
        <v>244</v>
      </c>
      <c r="E1116" t="s">
        <v>245</v>
      </c>
      <c r="F1116" t="s">
        <v>17</v>
      </c>
      <c r="G1116">
        <f>IF(ISBLANK($H$1113),0,1)</f>
        <v>0</v>
      </c>
      <c r="J1116" t="s">
        <v>88</v>
      </c>
      <c r="K1116">
        <v>20</v>
      </c>
      <c r="M1116" t="s">
        <v>220</v>
      </c>
    </row>
    <row r="1117" spans="1:13" x14ac:dyDescent="0.25">
      <c r="A1117" t="s">
        <v>215</v>
      </c>
      <c r="B1117" t="s">
        <v>236</v>
      </c>
      <c r="C1117" t="s">
        <v>246</v>
      </c>
      <c r="E1117" t="s">
        <v>247</v>
      </c>
      <c r="F1117" t="s">
        <v>17</v>
      </c>
      <c r="G1117" s="23">
        <f>(IF(ISBLANK($H$1113),0,1))*(IF(ISNUMBER(SEARCH("Proposer un ordre de grandeur commun",$H$1115)),1,0))</f>
        <v>0</v>
      </c>
      <c r="H1117" s="18"/>
      <c r="J1117" t="s">
        <v>70</v>
      </c>
      <c r="K1117" s="7">
        <v>0.33</v>
      </c>
      <c r="M1117" t="s">
        <v>220</v>
      </c>
    </row>
    <row r="1118" spans="1:13" x14ac:dyDescent="0.25">
      <c r="A1118" t="s">
        <v>215</v>
      </c>
      <c r="B1118" t="s">
        <v>236</v>
      </c>
      <c r="C1118" t="s">
        <v>248</v>
      </c>
      <c r="E1118" t="s">
        <v>249</v>
      </c>
      <c r="F1118" t="s">
        <v>17</v>
      </c>
      <c r="G1118" s="23">
        <f>(IF(ISBLANK($H$1113),0,1))*(IF(ISNUMBER(SEARCH("Proposer un ordre de grandeur commun",$H$1115)),1,0))</f>
        <v>0</v>
      </c>
      <c r="J1118" t="s">
        <v>145</v>
      </c>
      <c r="K1118">
        <v>5</v>
      </c>
      <c r="M1118" t="s">
        <v>220</v>
      </c>
    </row>
    <row r="1119" spans="1:13" outlineLevel="1" x14ac:dyDescent="0.25">
      <c r="A1119" t="s">
        <v>215</v>
      </c>
      <c r="B1119" t="s">
        <v>382</v>
      </c>
      <c r="C1119" t="str">
        <f>_xlfn.CONCAT("Taux de chargement moyen des véhicules pour l'accès direct au(x) chantier(s)"," (",'Remplissage - Sit. Expost'!$B$23,")")</f>
        <v>Taux de chargement moyen des véhicules pour l'accès direct au(x) chantier(s) (Catégorie 1)</v>
      </c>
      <c r="E1119" t="str">
        <f>_xlfn.CONCAT("LogChantAccDirTC",RIGHT(LEFT(C1119,LEN(C1119)-1),1))</f>
        <v>LogChantAccDirTC1</v>
      </c>
      <c r="F1119" t="s">
        <v>17</v>
      </c>
      <c r="G1119" s="14">
        <f>(IF(ISNUMBER(SEARCH($B1119,$H$1114)),1,0))*(IF(ISNUMBER(SEARCH("Par catégorie de véhicule sélectionnée",$H$1115)),1,0))</f>
        <v>1</v>
      </c>
      <c r="H1119" s="3"/>
      <c r="J1119" t="s">
        <v>70</v>
      </c>
      <c r="K1119" s="7">
        <v>0.33</v>
      </c>
      <c r="M1119" t="s">
        <v>220</v>
      </c>
    </row>
    <row r="1120" spans="1:13" outlineLevel="1" x14ac:dyDescent="0.25">
      <c r="A1120" t="s">
        <v>215</v>
      </c>
      <c r="B1120" t="s">
        <v>382</v>
      </c>
      <c r="C1120" t="str">
        <f>_xlfn.CONCAT("Nombre de trajets associés"," (",'Remplissage - Sit. Expost'!$B$23,")")</f>
        <v>Nombre de trajets associés (Catégorie 1)</v>
      </c>
      <c r="E1120" t="str">
        <f>_xlfn.CONCAT("LogChantAccDirNbTraj",RIGHT(LEFT(C1120,LEN(C1120)-1),1))</f>
        <v>LogChantAccDirNbTraj1</v>
      </c>
      <c r="F1120" t="s">
        <v>17</v>
      </c>
      <c r="G1120" s="14">
        <f t="shared" ref="G1120:G1183" si="157">(IF(ISNUMBER(SEARCH($B1120,$H$1114)),1,0))*(IF(ISNUMBER(SEARCH("Par catégorie de véhicule sélectionnée",$H$1115)),1,0))</f>
        <v>1</v>
      </c>
      <c r="H1120" s="3"/>
      <c r="J1120" t="s">
        <v>145</v>
      </c>
      <c r="K1120">
        <v>3</v>
      </c>
      <c r="M1120" t="s">
        <v>220</v>
      </c>
    </row>
    <row r="1121" spans="1:13" outlineLevel="1" x14ac:dyDescent="0.25">
      <c r="A1121" t="s">
        <v>215</v>
      </c>
      <c r="B1121" t="s">
        <v>386</v>
      </c>
      <c r="C1121" t="str">
        <f>_xlfn.CONCAT("Taux de chargement moyen des véhicules pour l'accès direct au(x) chantier(s)"," (",'Remplissage - Sit. Expost'!$B$33,")")</f>
        <v>Taux de chargement moyen des véhicules pour l'accès direct au(x) chantier(s) (Catégorie 2)</v>
      </c>
      <c r="E1121" t="str">
        <f>_xlfn.CONCAT("LogChantAccDirTC",RIGHT(LEFT(C1121,LEN(C1121)-1),1))</f>
        <v>LogChantAccDirTC2</v>
      </c>
      <c r="F1121" t="s">
        <v>17</v>
      </c>
      <c r="G1121" s="14">
        <f t="shared" si="157"/>
        <v>0</v>
      </c>
      <c r="H1121" s="3"/>
      <c r="J1121" t="s">
        <v>70</v>
      </c>
      <c r="K1121" s="7">
        <v>0.33</v>
      </c>
      <c r="M1121" t="s">
        <v>220</v>
      </c>
    </row>
    <row r="1122" spans="1:13" outlineLevel="1" x14ac:dyDescent="0.25">
      <c r="A1122" t="s">
        <v>215</v>
      </c>
      <c r="B1122" t="s">
        <v>386</v>
      </c>
      <c r="C1122" t="str">
        <f>_xlfn.CONCAT("Nombre de trajets associés"," (",'Remplissage - Sit. Expost'!$B$33,")")</f>
        <v>Nombre de trajets associés (Catégorie 2)</v>
      </c>
      <c r="E1122" t="str">
        <f>_xlfn.CONCAT("LogChantAccDirNbTraj",RIGHT(LEFT(C1122,LEN(C1122)-1),1))</f>
        <v>LogChantAccDirNbTraj2</v>
      </c>
      <c r="F1122" t="s">
        <v>17</v>
      </c>
      <c r="G1122" s="14">
        <f t="shared" si="157"/>
        <v>0</v>
      </c>
      <c r="J1122" t="s">
        <v>145</v>
      </c>
      <c r="K1122">
        <v>3</v>
      </c>
      <c r="M1122" t="s">
        <v>220</v>
      </c>
    </row>
    <row r="1123" spans="1:13" outlineLevel="1" x14ac:dyDescent="0.25">
      <c r="A1123" t="s">
        <v>215</v>
      </c>
      <c r="B1123" t="s">
        <v>388</v>
      </c>
      <c r="C1123" t="str">
        <f>_xlfn.CONCAT("Taux de chargement moyen des véhicules pour l'accès direct au(x) chantier(s)"," (",'Remplissage - Sit. Expost'!$B$43,")")</f>
        <v>Taux de chargement moyen des véhicules pour l'accès direct au(x) chantier(s) (Catégorie 3)</v>
      </c>
      <c r="E1123" t="str">
        <f>_xlfn.CONCAT("LogChantAccDirTC",RIGHT(LEFT(C1123,LEN(C1123)-1),1))</f>
        <v>LogChantAccDirTC3</v>
      </c>
      <c r="F1123" t="s">
        <v>17</v>
      </c>
      <c r="G1123" s="14">
        <f t="shared" si="157"/>
        <v>1</v>
      </c>
      <c r="H1123" s="3"/>
      <c r="J1123" t="s">
        <v>70</v>
      </c>
      <c r="K1123" s="7">
        <v>0.33</v>
      </c>
      <c r="M1123" t="s">
        <v>220</v>
      </c>
    </row>
    <row r="1124" spans="1:13" x14ac:dyDescent="0.25">
      <c r="A1124" t="s">
        <v>215</v>
      </c>
      <c r="B1124" t="s">
        <v>388</v>
      </c>
      <c r="C1124" t="str">
        <f>_xlfn.CONCAT("Nombre de trajets associés"," (",'Remplissage - Sit. Expost'!$B$43,")")</f>
        <v>Nombre de trajets associés (Catégorie 3)</v>
      </c>
      <c r="E1124" t="str">
        <f>_xlfn.CONCAT("LogChantAccDirNbTraj",RIGHT(LEFT(C1124,LEN(C1124)-1),1))</f>
        <v>LogChantAccDirNbTraj3</v>
      </c>
      <c r="F1124" t="s">
        <v>17</v>
      </c>
      <c r="G1124" s="14">
        <f t="shared" si="157"/>
        <v>1</v>
      </c>
      <c r="J1124" t="s">
        <v>145</v>
      </c>
      <c r="K1124">
        <v>3</v>
      </c>
      <c r="M1124" t="s">
        <v>220</v>
      </c>
    </row>
    <row r="1125" spans="1:13" x14ac:dyDescent="0.25">
      <c r="A1125" t="s">
        <v>215</v>
      </c>
      <c r="B1125" t="s">
        <v>389</v>
      </c>
      <c r="C1125" t="str">
        <f>_xlfn.CONCAT("Taux de chargement moyen des véhicules pour l'accès direct au(x) chantier(s)"," (",'Remplissage - Sit. Expost'!$B$53,")")</f>
        <v>Taux de chargement moyen des véhicules pour l'accès direct au(x) chantier(s) (Catégorie 4)</v>
      </c>
      <c r="E1125" t="str">
        <f>_xlfn.CONCAT("LogChantAccDirTC",RIGHT(LEFT(C1125,LEN(C1125)-1),1))</f>
        <v>LogChantAccDirTC4</v>
      </c>
      <c r="F1125" t="s">
        <v>17</v>
      </c>
      <c r="G1125" s="14">
        <f t="shared" si="157"/>
        <v>0</v>
      </c>
      <c r="H1125" s="3"/>
      <c r="J1125" t="s">
        <v>70</v>
      </c>
      <c r="K1125" s="7">
        <v>0.33</v>
      </c>
      <c r="M1125" t="s">
        <v>220</v>
      </c>
    </row>
    <row r="1126" spans="1:13" x14ac:dyDescent="0.25">
      <c r="A1126" t="s">
        <v>215</v>
      </c>
      <c r="B1126" t="s">
        <v>389</v>
      </c>
      <c r="C1126" t="str">
        <f>_xlfn.CONCAT("Nombre de trajets associés"," (",'Remplissage - Sit. Expost'!$B$53,")")</f>
        <v>Nombre de trajets associés (Catégorie 4)</v>
      </c>
      <c r="E1126" t="str">
        <f>_xlfn.CONCAT("LogChantAccDirNbTraj",RIGHT(LEFT(C1126,LEN(C1126)-1),1))</f>
        <v>LogChantAccDirNbTraj4</v>
      </c>
      <c r="F1126" t="s">
        <v>17</v>
      </c>
      <c r="G1126" s="14">
        <f t="shared" si="157"/>
        <v>0</v>
      </c>
      <c r="J1126" t="s">
        <v>145</v>
      </c>
      <c r="K1126">
        <v>3</v>
      </c>
      <c r="M1126" t="s">
        <v>220</v>
      </c>
    </row>
    <row r="1127" spans="1:13" x14ac:dyDescent="0.25">
      <c r="A1127" t="s">
        <v>215</v>
      </c>
      <c r="B1127" t="s">
        <v>390</v>
      </c>
      <c r="C1127" t="str">
        <f>_xlfn.CONCAT("Taux de chargement moyen des véhicules pour l'accès direct au(x) chantier(s)"," (",'Remplissage - Sit. Expost'!$B$63,")")</f>
        <v>Taux de chargement moyen des véhicules pour l'accès direct au(x) chantier(s) (Catégorie 5)</v>
      </c>
      <c r="E1127" t="str">
        <f>_xlfn.CONCAT("LogChantAccDirTC",RIGHT(LEFT(C1127,LEN(C1127)-1),1))</f>
        <v>LogChantAccDirTC5</v>
      </c>
      <c r="F1127" t="s">
        <v>17</v>
      </c>
      <c r="G1127" s="14">
        <f t="shared" si="157"/>
        <v>0</v>
      </c>
      <c r="H1127" s="3"/>
      <c r="J1127" t="s">
        <v>70</v>
      </c>
      <c r="K1127" s="7">
        <v>0.33</v>
      </c>
      <c r="M1127" t="s">
        <v>220</v>
      </c>
    </row>
    <row r="1128" spans="1:13" outlineLevel="1" x14ac:dyDescent="0.25">
      <c r="A1128" t="s">
        <v>215</v>
      </c>
      <c r="B1128" t="s">
        <v>390</v>
      </c>
      <c r="C1128" t="str">
        <f>_xlfn.CONCAT("Nombre de trajets associés"," (",'Remplissage - Sit. Expost'!$B$63,")")</f>
        <v>Nombre de trajets associés (Catégorie 5)</v>
      </c>
      <c r="E1128" t="str">
        <f>_xlfn.CONCAT("LogChantAccDirNbTraj",RIGHT(LEFT(C1128,LEN(C1128)-1),1))</f>
        <v>LogChantAccDirNbTraj5</v>
      </c>
      <c r="F1128" t="s">
        <v>17</v>
      </c>
      <c r="G1128" s="14">
        <f t="shared" si="157"/>
        <v>0</v>
      </c>
      <c r="J1128" t="s">
        <v>145</v>
      </c>
      <c r="K1128">
        <v>3</v>
      </c>
      <c r="M1128" t="s">
        <v>220</v>
      </c>
    </row>
    <row r="1129" spans="1:13" outlineLevel="1" x14ac:dyDescent="0.25">
      <c r="A1129" t="s">
        <v>215</v>
      </c>
      <c r="B1129" t="s">
        <v>391</v>
      </c>
      <c r="C1129" t="str">
        <f>_xlfn.CONCAT("Taux de chargement moyen des véhicules pour l'accès direct au(x) chantier(s)"," (",'Remplissage - Sit. Expost'!$B$73,")")</f>
        <v>Taux de chargement moyen des véhicules pour l'accès direct au(x) chantier(s) (Catégorie 6)</v>
      </c>
      <c r="E1129" t="str">
        <f>_xlfn.CONCAT("LogChantAccDirTC",RIGHT(LEFT(C1129,LEN(C1129)-1),1))</f>
        <v>LogChantAccDirTC6</v>
      </c>
      <c r="F1129" t="s">
        <v>17</v>
      </c>
      <c r="G1129" s="14">
        <f t="shared" si="157"/>
        <v>0</v>
      </c>
      <c r="H1129" s="3"/>
      <c r="J1129" t="s">
        <v>70</v>
      </c>
      <c r="K1129" s="7">
        <v>0.33</v>
      </c>
      <c r="M1129" t="s">
        <v>220</v>
      </c>
    </row>
    <row r="1130" spans="1:13" outlineLevel="1" x14ac:dyDescent="0.25">
      <c r="A1130" t="s">
        <v>215</v>
      </c>
      <c r="B1130" t="s">
        <v>391</v>
      </c>
      <c r="C1130" t="str">
        <f>_xlfn.CONCAT("Nombre de trajets associés"," (",'Remplissage - Sit. Expost'!$B$73,")")</f>
        <v>Nombre de trajets associés (Catégorie 6)</v>
      </c>
      <c r="E1130" t="str">
        <f>_xlfn.CONCAT("LogChantAccDirNbTraj",RIGHT(LEFT(C1130,LEN(C1130)-1),1))</f>
        <v>LogChantAccDirNbTraj6</v>
      </c>
      <c r="F1130" t="s">
        <v>17</v>
      </c>
      <c r="G1130" s="14">
        <f t="shared" si="157"/>
        <v>0</v>
      </c>
      <c r="J1130" t="s">
        <v>145</v>
      </c>
      <c r="K1130">
        <v>3</v>
      </c>
      <c r="M1130" t="s">
        <v>220</v>
      </c>
    </row>
    <row r="1131" spans="1:13" outlineLevel="1" x14ac:dyDescent="0.25">
      <c r="A1131" t="s">
        <v>215</v>
      </c>
      <c r="B1131" t="s">
        <v>392</v>
      </c>
      <c r="C1131" t="str">
        <f>_xlfn.CONCAT("Taux de chargement moyen des véhicules pour l'accès direct au(x) chantier(s)"," (",'Remplissage - Sit. Expost'!$B$83,")")</f>
        <v>Taux de chargement moyen des véhicules pour l'accès direct au(x) chantier(s) (Catégorie 7)</v>
      </c>
      <c r="E1131" t="str">
        <f>_xlfn.CONCAT("LogChantAccDirTC",RIGHT(LEFT(C1131,LEN(C1131)-1),1))</f>
        <v>LogChantAccDirTC7</v>
      </c>
      <c r="F1131" t="s">
        <v>17</v>
      </c>
      <c r="G1131" s="14">
        <f t="shared" si="157"/>
        <v>0</v>
      </c>
      <c r="H1131" s="3"/>
      <c r="J1131" t="s">
        <v>70</v>
      </c>
      <c r="K1131" s="7">
        <v>0.33</v>
      </c>
      <c r="M1131" t="s">
        <v>220</v>
      </c>
    </row>
    <row r="1132" spans="1:13" outlineLevel="1" x14ac:dyDescent="0.25">
      <c r="A1132" t="s">
        <v>215</v>
      </c>
      <c r="B1132" t="s">
        <v>392</v>
      </c>
      <c r="C1132" t="str">
        <f>_xlfn.CONCAT("Nombre de trajets associés"," (",'Remplissage - Sit. Expost'!$B$83,")")</f>
        <v>Nombre de trajets associés (Catégorie 7)</v>
      </c>
      <c r="E1132" t="str">
        <f>_xlfn.CONCAT("LogChantAccDirNbTraj",RIGHT(LEFT(C1132,LEN(C1132)-1),1))</f>
        <v>LogChantAccDirNbTraj7</v>
      </c>
      <c r="F1132" t="s">
        <v>17</v>
      </c>
      <c r="G1132" s="14">
        <f t="shared" si="157"/>
        <v>0</v>
      </c>
      <c r="J1132" t="s">
        <v>145</v>
      </c>
      <c r="K1132">
        <v>3</v>
      </c>
      <c r="M1132" t="s">
        <v>220</v>
      </c>
    </row>
    <row r="1133" spans="1:13" outlineLevel="1" x14ac:dyDescent="0.25">
      <c r="A1133" t="s">
        <v>215</v>
      </c>
      <c r="B1133" t="s">
        <v>393</v>
      </c>
      <c r="C1133" t="str">
        <f>_xlfn.CONCAT("Taux de chargement moyen des véhicules pour l'accès direct au(x) chantier(s)"," (",'Remplissage - Sit. Expost'!$B$93,")")</f>
        <v>Taux de chargement moyen des véhicules pour l'accès direct au(x) chantier(s) (Catégorie 8)</v>
      </c>
      <c r="E1133" t="str">
        <f>_xlfn.CONCAT("LogChantAccDirTC",RIGHT(LEFT(C1133,LEN(C1133)-1),1))</f>
        <v>LogChantAccDirTC8</v>
      </c>
      <c r="F1133" t="s">
        <v>17</v>
      </c>
      <c r="G1133" s="14">
        <f t="shared" si="157"/>
        <v>0</v>
      </c>
      <c r="H1133" s="3"/>
      <c r="J1133" t="s">
        <v>70</v>
      </c>
      <c r="K1133" s="7">
        <v>0.33</v>
      </c>
      <c r="M1133" t="s">
        <v>220</v>
      </c>
    </row>
    <row r="1134" spans="1:13" outlineLevel="1" x14ac:dyDescent="0.25">
      <c r="A1134" t="s">
        <v>215</v>
      </c>
      <c r="B1134" t="s">
        <v>393</v>
      </c>
      <c r="C1134" t="str">
        <f>_xlfn.CONCAT("Nombre de trajets associés"," (",'Remplissage - Sit. Expost'!$B$93,")")</f>
        <v>Nombre de trajets associés (Catégorie 8)</v>
      </c>
      <c r="E1134" t="str">
        <f>_xlfn.CONCAT("LogChantAccDirNbTraj",RIGHT(LEFT(C1134,LEN(C1134)-1),1))</f>
        <v>LogChantAccDirNbTraj8</v>
      </c>
      <c r="F1134" t="s">
        <v>17</v>
      </c>
      <c r="G1134" s="14">
        <f t="shared" si="157"/>
        <v>0</v>
      </c>
      <c r="J1134" t="s">
        <v>145</v>
      </c>
      <c r="K1134">
        <v>3</v>
      </c>
      <c r="M1134" t="s">
        <v>220</v>
      </c>
    </row>
    <row r="1135" spans="1:13" outlineLevel="1" x14ac:dyDescent="0.25">
      <c r="A1135" t="s">
        <v>215</v>
      </c>
      <c r="B1135" t="s">
        <v>394</v>
      </c>
      <c r="C1135" t="str">
        <f>_xlfn.CONCAT("Taux de chargement moyen des véhicules pour l'accès direct au(x) chantier(s)"," (",'Remplissage - Sit. Expost'!$B$103,")")</f>
        <v>Taux de chargement moyen des véhicules pour l'accès direct au(x) chantier(s) (Catégorie 9)</v>
      </c>
      <c r="E1135" t="str">
        <f>_xlfn.CONCAT("LogChantAccDirTC",RIGHT(LEFT(C1135,LEN(C1135)-1),1))</f>
        <v>LogChantAccDirTC9</v>
      </c>
      <c r="F1135" t="s">
        <v>17</v>
      </c>
      <c r="G1135" s="14">
        <f t="shared" si="157"/>
        <v>0</v>
      </c>
      <c r="H1135" s="3"/>
      <c r="J1135" t="s">
        <v>70</v>
      </c>
      <c r="K1135" s="7">
        <v>0.33</v>
      </c>
      <c r="M1135" t="s">
        <v>220</v>
      </c>
    </row>
    <row r="1136" spans="1:13" outlineLevel="1" x14ac:dyDescent="0.25">
      <c r="A1136" t="s">
        <v>215</v>
      </c>
      <c r="B1136" t="s">
        <v>394</v>
      </c>
      <c r="C1136" t="str">
        <f>_xlfn.CONCAT("Nombre de trajets associés"," (",'Remplissage - Sit. Expost'!$B$103,")")</f>
        <v>Nombre de trajets associés (Catégorie 9)</v>
      </c>
      <c r="E1136" t="str">
        <f>_xlfn.CONCAT("LogChantAccDirNbTraj",RIGHT(LEFT(C1136,LEN(C1136)-1),1))</f>
        <v>LogChantAccDirNbTraj9</v>
      </c>
      <c r="F1136" t="s">
        <v>17</v>
      </c>
      <c r="G1136" s="14">
        <f t="shared" si="157"/>
        <v>0</v>
      </c>
      <c r="J1136" t="s">
        <v>145</v>
      </c>
      <c r="K1136">
        <v>3</v>
      </c>
      <c r="M1136" t="s">
        <v>220</v>
      </c>
    </row>
    <row r="1137" spans="1:13" outlineLevel="1" x14ac:dyDescent="0.25">
      <c r="A1137" t="s">
        <v>215</v>
      </c>
      <c r="B1137" t="s">
        <v>395</v>
      </c>
      <c r="C1137" t="str">
        <f>_xlfn.CONCAT("Taux de chargement moyen des véhicules pour l'accès direct au(x) chantier(s)"," (",'Remplissage - Sit. Expost'!$B$113,")")</f>
        <v>Taux de chargement moyen des véhicules pour l'accès direct au(x) chantier(s) (Catégorie 10)</v>
      </c>
      <c r="E1137" t="str">
        <f>_xlfn.CONCAT("LogChantAccDirTC",RIGHT(LEFT(C1137,LEN(C1137)-1),2))</f>
        <v>LogChantAccDirTC10</v>
      </c>
      <c r="F1137" t="s">
        <v>17</v>
      </c>
      <c r="G1137" s="14">
        <f t="shared" si="157"/>
        <v>0</v>
      </c>
      <c r="H1137" s="3"/>
      <c r="J1137" t="s">
        <v>70</v>
      </c>
      <c r="K1137" s="7">
        <v>0.33</v>
      </c>
      <c r="M1137" t="s">
        <v>220</v>
      </c>
    </row>
    <row r="1138" spans="1:13" outlineLevel="1" x14ac:dyDescent="0.25">
      <c r="A1138" t="s">
        <v>215</v>
      </c>
      <c r="B1138" t="s">
        <v>395</v>
      </c>
      <c r="C1138" t="str">
        <f>_xlfn.CONCAT("Nombre de trajets associés"," (",'Remplissage - Sit. Expost'!$B$113,")")</f>
        <v>Nombre de trajets associés (Catégorie 10)</v>
      </c>
      <c r="E1138" t="str">
        <f>_xlfn.CONCAT("LogChantAccDirNbTraj",RIGHT(LEFT(C1138,LEN(C1138)-1),2))</f>
        <v>LogChantAccDirNbTraj10</v>
      </c>
      <c r="F1138" t="s">
        <v>17</v>
      </c>
      <c r="G1138" s="14">
        <f t="shared" si="157"/>
        <v>0</v>
      </c>
      <c r="J1138" t="s">
        <v>145</v>
      </c>
      <c r="K1138">
        <v>3</v>
      </c>
      <c r="M1138" t="s">
        <v>220</v>
      </c>
    </row>
    <row r="1139" spans="1:13" outlineLevel="1" x14ac:dyDescent="0.25">
      <c r="A1139" t="s">
        <v>215</v>
      </c>
      <c r="B1139" t="s">
        <v>396</v>
      </c>
      <c r="C1139" t="str">
        <f>_xlfn.CONCAT("Taux de chargement moyen des véhicules pour l'accès direct au(x) chantier(s)"," (",'Remplissage - Sit. Expost'!$B$123,")")</f>
        <v>Taux de chargement moyen des véhicules pour l'accès direct au(x) chantier(s) (Catégorie 11)</v>
      </c>
      <c r="E1139" t="str">
        <f t="shared" ref="E1139" si="158">_xlfn.CONCAT("LogChantAccDirTC",RIGHT(LEFT(C1139,LEN(C1139)-1),2))</f>
        <v>LogChantAccDirTC11</v>
      </c>
      <c r="F1139" t="s">
        <v>17</v>
      </c>
      <c r="G1139" s="14">
        <f t="shared" si="157"/>
        <v>0</v>
      </c>
      <c r="H1139" s="3"/>
      <c r="J1139" t="s">
        <v>70</v>
      </c>
      <c r="K1139" s="7">
        <v>0.33</v>
      </c>
      <c r="M1139" t="s">
        <v>220</v>
      </c>
    </row>
    <row r="1140" spans="1:13" outlineLevel="1" x14ac:dyDescent="0.25">
      <c r="A1140" t="s">
        <v>215</v>
      </c>
      <c r="B1140" t="s">
        <v>396</v>
      </c>
      <c r="C1140" t="str">
        <f>_xlfn.CONCAT("Nombre de trajets associés"," (",'Remplissage - Sit. Expost'!$B$123,")")</f>
        <v>Nombre de trajets associés (Catégorie 11)</v>
      </c>
      <c r="E1140" t="str">
        <f t="shared" ref="E1140" si="159">_xlfn.CONCAT("LogChantAccDirNbTraj",RIGHT(LEFT(C1140,LEN(C1140)-1),2))</f>
        <v>LogChantAccDirNbTraj11</v>
      </c>
      <c r="F1140" t="s">
        <v>17</v>
      </c>
      <c r="G1140" s="14">
        <f t="shared" si="157"/>
        <v>0</v>
      </c>
      <c r="J1140" t="s">
        <v>145</v>
      </c>
      <c r="K1140">
        <v>3</v>
      </c>
      <c r="M1140" t="s">
        <v>220</v>
      </c>
    </row>
    <row r="1141" spans="1:13" outlineLevel="1" x14ac:dyDescent="0.25">
      <c r="A1141" t="s">
        <v>215</v>
      </c>
      <c r="B1141" t="s">
        <v>397</v>
      </c>
      <c r="C1141" t="str">
        <f>_xlfn.CONCAT("Taux de chargement moyen des véhicules pour l'accès direct au(x) chantier(s)"," (",'Remplissage - Sit. Expost'!$B$133,")")</f>
        <v>Taux de chargement moyen des véhicules pour l'accès direct au(x) chantier(s) (Catégorie 12)</v>
      </c>
      <c r="E1141" t="str">
        <f t="shared" ref="E1141" si="160">_xlfn.CONCAT("LogChantAccDirTC",RIGHT(LEFT(C1141,LEN(C1141)-1),2))</f>
        <v>LogChantAccDirTC12</v>
      </c>
      <c r="F1141" t="s">
        <v>17</v>
      </c>
      <c r="G1141" s="14">
        <f t="shared" si="157"/>
        <v>0</v>
      </c>
      <c r="H1141" s="3"/>
      <c r="J1141" t="s">
        <v>70</v>
      </c>
      <c r="K1141" s="7">
        <v>0.33</v>
      </c>
      <c r="M1141" t="s">
        <v>220</v>
      </c>
    </row>
    <row r="1142" spans="1:13" outlineLevel="1" x14ac:dyDescent="0.25">
      <c r="A1142" t="s">
        <v>215</v>
      </c>
      <c r="B1142" t="s">
        <v>397</v>
      </c>
      <c r="C1142" t="str">
        <f>_xlfn.CONCAT("Nombre de trajets associés"," (",'Remplissage - Sit. Expost'!$B$133,")")</f>
        <v>Nombre de trajets associés (Catégorie 12)</v>
      </c>
      <c r="E1142" t="str">
        <f t="shared" ref="E1142" si="161">_xlfn.CONCAT("LogChantAccDirNbTraj",RIGHT(LEFT(C1142,LEN(C1142)-1),2))</f>
        <v>LogChantAccDirNbTraj12</v>
      </c>
      <c r="F1142" t="s">
        <v>17</v>
      </c>
      <c r="G1142" s="14">
        <f t="shared" si="157"/>
        <v>0</v>
      </c>
      <c r="J1142" t="s">
        <v>145</v>
      </c>
      <c r="K1142">
        <v>3</v>
      </c>
      <c r="M1142" t="s">
        <v>220</v>
      </c>
    </row>
    <row r="1143" spans="1:13" outlineLevel="1" x14ac:dyDescent="0.25">
      <c r="A1143" t="s">
        <v>215</v>
      </c>
      <c r="B1143" t="s">
        <v>398</v>
      </c>
      <c r="C1143" t="str">
        <f>_xlfn.CONCAT("Taux de chargement moyen des véhicules pour l'accès direct au(x) chantier(s)"," (",'Remplissage - Sit. Expost'!$B$143,")")</f>
        <v>Taux de chargement moyen des véhicules pour l'accès direct au(x) chantier(s) (Catégorie 13)</v>
      </c>
      <c r="E1143" t="str">
        <f t="shared" ref="E1143" si="162">_xlfn.CONCAT("LogChantAccDirTC",RIGHT(LEFT(C1143,LEN(C1143)-1),2))</f>
        <v>LogChantAccDirTC13</v>
      </c>
      <c r="F1143" t="s">
        <v>17</v>
      </c>
      <c r="G1143" s="14">
        <f t="shared" si="157"/>
        <v>0</v>
      </c>
      <c r="H1143" s="3"/>
      <c r="J1143" t="s">
        <v>70</v>
      </c>
      <c r="K1143" s="7">
        <v>0.33</v>
      </c>
      <c r="M1143" t="s">
        <v>220</v>
      </c>
    </row>
    <row r="1144" spans="1:13" outlineLevel="1" x14ac:dyDescent="0.25">
      <c r="A1144" t="s">
        <v>215</v>
      </c>
      <c r="B1144" t="s">
        <v>398</v>
      </c>
      <c r="C1144" t="str">
        <f>_xlfn.CONCAT("Nombre de trajets associés"," (",'Remplissage - Sit. Expost'!$B$143,")")</f>
        <v>Nombre de trajets associés (Catégorie 13)</v>
      </c>
      <c r="E1144" t="str">
        <f t="shared" ref="E1144" si="163">_xlfn.CONCAT("LogChantAccDirNbTraj",RIGHT(LEFT(C1144,LEN(C1144)-1),2))</f>
        <v>LogChantAccDirNbTraj13</v>
      </c>
      <c r="F1144" t="s">
        <v>17</v>
      </c>
      <c r="G1144" s="14">
        <f t="shared" si="157"/>
        <v>0</v>
      </c>
      <c r="J1144" t="s">
        <v>145</v>
      </c>
      <c r="K1144">
        <v>3</v>
      </c>
      <c r="M1144" t="s">
        <v>220</v>
      </c>
    </row>
    <row r="1145" spans="1:13" outlineLevel="1" x14ac:dyDescent="0.25">
      <c r="A1145" t="s">
        <v>215</v>
      </c>
      <c r="B1145" t="s">
        <v>399</v>
      </c>
      <c r="C1145" t="str">
        <f>_xlfn.CONCAT("Taux de chargement moyen des véhicules pour l'accès direct au(x) chantier(s)"," (",'Remplissage - Sit. Expost'!$B$153,")")</f>
        <v>Taux de chargement moyen des véhicules pour l'accès direct au(x) chantier(s) (Catégorie 14)</v>
      </c>
      <c r="E1145" t="str">
        <f t="shared" ref="E1145" si="164">_xlfn.CONCAT("LogChantAccDirTC",RIGHT(LEFT(C1145,LEN(C1145)-1),2))</f>
        <v>LogChantAccDirTC14</v>
      </c>
      <c r="F1145" t="s">
        <v>17</v>
      </c>
      <c r="G1145" s="14">
        <f t="shared" si="157"/>
        <v>0</v>
      </c>
      <c r="H1145" s="3"/>
      <c r="J1145" t="s">
        <v>70</v>
      </c>
      <c r="K1145" s="7">
        <v>0.33</v>
      </c>
      <c r="M1145" t="s">
        <v>220</v>
      </c>
    </row>
    <row r="1146" spans="1:13" outlineLevel="1" x14ac:dyDescent="0.25">
      <c r="A1146" t="s">
        <v>215</v>
      </c>
      <c r="B1146" t="s">
        <v>399</v>
      </c>
      <c r="C1146" t="str">
        <f>_xlfn.CONCAT("Nombre de trajets associés"," (",'Remplissage - Sit. Expost'!$B$153,")")</f>
        <v>Nombre de trajets associés (Catégorie 14)</v>
      </c>
      <c r="E1146" t="str">
        <f t="shared" ref="E1146" si="165">_xlfn.CONCAT("LogChantAccDirNbTraj",RIGHT(LEFT(C1146,LEN(C1146)-1),2))</f>
        <v>LogChantAccDirNbTraj14</v>
      </c>
      <c r="F1146" t="s">
        <v>17</v>
      </c>
      <c r="G1146" s="14">
        <f t="shared" si="157"/>
        <v>0</v>
      </c>
      <c r="J1146" t="s">
        <v>145</v>
      </c>
      <c r="K1146">
        <v>3</v>
      </c>
      <c r="M1146" t="s">
        <v>220</v>
      </c>
    </row>
    <row r="1147" spans="1:13" outlineLevel="1" x14ac:dyDescent="0.25">
      <c r="A1147" t="s">
        <v>215</v>
      </c>
      <c r="B1147" t="s">
        <v>400</v>
      </c>
      <c r="C1147" t="str">
        <f>_xlfn.CONCAT("Taux de chargement moyen des véhicules pour l'accès direct au(x) chantier(s)"," (",'Remplissage - Sit. Expost'!$B$163,")")</f>
        <v>Taux de chargement moyen des véhicules pour l'accès direct au(x) chantier(s) (Catégorie 15)</v>
      </c>
      <c r="E1147" t="str">
        <f t="shared" ref="E1147" si="166">_xlfn.CONCAT("LogChantAccDirTC",RIGHT(LEFT(C1147,LEN(C1147)-1),2))</f>
        <v>LogChantAccDirTC15</v>
      </c>
      <c r="F1147" t="s">
        <v>17</v>
      </c>
      <c r="G1147" s="14">
        <f t="shared" si="157"/>
        <v>0</v>
      </c>
      <c r="H1147" s="3"/>
      <c r="J1147" t="s">
        <v>70</v>
      </c>
      <c r="K1147" s="7">
        <v>0.33</v>
      </c>
      <c r="M1147" t="s">
        <v>220</v>
      </c>
    </row>
    <row r="1148" spans="1:13" outlineLevel="1" x14ac:dyDescent="0.25">
      <c r="A1148" t="s">
        <v>215</v>
      </c>
      <c r="B1148" t="s">
        <v>400</v>
      </c>
      <c r="C1148" t="str">
        <f>_xlfn.CONCAT("Nombre de trajets associés"," (",'Remplissage - Sit. Expost'!$B$163,")")</f>
        <v>Nombre de trajets associés (Catégorie 15)</v>
      </c>
      <c r="E1148" t="str">
        <f t="shared" ref="E1148" si="167">_xlfn.CONCAT("LogChantAccDirNbTraj",RIGHT(LEFT(C1148,LEN(C1148)-1),2))</f>
        <v>LogChantAccDirNbTraj15</v>
      </c>
      <c r="F1148" t="s">
        <v>17</v>
      </c>
      <c r="G1148" s="14">
        <f t="shared" si="157"/>
        <v>0</v>
      </c>
      <c r="J1148" t="s">
        <v>145</v>
      </c>
      <c r="K1148">
        <v>3</v>
      </c>
      <c r="M1148" t="s">
        <v>220</v>
      </c>
    </row>
    <row r="1149" spans="1:13" outlineLevel="1" x14ac:dyDescent="0.25">
      <c r="A1149" t="s">
        <v>215</v>
      </c>
      <c r="B1149" t="s">
        <v>401</v>
      </c>
      <c r="C1149" t="str">
        <f>_xlfn.CONCAT("Taux de chargement moyen des véhicules pour l'accès direct au(x) chantier(s)"," (",'Remplissage - Sit. Expost'!$B$173,")")</f>
        <v>Taux de chargement moyen des véhicules pour l'accès direct au(x) chantier(s) (Catégorie 16)</v>
      </c>
      <c r="E1149" t="str">
        <f t="shared" ref="E1149" si="168">_xlfn.CONCAT("LogChantAccDirTC",RIGHT(LEFT(C1149,LEN(C1149)-1),2))</f>
        <v>LogChantAccDirTC16</v>
      </c>
      <c r="F1149" t="s">
        <v>17</v>
      </c>
      <c r="G1149" s="14">
        <f t="shared" si="157"/>
        <v>0</v>
      </c>
      <c r="H1149" s="3"/>
      <c r="J1149" t="s">
        <v>70</v>
      </c>
      <c r="K1149" s="7">
        <v>0.33</v>
      </c>
      <c r="M1149" t="s">
        <v>220</v>
      </c>
    </row>
    <row r="1150" spans="1:13" outlineLevel="1" x14ac:dyDescent="0.25">
      <c r="A1150" t="s">
        <v>215</v>
      </c>
      <c r="B1150" t="s">
        <v>401</v>
      </c>
      <c r="C1150" t="str">
        <f>_xlfn.CONCAT("Nombre de trajets associés"," (",'Remplissage - Sit. Expost'!$B$173,")")</f>
        <v>Nombre de trajets associés (Catégorie 16)</v>
      </c>
      <c r="E1150" t="str">
        <f t="shared" ref="E1150" si="169">_xlfn.CONCAT("LogChantAccDirNbTraj",RIGHT(LEFT(C1150,LEN(C1150)-1),2))</f>
        <v>LogChantAccDirNbTraj16</v>
      </c>
      <c r="F1150" t="s">
        <v>17</v>
      </c>
      <c r="G1150" s="14">
        <f t="shared" si="157"/>
        <v>0</v>
      </c>
      <c r="J1150" t="s">
        <v>145</v>
      </c>
      <c r="K1150">
        <v>3</v>
      </c>
      <c r="M1150" t="s">
        <v>220</v>
      </c>
    </row>
    <row r="1151" spans="1:13" outlineLevel="1" x14ac:dyDescent="0.25">
      <c r="A1151" t="s">
        <v>215</v>
      </c>
      <c r="B1151" t="s">
        <v>402</v>
      </c>
      <c r="C1151" t="str">
        <f>_xlfn.CONCAT("Taux de chargement moyen des véhicules pour l'accès direct au(x) chantier(s)"," (",'Remplissage - Sit. Expost'!$B$183,")")</f>
        <v>Taux de chargement moyen des véhicules pour l'accès direct au(x) chantier(s) (Catégorie 17)</v>
      </c>
      <c r="E1151" t="str">
        <f t="shared" ref="E1151" si="170">_xlfn.CONCAT("LogChantAccDirTC",RIGHT(LEFT(C1151,LEN(C1151)-1),2))</f>
        <v>LogChantAccDirTC17</v>
      </c>
      <c r="F1151" t="s">
        <v>17</v>
      </c>
      <c r="G1151" s="14">
        <f t="shared" si="157"/>
        <v>0</v>
      </c>
      <c r="H1151" s="3"/>
      <c r="J1151" t="s">
        <v>70</v>
      </c>
      <c r="K1151" s="7">
        <v>0.33</v>
      </c>
      <c r="M1151" t="s">
        <v>220</v>
      </c>
    </row>
    <row r="1152" spans="1:13" outlineLevel="1" x14ac:dyDescent="0.25">
      <c r="A1152" t="s">
        <v>215</v>
      </c>
      <c r="B1152" t="s">
        <v>402</v>
      </c>
      <c r="C1152" t="str">
        <f>_xlfn.CONCAT("Nombre de trajets associés"," (",'Remplissage - Sit. Expost'!$B$183,")")</f>
        <v>Nombre de trajets associés (Catégorie 17)</v>
      </c>
      <c r="E1152" t="str">
        <f t="shared" ref="E1152" si="171">_xlfn.CONCAT("LogChantAccDirNbTraj",RIGHT(LEFT(C1152,LEN(C1152)-1),2))</f>
        <v>LogChantAccDirNbTraj17</v>
      </c>
      <c r="F1152" t="s">
        <v>17</v>
      </c>
      <c r="G1152" s="14">
        <f t="shared" si="157"/>
        <v>0</v>
      </c>
      <c r="J1152" t="s">
        <v>145</v>
      </c>
      <c r="K1152">
        <v>3</v>
      </c>
      <c r="M1152" t="s">
        <v>220</v>
      </c>
    </row>
    <row r="1153" spans="1:13" outlineLevel="1" x14ac:dyDescent="0.25">
      <c r="A1153" t="s">
        <v>215</v>
      </c>
      <c r="B1153" t="s">
        <v>403</v>
      </c>
      <c r="C1153" t="str">
        <f>_xlfn.CONCAT("Taux de chargement moyen des véhicules pour l'accès direct au(x) chantier(s)"," (",'Remplissage - Sit. Expost'!$B$193,")")</f>
        <v>Taux de chargement moyen des véhicules pour l'accès direct au(x) chantier(s) (Catégorie 18)</v>
      </c>
      <c r="E1153" t="str">
        <f t="shared" ref="E1153" si="172">_xlfn.CONCAT("LogChantAccDirTC",RIGHT(LEFT(C1153,LEN(C1153)-1),2))</f>
        <v>LogChantAccDirTC18</v>
      </c>
      <c r="F1153" t="s">
        <v>17</v>
      </c>
      <c r="G1153" s="14">
        <f t="shared" si="157"/>
        <v>0</v>
      </c>
      <c r="H1153" s="3"/>
      <c r="J1153" t="s">
        <v>70</v>
      </c>
      <c r="K1153" s="7">
        <v>0.33</v>
      </c>
      <c r="M1153" t="s">
        <v>220</v>
      </c>
    </row>
    <row r="1154" spans="1:13" outlineLevel="1" x14ac:dyDescent="0.25">
      <c r="A1154" t="s">
        <v>215</v>
      </c>
      <c r="B1154" t="s">
        <v>403</v>
      </c>
      <c r="C1154" t="str">
        <f>_xlfn.CONCAT("Nombre de trajets associés"," (",'Remplissage - Sit. Expost'!$B$193,")")</f>
        <v>Nombre de trajets associés (Catégorie 18)</v>
      </c>
      <c r="E1154" t="str">
        <f t="shared" ref="E1154" si="173">_xlfn.CONCAT("LogChantAccDirNbTraj",RIGHT(LEFT(C1154,LEN(C1154)-1),2))</f>
        <v>LogChantAccDirNbTraj18</v>
      </c>
      <c r="F1154" t="s">
        <v>17</v>
      </c>
      <c r="G1154" s="14">
        <f t="shared" si="157"/>
        <v>0</v>
      </c>
      <c r="J1154" t="s">
        <v>145</v>
      </c>
      <c r="K1154">
        <v>3</v>
      </c>
      <c r="M1154" t="s">
        <v>220</v>
      </c>
    </row>
    <row r="1155" spans="1:13" outlineLevel="1" x14ac:dyDescent="0.25">
      <c r="A1155" t="s">
        <v>215</v>
      </c>
      <c r="B1155" t="s">
        <v>404</v>
      </c>
      <c r="C1155" t="str">
        <f>_xlfn.CONCAT("Taux de chargement moyen des véhicules pour l'accès direct au(x) chantier(s)"," (",'Remplissage - Sit. Expost'!$B$203,")")</f>
        <v>Taux de chargement moyen des véhicules pour l'accès direct au(x) chantier(s) (Catégorie 19)</v>
      </c>
      <c r="E1155" t="str">
        <f t="shared" ref="E1155" si="174">_xlfn.CONCAT("LogChantAccDirTC",RIGHT(LEFT(C1155,LEN(C1155)-1),2))</f>
        <v>LogChantAccDirTC19</v>
      </c>
      <c r="F1155" t="s">
        <v>17</v>
      </c>
      <c r="G1155" s="14">
        <f t="shared" si="157"/>
        <v>0</v>
      </c>
      <c r="H1155" s="3"/>
      <c r="J1155" t="s">
        <v>70</v>
      </c>
      <c r="K1155" s="7">
        <v>0.33</v>
      </c>
      <c r="M1155" t="s">
        <v>220</v>
      </c>
    </row>
    <row r="1156" spans="1:13" outlineLevel="1" x14ac:dyDescent="0.25">
      <c r="A1156" t="s">
        <v>215</v>
      </c>
      <c r="B1156" t="s">
        <v>404</v>
      </c>
      <c r="C1156" t="str">
        <f>_xlfn.CONCAT("Nombre de trajets associés"," (",'Remplissage - Sit. Expost'!$B$203,")")</f>
        <v>Nombre de trajets associés (Catégorie 19)</v>
      </c>
      <c r="E1156" t="str">
        <f t="shared" ref="E1156" si="175">_xlfn.CONCAT("LogChantAccDirNbTraj",RIGHT(LEFT(C1156,LEN(C1156)-1),2))</f>
        <v>LogChantAccDirNbTraj19</v>
      </c>
      <c r="F1156" t="s">
        <v>17</v>
      </c>
      <c r="G1156" s="14">
        <f t="shared" si="157"/>
        <v>0</v>
      </c>
      <c r="J1156" t="s">
        <v>145</v>
      </c>
      <c r="K1156">
        <v>3</v>
      </c>
      <c r="M1156" t="s">
        <v>220</v>
      </c>
    </row>
    <row r="1157" spans="1:13" outlineLevel="1" x14ac:dyDescent="0.25">
      <c r="A1157" t="s">
        <v>215</v>
      </c>
      <c r="B1157" t="s">
        <v>405</v>
      </c>
      <c r="C1157" t="str">
        <f>_xlfn.CONCAT("Taux de chargement moyen des véhicules pour l'accès direct au(x) chantier(s)"," (",'Remplissage - Sit. Expost'!$B$213,")")</f>
        <v>Taux de chargement moyen des véhicules pour l'accès direct au(x) chantier(s) (Catégorie 20)</v>
      </c>
      <c r="E1157" t="str">
        <f t="shared" ref="E1157" si="176">_xlfn.CONCAT("LogChantAccDirTC",RIGHT(LEFT(C1157,LEN(C1157)-1),2))</f>
        <v>LogChantAccDirTC20</v>
      </c>
      <c r="F1157" t="s">
        <v>17</v>
      </c>
      <c r="G1157" s="14">
        <f t="shared" si="157"/>
        <v>0</v>
      </c>
      <c r="H1157" s="3"/>
      <c r="J1157" t="s">
        <v>70</v>
      </c>
      <c r="K1157" s="7">
        <v>0.33</v>
      </c>
      <c r="M1157" t="s">
        <v>220</v>
      </c>
    </row>
    <row r="1158" spans="1:13" outlineLevel="1" x14ac:dyDescent="0.25">
      <c r="A1158" t="s">
        <v>215</v>
      </c>
      <c r="B1158" t="s">
        <v>405</v>
      </c>
      <c r="C1158" t="str">
        <f>_xlfn.CONCAT("Nombre de trajets associés"," (",'Remplissage - Sit. Expost'!$B$213,")")</f>
        <v>Nombre de trajets associés (Catégorie 20)</v>
      </c>
      <c r="E1158" t="str">
        <f t="shared" ref="E1158" si="177">_xlfn.CONCAT("LogChantAccDirNbTraj",RIGHT(LEFT(C1158,LEN(C1158)-1),2))</f>
        <v>LogChantAccDirNbTraj20</v>
      </c>
      <c r="F1158" t="s">
        <v>17</v>
      </c>
      <c r="G1158" s="14">
        <f t="shared" si="157"/>
        <v>0</v>
      </c>
      <c r="J1158" t="s">
        <v>145</v>
      </c>
      <c r="K1158">
        <v>3</v>
      </c>
      <c r="M1158" t="s">
        <v>220</v>
      </c>
    </row>
    <row r="1159" spans="1:13" outlineLevel="1" x14ac:dyDescent="0.25">
      <c r="A1159" t="s">
        <v>215</v>
      </c>
      <c r="B1159" t="s">
        <v>406</v>
      </c>
      <c r="C1159" t="str">
        <f>_xlfn.CONCAT("Taux de chargement moyen des véhicules pour l'accès direct au(x) chantier(s)"," (",'Remplissage - Sit. Expost'!$B$223,")")</f>
        <v>Taux de chargement moyen des véhicules pour l'accès direct au(x) chantier(s) (Catégorie 21)</v>
      </c>
      <c r="E1159" t="str">
        <f t="shared" ref="E1159" si="178">_xlfn.CONCAT("LogChantAccDirTC",RIGHT(LEFT(C1159,LEN(C1159)-1),2))</f>
        <v>LogChantAccDirTC21</v>
      </c>
      <c r="F1159" t="s">
        <v>17</v>
      </c>
      <c r="G1159" s="14">
        <f t="shared" si="157"/>
        <v>0</v>
      </c>
      <c r="H1159" s="3"/>
      <c r="J1159" t="s">
        <v>70</v>
      </c>
      <c r="K1159" s="7">
        <v>0.33</v>
      </c>
      <c r="M1159" t="s">
        <v>220</v>
      </c>
    </row>
    <row r="1160" spans="1:13" outlineLevel="1" x14ac:dyDescent="0.25">
      <c r="A1160" t="s">
        <v>215</v>
      </c>
      <c r="B1160" t="s">
        <v>406</v>
      </c>
      <c r="C1160" t="str">
        <f>_xlfn.CONCAT("Nombre de trajets associés"," (",'Remplissage - Sit. Expost'!$B$223,")")</f>
        <v>Nombre de trajets associés (Catégorie 21)</v>
      </c>
      <c r="E1160" t="str">
        <f t="shared" ref="E1160" si="179">_xlfn.CONCAT("LogChantAccDirNbTraj",RIGHT(LEFT(C1160,LEN(C1160)-1),2))</f>
        <v>LogChantAccDirNbTraj21</v>
      </c>
      <c r="F1160" t="s">
        <v>17</v>
      </c>
      <c r="G1160" s="14">
        <f t="shared" si="157"/>
        <v>0</v>
      </c>
      <c r="J1160" t="s">
        <v>145</v>
      </c>
      <c r="K1160">
        <v>3</v>
      </c>
      <c r="M1160" t="s">
        <v>220</v>
      </c>
    </row>
    <row r="1161" spans="1:13" outlineLevel="1" x14ac:dyDescent="0.25">
      <c r="A1161" t="s">
        <v>215</v>
      </c>
      <c r="B1161" t="s">
        <v>407</v>
      </c>
      <c r="C1161" t="str">
        <f>_xlfn.CONCAT("Taux de chargement moyen des véhicules pour l'accès direct au(x) chantier(s)"," (",'Remplissage - Sit. Expost'!$B$233,")")</f>
        <v>Taux de chargement moyen des véhicules pour l'accès direct au(x) chantier(s) (Catégorie 22)</v>
      </c>
      <c r="E1161" t="str">
        <f t="shared" ref="E1161" si="180">_xlfn.CONCAT("LogChantAccDirTC",RIGHT(LEFT(C1161,LEN(C1161)-1),2))</f>
        <v>LogChantAccDirTC22</v>
      </c>
      <c r="F1161" t="s">
        <v>17</v>
      </c>
      <c r="G1161" s="14">
        <f t="shared" si="157"/>
        <v>0</v>
      </c>
      <c r="H1161" s="3"/>
      <c r="J1161" t="s">
        <v>70</v>
      </c>
      <c r="K1161" s="7">
        <v>0.33</v>
      </c>
      <c r="M1161" t="s">
        <v>220</v>
      </c>
    </row>
    <row r="1162" spans="1:13" outlineLevel="1" x14ac:dyDescent="0.25">
      <c r="A1162" t="s">
        <v>215</v>
      </c>
      <c r="B1162" t="s">
        <v>407</v>
      </c>
      <c r="C1162" t="str">
        <f>_xlfn.CONCAT("Nombre de trajets associés"," (",'Remplissage - Sit. Expost'!$B$233,")")</f>
        <v>Nombre de trajets associés (Catégorie 22)</v>
      </c>
      <c r="E1162" t="str">
        <f t="shared" ref="E1162" si="181">_xlfn.CONCAT("LogChantAccDirNbTraj",RIGHT(LEFT(C1162,LEN(C1162)-1),2))</f>
        <v>LogChantAccDirNbTraj22</v>
      </c>
      <c r="F1162" t="s">
        <v>17</v>
      </c>
      <c r="G1162" s="14">
        <f t="shared" si="157"/>
        <v>0</v>
      </c>
      <c r="J1162" t="s">
        <v>145</v>
      </c>
      <c r="K1162">
        <v>3</v>
      </c>
      <c r="M1162" t="s">
        <v>220</v>
      </c>
    </row>
    <row r="1163" spans="1:13" outlineLevel="1" x14ac:dyDescent="0.25">
      <c r="A1163" t="s">
        <v>215</v>
      </c>
      <c r="B1163" t="s">
        <v>408</v>
      </c>
      <c r="C1163" t="str">
        <f>_xlfn.CONCAT("Taux de chargement moyen des véhicules pour l'accès direct au(x) chantier(s)"," (",'Remplissage - Sit. Expost'!$B$243,")")</f>
        <v>Taux de chargement moyen des véhicules pour l'accès direct au(x) chantier(s) (Catégorie 23)</v>
      </c>
      <c r="E1163" t="str">
        <f t="shared" ref="E1163" si="182">_xlfn.CONCAT("LogChantAccDirTC",RIGHT(LEFT(C1163,LEN(C1163)-1),2))</f>
        <v>LogChantAccDirTC23</v>
      </c>
      <c r="F1163" t="s">
        <v>17</v>
      </c>
      <c r="G1163" s="14">
        <f t="shared" si="157"/>
        <v>0</v>
      </c>
      <c r="H1163" s="3"/>
      <c r="J1163" t="s">
        <v>70</v>
      </c>
      <c r="K1163" s="7">
        <v>0.33</v>
      </c>
      <c r="M1163" t="s">
        <v>220</v>
      </c>
    </row>
    <row r="1164" spans="1:13" outlineLevel="1" x14ac:dyDescent="0.25">
      <c r="A1164" t="s">
        <v>215</v>
      </c>
      <c r="B1164" t="s">
        <v>408</v>
      </c>
      <c r="C1164" t="str">
        <f>_xlfn.CONCAT("Nombre de trajets associés"," (",'Remplissage - Sit. Expost'!$B$243,")")</f>
        <v>Nombre de trajets associés (Catégorie 23)</v>
      </c>
      <c r="E1164" t="str">
        <f t="shared" ref="E1164" si="183">_xlfn.CONCAT("LogChantAccDirNbTraj",RIGHT(LEFT(C1164,LEN(C1164)-1),2))</f>
        <v>LogChantAccDirNbTraj23</v>
      </c>
      <c r="F1164" t="s">
        <v>17</v>
      </c>
      <c r="G1164" s="14">
        <f t="shared" si="157"/>
        <v>0</v>
      </c>
      <c r="J1164" t="s">
        <v>145</v>
      </c>
      <c r="K1164">
        <v>3</v>
      </c>
      <c r="M1164" t="s">
        <v>220</v>
      </c>
    </row>
    <row r="1165" spans="1:13" outlineLevel="1" x14ac:dyDescent="0.25">
      <c r="A1165" t="s">
        <v>215</v>
      </c>
      <c r="B1165" t="s">
        <v>409</v>
      </c>
      <c r="C1165" t="str">
        <f>_xlfn.CONCAT("Taux de chargement moyen des véhicules pour l'accès direct au(x) chantier(s)"," (",'Remplissage - Sit. Expost'!$B$253,")")</f>
        <v>Taux de chargement moyen des véhicules pour l'accès direct au(x) chantier(s) (Catégorie 24)</v>
      </c>
      <c r="E1165" t="str">
        <f t="shared" ref="E1165" si="184">_xlfn.CONCAT("LogChantAccDirTC",RIGHT(LEFT(C1165,LEN(C1165)-1),2))</f>
        <v>LogChantAccDirTC24</v>
      </c>
      <c r="F1165" t="s">
        <v>17</v>
      </c>
      <c r="G1165" s="14">
        <f t="shared" si="157"/>
        <v>0</v>
      </c>
      <c r="H1165" s="3"/>
      <c r="J1165" t="s">
        <v>70</v>
      </c>
      <c r="K1165" s="7">
        <v>0.33</v>
      </c>
      <c r="M1165" t="s">
        <v>220</v>
      </c>
    </row>
    <row r="1166" spans="1:13" outlineLevel="1" x14ac:dyDescent="0.25">
      <c r="A1166" t="s">
        <v>215</v>
      </c>
      <c r="B1166" t="s">
        <v>409</v>
      </c>
      <c r="C1166" t="str">
        <f>_xlfn.CONCAT("Nombre de trajets associés"," (",'Remplissage - Sit. Expost'!$B$253,")")</f>
        <v>Nombre de trajets associés (Catégorie 24)</v>
      </c>
      <c r="E1166" t="str">
        <f t="shared" ref="E1166" si="185">_xlfn.CONCAT("LogChantAccDirNbTraj",RIGHT(LEFT(C1166,LEN(C1166)-1),2))</f>
        <v>LogChantAccDirNbTraj24</v>
      </c>
      <c r="F1166" t="s">
        <v>17</v>
      </c>
      <c r="G1166" s="14">
        <f t="shared" si="157"/>
        <v>0</v>
      </c>
      <c r="J1166" t="s">
        <v>145</v>
      </c>
      <c r="K1166">
        <v>3</v>
      </c>
      <c r="M1166" t="s">
        <v>220</v>
      </c>
    </row>
    <row r="1167" spans="1:13" outlineLevel="1" x14ac:dyDescent="0.25">
      <c r="A1167" t="s">
        <v>215</v>
      </c>
      <c r="B1167" t="s">
        <v>410</v>
      </c>
      <c r="C1167" t="str">
        <f>_xlfn.CONCAT("Taux de chargement moyen des véhicules pour l'accès direct au(x) chantier(s)"," (",'Remplissage - Sit. Expost'!$B$263,")")</f>
        <v>Taux de chargement moyen des véhicules pour l'accès direct au(x) chantier(s) (Catégorie 25)</v>
      </c>
      <c r="E1167" t="str">
        <f t="shared" ref="E1167" si="186">_xlfn.CONCAT("LogChantAccDirTC",RIGHT(LEFT(C1167,LEN(C1167)-1),2))</f>
        <v>LogChantAccDirTC25</v>
      </c>
      <c r="F1167" t="s">
        <v>17</v>
      </c>
      <c r="G1167" s="14">
        <f t="shared" si="157"/>
        <v>0</v>
      </c>
      <c r="H1167" s="3"/>
      <c r="J1167" t="s">
        <v>70</v>
      </c>
      <c r="K1167" s="7">
        <v>0.33</v>
      </c>
      <c r="M1167" t="s">
        <v>220</v>
      </c>
    </row>
    <row r="1168" spans="1:13" outlineLevel="1" x14ac:dyDescent="0.25">
      <c r="A1168" t="s">
        <v>215</v>
      </c>
      <c r="B1168" t="s">
        <v>410</v>
      </c>
      <c r="C1168" t="str">
        <f>_xlfn.CONCAT("Nombre de trajets associés"," (",'Remplissage - Sit. Expost'!$B$263,")")</f>
        <v>Nombre de trajets associés (Catégorie 25)</v>
      </c>
      <c r="E1168" t="str">
        <f t="shared" ref="E1168" si="187">_xlfn.CONCAT("LogChantAccDirNbTraj",RIGHT(LEFT(C1168,LEN(C1168)-1),2))</f>
        <v>LogChantAccDirNbTraj25</v>
      </c>
      <c r="F1168" t="s">
        <v>17</v>
      </c>
      <c r="G1168" s="14">
        <f t="shared" si="157"/>
        <v>0</v>
      </c>
      <c r="J1168" t="s">
        <v>145</v>
      </c>
      <c r="K1168">
        <v>3</v>
      </c>
      <c r="M1168" t="s">
        <v>220</v>
      </c>
    </row>
    <row r="1169" spans="1:13" outlineLevel="1" x14ac:dyDescent="0.25">
      <c r="A1169" t="s">
        <v>215</v>
      </c>
      <c r="B1169" t="s">
        <v>411</v>
      </c>
      <c r="C1169" t="str">
        <f>_xlfn.CONCAT("Taux de chargement moyen des véhicules pour l'accès direct au(x) chantier(s)"," (",'Remplissage - Sit. Expost'!$B$273,")")</f>
        <v>Taux de chargement moyen des véhicules pour l'accès direct au(x) chantier(s) (Catégorie 26)</v>
      </c>
      <c r="E1169" t="str">
        <f t="shared" ref="E1169" si="188">_xlfn.CONCAT("LogChantAccDirTC",RIGHT(LEFT(C1169,LEN(C1169)-1),2))</f>
        <v>LogChantAccDirTC26</v>
      </c>
      <c r="F1169" t="s">
        <v>17</v>
      </c>
      <c r="G1169" s="14">
        <f t="shared" si="157"/>
        <v>0</v>
      </c>
      <c r="H1169" s="3"/>
      <c r="J1169" t="s">
        <v>70</v>
      </c>
      <c r="K1169" s="7">
        <v>0.33</v>
      </c>
      <c r="M1169" t="s">
        <v>220</v>
      </c>
    </row>
    <row r="1170" spans="1:13" outlineLevel="1" x14ac:dyDescent="0.25">
      <c r="A1170" t="s">
        <v>215</v>
      </c>
      <c r="B1170" t="s">
        <v>411</v>
      </c>
      <c r="C1170" t="str">
        <f>_xlfn.CONCAT("Nombre de trajets associés"," (",'Remplissage - Sit. Expost'!$B$273,")")</f>
        <v>Nombre de trajets associés (Catégorie 26)</v>
      </c>
      <c r="E1170" t="str">
        <f t="shared" ref="E1170" si="189">_xlfn.CONCAT("LogChantAccDirNbTraj",RIGHT(LEFT(C1170,LEN(C1170)-1),2))</f>
        <v>LogChantAccDirNbTraj26</v>
      </c>
      <c r="F1170" t="s">
        <v>17</v>
      </c>
      <c r="G1170" s="14">
        <f t="shared" si="157"/>
        <v>0</v>
      </c>
      <c r="J1170" t="s">
        <v>145</v>
      </c>
      <c r="K1170">
        <v>3</v>
      </c>
      <c r="M1170" t="s">
        <v>220</v>
      </c>
    </row>
    <row r="1171" spans="1:13" outlineLevel="1" x14ac:dyDescent="0.25">
      <c r="A1171" t="s">
        <v>215</v>
      </c>
      <c r="B1171" t="s">
        <v>412</v>
      </c>
      <c r="C1171" t="str">
        <f>_xlfn.CONCAT("Taux de chargement moyen des véhicules pour l'accès direct au(x) chantier(s)"," (",'Remplissage - Sit. Expost'!$B$283,")")</f>
        <v>Taux de chargement moyen des véhicules pour l'accès direct au(x) chantier(s) (Catégorie 27)</v>
      </c>
      <c r="E1171" t="str">
        <f t="shared" ref="E1171" si="190">_xlfn.CONCAT("LogChantAccDirTC",RIGHT(LEFT(C1171,LEN(C1171)-1),2))</f>
        <v>LogChantAccDirTC27</v>
      </c>
      <c r="F1171" t="s">
        <v>17</v>
      </c>
      <c r="G1171" s="14">
        <f t="shared" si="157"/>
        <v>0</v>
      </c>
      <c r="H1171" s="3"/>
      <c r="J1171" t="s">
        <v>70</v>
      </c>
      <c r="K1171" s="7">
        <v>0.33</v>
      </c>
      <c r="M1171" t="s">
        <v>220</v>
      </c>
    </row>
    <row r="1172" spans="1:13" outlineLevel="1" x14ac:dyDescent="0.25">
      <c r="A1172" t="s">
        <v>215</v>
      </c>
      <c r="B1172" t="s">
        <v>412</v>
      </c>
      <c r="C1172" t="str">
        <f>_xlfn.CONCAT("Nombre de trajets associés"," (",'Remplissage - Sit. Expost'!$B$283,")")</f>
        <v>Nombre de trajets associés (Catégorie 27)</v>
      </c>
      <c r="E1172" t="str">
        <f t="shared" ref="E1172" si="191">_xlfn.CONCAT("LogChantAccDirNbTraj",RIGHT(LEFT(C1172,LEN(C1172)-1),2))</f>
        <v>LogChantAccDirNbTraj27</v>
      </c>
      <c r="F1172" t="s">
        <v>17</v>
      </c>
      <c r="G1172" s="14">
        <f t="shared" si="157"/>
        <v>0</v>
      </c>
      <c r="J1172" t="s">
        <v>145</v>
      </c>
      <c r="K1172">
        <v>3</v>
      </c>
      <c r="M1172" t="s">
        <v>220</v>
      </c>
    </row>
    <row r="1173" spans="1:13" outlineLevel="1" x14ac:dyDescent="0.25">
      <c r="A1173" t="s">
        <v>215</v>
      </c>
      <c r="B1173" t="s">
        <v>413</v>
      </c>
      <c r="C1173" t="str">
        <f>_xlfn.CONCAT("Taux de chargement moyen des véhicules pour l'accès direct au(x) chantier(s)"," (",'Remplissage - Sit. Expost'!$B$293,")")</f>
        <v>Taux de chargement moyen des véhicules pour l'accès direct au(x) chantier(s) (Catégorie 28)</v>
      </c>
      <c r="E1173" t="str">
        <f t="shared" ref="E1173" si="192">_xlfn.CONCAT("LogChantAccDirTC",RIGHT(LEFT(C1173,LEN(C1173)-1),2))</f>
        <v>LogChantAccDirTC28</v>
      </c>
      <c r="F1173" t="s">
        <v>17</v>
      </c>
      <c r="G1173" s="14">
        <f t="shared" si="157"/>
        <v>0</v>
      </c>
      <c r="H1173" s="3"/>
      <c r="J1173" t="s">
        <v>70</v>
      </c>
      <c r="K1173" s="7">
        <v>0.33</v>
      </c>
      <c r="M1173" t="s">
        <v>220</v>
      </c>
    </row>
    <row r="1174" spans="1:13" outlineLevel="1" x14ac:dyDescent="0.25">
      <c r="A1174" t="s">
        <v>215</v>
      </c>
      <c r="B1174" t="s">
        <v>413</v>
      </c>
      <c r="C1174" t="str">
        <f>_xlfn.CONCAT("Nombre de trajets associés"," (",'Remplissage - Sit. Expost'!$B$293,")")</f>
        <v>Nombre de trajets associés (Catégorie 28)</v>
      </c>
      <c r="E1174" t="str">
        <f t="shared" ref="E1174" si="193">_xlfn.CONCAT("LogChantAccDirNbTraj",RIGHT(LEFT(C1174,LEN(C1174)-1),2))</f>
        <v>LogChantAccDirNbTraj28</v>
      </c>
      <c r="F1174" t="s">
        <v>17</v>
      </c>
      <c r="G1174" s="14">
        <f t="shared" si="157"/>
        <v>0</v>
      </c>
      <c r="J1174" t="s">
        <v>145</v>
      </c>
      <c r="K1174">
        <v>3</v>
      </c>
      <c r="M1174" t="s">
        <v>220</v>
      </c>
    </row>
    <row r="1175" spans="1:13" outlineLevel="1" x14ac:dyDescent="0.25">
      <c r="A1175" t="s">
        <v>215</v>
      </c>
      <c r="B1175" t="s">
        <v>414</v>
      </c>
      <c r="C1175" t="str">
        <f>_xlfn.CONCAT("Taux de chargement moyen des véhicules pour l'accès direct au(x) chantier(s)"," (",'Remplissage - Sit. Expost'!$B$303,")")</f>
        <v>Taux de chargement moyen des véhicules pour l'accès direct au(x) chantier(s) (Catégorie 29)</v>
      </c>
      <c r="E1175" t="str">
        <f t="shared" ref="E1175" si="194">_xlfn.CONCAT("LogChantAccDirTC",RIGHT(LEFT(C1175,LEN(C1175)-1),2))</f>
        <v>LogChantAccDirTC29</v>
      </c>
      <c r="F1175" t="s">
        <v>17</v>
      </c>
      <c r="G1175" s="14">
        <f t="shared" si="157"/>
        <v>0</v>
      </c>
      <c r="H1175" s="3"/>
      <c r="J1175" t="s">
        <v>70</v>
      </c>
      <c r="K1175" s="7">
        <v>0.33</v>
      </c>
      <c r="M1175" t="s">
        <v>220</v>
      </c>
    </row>
    <row r="1176" spans="1:13" outlineLevel="1" x14ac:dyDescent="0.25">
      <c r="A1176" t="s">
        <v>215</v>
      </c>
      <c r="B1176" t="s">
        <v>414</v>
      </c>
      <c r="C1176" t="str">
        <f>_xlfn.CONCAT("Nombre de trajets associés"," (",'Remplissage - Sit. Expost'!$B$303,")")</f>
        <v>Nombre de trajets associés (Catégorie 29)</v>
      </c>
      <c r="E1176" t="str">
        <f t="shared" ref="E1176" si="195">_xlfn.CONCAT("LogChantAccDirNbTraj",RIGHT(LEFT(C1176,LEN(C1176)-1),2))</f>
        <v>LogChantAccDirNbTraj29</v>
      </c>
      <c r="F1176" t="s">
        <v>17</v>
      </c>
      <c r="G1176" s="14">
        <f t="shared" si="157"/>
        <v>0</v>
      </c>
      <c r="J1176" t="s">
        <v>145</v>
      </c>
      <c r="K1176">
        <v>3</v>
      </c>
      <c r="M1176" t="s">
        <v>220</v>
      </c>
    </row>
    <row r="1177" spans="1:13" outlineLevel="1" x14ac:dyDescent="0.25">
      <c r="A1177" t="s">
        <v>215</v>
      </c>
      <c r="B1177" t="s">
        <v>415</v>
      </c>
      <c r="C1177" t="str">
        <f>_xlfn.CONCAT("Taux de chargement moyen des véhicules pour l'accès direct au(x) chantier(s)"," (",'Remplissage - Sit. Expost'!$B$313,")")</f>
        <v>Taux de chargement moyen des véhicules pour l'accès direct au(x) chantier(s) (Catégorie 30)</v>
      </c>
      <c r="E1177" t="str">
        <f t="shared" ref="E1177" si="196">_xlfn.CONCAT("LogChantAccDirTC",RIGHT(LEFT(C1177,LEN(C1177)-1),2))</f>
        <v>LogChantAccDirTC30</v>
      </c>
      <c r="F1177" t="s">
        <v>17</v>
      </c>
      <c r="G1177" s="14">
        <f t="shared" si="157"/>
        <v>0</v>
      </c>
      <c r="H1177" s="3"/>
      <c r="J1177" t="s">
        <v>70</v>
      </c>
      <c r="K1177" s="7">
        <v>0.33</v>
      </c>
      <c r="M1177" t="s">
        <v>220</v>
      </c>
    </row>
    <row r="1178" spans="1:13" outlineLevel="1" x14ac:dyDescent="0.25">
      <c r="A1178" t="s">
        <v>215</v>
      </c>
      <c r="B1178" t="s">
        <v>415</v>
      </c>
      <c r="C1178" t="str">
        <f>_xlfn.CONCAT("Nombre de trajets associés"," (",'Remplissage - Sit. Expost'!$B$313,")")</f>
        <v>Nombre de trajets associés (Catégorie 30)</v>
      </c>
      <c r="E1178" t="str">
        <f t="shared" ref="E1178" si="197">_xlfn.CONCAT("LogChantAccDirNbTraj",RIGHT(LEFT(C1178,LEN(C1178)-1),2))</f>
        <v>LogChantAccDirNbTraj30</v>
      </c>
      <c r="F1178" t="s">
        <v>17</v>
      </c>
      <c r="G1178" s="14">
        <f t="shared" si="157"/>
        <v>0</v>
      </c>
      <c r="J1178" t="s">
        <v>145</v>
      </c>
      <c r="K1178">
        <v>3</v>
      </c>
      <c r="M1178" t="s">
        <v>220</v>
      </c>
    </row>
    <row r="1179" spans="1:13" outlineLevel="1" x14ac:dyDescent="0.25">
      <c r="A1179" t="s">
        <v>215</v>
      </c>
      <c r="B1179" t="s">
        <v>416</v>
      </c>
      <c r="C1179" t="str">
        <f>_xlfn.CONCAT("Taux de chargement moyen des véhicules pour l'accès direct au(x) chantier(s)"," (",'Remplissage - Sit. Expost'!$B$323,")")</f>
        <v>Taux de chargement moyen des véhicules pour l'accès direct au(x) chantier(s) (Catégorie 31)</v>
      </c>
      <c r="E1179" t="str">
        <f t="shared" ref="E1179" si="198">_xlfn.CONCAT("LogChantAccDirTC",RIGHT(LEFT(C1179,LEN(C1179)-1),2))</f>
        <v>LogChantAccDirTC31</v>
      </c>
      <c r="F1179" t="s">
        <v>17</v>
      </c>
      <c r="G1179" s="14">
        <f t="shared" si="157"/>
        <v>0</v>
      </c>
      <c r="H1179" s="3"/>
      <c r="J1179" t="s">
        <v>70</v>
      </c>
      <c r="K1179" s="7">
        <v>0.33</v>
      </c>
      <c r="M1179" t="s">
        <v>220</v>
      </c>
    </row>
    <row r="1180" spans="1:13" outlineLevel="1" x14ac:dyDescent="0.25">
      <c r="A1180" t="s">
        <v>215</v>
      </c>
      <c r="B1180" t="s">
        <v>416</v>
      </c>
      <c r="C1180" t="str">
        <f>_xlfn.CONCAT("Nombre de trajets associés"," (",'Remplissage - Sit. Expost'!$B$323,")")</f>
        <v>Nombre de trajets associés (Catégorie 31)</v>
      </c>
      <c r="E1180" t="str">
        <f t="shared" ref="E1180" si="199">_xlfn.CONCAT("LogChantAccDirNbTraj",RIGHT(LEFT(C1180,LEN(C1180)-1),2))</f>
        <v>LogChantAccDirNbTraj31</v>
      </c>
      <c r="F1180" t="s">
        <v>17</v>
      </c>
      <c r="G1180" s="14">
        <f t="shared" si="157"/>
        <v>0</v>
      </c>
      <c r="J1180" t="s">
        <v>145</v>
      </c>
      <c r="K1180">
        <v>3</v>
      </c>
      <c r="M1180" t="s">
        <v>220</v>
      </c>
    </row>
    <row r="1181" spans="1:13" outlineLevel="1" x14ac:dyDescent="0.25">
      <c r="A1181" t="s">
        <v>215</v>
      </c>
      <c r="B1181" t="s">
        <v>417</v>
      </c>
      <c r="C1181" t="str">
        <f>_xlfn.CONCAT("Taux de chargement moyen des véhicules pour l'accès direct au(x) chantier(s)"," (",'Remplissage - Sit. Expost'!$B$333,")")</f>
        <v>Taux de chargement moyen des véhicules pour l'accès direct au(x) chantier(s) (Catégorie 32)</v>
      </c>
      <c r="E1181" t="str">
        <f t="shared" ref="E1181" si="200">_xlfn.CONCAT("LogChantAccDirTC",RIGHT(LEFT(C1181,LEN(C1181)-1),2))</f>
        <v>LogChantAccDirTC32</v>
      </c>
      <c r="F1181" t="s">
        <v>17</v>
      </c>
      <c r="G1181" s="14">
        <f t="shared" si="157"/>
        <v>0</v>
      </c>
      <c r="H1181" s="3"/>
      <c r="J1181" t="s">
        <v>70</v>
      </c>
      <c r="K1181" s="7">
        <v>0.33</v>
      </c>
      <c r="M1181" t="s">
        <v>220</v>
      </c>
    </row>
    <row r="1182" spans="1:13" outlineLevel="1" x14ac:dyDescent="0.25">
      <c r="A1182" t="s">
        <v>215</v>
      </c>
      <c r="B1182" t="s">
        <v>417</v>
      </c>
      <c r="C1182" t="str">
        <f>_xlfn.CONCAT("Nombre de trajets associés"," (",'Remplissage - Sit. Expost'!$B$333,")")</f>
        <v>Nombre de trajets associés (Catégorie 32)</v>
      </c>
      <c r="E1182" t="str">
        <f t="shared" ref="E1182" si="201">_xlfn.CONCAT("LogChantAccDirNbTraj",RIGHT(LEFT(C1182,LEN(C1182)-1),2))</f>
        <v>LogChantAccDirNbTraj32</v>
      </c>
      <c r="F1182" t="s">
        <v>17</v>
      </c>
      <c r="G1182" s="14">
        <f t="shared" si="157"/>
        <v>0</v>
      </c>
      <c r="J1182" t="s">
        <v>145</v>
      </c>
      <c r="K1182">
        <v>3</v>
      </c>
      <c r="M1182" t="s">
        <v>220</v>
      </c>
    </row>
    <row r="1183" spans="1:13" outlineLevel="1" x14ac:dyDescent="0.25">
      <c r="A1183" t="s">
        <v>215</v>
      </c>
      <c r="B1183" t="s">
        <v>418</v>
      </c>
      <c r="C1183" t="str">
        <f>_xlfn.CONCAT("Taux de chargement moyen des véhicules pour l'accès direct au(x) chantier(s)"," (",'Remplissage - Sit. Expost'!$B$343,")")</f>
        <v>Taux de chargement moyen des véhicules pour l'accès direct au(x) chantier(s) (Catégorie 33)</v>
      </c>
      <c r="E1183" t="str">
        <f t="shared" ref="E1183" si="202">_xlfn.CONCAT("LogChantAccDirTC",RIGHT(LEFT(C1183,LEN(C1183)-1),2))</f>
        <v>LogChantAccDirTC33</v>
      </c>
      <c r="F1183" t="s">
        <v>17</v>
      </c>
      <c r="G1183" s="14">
        <f t="shared" si="157"/>
        <v>0</v>
      </c>
      <c r="H1183" s="3"/>
      <c r="J1183" t="s">
        <v>70</v>
      </c>
      <c r="K1183" s="7">
        <v>0.33</v>
      </c>
      <c r="M1183" t="s">
        <v>220</v>
      </c>
    </row>
    <row r="1184" spans="1:13" outlineLevel="1" x14ac:dyDescent="0.25">
      <c r="A1184" t="s">
        <v>215</v>
      </c>
      <c r="B1184" t="s">
        <v>418</v>
      </c>
      <c r="C1184" t="str">
        <f>_xlfn.CONCAT("Nombre de trajets associés"," (",'Remplissage - Sit. Expost'!$B$343,")")</f>
        <v>Nombre de trajets associés (Catégorie 33)</v>
      </c>
      <c r="E1184" t="str">
        <f t="shared" ref="E1184" si="203">_xlfn.CONCAT("LogChantAccDirNbTraj",RIGHT(LEFT(C1184,LEN(C1184)-1),2))</f>
        <v>LogChantAccDirNbTraj33</v>
      </c>
      <c r="F1184" t="s">
        <v>17</v>
      </c>
      <c r="G1184" s="14">
        <f t="shared" ref="G1184:G1208" si="204">(IF(ISNUMBER(SEARCH($B1184,$H$1114)),1,0))*(IF(ISNUMBER(SEARCH("Par catégorie de véhicule sélectionnée",$H$1115)),1,0))</f>
        <v>0</v>
      </c>
      <c r="J1184" t="s">
        <v>145</v>
      </c>
      <c r="K1184">
        <v>3</v>
      </c>
      <c r="M1184" t="s">
        <v>220</v>
      </c>
    </row>
    <row r="1185" spans="1:13" outlineLevel="1" x14ac:dyDescent="0.25">
      <c r="A1185" t="s">
        <v>215</v>
      </c>
      <c r="B1185" t="s">
        <v>419</v>
      </c>
      <c r="C1185" t="str">
        <f>_xlfn.CONCAT("Taux de chargement moyen des véhicules pour l'accès direct au(x) chantier(s)"," (",'Remplissage - Sit. Expost'!$B$353,")")</f>
        <v>Taux de chargement moyen des véhicules pour l'accès direct au(x) chantier(s) (Catégorie 34)</v>
      </c>
      <c r="E1185" t="str">
        <f t="shared" ref="E1185" si="205">_xlfn.CONCAT("LogChantAccDirTC",RIGHT(LEFT(C1185,LEN(C1185)-1),2))</f>
        <v>LogChantAccDirTC34</v>
      </c>
      <c r="F1185" t="s">
        <v>17</v>
      </c>
      <c r="G1185" s="14">
        <f t="shared" si="204"/>
        <v>0</v>
      </c>
      <c r="H1185" s="3"/>
      <c r="J1185" t="s">
        <v>70</v>
      </c>
      <c r="K1185" s="7">
        <v>0.33</v>
      </c>
      <c r="M1185" t="s">
        <v>220</v>
      </c>
    </row>
    <row r="1186" spans="1:13" outlineLevel="1" x14ac:dyDescent="0.25">
      <c r="A1186" t="s">
        <v>215</v>
      </c>
      <c r="B1186" t="s">
        <v>419</v>
      </c>
      <c r="C1186" t="str">
        <f>_xlfn.CONCAT("Nombre de trajets associés"," (",'Remplissage - Sit. Expost'!$B$353,")")</f>
        <v>Nombre de trajets associés (Catégorie 34)</v>
      </c>
      <c r="E1186" t="str">
        <f t="shared" ref="E1186" si="206">_xlfn.CONCAT("LogChantAccDirNbTraj",RIGHT(LEFT(C1186,LEN(C1186)-1),2))</f>
        <v>LogChantAccDirNbTraj34</v>
      </c>
      <c r="F1186" t="s">
        <v>17</v>
      </c>
      <c r="G1186" s="14">
        <f t="shared" si="204"/>
        <v>0</v>
      </c>
      <c r="J1186" t="s">
        <v>145</v>
      </c>
      <c r="K1186">
        <v>3</v>
      </c>
      <c r="M1186" t="s">
        <v>220</v>
      </c>
    </row>
    <row r="1187" spans="1:13" outlineLevel="1" x14ac:dyDescent="0.25">
      <c r="A1187" t="s">
        <v>215</v>
      </c>
      <c r="B1187" t="s">
        <v>420</v>
      </c>
      <c r="C1187" t="str">
        <f>_xlfn.CONCAT("Taux de chargement moyen des véhicules pour l'accès direct au(x) chantier(s)"," (",'Remplissage - Sit. Expost'!$B$363,")")</f>
        <v>Taux de chargement moyen des véhicules pour l'accès direct au(x) chantier(s) (Catégorie 35)</v>
      </c>
      <c r="E1187" t="str">
        <f t="shared" ref="E1187" si="207">_xlfn.CONCAT("LogChantAccDirTC",RIGHT(LEFT(C1187,LEN(C1187)-1),2))</f>
        <v>LogChantAccDirTC35</v>
      </c>
      <c r="F1187" t="s">
        <v>17</v>
      </c>
      <c r="G1187" s="14">
        <f t="shared" si="204"/>
        <v>0</v>
      </c>
      <c r="H1187" s="3"/>
      <c r="J1187" t="s">
        <v>70</v>
      </c>
      <c r="K1187" s="7">
        <v>0.33</v>
      </c>
      <c r="M1187" t="s">
        <v>220</v>
      </c>
    </row>
    <row r="1188" spans="1:13" outlineLevel="1" x14ac:dyDescent="0.25">
      <c r="A1188" t="s">
        <v>215</v>
      </c>
      <c r="B1188" t="s">
        <v>420</v>
      </c>
      <c r="C1188" t="str">
        <f>_xlfn.CONCAT("Nombre de trajets associés"," (",'Remplissage - Sit. Expost'!$B$363,")")</f>
        <v>Nombre de trajets associés (Catégorie 35)</v>
      </c>
      <c r="E1188" t="str">
        <f t="shared" ref="E1188" si="208">_xlfn.CONCAT("LogChantAccDirNbTraj",RIGHT(LEFT(C1188,LEN(C1188)-1),2))</f>
        <v>LogChantAccDirNbTraj35</v>
      </c>
      <c r="F1188" t="s">
        <v>17</v>
      </c>
      <c r="G1188" s="14">
        <f t="shared" si="204"/>
        <v>0</v>
      </c>
      <c r="J1188" t="s">
        <v>145</v>
      </c>
      <c r="K1188">
        <v>3</v>
      </c>
      <c r="M1188" t="s">
        <v>220</v>
      </c>
    </row>
    <row r="1189" spans="1:13" outlineLevel="1" x14ac:dyDescent="0.25">
      <c r="A1189" t="s">
        <v>215</v>
      </c>
      <c r="B1189" t="s">
        <v>421</v>
      </c>
      <c r="C1189" t="str">
        <f>_xlfn.CONCAT("Taux de chargement moyen des véhicules pour l'accès direct au(x) chantier(s)"," (",'Remplissage - Sit. Expost'!$B$373,")")</f>
        <v>Taux de chargement moyen des véhicules pour l'accès direct au(x) chantier(s) (Catégorie 36)</v>
      </c>
      <c r="E1189" t="str">
        <f t="shared" ref="E1189" si="209">_xlfn.CONCAT("LogChantAccDirTC",RIGHT(LEFT(C1189,LEN(C1189)-1),2))</f>
        <v>LogChantAccDirTC36</v>
      </c>
      <c r="F1189" t="s">
        <v>17</v>
      </c>
      <c r="G1189" s="14">
        <f t="shared" si="204"/>
        <v>0</v>
      </c>
      <c r="H1189" s="3"/>
      <c r="J1189" t="s">
        <v>70</v>
      </c>
      <c r="K1189" s="7">
        <v>0.33</v>
      </c>
      <c r="M1189" t="s">
        <v>220</v>
      </c>
    </row>
    <row r="1190" spans="1:13" outlineLevel="1" x14ac:dyDescent="0.25">
      <c r="A1190" t="s">
        <v>215</v>
      </c>
      <c r="B1190" t="s">
        <v>421</v>
      </c>
      <c r="C1190" t="str">
        <f>_xlfn.CONCAT("Nombre de trajets associés"," (",'Remplissage - Sit. Expost'!$B$373,")")</f>
        <v>Nombre de trajets associés (Catégorie 36)</v>
      </c>
      <c r="E1190" t="str">
        <f t="shared" ref="E1190" si="210">_xlfn.CONCAT("LogChantAccDirNbTraj",RIGHT(LEFT(C1190,LEN(C1190)-1),2))</f>
        <v>LogChantAccDirNbTraj36</v>
      </c>
      <c r="F1190" t="s">
        <v>17</v>
      </c>
      <c r="G1190" s="14">
        <f t="shared" si="204"/>
        <v>0</v>
      </c>
      <c r="J1190" t="s">
        <v>145</v>
      </c>
      <c r="K1190">
        <v>3</v>
      </c>
      <c r="M1190" t="s">
        <v>220</v>
      </c>
    </row>
    <row r="1191" spans="1:13" outlineLevel="1" x14ac:dyDescent="0.25">
      <c r="A1191" t="s">
        <v>215</v>
      </c>
      <c r="B1191" t="s">
        <v>422</v>
      </c>
      <c r="C1191" t="str">
        <f>_xlfn.CONCAT("Taux de chargement moyen des véhicules pour l'accès direct au(x) chantier(s)"," (",'Remplissage - Sit. Expost'!$B$383,")")</f>
        <v>Taux de chargement moyen des véhicules pour l'accès direct au(x) chantier(s) (Catégorie 37)</v>
      </c>
      <c r="E1191" t="str">
        <f t="shared" ref="E1191" si="211">_xlfn.CONCAT("LogChantAccDirTC",RIGHT(LEFT(C1191,LEN(C1191)-1),2))</f>
        <v>LogChantAccDirTC37</v>
      </c>
      <c r="F1191" t="s">
        <v>17</v>
      </c>
      <c r="G1191" s="14">
        <f t="shared" si="204"/>
        <v>0</v>
      </c>
      <c r="H1191" s="3"/>
      <c r="J1191" t="s">
        <v>70</v>
      </c>
      <c r="K1191" s="7">
        <v>0.33</v>
      </c>
      <c r="M1191" t="s">
        <v>220</v>
      </c>
    </row>
    <row r="1192" spans="1:13" outlineLevel="1" x14ac:dyDescent="0.25">
      <c r="A1192" t="s">
        <v>215</v>
      </c>
      <c r="B1192" t="s">
        <v>422</v>
      </c>
      <c r="C1192" t="str">
        <f>_xlfn.CONCAT("Nombre de trajets associés"," (",'Remplissage - Sit. Expost'!$B$383,")")</f>
        <v>Nombre de trajets associés (Catégorie 37)</v>
      </c>
      <c r="E1192" t="str">
        <f t="shared" ref="E1192" si="212">_xlfn.CONCAT("LogChantAccDirNbTraj",RIGHT(LEFT(C1192,LEN(C1192)-1),2))</f>
        <v>LogChantAccDirNbTraj37</v>
      </c>
      <c r="F1192" t="s">
        <v>17</v>
      </c>
      <c r="G1192" s="14">
        <f t="shared" si="204"/>
        <v>0</v>
      </c>
      <c r="J1192" t="s">
        <v>145</v>
      </c>
      <c r="K1192">
        <v>3</v>
      </c>
      <c r="M1192" t="s">
        <v>220</v>
      </c>
    </row>
    <row r="1193" spans="1:13" outlineLevel="1" x14ac:dyDescent="0.25">
      <c r="A1193" t="s">
        <v>215</v>
      </c>
      <c r="B1193" t="s">
        <v>423</v>
      </c>
      <c r="C1193" t="str">
        <f>_xlfn.CONCAT("Taux de chargement moyen des véhicules pour l'accès direct au(x) chantier(s)"," (",'Remplissage - Sit. Expost'!$B$393,")")</f>
        <v>Taux de chargement moyen des véhicules pour l'accès direct au(x) chantier(s) (Catégorie 38)</v>
      </c>
      <c r="E1193" t="str">
        <f t="shared" ref="E1193" si="213">_xlfn.CONCAT("LogChantAccDirTC",RIGHT(LEFT(C1193,LEN(C1193)-1),2))</f>
        <v>LogChantAccDirTC38</v>
      </c>
      <c r="F1193" t="s">
        <v>17</v>
      </c>
      <c r="G1193" s="14">
        <f t="shared" si="204"/>
        <v>0</v>
      </c>
      <c r="H1193" s="3"/>
      <c r="J1193" t="s">
        <v>70</v>
      </c>
      <c r="K1193" s="7">
        <v>0.33</v>
      </c>
      <c r="M1193" t="s">
        <v>220</v>
      </c>
    </row>
    <row r="1194" spans="1:13" outlineLevel="1" x14ac:dyDescent="0.25">
      <c r="A1194" t="s">
        <v>215</v>
      </c>
      <c r="B1194" t="s">
        <v>423</v>
      </c>
      <c r="C1194" t="str">
        <f>_xlfn.CONCAT("Nombre de trajets associés"," (",'Remplissage - Sit. Expost'!$B$393,")")</f>
        <v>Nombre de trajets associés (Catégorie 38)</v>
      </c>
      <c r="E1194" t="str">
        <f t="shared" ref="E1194" si="214">_xlfn.CONCAT("LogChantAccDirNbTraj",RIGHT(LEFT(C1194,LEN(C1194)-1),2))</f>
        <v>LogChantAccDirNbTraj38</v>
      </c>
      <c r="F1194" t="s">
        <v>17</v>
      </c>
      <c r="G1194" s="14">
        <f t="shared" si="204"/>
        <v>0</v>
      </c>
      <c r="J1194" t="s">
        <v>145</v>
      </c>
      <c r="K1194">
        <v>3</v>
      </c>
      <c r="M1194" t="s">
        <v>220</v>
      </c>
    </row>
    <row r="1195" spans="1:13" outlineLevel="1" x14ac:dyDescent="0.25">
      <c r="A1195" t="s">
        <v>215</v>
      </c>
      <c r="B1195" t="s">
        <v>424</v>
      </c>
      <c r="C1195" t="str">
        <f>_xlfn.CONCAT("Taux de chargement moyen des véhicules pour l'accès direct au(x) chantier(s)"," (",'Remplissage - Sit. Expost'!$B$403,")")</f>
        <v>Taux de chargement moyen des véhicules pour l'accès direct au(x) chantier(s) (Catégorie 39)</v>
      </c>
      <c r="E1195" t="str">
        <f t="shared" ref="E1195" si="215">_xlfn.CONCAT("LogChantAccDirTC",RIGHT(LEFT(C1195,LEN(C1195)-1),2))</f>
        <v>LogChantAccDirTC39</v>
      </c>
      <c r="F1195" t="s">
        <v>17</v>
      </c>
      <c r="G1195" s="14">
        <f t="shared" si="204"/>
        <v>0</v>
      </c>
      <c r="H1195" s="3"/>
      <c r="J1195" t="s">
        <v>70</v>
      </c>
      <c r="K1195" s="7">
        <v>0.33</v>
      </c>
      <c r="M1195" t="s">
        <v>220</v>
      </c>
    </row>
    <row r="1196" spans="1:13" outlineLevel="1" x14ac:dyDescent="0.25">
      <c r="A1196" t="s">
        <v>215</v>
      </c>
      <c r="B1196" t="s">
        <v>424</v>
      </c>
      <c r="C1196" t="str">
        <f>_xlfn.CONCAT("Nombre de trajets associés"," (",'Remplissage - Sit. Expost'!$B$403,")")</f>
        <v>Nombre de trajets associés (Catégorie 39)</v>
      </c>
      <c r="E1196" t="str">
        <f t="shared" ref="E1196" si="216">_xlfn.CONCAT("LogChantAccDirNbTraj",RIGHT(LEFT(C1196,LEN(C1196)-1),2))</f>
        <v>LogChantAccDirNbTraj39</v>
      </c>
      <c r="F1196" t="s">
        <v>17</v>
      </c>
      <c r="G1196" s="14">
        <f t="shared" si="204"/>
        <v>0</v>
      </c>
      <c r="J1196" t="s">
        <v>145</v>
      </c>
      <c r="K1196">
        <v>3</v>
      </c>
      <c r="M1196" t="s">
        <v>220</v>
      </c>
    </row>
    <row r="1197" spans="1:13" outlineLevel="1" x14ac:dyDescent="0.25">
      <c r="A1197" t="s">
        <v>215</v>
      </c>
      <c r="B1197" t="s">
        <v>425</v>
      </c>
      <c r="C1197" t="str">
        <f>_xlfn.CONCAT("Taux de chargement moyen des véhicules pour l'accès direct au(x) chantier(s)"," (",'Remplissage - Sit. Expost'!$B$413,")")</f>
        <v>Taux de chargement moyen des véhicules pour l'accès direct au(x) chantier(s) (Catégorie 40)</v>
      </c>
      <c r="E1197" t="str">
        <f t="shared" ref="E1197" si="217">_xlfn.CONCAT("LogChantAccDirTC",RIGHT(LEFT(C1197,LEN(C1197)-1),2))</f>
        <v>LogChantAccDirTC40</v>
      </c>
      <c r="F1197" t="s">
        <v>17</v>
      </c>
      <c r="G1197" s="14">
        <f t="shared" si="204"/>
        <v>0</v>
      </c>
      <c r="H1197" s="3"/>
      <c r="J1197" t="s">
        <v>70</v>
      </c>
      <c r="K1197" s="7">
        <v>0.33</v>
      </c>
      <c r="M1197" t="s">
        <v>220</v>
      </c>
    </row>
    <row r="1198" spans="1:13" outlineLevel="1" x14ac:dyDescent="0.25">
      <c r="A1198" t="s">
        <v>215</v>
      </c>
      <c r="B1198" t="s">
        <v>425</v>
      </c>
      <c r="C1198" t="str">
        <f>_xlfn.CONCAT("Nombre de trajets associés"," (",'Remplissage - Sit. Expost'!$B$413,")")</f>
        <v>Nombre de trajets associés (Catégorie 40)</v>
      </c>
      <c r="E1198" t="str">
        <f t="shared" ref="E1198" si="218">_xlfn.CONCAT("LogChantAccDirNbTraj",RIGHT(LEFT(C1198,LEN(C1198)-1),2))</f>
        <v>LogChantAccDirNbTraj40</v>
      </c>
      <c r="F1198" t="s">
        <v>17</v>
      </c>
      <c r="G1198" s="14">
        <f t="shared" si="204"/>
        <v>0</v>
      </c>
      <c r="J1198" t="s">
        <v>145</v>
      </c>
      <c r="K1198">
        <v>3</v>
      </c>
      <c r="M1198" t="s">
        <v>220</v>
      </c>
    </row>
    <row r="1199" spans="1:13" outlineLevel="1" x14ac:dyDescent="0.25">
      <c r="A1199" t="s">
        <v>215</v>
      </c>
      <c r="B1199" t="s">
        <v>426</v>
      </c>
      <c r="C1199" t="str">
        <f>_xlfn.CONCAT("Taux de chargement moyen des véhicules pour l'accès direct au(x) chantier(s)"," (",'Remplissage - Sit. Expost'!$B$423,")")</f>
        <v>Taux de chargement moyen des véhicules pour l'accès direct au(x) chantier(s) (Catégorie 41)</v>
      </c>
      <c r="E1199" t="str">
        <f t="shared" ref="E1199" si="219">_xlfn.CONCAT("LogChantAccDirTC",RIGHT(LEFT(C1199,LEN(C1199)-1),2))</f>
        <v>LogChantAccDirTC41</v>
      </c>
      <c r="F1199" t="s">
        <v>17</v>
      </c>
      <c r="G1199" s="14">
        <f t="shared" si="204"/>
        <v>0</v>
      </c>
      <c r="H1199" s="3"/>
      <c r="J1199" t="s">
        <v>70</v>
      </c>
      <c r="K1199" s="7">
        <v>0.33</v>
      </c>
      <c r="M1199" t="s">
        <v>220</v>
      </c>
    </row>
    <row r="1200" spans="1:13" outlineLevel="1" x14ac:dyDescent="0.25">
      <c r="A1200" t="s">
        <v>215</v>
      </c>
      <c r="B1200" t="s">
        <v>426</v>
      </c>
      <c r="C1200" t="str">
        <f>_xlfn.CONCAT("Nombre de trajets associés"," (",'Remplissage - Sit. Expost'!$B$423,")")</f>
        <v>Nombre de trajets associés (Catégorie 41)</v>
      </c>
      <c r="E1200" t="str">
        <f t="shared" ref="E1200" si="220">_xlfn.CONCAT("LogChantAccDirNbTraj",RIGHT(LEFT(C1200,LEN(C1200)-1),2))</f>
        <v>LogChantAccDirNbTraj41</v>
      </c>
      <c r="F1200" t="s">
        <v>17</v>
      </c>
      <c r="G1200" s="14">
        <f t="shared" si="204"/>
        <v>0</v>
      </c>
      <c r="J1200" t="s">
        <v>145</v>
      </c>
      <c r="K1200">
        <v>3</v>
      </c>
      <c r="M1200" t="s">
        <v>220</v>
      </c>
    </row>
    <row r="1201" spans="1:13" outlineLevel="1" x14ac:dyDescent="0.25">
      <c r="A1201" t="s">
        <v>215</v>
      </c>
      <c r="B1201" t="s">
        <v>427</v>
      </c>
      <c r="C1201" t="str">
        <f>_xlfn.CONCAT("Taux de chargement moyen des véhicules pour l'accès direct au(x) chantier(s)"," (",'Remplissage - Sit. Expost'!$B$433,")")</f>
        <v>Taux de chargement moyen des véhicules pour l'accès direct au(x) chantier(s) (Catégorie 42)</v>
      </c>
      <c r="E1201" t="str">
        <f t="shared" ref="E1201" si="221">_xlfn.CONCAT("LogChantAccDirTC",RIGHT(LEFT(C1201,LEN(C1201)-1),2))</f>
        <v>LogChantAccDirTC42</v>
      </c>
      <c r="F1201" t="s">
        <v>17</v>
      </c>
      <c r="G1201" s="14">
        <f t="shared" si="204"/>
        <v>0</v>
      </c>
      <c r="H1201" s="3"/>
      <c r="J1201" t="s">
        <v>70</v>
      </c>
      <c r="K1201" s="7">
        <v>0.33</v>
      </c>
      <c r="M1201" t="s">
        <v>220</v>
      </c>
    </row>
    <row r="1202" spans="1:13" outlineLevel="1" x14ac:dyDescent="0.25">
      <c r="A1202" t="s">
        <v>215</v>
      </c>
      <c r="B1202" t="s">
        <v>427</v>
      </c>
      <c r="C1202" t="str">
        <f>_xlfn.CONCAT("Nombre de trajets associés"," (",'Remplissage - Sit. Expost'!$B$433,")")</f>
        <v>Nombre de trajets associés (Catégorie 42)</v>
      </c>
      <c r="E1202" t="str">
        <f t="shared" ref="E1202" si="222">_xlfn.CONCAT("LogChantAccDirNbTraj",RIGHT(LEFT(C1202,LEN(C1202)-1),2))</f>
        <v>LogChantAccDirNbTraj42</v>
      </c>
      <c r="F1202" t="s">
        <v>17</v>
      </c>
      <c r="G1202" s="14">
        <f t="shared" si="204"/>
        <v>0</v>
      </c>
      <c r="J1202" t="s">
        <v>145</v>
      </c>
      <c r="K1202">
        <v>3</v>
      </c>
      <c r="M1202" t="s">
        <v>220</v>
      </c>
    </row>
    <row r="1203" spans="1:13" outlineLevel="1" x14ac:dyDescent="0.25">
      <c r="A1203" t="s">
        <v>215</v>
      </c>
      <c r="B1203" t="s">
        <v>428</v>
      </c>
      <c r="C1203" t="str">
        <f>_xlfn.CONCAT("Taux de chargement moyen des véhicules pour l'accès direct au(x) chantier(s)"," (",'Remplissage - Sit. Expost'!$B$443,")")</f>
        <v>Taux de chargement moyen des véhicules pour l'accès direct au(x) chantier(s) (Catégorie 43)</v>
      </c>
      <c r="E1203" t="str">
        <f t="shared" ref="E1203" si="223">_xlfn.CONCAT("LogChantAccDirTC",RIGHT(LEFT(C1203,LEN(C1203)-1),2))</f>
        <v>LogChantAccDirTC43</v>
      </c>
      <c r="F1203" t="s">
        <v>17</v>
      </c>
      <c r="G1203" s="14">
        <f t="shared" si="204"/>
        <v>0</v>
      </c>
      <c r="H1203" s="3"/>
      <c r="J1203" t="s">
        <v>70</v>
      </c>
      <c r="K1203" s="7">
        <v>0.33</v>
      </c>
      <c r="M1203" t="s">
        <v>220</v>
      </c>
    </row>
    <row r="1204" spans="1:13" outlineLevel="1" x14ac:dyDescent="0.25">
      <c r="A1204" t="s">
        <v>215</v>
      </c>
      <c r="B1204" t="s">
        <v>428</v>
      </c>
      <c r="C1204" t="str">
        <f>_xlfn.CONCAT("Nombre de trajets associés"," (",'Remplissage - Sit. Expost'!$B$443,")")</f>
        <v>Nombre de trajets associés (Catégorie 43)</v>
      </c>
      <c r="E1204" t="str">
        <f t="shared" ref="E1204" si="224">_xlfn.CONCAT("LogChantAccDirNbTraj",RIGHT(LEFT(C1204,LEN(C1204)-1),2))</f>
        <v>LogChantAccDirNbTraj43</v>
      </c>
      <c r="F1204" t="s">
        <v>17</v>
      </c>
      <c r="G1204" s="14">
        <f t="shared" si="204"/>
        <v>0</v>
      </c>
      <c r="J1204" t="s">
        <v>145</v>
      </c>
      <c r="K1204">
        <v>3</v>
      </c>
      <c r="M1204" t="s">
        <v>220</v>
      </c>
    </row>
    <row r="1205" spans="1:13" outlineLevel="1" x14ac:dyDescent="0.25">
      <c r="A1205" t="s">
        <v>215</v>
      </c>
      <c r="B1205" t="s">
        <v>429</v>
      </c>
      <c r="C1205" t="str">
        <f>_xlfn.CONCAT("Taux de chargement moyen des véhicules pour l'accès direct au(x) chantier(s)"," (",'Remplissage - Sit. Expost'!$B$453,")")</f>
        <v>Taux de chargement moyen des véhicules pour l'accès direct au(x) chantier(s) (Catégorie 44)</v>
      </c>
      <c r="E1205" t="str">
        <f t="shared" ref="E1205" si="225">_xlfn.CONCAT("LogChantAccDirTC",RIGHT(LEFT(C1205,LEN(C1205)-1),2))</f>
        <v>LogChantAccDirTC44</v>
      </c>
      <c r="F1205" t="s">
        <v>17</v>
      </c>
      <c r="G1205" s="14">
        <f t="shared" si="204"/>
        <v>1</v>
      </c>
      <c r="H1205" s="3"/>
      <c r="J1205" t="s">
        <v>70</v>
      </c>
      <c r="K1205" s="7">
        <v>0.33</v>
      </c>
      <c r="M1205" t="s">
        <v>220</v>
      </c>
    </row>
    <row r="1206" spans="1:13" outlineLevel="1" x14ac:dyDescent="0.25">
      <c r="A1206" t="s">
        <v>215</v>
      </c>
      <c r="B1206" t="s">
        <v>429</v>
      </c>
      <c r="C1206" t="str">
        <f>_xlfn.CONCAT("Nombre de trajets associés"," (",'Remplissage - Sit. Expost'!$B$453,")")</f>
        <v>Nombre de trajets associés (Catégorie 44)</v>
      </c>
      <c r="E1206" t="str">
        <f t="shared" ref="E1206" si="226">_xlfn.CONCAT("LogChantAccDirNbTraj",RIGHT(LEFT(C1206,LEN(C1206)-1),2))</f>
        <v>LogChantAccDirNbTraj44</v>
      </c>
      <c r="F1206" t="s">
        <v>17</v>
      </c>
      <c r="G1206" s="14">
        <f t="shared" si="204"/>
        <v>1</v>
      </c>
      <c r="J1206" t="s">
        <v>145</v>
      </c>
      <c r="K1206">
        <v>3</v>
      </c>
      <c r="M1206" t="s">
        <v>220</v>
      </c>
    </row>
    <row r="1207" spans="1:13" outlineLevel="1" x14ac:dyDescent="0.25">
      <c r="A1207" t="s">
        <v>215</v>
      </c>
      <c r="B1207" t="s">
        <v>387</v>
      </c>
      <c r="C1207" t="str">
        <f>_xlfn.CONCAT("Taux de chargement moyen des véhicules pour l'accès direct au(x) chantier(s)"," (",'Remplissage - Sit. Expost'!$B$463,")")</f>
        <v>Taux de chargement moyen des véhicules pour l'accès direct au(x) chantier(s) (Catégorie 45)</v>
      </c>
      <c r="E1207" t="str">
        <f t="shared" ref="E1207" si="227">_xlfn.CONCAT("LogChantAccDirTC",RIGHT(LEFT(C1207,LEN(C1207)-1),2))</f>
        <v>LogChantAccDirTC45</v>
      </c>
      <c r="F1207" t="s">
        <v>17</v>
      </c>
      <c r="G1207" s="14">
        <f t="shared" si="204"/>
        <v>0</v>
      </c>
      <c r="H1207" s="3"/>
      <c r="J1207" t="s">
        <v>70</v>
      </c>
      <c r="K1207" s="7">
        <v>0.33</v>
      </c>
      <c r="M1207" t="s">
        <v>220</v>
      </c>
    </row>
    <row r="1208" spans="1:13" outlineLevel="1" x14ac:dyDescent="0.25">
      <c r="A1208" t="s">
        <v>215</v>
      </c>
      <c r="B1208" t="s">
        <v>387</v>
      </c>
      <c r="C1208" t="str">
        <f>_xlfn.CONCAT("Nombre de trajets associés"," (",'Remplissage - Sit. Expost'!$B$463,")")</f>
        <v>Nombre de trajets associés (Catégorie 45)</v>
      </c>
      <c r="E1208" t="str">
        <f t="shared" ref="E1208" si="228">_xlfn.CONCAT("LogChantAccDirNbTraj",RIGHT(LEFT(C1208,LEN(C1208)-1),2))</f>
        <v>LogChantAccDirNbTraj45</v>
      </c>
      <c r="F1208" t="s">
        <v>17</v>
      </c>
      <c r="G1208" s="14">
        <f t="shared" si="204"/>
        <v>0</v>
      </c>
      <c r="J1208" t="s">
        <v>145</v>
      </c>
      <c r="K1208">
        <v>3</v>
      </c>
      <c r="M1208" t="s">
        <v>220</v>
      </c>
    </row>
    <row r="1209" spans="1:13" x14ac:dyDescent="0.25">
      <c r="A1209" t="s">
        <v>215</v>
      </c>
      <c r="B1209" t="s">
        <v>250</v>
      </c>
      <c r="C1209" t="s">
        <v>251</v>
      </c>
      <c r="E1209" t="s">
        <v>252</v>
      </c>
      <c r="F1209" t="s">
        <v>20</v>
      </c>
      <c r="G1209">
        <f>IF(ISNUMBER(SEARCH("Oui",$H$1113)),1,0)</f>
        <v>0</v>
      </c>
      <c r="H1209" t="s">
        <v>430</v>
      </c>
      <c r="I1209" t="s">
        <v>383</v>
      </c>
      <c r="M1209" t="s">
        <v>220</v>
      </c>
    </row>
    <row r="1210" spans="1:13" x14ac:dyDescent="0.25">
      <c r="A1210" t="s">
        <v>215</v>
      </c>
      <c r="B1210" t="s">
        <v>250</v>
      </c>
      <c r="C1210" t="s">
        <v>253</v>
      </c>
      <c r="E1210" t="s">
        <v>254</v>
      </c>
      <c r="F1210" t="s">
        <v>17</v>
      </c>
      <c r="G1210">
        <f>IF(ISNUMBER(SEARCH("Oui",$H$1113)),1,0)</f>
        <v>0</v>
      </c>
      <c r="J1210" t="s">
        <v>88</v>
      </c>
      <c r="K1210">
        <v>10</v>
      </c>
      <c r="M1210" t="s">
        <v>220</v>
      </c>
    </row>
    <row r="1211" spans="1:13" x14ac:dyDescent="0.25">
      <c r="A1211" t="s">
        <v>215</v>
      </c>
      <c r="B1211" t="s">
        <v>250</v>
      </c>
      <c r="C1211" t="s">
        <v>255</v>
      </c>
      <c r="E1211" t="s">
        <v>256</v>
      </c>
      <c r="F1211" t="s">
        <v>17</v>
      </c>
      <c r="G1211" s="23">
        <f>(IF(ISNUMBER(SEARCH("Oui",$H$1113)),1,0))*(IF(ISNUMBER(SEARCH("Proposer un ordre de grandeur commun",$H$1115)),1,0))</f>
        <v>0</v>
      </c>
      <c r="H1211" s="18"/>
      <c r="J1211" t="s">
        <v>70</v>
      </c>
      <c r="K1211" s="7">
        <v>0.8</v>
      </c>
      <c r="M1211" t="s">
        <v>220</v>
      </c>
    </row>
    <row r="1212" spans="1:13" x14ac:dyDescent="0.25">
      <c r="A1212" t="s">
        <v>215</v>
      </c>
      <c r="B1212" t="s">
        <v>250</v>
      </c>
      <c r="C1212" t="s">
        <v>248</v>
      </c>
      <c r="E1212" t="s">
        <v>257</v>
      </c>
      <c r="F1212" t="s">
        <v>17</v>
      </c>
      <c r="G1212" s="23">
        <f>(IF(ISNUMBER(SEARCH("Oui",$H$1113)),1,0))*(IF(ISNUMBER(SEARCH("Proposer un ordre de grandeur commun",$H$1115)),1,0))</f>
        <v>0</v>
      </c>
      <c r="J1212" t="s">
        <v>145</v>
      </c>
      <c r="K1212">
        <v>1</v>
      </c>
      <c r="M1212" t="s">
        <v>220</v>
      </c>
    </row>
    <row r="1213" spans="1:13" outlineLevel="1" x14ac:dyDescent="0.25">
      <c r="A1213" t="s">
        <v>215</v>
      </c>
      <c r="B1213" t="s">
        <v>382</v>
      </c>
      <c r="C1213" t="str">
        <f>_xlfn.CONCAT("Taux de chargement moyen des véhicules pour l'accès à la plateforme logistique"," (",'Remplissage - Sit. Expost'!$B$23,")")</f>
        <v>Taux de chargement moyen des véhicules pour l'accès à la plateforme logistique (Catégorie 1)</v>
      </c>
      <c r="E1213" t="str">
        <f>_xlfn.CONCAT("LogChantPlatLogTC",RIGHT(LEFT(C1213,LEN(C1213)-1),1))</f>
        <v>LogChantPlatLogTC1</v>
      </c>
      <c r="F1213" t="s">
        <v>17</v>
      </c>
      <c r="G1213" s="14">
        <f>(IF(ISNUMBER(SEARCH($B1213,$H$1209)),1,0))*(IF(ISNUMBER(SEARCH("Par catégorie de véhicule sélectionnée",$H$1115)),1,0))</f>
        <v>1</v>
      </c>
      <c r="H1213" s="3"/>
      <c r="J1213" t="s">
        <v>70</v>
      </c>
      <c r="K1213" s="7">
        <v>0.8</v>
      </c>
      <c r="M1213" t="s">
        <v>220</v>
      </c>
    </row>
    <row r="1214" spans="1:13" outlineLevel="1" x14ac:dyDescent="0.25">
      <c r="A1214" t="s">
        <v>215</v>
      </c>
      <c r="B1214" t="s">
        <v>382</v>
      </c>
      <c r="C1214" t="str">
        <f>_xlfn.CONCAT("Nombre de trajets associés"," (",'Remplissage - Sit. Expost'!$B$23,")")</f>
        <v>Nombre de trajets associés (Catégorie 1)</v>
      </c>
      <c r="E1214" t="str">
        <f>_xlfn.CONCAT("LogChantPlatLogNbTraj",RIGHT(LEFT(C1214,LEN(C1214)-1),1))</f>
        <v>LogChantPlatLogNbTraj1</v>
      </c>
      <c r="F1214" t="s">
        <v>17</v>
      </c>
      <c r="G1214" s="14">
        <f t="shared" ref="G1214:G1277" si="229">(IF(ISNUMBER(SEARCH($B1214,$H$1209)),1,0))*(IF(ISNUMBER(SEARCH("Par catégorie de véhicule sélectionnée",$H$1115)),1,0))</f>
        <v>1</v>
      </c>
      <c r="J1214" t="s">
        <v>145</v>
      </c>
      <c r="K1214">
        <v>1</v>
      </c>
      <c r="M1214" t="s">
        <v>220</v>
      </c>
    </row>
    <row r="1215" spans="1:13" outlineLevel="1" x14ac:dyDescent="0.25">
      <c r="A1215" t="s">
        <v>215</v>
      </c>
      <c r="B1215" t="s">
        <v>386</v>
      </c>
      <c r="C1215" t="str">
        <f>_xlfn.CONCAT("Taux de chargement moyen des véhicules pour l'accès à la plateforme logistique"," (",'Remplissage - Sit. Expost'!$B$33,")")</f>
        <v>Taux de chargement moyen des véhicules pour l'accès à la plateforme logistique (Catégorie 2)</v>
      </c>
      <c r="E1215" t="str">
        <f>_xlfn.CONCAT("LogChantPlatLogTC",RIGHT(LEFT(C1215,LEN(C1215)-1),1))</f>
        <v>LogChantPlatLogTC2</v>
      </c>
      <c r="F1215" t="s">
        <v>17</v>
      </c>
      <c r="G1215" s="14">
        <f t="shared" si="229"/>
        <v>0</v>
      </c>
      <c r="H1215" s="3"/>
      <c r="J1215" t="s">
        <v>70</v>
      </c>
      <c r="K1215" s="7">
        <v>0.8</v>
      </c>
      <c r="M1215" t="s">
        <v>220</v>
      </c>
    </row>
    <row r="1216" spans="1:13" outlineLevel="1" x14ac:dyDescent="0.25">
      <c r="A1216" t="s">
        <v>215</v>
      </c>
      <c r="B1216" t="s">
        <v>386</v>
      </c>
      <c r="C1216" t="str">
        <f>_xlfn.CONCAT("Nombre de trajets associés"," (",'Remplissage - Sit. Expost'!$B$33,")")</f>
        <v>Nombre de trajets associés (Catégorie 2)</v>
      </c>
      <c r="E1216" t="str">
        <f>_xlfn.CONCAT("LogChantPlatLogNbTraj",RIGHT(LEFT(C1216,LEN(C1216)-1),1))</f>
        <v>LogChantPlatLogNbTraj2</v>
      </c>
      <c r="F1216" t="s">
        <v>17</v>
      </c>
      <c r="G1216" s="14">
        <f t="shared" si="229"/>
        <v>0</v>
      </c>
      <c r="J1216" t="s">
        <v>145</v>
      </c>
      <c r="K1216">
        <v>1</v>
      </c>
      <c r="M1216" t="s">
        <v>220</v>
      </c>
    </row>
    <row r="1217" spans="1:13" outlineLevel="1" x14ac:dyDescent="0.25">
      <c r="A1217" t="s">
        <v>215</v>
      </c>
      <c r="B1217" t="s">
        <v>388</v>
      </c>
      <c r="C1217" t="str">
        <f>_xlfn.CONCAT("Taux de chargement moyen des véhicules pour l'accès à la plateforme logistique"," (",'Remplissage - Sit. Expost'!$B$43,")")</f>
        <v>Taux de chargement moyen des véhicules pour l'accès à la plateforme logistique (Catégorie 3)</v>
      </c>
      <c r="E1217" t="str">
        <f>_xlfn.CONCAT("LogChantPlatLogTC",RIGHT(LEFT(C1217,LEN(C1217)-1),1))</f>
        <v>LogChantPlatLogTC3</v>
      </c>
      <c r="F1217" t="s">
        <v>17</v>
      </c>
      <c r="G1217" s="14">
        <f t="shared" si="229"/>
        <v>1</v>
      </c>
      <c r="H1217" s="3"/>
      <c r="J1217" t="s">
        <v>70</v>
      </c>
      <c r="K1217" s="7">
        <v>0.8</v>
      </c>
      <c r="M1217" t="s">
        <v>220</v>
      </c>
    </row>
    <row r="1218" spans="1:13" outlineLevel="1" x14ac:dyDescent="0.25">
      <c r="A1218" t="s">
        <v>215</v>
      </c>
      <c r="B1218" t="s">
        <v>388</v>
      </c>
      <c r="C1218" t="str">
        <f>_xlfn.CONCAT("Nombre de trajets associés"," (",'Remplissage - Sit. Expost'!$B$43,")")</f>
        <v>Nombre de trajets associés (Catégorie 3)</v>
      </c>
      <c r="E1218" t="str">
        <f>_xlfn.CONCAT("LogChantPlatLogNbTraj",RIGHT(LEFT(C1218,LEN(C1218)-1),1))</f>
        <v>LogChantPlatLogNbTraj3</v>
      </c>
      <c r="F1218" t="s">
        <v>17</v>
      </c>
      <c r="G1218" s="14">
        <f t="shared" si="229"/>
        <v>1</v>
      </c>
      <c r="J1218" t="s">
        <v>145</v>
      </c>
      <c r="K1218">
        <v>1</v>
      </c>
      <c r="M1218" t="s">
        <v>220</v>
      </c>
    </row>
    <row r="1219" spans="1:13" outlineLevel="1" x14ac:dyDescent="0.25">
      <c r="A1219" t="s">
        <v>215</v>
      </c>
      <c r="B1219" t="s">
        <v>389</v>
      </c>
      <c r="C1219" t="str">
        <f>_xlfn.CONCAT("Taux de chargement moyen des véhicules pour l'accès à la plateforme logistique"," (",'Remplissage - Sit. Expost'!$B$53,")")</f>
        <v>Taux de chargement moyen des véhicules pour l'accès à la plateforme logistique (Catégorie 4)</v>
      </c>
      <c r="E1219" t="str">
        <f>_xlfn.CONCAT("LogChantPlatLogTC",RIGHT(LEFT(C1219,LEN(C1219)-1),1))</f>
        <v>LogChantPlatLogTC4</v>
      </c>
      <c r="F1219" t="s">
        <v>17</v>
      </c>
      <c r="G1219" s="14">
        <f t="shared" si="229"/>
        <v>0</v>
      </c>
      <c r="H1219" s="3"/>
      <c r="J1219" t="s">
        <v>70</v>
      </c>
      <c r="K1219" s="7">
        <v>0.8</v>
      </c>
      <c r="M1219" t="s">
        <v>220</v>
      </c>
    </row>
    <row r="1220" spans="1:13" outlineLevel="1" x14ac:dyDescent="0.25">
      <c r="A1220" t="s">
        <v>215</v>
      </c>
      <c r="B1220" t="s">
        <v>389</v>
      </c>
      <c r="C1220" t="str">
        <f>_xlfn.CONCAT("Nombre de trajets associés"," (",'Remplissage - Sit. Expost'!$B$53,")")</f>
        <v>Nombre de trajets associés (Catégorie 4)</v>
      </c>
      <c r="E1220" t="str">
        <f>_xlfn.CONCAT("LogChantPlatLogNbTraj",RIGHT(LEFT(C1220,LEN(C1220)-1),1))</f>
        <v>LogChantPlatLogNbTraj4</v>
      </c>
      <c r="F1220" t="s">
        <v>17</v>
      </c>
      <c r="G1220" s="14">
        <f t="shared" si="229"/>
        <v>0</v>
      </c>
      <c r="J1220" t="s">
        <v>145</v>
      </c>
      <c r="K1220">
        <v>1</v>
      </c>
      <c r="M1220" t="s">
        <v>220</v>
      </c>
    </row>
    <row r="1221" spans="1:13" outlineLevel="1" x14ac:dyDescent="0.25">
      <c r="A1221" t="s">
        <v>215</v>
      </c>
      <c r="B1221" t="s">
        <v>390</v>
      </c>
      <c r="C1221" t="str">
        <f>_xlfn.CONCAT("Taux de chargement moyen des véhicules pour l'accès à la plateforme logistique"," (",'Remplissage - Sit. Expost'!$B$63,")")</f>
        <v>Taux de chargement moyen des véhicules pour l'accès à la plateforme logistique (Catégorie 5)</v>
      </c>
      <c r="E1221" t="str">
        <f>_xlfn.CONCAT("LogChantPlatLogTC",RIGHT(LEFT(C1221,LEN(C1221)-1),1))</f>
        <v>LogChantPlatLogTC5</v>
      </c>
      <c r="F1221" t="s">
        <v>17</v>
      </c>
      <c r="G1221" s="14">
        <f t="shared" si="229"/>
        <v>0</v>
      </c>
      <c r="H1221" s="3"/>
      <c r="J1221" t="s">
        <v>70</v>
      </c>
      <c r="K1221" s="7">
        <v>0.8</v>
      </c>
      <c r="M1221" t="s">
        <v>220</v>
      </c>
    </row>
    <row r="1222" spans="1:13" outlineLevel="1" x14ac:dyDescent="0.25">
      <c r="A1222" t="s">
        <v>215</v>
      </c>
      <c r="B1222" t="s">
        <v>390</v>
      </c>
      <c r="C1222" t="str">
        <f>_xlfn.CONCAT("Nombre de trajets associés"," (",'Remplissage - Sit. Expost'!$B$63,")")</f>
        <v>Nombre de trajets associés (Catégorie 5)</v>
      </c>
      <c r="E1222" t="str">
        <f>_xlfn.CONCAT("LogChantPlatLogNbTraj",RIGHT(LEFT(C1222,LEN(C1222)-1),1))</f>
        <v>LogChantPlatLogNbTraj5</v>
      </c>
      <c r="F1222" t="s">
        <v>17</v>
      </c>
      <c r="G1222" s="14">
        <f t="shared" si="229"/>
        <v>0</v>
      </c>
      <c r="J1222" t="s">
        <v>145</v>
      </c>
      <c r="K1222">
        <v>1</v>
      </c>
      <c r="M1222" t="s">
        <v>220</v>
      </c>
    </row>
    <row r="1223" spans="1:13" outlineLevel="1" x14ac:dyDescent="0.25">
      <c r="A1223" t="s">
        <v>215</v>
      </c>
      <c r="B1223" t="s">
        <v>391</v>
      </c>
      <c r="C1223" t="str">
        <f>_xlfn.CONCAT("Taux de chargement moyen des véhicules pour l'accès à la plateforme logistique"," (",'Remplissage - Sit. Expost'!$B$73,")")</f>
        <v>Taux de chargement moyen des véhicules pour l'accès à la plateforme logistique (Catégorie 6)</v>
      </c>
      <c r="E1223" t="str">
        <f>_xlfn.CONCAT("LogChantPlatLogTC",RIGHT(LEFT(C1223,LEN(C1223)-1),1))</f>
        <v>LogChantPlatLogTC6</v>
      </c>
      <c r="F1223" t="s">
        <v>17</v>
      </c>
      <c r="G1223" s="14">
        <f t="shared" si="229"/>
        <v>0</v>
      </c>
      <c r="H1223" s="3"/>
      <c r="J1223" t="s">
        <v>70</v>
      </c>
      <c r="K1223" s="7">
        <v>0.8</v>
      </c>
      <c r="M1223" t="s">
        <v>220</v>
      </c>
    </row>
    <row r="1224" spans="1:13" outlineLevel="1" x14ac:dyDescent="0.25">
      <c r="A1224" t="s">
        <v>215</v>
      </c>
      <c r="B1224" t="s">
        <v>391</v>
      </c>
      <c r="C1224" t="str">
        <f>_xlfn.CONCAT("Nombre de trajets associés"," (",'Remplissage - Sit. Expost'!$B$73,")")</f>
        <v>Nombre de trajets associés (Catégorie 6)</v>
      </c>
      <c r="E1224" t="str">
        <f>_xlfn.CONCAT("LogChantPlatLogNbTraj",RIGHT(LEFT(C1224,LEN(C1224)-1),1))</f>
        <v>LogChantPlatLogNbTraj6</v>
      </c>
      <c r="F1224" t="s">
        <v>17</v>
      </c>
      <c r="G1224" s="14">
        <f t="shared" si="229"/>
        <v>0</v>
      </c>
      <c r="J1224" t="s">
        <v>145</v>
      </c>
      <c r="K1224">
        <v>1</v>
      </c>
      <c r="M1224" t="s">
        <v>220</v>
      </c>
    </row>
    <row r="1225" spans="1:13" outlineLevel="1" x14ac:dyDescent="0.25">
      <c r="A1225" t="s">
        <v>215</v>
      </c>
      <c r="B1225" t="s">
        <v>392</v>
      </c>
      <c r="C1225" t="str">
        <f>_xlfn.CONCAT("Taux de chargement moyen des véhicules pour l'accès à la plateforme logistique"," (",'Remplissage - Sit. Expost'!$B$83,")")</f>
        <v>Taux de chargement moyen des véhicules pour l'accès à la plateforme logistique (Catégorie 7)</v>
      </c>
      <c r="E1225" t="str">
        <f>_xlfn.CONCAT("LogChantPlatLogTC",RIGHT(LEFT(C1225,LEN(C1225)-1),1))</f>
        <v>LogChantPlatLogTC7</v>
      </c>
      <c r="F1225" t="s">
        <v>17</v>
      </c>
      <c r="G1225" s="14">
        <f t="shared" si="229"/>
        <v>0</v>
      </c>
      <c r="H1225" s="3"/>
      <c r="J1225" t="s">
        <v>70</v>
      </c>
      <c r="K1225" s="7">
        <v>0.8</v>
      </c>
      <c r="M1225" t="s">
        <v>220</v>
      </c>
    </row>
    <row r="1226" spans="1:13" outlineLevel="1" x14ac:dyDescent="0.25">
      <c r="A1226" t="s">
        <v>215</v>
      </c>
      <c r="B1226" t="s">
        <v>392</v>
      </c>
      <c r="C1226" t="str">
        <f>_xlfn.CONCAT("Nombre de trajets associés"," (",'Remplissage - Sit. Expost'!$B$83,")")</f>
        <v>Nombre de trajets associés (Catégorie 7)</v>
      </c>
      <c r="E1226" t="str">
        <f>_xlfn.CONCAT("LogChantPlatLogNbTraj",RIGHT(LEFT(C1226,LEN(C1226)-1),1))</f>
        <v>LogChantPlatLogNbTraj7</v>
      </c>
      <c r="F1226" t="s">
        <v>17</v>
      </c>
      <c r="G1226" s="14">
        <f t="shared" si="229"/>
        <v>0</v>
      </c>
      <c r="J1226" t="s">
        <v>145</v>
      </c>
      <c r="K1226">
        <v>1</v>
      </c>
      <c r="M1226" t="s">
        <v>220</v>
      </c>
    </row>
    <row r="1227" spans="1:13" outlineLevel="1" x14ac:dyDescent="0.25">
      <c r="A1227" t="s">
        <v>215</v>
      </c>
      <c r="B1227" t="s">
        <v>393</v>
      </c>
      <c r="C1227" t="str">
        <f>_xlfn.CONCAT("Taux de chargement moyen des véhicules pour l'accès à la plateforme logistique"," (",'Remplissage - Sit. Expost'!$B$93,")")</f>
        <v>Taux de chargement moyen des véhicules pour l'accès à la plateforme logistique (Catégorie 8)</v>
      </c>
      <c r="E1227" t="str">
        <f>_xlfn.CONCAT("LogChantPlatLogTC",RIGHT(LEFT(C1227,LEN(C1227)-1),1))</f>
        <v>LogChantPlatLogTC8</v>
      </c>
      <c r="F1227" t="s">
        <v>17</v>
      </c>
      <c r="G1227" s="14">
        <f t="shared" si="229"/>
        <v>0</v>
      </c>
      <c r="H1227" s="3"/>
      <c r="J1227" t="s">
        <v>70</v>
      </c>
      <c r="K1227" s="7">
        <v>0.8</v>
      </c>
      <c r="M1227" t="s">
        <v>220</v>
      </c>
    </row>
    <row r="1228" spans="1:13" outlineLevel="1" x14ac:dyDescent="0.25">
      <c r="A1228" t="s">
        <v>215</v>
      </c>
      <c r="B1228" t="s">
        <v>393</v>
      </c>
      <c r="C1228" t="str">
        <f>_xlfn.CONCAT("Nombre de trajets associés"," (",'Remplissage - Sit. Expost'!$B$93,")")</f>
        <v>Nombre de trajets associés (Catégorie 8)</v>
      </c>
      <c r="E1228" t="str">
        <f>_xlfn.CONCAT("LogChantPlatLogNbTraj",RIGHT(LEFT(C1228,LEN(C1228)-1),1))</f>
        <v>LogChantPlatLogNbTraj8</v>
      </c>
      <c r="F1228" t="s">
        <v>17</v>
      </c>
      <c r="G1228" s="14">
        <f t="shared" si="229"/>
        <v>0</v>
      </c>
      <c r="J1228" t="s">
        <v>145</v>
      </c>
      <c r="K1228">
        <v>1</v>
      </c>
      <c r="M1228" t="s">
        <v>220</v>
      </c>
    </row>
    <row r="1229" spans="1:13" outlineLevel="1" x14ac:dyDescent="0.25">
      <c r="A1229" t="s">
        <v>215</v>
      </c>
      <c r="B1229" t="s">
        <v>394</v>
      </c>
      <c r="C1229" t="str">
        <f>_xlfn.CONCAT("Taux de chargement moyen des véhicules pour l'accès à la plateforme logistique"," (",'Remplissage - Sit. Expost'!$B$103,")")</f>
        <v>Taux de chargement moyen des véhicules pour l'accès à la plateforme logistique (Catégorie 9)</v>
      </c>
      <c r="E1229" t="str">
        <f>_xlfn.CONCAT("LogChantPlatLogTC",RIGHT(LEFT(C1229,LEN(C1229)-1),1))</f>
        <v>LogChantPlatLogTC9</v>
      </c>
      <c r="F1229" t="s">
        <v>17</v>
      </c>
      <c r="G1229" s="14">
        <f t="shared" si="229"/>
        <v>0</v>
      </c>
      <c r="H1229" s="3"/>
      <c r="J1229" t="s">
        <v>70</v>
      </c>
      <c r="K1229" s="7">
        <v>0.8</v>
      </c>
      <c r="M1229" t="s">
        <v>220</v>
      </c>
    </row>
    <row r="1230" spans="1:13" outlineLevel="1" x14ac:dyDescent="0.25">
      <c r="A1230" t="s">
        <v>215</v>
      </c>
      <c r="B1230" t="s">
        <v>394</v>
      </c>
      <c r="C1230" t="str">
        <f>_xlfn.CONCAT("Nombre de trajets associés"," (",'Remplissage - Sit. Expost'!$B$103,")")</f>
        <v>Nombre de trajets associés (Catégorie 9)</v>
      </c>
      <c r="E1230" t="str">
        <f>_xlfn.CONCAT("LogChantPlatLogNbTraj",RIGHT(LEFT(C1230,LEN(C1230)-1),1))</f>
        <v>LogChantPlatLogNbTraj9</v>
      </c>
      <c r="F1230" t="s">
        <v>17</v>
      </c>
      <c r="G1230" s="14">
        <f t="shared" si="229"/>
        <v>0</v>
      </c>
      <c r="J1230" t="s">
        <v>145</v>
      </c>
      <c r="K1230">
        <v>1</v>
      </c>
      <c r="M1230" t="s">
        <v>220</v>
      </c>
    </row>
    <row r="1231" spans="1:13" outlineLevel="1" x14ac:dyDescent="0.25">
      <c r="A1231" t="s">
        <v>215</v>
      </c>
      <c r="B1231" t="s">
        <v>395</v>
      </c>
      <c r="C1231" t="str">
        <f>_xlfn.CONCAT("Taux de chargement moyen des véhicules pour l'accès à la plateforme logistique"," (",'Remplissage - Sit. Expost'!$B$113,")")</f>
        <v>Taux de chargement moyen des véhicules pour l'accès à la plateforme logistique (Catégorie 10)</v>
      </c>
      <c r="E1231" t="str">
        <f>_xlfn.CONCAT("LogChantPlatLogTC",RIGHT(LEFT(C1231,LEN(C1231)-1),2))</f>
        <v>LogChantPlatLogTC10</v>
      </c>
      <c r="F1231" t="s">
        <v>17</v>
      </c>
      <c r="G1231" s="14">
        <f t="shared" si="229"/>
        <v>0</v>
      </c>
      <c r="H1231" s="3"/>
      <c r="J1231" t="s">
        <v>70</v>
      </c>
      <c r="K1231" s="7">
        <v>0.8</v>
      </c>
      <c r="M1231" t="s">
        <v>220</v>
      </c>
    </row>
    <row r="1232" spans="1:13" outlineLevel="1" x14ac:dyDescent="0.25">
      <c r="A1232" t="s">
        <v>215</v>
      </c>
      <c r="B1232" t="s">
        <v>395</v>
      </c>
      <c r="C1232" t="str">
        <f>_xlfn.CONCAT("Nombre de trajets associés"," (",'Remplissage - Sit. Expost'!$B$113,")")</f>
        <v>Nombre de trajets associés (Catégorie 10)</v>
      </c>
      <c r="E1232" t="str">
        <f>_xlfn.CONCAT("LogChantPlatLogNbTraj",RIGHT(LEFT(C1232,LEN(C1232)-1),2))</f>
        <v>LogChantPlatLogNbTraj10</v>
      </c>
      <c r="F1232" t="s">
        <v>17</v>
      </c>
      <c r="G1232" s="14">
        <f t="shared" si="229"/>
        <v>0</v>
      </c>
      <c r="J1232" t="s">
        <v>145</v>
      </c>
      <c r="K1232">
        <v>1</v>
      </c>
      <c r="M1232" t="s">
        <v>220</v>
      </c>
    </row>
    <row r="1233" spans="1:13" outlineLevel="1" x14ac:dyDescent="0.25">
      <c r="A1233" t="s">
        <v>215</v>
      </c>
      <c r="B1233" t="s">
        <v>396</v>
      </c>
      <c r="C1233" t="str">
        <f>_xlfn.CONCAT("Taux de chargement moyen des véhicules pour l'accès à la plateforme logistique"," (",'Remplissage - Sit. Expost'!$B$123,")")</f>
        <v>Taux de chargement moyen des véhicules pour l'accès à la plateforme logistique (Catégorie 11)</v>
      </c>
      <c r="E1233" t="str">
        <f>_xlfn.CONCAT("LogChantPlatLogTC",RIGHT(LEFT(C1233,LEN(C1233)-1),2))</f>
        <v>LogChantPlatLogTC11</v>
      </c>
      <c r="F1233" t="s">
        <v>17</v>
      </c>
      <c r="G1233" s="14">
        <f t="shared" si="229"/>
        <v>0</v>
      </c>
      <c r="H1233" s="3"/>
      <c r="J1233" t="s">
        <v>70</v>
      </c>
      <c r="K1233" s="7">
        <v>0.8</v>
      </c>
      <c r="M1233" t="s">
        <v>220</v>
      </c>
    </row>
    <row r="1234" spans="1:13" outlineLevel="1" x14ac:dyDescent="0.25">
      <c r="A1234" t="s">
        <v>215</v>
      </c>
      <c r="B1234" t="s">
        <v>396</v>
      </c>
      <c r="C1234" t="str">
        <f>_xlfn.CONCAT("Nombre de trajets associés"," (",'Remplissage - Sit. Expost'!$B$123,")")</f>
        <v>Nombre de trajets associés (Catégorie 11)</v>
      </c>
      <c r="E1234" t="str">
        <f>_xlfn.CONCAT("LogChantPlatLogNbTraj",RIGHT(LEFT(C1234,LEN(C1234)-1),2))</f>
        <v>LogChantPlatLogNbTraj11</v>
      </c>
      <c r="F1234" t="s">
        <v>17</v>
      </c>
      <c r="G1234" s="14">
        <f t="shared" si="229"/>
        <v>0</v>
      </c>
      <c r="J1234" t="s">
        <v>145</v>
      </c>
      <c r="K1234">
        <v>1</v>
      </c>
      <c r="M1234" t="s">
        <v>220</v>
      </c>
    </row>
    <row r="1235" spans="1:13" outlineLevel="1" x14ac:dyDescent="0.25">
      <c r="A1235" t="s">
        <v>215</v>
      </c>
      <c r="B1235" t="s">
        <v>397</v>
      </c>
      <c r="C1235" t="str">
        <f>_xlfn.CONCAT("Taux de chargement moyen des véhicules pour l'accès à la plateforme logistique"," (",'Remplissage - Sit. Expost'!$B$133,")")</f>
        <v>Taux de chargement moyen des véhicules pour l'accès à la plateforme logistique (Catégorie 12)</v>
      </c>
      <c r="E1235" t="str">
        <f t="shared" ref="E1235" si="230">_xlfn.CONCAT("LogChantPlatLogTC",RIGHT(LEFT(C1235,LEN(C1235)-1),2))</f>
        <v>LogChantPlatLogTC12</v>
      </c>
      <c r="F1235" t="s">
        <v>17</v>
      </c>
      <c r="G1235" s="14">
        <f t="shared" si="229"/>
        <v>0</v>
      </c>
      <c r="H1235" s="3"/>
      <c r="J1235" t="s">
        <v>70</v>
      </c>
      <c r="K1235" s="7">
        <v>0.8</v>
      </c>
      <c r="M1235" t="s">
        <v>220</v>
      </c>
    </row>
    <row r="1236" spans="1:13" outlineLevel="1" x14ac:dyDescent="0.25">
      <c r="A1236" t="s">
        <v>215</v>
      </c>
      <c r="B1236" t="s">
        <v>397</v>
      </c>
      <c r="C1236" t="str">
        <f>_xlfn.CONCAT("Nombre de trajets associés"," (",'Remplissage - Sit. Expost'!$B$133,")")</f>
        <v>Nombre de trajets associés (Catégorie 12)</v>
      </c>
      <c r="E1236" t="str">
        <f t="shared" ref="E1236" si="231">_xlfn.CONCAT("LogChantPlatLogNbTraj",RIGHT(LEFT(C1236,LEN(C1236)-1),2))</f>
        <v>LogChantPlatLogNbTraj12</v>
      </c>
      <c r="F1236" t="s">
        <v>17</v>
      </c>
      <c r="G1236" s="14">
        <f t="shared" si="229"/>
        <v>0</v>
      </c>
      <c r="J1236" t="s">
        <v>145</v>
      </c>
      <c r="K1236">
        <v>1</v>
      </c>
      <c r="M1236" t="s">
        <v>220</v>
      </c>
    </row>
    <row r="1237" spans="1:13" outlineLevel="1" x14ac:dyDescent="0.25">
      <c r="A1237" t="s">
        <v>215</v>
      </c>
      <c r="B1237" t="s">
        <v>398</v>
      </c>
      <c r="C1237" t="str">
        <f>_xlfn.CONCAT("Taux de chargement moyen des véhicules pour l'accès à la plateforme logistique"," (",'Remplissage - Sit. Expost'!$B$143,")")</f>
        <v>Taux de chargement moyen des véhicules pour l'accès à la plateforme logistique (Catégorie 13)</v>
      </c>
      <c r="E1237" t="str">
        <f t="shared" ref="E1237" si="232">_xlfn.CONCAT("LogChantPlatLogTC",RIGHT(LEFT(C1237,LEN(C1237)-1),2))</f>
        <v>LogChantPlatLogTC13</v>
      </c>
      <c r="F1237" t="s">
        <v>17</v>
      </c>
      <c r="G1237" s="14">
        <f t="shared" si="229"/>
        <v>0</v>
      </c>
      <c r="H1237" s="3"/>
      <c r="J1237" t="s">
        <v>70</v>
      </c>
      <c r="K1237" s="7">
        <v>0.8</v>
      </c>
      <c r="M1237" t="s">
        <v>220</v>
      </c>
    </row>
    <row r="1238" spans="1:13" outlineLevel="1" x14ac:dyDescent="0.25">
      <c r="A1238" t="s">
        <v>215</v>
      </c>
      <c r="B1238" t="s">
        <v>398</v>
      </c>
      <c r="C1238" t="str">
        <f>_xlfn.CONCAT("Nombre de trajets associés"," (",'Remplissage - Sit. Expost'!$B$143,")")</f>
        <v>Nombre de trajets associés (Catégorie 13)</v>
      </c>
      <c r="E1238" t="str">
        <f t="shared" ref="E1238" si="233">_xlfn.CONCAT("LogChantPlatLogNbTraj",RIGHT(LEFT(C1238,LEN(C1238)-1),2))</f>
        <v>LogChantPlatLogNbTraj13</v>
      </c>
      <c r="F1238" t="s">
        <v>17</v>
      </c>
      <c r="G1238" s="14">
        <f t="shared" si="229"/>
        <v>0</v>
      </c>
      <c r="J1238" t="s">
        <v>145</v>
      </c>
      <c r="K1238">
        <v>1</v>
      </c>
      <c r="M1238" t="s">
        <v>220</v>
      </c>
    </row>
    <row r="1239" spans="1:13" outlineLevel="1" x14ac:dyDescent="0.25">
      <c r="A1239" t="s">
        <v>215</v>
      </c>
      <c r="B1239" t="s">
        <v>399</v>
      </c>
      <c r="C1239" t="str">
        <f>_xlfn.CONCAT("Taux de chargement moyen des véhicules pour l'accès à la plateforme logistique"," (",'Remplissage - Sit. Expost'!$B$153,")")</f>
        <v>Taux de chargement moyen des véhicules pour l'accès à la plateforme logistique (Catégorie 14)</v>
      </c>
      <c r="E1239" t="str">
        <f t="shared" ref="E1239" si="234">_xlfn.CONCAT("LogChantPlatLogTC",RIGHT(LEFT(C1239,LEN(C1239)-1),2))</f>
        <v>LogChantPlatLogTC14</v>
      </c>
      <c r="F1239" t="s">
        <v>17</v>
      </c>
      <c r="G1239" s="14">
        <f t="shared" si="229"/>
        <v>0</v>
      </c>
      <c r="H1239" s="3"/>
      <c r="J1239" t="s">
        <v>70</v>
      </c>
      <c r="K1239" s="7">
        <v>0.8</v>
      </c>
      <c r="M1239" t="s">
        <v>220</v>
      </c>
    </row>
    <row r="1240" spans="1:13" outlineLevel="1" x14ac:dyDescent="0.25">
      <c r="A1240" t="s">
        <v>215</v>
      </c>
      <c r="B1240" t="s">
        <v>399</v>
      </c>
      <c r="C1240" t="str">
        <f>_xlfn.CONCAT("Nombre de trajets associés"," (",'Remplissage - Sit. Expost'!$B$153,")")</f>
        <v>Nombre de trajets associés (Catégorie 14)</v>
      </c>
      <c r="E1240" t="str">
        <f t="shared" ref="E1240" si="235">_xlfn.CONCAT("LogChantPlatLogNbTraj",RIGHT(LEFT(C1240,LEN(C1240)-1),2))</f>
        <v>LogChantPlatLogNbTraj14</v>
      </c>
      <c r="F1240" t="s">
        <v>17</v>
      </c>
      <c r="G1240" s="14">
        <f t="shared" si="229"/>
        <v>0</v>
      </c>
      <c r="J1240" t="s">
        <v>145</v>
      </c>
      <c r="K1240">
        <v>1</v>
      </c>
      <c r="M1240" t="s">
        <v>220</v>
      </c>
    </row>
    <row r="1241" spans="1:13" outlineLevel="1" x14ac:dyDescent="0.25">
      <c r="A1241" t="s">
        <v>215</v>
      </c>
      <c r="B1241" t="s">
        <v>400</v>
      </c>
      <c r="C1241" t="str">
        <f>_xlfn.CONCAT("Taux de chargement moyen des véhicules pour l'accès à la plateforme logistique"," (",'Remplissage - Sit. Expost'!$B$163,")")</f>
        <v>Taux de chargement moyen des véhicules pour l'accès à la plateforme logistique (Catégorie 15)</v>
      </c>
      <c r="E1241" t="str">
        <f t="shared" ref="E1241" si="236">_xlfn.CONCAT("LogChantPlatLogTC",RIGHT(LEFT(C1241,LEN(C1241)-1),2))</f>
        <v>LogChantPlatLogTC15</v>
      </c>
      <c r="F1241" t="s">
        <v>17</v>
      </c>
      <c r="G1241" s="14">
        <f t="shared" si="229"/>
        <v>0</v>
      </c>
      <c r="H1241" s="3"/>
      <c r="J1241" t="s">
        <v>70</v>
      </c>
      <c r="K1241" s="7">
        <v>0.8</v>
      </c>
      <c r="M1241" t="s">
        <v>220</v>
      </c>
    </row>
    <row r="1242" spans="1:13" outlineLevel="1" x14ac:dyDescent="0.25">
      <c r="A1242" t="s">
        <v>215</v>
      </c>
      <c r="B1242" t="s">
        <v>400</v>
      </c>
      <c r="C1242" t="str">
        <f>_xlfn.CONCAT("Nombre de trajets associés"," (",'Remplissage - Sit. Expost'!$B$163,")")</f>
        <v>Nombre de trajets associés (Catégorie 15)</v>
      </c>
      <c r="E1242" t="str">
        <f t="shared" ref="E1242" si="237">_xlfn.CONCAT("LogChantPlatLogNbTraj",RIGHT(LEFT(C1242,LEN(C1242)-1),2))</f>
        <v>LogChantPlatLogNbTraj15</v>
      </c>
      <c r="F1242" t="s">
        <v>17</v>
      </c>
      <c r="G1242" s="14">
        <f t="shared" si="229"/>
        <v>0</v>
      </c>
      <c r="J1242" t="s">
        <v>145</v>
      </c>
      <c r="K1242">
        <v>1</v>
      </c>
      <c r="M1242" t="s">
        <v>220</v>
      </c>
    </row>
    <row r="1243" spans="1:13" outlineLevel="1" x14ac:dyDescent="0.25">
      <c r="A1243" t="s">
        <v>215</v>
      </c>
      <c r="B1243" t="s">
        <v>401</v>
      </c>
      <c r="C1243" t="str">
        <f>_xlfn.CONCAT("Taux de chargement moyen des véhicules pour l'accès à la plateforme logistique"," (",'Remplissage - Sit. Expost'!$B$173,")")</f>
        <v>Taux de chargement moyen des véhicules pour l'accès à la plateforme logistique (Catégorie 16)</v>
      </c>
      <c r="E1243" t="str">
        <f t="shared" ref="E1243" si="238">_xlfn.CONCAT("LogChantPlatLogTC",RIGHT(LEFT(C1243,LEN(C1243)-1),2))</f>
        <v>LogChantPlatLogTC16</v>
      </c>
      <c r="F1243" t="s">
        <v>17</v>
      </c>
      <c r="G1243" s="14">
        <f t="shared" si="229"/>
        <v>0</v>
      </c>
      <c r="H1243" s="3"/>
      <c r="J1243" t="s">
        <v>70</v>
      </c>
      <c r="K1243" s="7">
        <v>0.8</v>
      </c>
      <c r="M1243" t="s">
        <v>220</v>
      </c>
    </row>
    <row r="1244" spans="1:13" outlineLevel="1" x14ac:dyDescent="0.25">
      <c r="A1244" t="s">
        <v>215</v>
      </c>
      <c r="B1244" t="s">
        <v>401</v>
      </c>
      <c r="C1244" t="str">
        <f>_xlfn.CONCAT("Nombre de trajets associés"," (",'Remplissage - Sit. Expost'!$B$173,")")</f>
        <v>Nombre de trajets associés (Catégorie 16)</v>
      </c>
      <c r="E1244" t="str">
        <f t="shared" ref="E1244" si="239">_xlfn.CONCAT("LogChantPlatLogNbTraj",RIGHT(LEFT(C1244,LEN(C1244)-1),2))</f>
        <v>LogChantPlatLogNbTraj16</v>
      </c>
      <c r="F1244" t="s">
        <v>17</v>
      </c>
      <c r="G1244" s="14">
        <f t="shared" si="229"/>
        <v>0</v>
      </c>
      <c r="J1244" t="s">
        <v>145</v>
      </c>
      <c r="K1244">
        <v>1</v>
      </c>
      <c r="M1244" t="s">
        <v>220</v>
      </c>
    </row>
    <row r="1245" spans="1:13" outlineLevel="1" x14ac:dyDescent="0.25">
      <c r="A1245" t="s">
        <v>215</v>
      </c>
      <c r="B1245" t="s">
        <v>402</v>
      </c>
      <c r="C1245" t="str">
        <f>_xlfn.CONCAT("Taux de chargement moyen des véhicules pour l'accès à la plateforme logistique"," (",'Remplissage - Sit. Expost'!$B$183,")")</f>
        <v>Taux de chargement moyen des véhicules pour l'accès à la plateforme logistique (Catégorie 17)</v>
      </c>
      <c r="E1245" t="str">
        <f t="shared" ref="E1245" si="240">_xlfn.CONCAT("LogChantPlatLogTC",RIGHT(LEFT(C1245,LEN(C1245)-1),2))</f>
        <v>LogChantPlatLogTC17</v>
      </c>
      <c r="F1245" t="s">
        <v>17</v>
      </c>
      <c r="G1245" s="14">
        <f t="shared" si="229"/>
        <v>0</v>
      </c>
      <c r="H1245" s="3"/>
      <c r="J1245" t="s">
        <v>70</v>
      </c>
      <c r="K1245" s="7">
        <v>0.8</v>
      </c>
      <c r="M1245" t="s">
        <v>220</v>
      </c>
    </row>
    <row r="1246" spans="1:13" outlineLevel="1" x14ac:dyDescent="0.25">
      <c r="A1246" t="s">
        <v>215</v>
      </c>
      <c r="B1246" t="s">
        <v>402</v>
      </c>
      <c r="C1246" t="str">
        <f>_xlfn.CONCAT("Nombre de trajets associés"," (",'Remplissage - Sit. Expost'!$B$183,")")</f>
        <v>Nombre de trajets associés (Catégorie 17)</v>
      </c>
      <c r="E1246" t="str">
        <f t="shared" ref="E1246" si="241">_xlfn.CONCAT("LogChantPlatLogNbTraj",RIGHT(LEFT(C1246,LEN(C1246)-1),2))</f>
        <v>LogChantPlatLogNbTraj17</v>
      </c>
      <c r="F1246" t="s">
        <v>17</v>
      </c>
      <c r="G1246" s="14">
        <f t="shared" si="229"/>
        <v>0</v>
      </c>
      <c r="J1246" t="s">
        <v>145</v>
      </c>
      <c r="K1246">
        <v>1</v>
      </c>
      <c r="M1246" t="s">
        <v>220</v>
      </c>
    </row>
    <row r="1247" spans="1:13" outlineLevel="1" x14ac:dyDescent="0.25">
      <c r="A1247" t="s">
        <v>215</v>
      </c>
      <c r="B1247" t="s">
        <v>403</v>
      </c>
      <c r="C1247" t="str">
        <f>_xlfn.CONCAT("Taux de chargement moyen des véhicules pour l'accès à la plateforme logistique"," (",'Remplissage - Sit. Expost'!$B$193,")")</f>
        <v>Taux de chargement moyen des véhicules pour l'accès à la plateforme logistique (Catégorie 18)</v>
      </c>
      <c r="E1247" t="str">
        <f t="shared" ref="E1247" si="242">_xlfn.CONCAT("LogChantPlatLogTC",RIGHT(LEFT(C1247,LEN(C1247)-1),2))</f>
        <v>LogChantPlatLogTC18</v>
      </c>
      <c r="F1247" t="s">
        <v>17</v>
      </c>
      <c r="G1247" s="14">
        <f t="shared" si="229"/>
        <v>0</v>
      </c>
      <c r="H1247" s="3"/>
      <c r="J1247" t="s">
        <v>70</v>
      </c>
      <c r="K1247" s="7">
        <v>0.8</v>
      </c>
      <c r="M1247" t="s">
        <v>220</v>
      </c>
    </row>
    <row r="1248" spans="1:13" outlineLevel="1" x14ac:dyDescent="0.25">
      <c r="A1248" t="s">
        <v>215</v>
      </c>
      <c r="B1248" t="s">
        <v>403</v>
      </c>
      <c r="C1248" t="str">
        <f>_xlfn.CONCAT("Nombre de trajets associés"," (",'Remplissage - Sit. Expost'!$B$193,")")</f>
        <v>Nombre de trajets associés (Catégorie 18)</v>
      </c>
      <c r="E1248" t="str">
        <f t="shared" ref="E1248" si="243">_xlfn.CONCAT("LogChantPlatLogNbTraj",RIGHT(LEFT(C1248,LEN(C1248)-1),2))</f>
        <v>LogChantPlatLogNbTraj18</v>
      </c>
      <c r="F1248" t="s">
        <v>17</v>
      </c>
      <c r="G1248" s="14">
        <f t="shared" si="229"/>
        <v>0</v>
      </c>
      <c r="J1248" t="s">
        <v>145</v>
      </c>
      <c r="K1248">
        <v>1</v>
      </c>
      <c r="M1248" t="s">
        <v>220</v>
      </c>
    </row>
    <row r="1249" spans="1:13" outlineLevel="1" x14ac:dyDescent="0.25">
      <c r="A1249" t="s">
        <v>215</v>
      </c>
      <c r="B1249" t="s">
        <v>404</v>
      </c>
      <c r="C1249" t="str">
        <f>_xlfn.CONCAT("Taux de chargement moyen des véhicules pour l'accès à la plateforme logistique"," (",'Remplissage - Sit. Expost'!$B$203,")")</f>
        <v>Taux de chargement moyen des véhicules pour l'accès à la plateforme logistique (Catégorie 19)</v>
      </c>
      <c r="E1249" t="str">
        <f t="shared" ref="E1249" si="244">_xlfn.CONCAT("LogChantPlatLogTC",RIGHT(LEFT(C1249,LEN(C1249)-1),2))</f>
        <v>LogChantPlatLogTC19</v>
      </c>
      <c r="F1249" t="s">
        <v>17</v>
      </c>
      <c r="G1249" s="14">
        <f t="shared" si="229"/>
        <v>0</v>
      </c>
      <c r="H1249" s="3"/>
      <c r="J1249" t="s">
        <v>70</v>
      </c>
      <c r="K1249" s="7">
        <v>0.8</v>
      </c>
      <c r="M1249" t="s">
        <v>220</v>
      </c>
    </row>
    <row r="1250" spans="1:13" outlineLevel="1" x14ac:dyDescent="0.25">
      <c r="A1250" t="s">
        <v>215</v>
      </c>
      <c r="B1250" t="s">
        <v>404</v>
      </c>
      <c r="C1250" t="str">
        <f>_xlfn.CONCAT("Nombre de trajets associés"," (",'Remplissage - Sit. Expost'!$B$203,")")</f>
        <v>Nombre de trajets associés (Catégorie 19)</v>
      </c>
      <c r="E1250" t="str">
        <f t="shared" ref="E1250" si="245">_xlfn.CONCAT("LogChantPlatLogNbTraj",RIGHT(LEFT(C1250,LEN(C1250)-1),2))</f>
        <v>LogChantPlatLogNbTraj19</v>
      </c>
      <c r="F1250" t="s">
        <v>17</v>
      </c>
      <c r="G1250" s="14">
        <f t="shared" si="229"/>
        <v>0</v>
      </c>
      <c r="J1250" t="s">
        <v>145</v>
      </c>
      <c r="K1250">
        <v>1</v>
      </c>
      <c r="M1250" t="s">
        <v>220</v>
      </c>
    </row>
    <row r="1251" spans="1:13" outlineLevel="1" x14ac:dyDescent="0.25">
      <c r="A1251" t="s">
        <v>215</v>
      </c>
      <c r="B1251" t="s">
        <v>405</v>
      </c>
      <c r="C1251" t="str">
        <f>_xlfn.CONCAT("Taux de chargement moyen des véhicules pour l'accès à la plateforme logistique"," (",'Remplissage - Sit. Expost'!$B$213,")")</f>
        <v>Taux de chargement moyen des véhicules pour l'accès à la plateforme logistique (Catégorie 20)</v>
      </c>
      <c r="E1251" t="str">
        <f t="shared" ref="E1251" si="246">_xlfn.CONCAT("LogChantPlatLogTC",RIGHT(LEFT(C1251,LEN(C1251)-1),2))</f>
        <v>LogChantPlatLogTC20</v>
      </c>
      <c r="F1251" t="s">
        <v>17</v>
      </c>
      <c r="G1251" s="14">
        <f t="shared" si="229"/>
        <v>0</v>
      </c>
      <c r="H1251" s="3"/>
      <c r="J1251" t="s">
        <v>70</v>
      </c>
      <c r="K1251" s="7">
        <v>0.8</v>
      </c>
      <c r="M1251" t="s">
        <v>220</v>
      </c>
    </row>
    <row r="1252" spans="1:13" outlineLevel="1" x14ac:dyDescent="0.25">
      <c r="A1252" t="s">
        <v>215</v>
      </c>
      <c r="B1252" t="s">
        <v>405</v>
      </c>
      <c r="C1252" t="str">
        <f>_xlfn.CONCAT("Nombre de trajets associés"," (",'Remplissage - Sit. Expost'!$B$213,")")</f>
        <v>Nombre de trajets associés (Catégorie 20)</v>
      </c>
      <c r="E1252" t="str">
        <f t="shared" ref="E1252" si="247">_xlfn.CONCAT("LogChantPlatLogNbTraj",RIGHT(LEFT(C1252,LEN(C1252)-1),2))</f>
        <v>LogChantPlatLogNbTraj20</v>
      </c>
      <c r="F1252" t="s">
        <v>17</v>
      </c>
      <c r="G1252" s="14">
        <f t="shared" si="229"/>
        <v>0</v>
      </c>
      <c r="J1252" t="s">
        <v>145</v>
      </c>
      <c r="K1252">
        <v>1</v>
      </c>
      <c r="M1252" t="s">
        <v>220</v>
      </c>
    </row>
    <row r="1253" spans="1:13" outlineLevel="1" x14ac:dyDescent="0.25">
      <c r="A1253" t="s">
        <v>215</v>
      </c>
      <c r="B1253" t="s">
        <v>406</v>
      </c>
      <c r="C1253" t="str">
        <f>_xlfn.CONCAT("Taux de chargement moyen des véhicules pour l'accès à la plateforme logistique"," (",'Remplissage - Sit. Expost'!$B$223,")")</f>
        <v>Taux de chargement moyen des véhicules pour l'accès à la plateforme logistique (Catégorie 21)</v>
      </c>
      <c r="E1253" t="str">
        <f t="shared" ref="E1253" si="248">_xlfn.CONCAT("LogChantPlatLogTC",RIGHT(LEFT(C1253,LEN(C1253)-1),2))</f>
        <v>LogChantPlatLogTC21</v>
      </c>
      <c r="F1253" t="s">
        <v>17</v>
      </c>
      <c r="G1253" s="14">
        <f t="shared" si="229"/>
        <v>0</v>
      </c>
      <c r="H1253" s="3"/>
      <c r="J1253" t="s">
        <v>70</v>
      </c>
      <c r="K1253" s="7">
        <v>0.8</v>
      </c>
      <c r="M1253" t="s">
        <v>220</v>
      </c>
    </row>
    <row r="1254" spans="1:13" outlineLevel="1" x14ac:dyDescent="0.25">
      <c r="A1254" t="s">
        <v>215</v>
      </c>
      <c r="B1254" t="s">
        <v>406</v>
      </c>
      <c r="C1254" t="str">
        <f>_xlfn.CONCAT("Nombre de trajets associés"," (",'Remplissage - Sit. Expost'!$B$223,")")</f>
        <v>Nombre de trajets associés (Catégorie 21)</v>
      </c>
      <c r="E1254" t="str">
        <f t="shared" ref="E1254" si="249">_xlfn.CONCAT("LogChantPlatLogNbTraj",RIGHT(LEFT(C1254,LEN(C1254)-1),2))</f>
        <v>LogChantPlatLogNbTraj21</v>
      </c>
      <c r="F1254" t="s">
        <v>17</v>
      </c>
      <c r="G1254" s="14">
        <f t="shared" si="229"/>
        <v>0</v>
      </c>
      <c r="J1254" t="s">
        <v>145</v>
      </c>
      <c r="K1254">
        <v>1</v>
      </c>
      <c r="M1254" t="s">
        <v>220</v>
      </c>
    </row>
    <row r="1255" spans="1:13" outlineLevel="1" x14ac:dyDescent="0.25">
      <c r="A1255" t="s">
        <v>215</v>
      </c>
      <c r="B1255" t="s">
        <v>407</v>
      </c>
      <c r="C1255" t="str">
        <f>_xlfn.CONCAT("Taux de chargement moyen des véhicules pour l'accès à la plateforme logistique"," (",'Remplissage - Sit. Expost'!$B$233,")")</f>
        <v>Taux de chargement moyen des véhicules pour l'accès à la plateforme logistique (Catégorie 22)</v>
      </c>
      <c r="E1255" t="str">
        <f t="shared" ref="E1255" si="250">_xlfn.CONCAT("LogChantPlatLogTC",RIGHT(LEFT(C1255,LEN(C1255)-1),2))</f>
        <v>LogChantPlatLogTC22</v>
      </c>
      <c r="F1255" t="s">
        <v>17</v>
      </c>
      <c r="G1255" s="14">
        <f t="shared" si="229"/>
        <v>0</v>
      </c>
      <c r="H1255" s="3"/>
      <c r="J1255" t="s">
        <v>70</v>
      </c>
      <c r="K1255" s="7">
        <v>0.8</v>
      </c>
      <c r="M1255" t="s">
        <v>220</v>
      </c>
    </row>
    <row r="1256" spans="1:13" outlineLevel="1" x14ac:dyDescent="0.25">
      <c r="A1256" t="s">
        <v>215</v>
      </c>
      <c r="B1256" t="s">
        <v>407</v>
      </c>
      <c r="C1256" t="str">
        <f>_xlfn.CONCAT("Nombre de trajets associés"," (",'Remplissage - Sit. Expost'!$B$233,")")</f>
        <v>Nombre de trajets associés (Catégorie 22)</v>
      </c>
      <c r="E1256" t="str">
        <f t="shared" ref="E1256" si="251">_xlfn.CONCAT("LogChantPlatLogNbTraj",RIGHT(LEFT(C1256,LEN(C1256)-1),2))</f>
        <v>LogChantPlatLogNbTraj22</v>
      </c>
      <c r="F1256" t="s">
        <v>17</v>
      </c>
      <c r="G1256" s="14">
        <f t="shared" si="229"/>
        <v>0</v>
      </c>
      <c r="J1256" t="s">
        <v>145</v>
      </c>
      <c r="K1256">
        <v>1</v>
      </c>
      <c r="M1256" t="s">
        <v>220</v>
      </c>
    </row>
    <row r="1257" spans="1:13" outlineLevel="1" x14ac:dyDescent="0.25">
      <c r="A1257" t="s">
        <v>215</v>
      </c>
      <c r="B1257" t="s">
        <v>408</v>
      </c>
      <c r="C1257" t="str">
        <f>_xlfn.CONCAT("Taux de chargement moyen des véhicules pour l'accès à la plateforme logistique"," (",'Remplissage - Sit. Expost'!$B$243,")")</f>
        <v>Taux de chargement moyen des véhicules pour l'accès à la plateforme logistique (Catégorie 23)</v>
      </c>
      <c r="E1257" t="str">
        <f t="shared" ref="E1257" si="252">_xlfn.CONCAT("LogChantPlatLogTC",RIGHT(LEFT(C1257,LEN(C1257)-1),2))</f>
        <v>LogChantPlatLogTC23</v>
      </c>
      <c r="F1257" t="s">
        <v>17</v>
      </c>
      <c r="G1257" s="14">
        <f t="shared" si="229"/>
        <v>0</v>
      </c>
      <c r="H1257" s="3"/>
      <c r="J1257" t="s">
        <v>70</v>
      </c>
      <c r="K1257" s="7">
        <v>0.8</v>
      </c>
      <c r="M1257" t="s">
        <v>220</v>
      </c>
    </row>
    <row r="1258" spans="1:13" outlineLevel="1" x14ac:dyDescent="0.25">
      <c r="A1258" t="s">
        <v>215</v>
      </c>
      <c r="B1258" t="s">
        <v>408</v>
      </c>
      <c r="C1258" t="str">
        <f>_xlfn.CONCAT("Nombre de trajets associés"," (",'Remplissage - Sit. Expost'!$B$243,")")</f>
        <v>Nombre de trajets associés (Catégorie 23)</v>
      </c>
      <c r="E1258" t="str">
        <f t="shared" ref="E1258" si="253">_xlfn.CONCAT("LogChantPlatLogNbTraj",RIGHT(LEFT(C1258,LEN(C1258)-1),2))</f>
        <v>LogChantPlatLogNbTraj23</v>
      </c>
      <c r="F1258" t="s">
        <v>17</v>
      </c>
      <c r="G1258" s="14">
        <f t="shared" si="229"/>
        <v>0</v>
      </c>
      <c r="J1258" t="s">
        <v>145</v>
      </c>
      <c r="K1258">
        <v>1</v>
      </c>
      <c r="M1258" t="s">
        <v>220</v>
      </c>
    </row>
    <row r="1259" spans="1:13" outlineLevel="1" x14ac:dyDescent="0.25">
      <c r="A1259" t="s">
        <v>215</v>
      </c>
      <c r="B1259" t="s">
        <v>409</v>
      </c>
      <c r="C1259" t="str">
        <f>_xlfn.CONCAT("Taux de chargement moyen des véhicules pour l'accès à la plateforme logistique"," (",'Remplissage - Sit. Expost'!$B$253,")")</f>
        <v>Taux de chargement moyen des véhicules pour l'accès à la plateforme logistique (Catégorie 24)</v>
      </c>
      <c r="E1259" t="str">
        <f t="shared" ref="E1259" si="254">_xlfn.CONCAT("LogChantPlatLogTC",RIGHT(LEFT(C1259,LEN(C1259)-1),2))</f>
        <v>LogChantPlatLogTC24</v>
      </c>
      <c r="F1259" t="s">
        <v>17</v>
      </c>
      <c r="G1259" s="14">
        <f t="shared" si="229"/>
        <v>0</v>
      </c>
      <c r="H1259" s="3"/>
      <c r="J1259" t="s">
        <v>70</v>
      </c>
      <c r="K1259" s="7">
        <v>0.8</v>
      </c>
      <c r="M1259" t="s">
        <v>220</v>
      </c>
    </row>
    <row r="1260" spans="1:13" outlineLevel="1" x14ac:dyDescent="0.25">
      <c r="A1260" t="s">
        <v>215</v>
      </c>
      <c r="B1260" t="s">
        <v>409</v>
      </c>
      <c r="C1260" t="str">
        <f>_xlfn.CONCAT("Nombre de trajets associés"," (",'Remplissage - Sit. Expost'!$B$253,")")</f>
        <v>Nombre de trajets associés (Catégorie 24)</v>
      </c>
      <c r="E1260" t="str">
        <f t="shared" ref="E1260" si="255">_xlfn.CONCAT("LogChantPlatLogNbTraj",RIGHT(LEFT(C1260,LEN(C1260)-1),2))</f>
        <v>LogChantPlatLogNbTraj24</v>
      </c>
      <c r="F1260" t="s">
        <v>17</v>
      </c>
      <c r="G1260" s="14">
        <f t="shared" si="229"/>
        <v>0</v>
      </c>
      <c r="J1260" t="s">
        <v>145</v>
      </c>
      <c r="K1260">
        <v>1</v>
      </c>
      <c r="M1260" t="s">
        <v>220</v>
      </c>
    </row>
    <row r="1261" spans="1:13" outlineLevel="1" x14ac:dyDescent="0.25">
      <c r="A1261" t="s">
        <v>215</v>
      </c>
      <c r="B1261" t="s">
        <v>410</v>
      </c>
      <c r="C1261" t="str">
        <f>_xlfn.CONCAT("Taux de chargement moyen des véhicules pour l'accès à la plateforme logistique"," (",'Remplissage - Sit. Expost'!$B$263,")")</f>
        <v>Taux de chargement moyen des véhicules pour l'accès à la plateforme logistique (Catégorie 25)</v>
      </c>
      <c r="E1261" t="str">
        <f t="shared" ref="E1261" si="256">_xlfn.CONCAT("LogChantPlatLogTC",RIGHT(LEFT(C1261,LEN(C1261)-1),2))</f>
        <v>LogChantPlatLogTC25</v>
      </c>
      <c r="F1261" t="s">
        <v>17</v>
      </c>
      <c r="G1261" s="14">
        <f t="shared" si="229"/>
        <v>0</v>
      </c>
      <c r="H1261" s="3"/>
      <c r="J1261" t="s">
        <v>70</v>
      </c>
      <c r="K1261" s="7">
        <v>0.8</v>
      </c>
      <c r="M1261" t="s">
        <v>220</v>
      </c>
    </row>
    <row r="1262" spans="1:13" outlineLevel="1" x14ac:dyDescent="0.25">
      <c r="A1262" t="s">
        <v>215</v>
      </c>
      <c r="B1262" t="s">
        <v>410</v>
      </c>
      <c r="C1262" t="str">
        <f>_xlfn.CONCAT("Nombre de trajets associés"," (",'Remplissage - Sit. Expost'!$B$263,")")</f>
        <v>Nombre de trajets associés (Catégorie 25)</v>
      </c>
      <c r="E1262" t="str">
        <f t="shared" ref="E1262" si="257">_xlfn.CONCAT("LogChantPlatLogNbTraj",RIGHT(LEFT(C1262,LEN(C1262)-1),2))</f>
        <v>LogChantPlatLogNbTraj25</v>
      </c>
      <c r="F1262" t="s">
        <v>17</v>
      </c>
      <c r="G1262" s="14">
        <f t="shared" si="229"/>
        <v>0</v>
      </c>
      <c r="J1262" t="s">
        <v>145</v>
      </c>
      <c r="K1262">
        <v>1</v>
      </c>
      <c r="M1262" t="s">
        <v>220</v>
      </c>
    </row>
    <row r="1263" spans="1:13" outlineLevel="1" x14ac:dyDescent="0.25">
      <c r="A1263" t="s">
        <v>215</v>
      </c>
      <c r="B1263" t="s">
        <v>411</v>
      </c>
      <c r="C1263" t="str">
        <f>_xlfn.CONCAT("Taux de chargement moyen des véhicules pour l'accès à la plateforme logistique"," (",'Remplissage - Sit. Expost'!$B$273,")")</f>
        <v>Taux de chargement moyen des véhicules pour l'accès à la plateforme logistique (Catégorie 26)</v>
      </c>
      <c r="E1263" t="str">
        <f t="shared" ref="E1263" si="258">_xlfn.CONCAT("LogChantPlatLogTC",RIGHT(LEFT(C1263,LEN(C1263)-1),2))</f>
        <v>LogChantPlatLogTC26</v>
      </c>
      <c r="F1263" t="s">
        <v>17</v>
      </c>
      <c r="G1263" s="14">
        <f t="shared" si="229"/>
        <v>0</v>
      </c>
      <c r="H1263" s="3"/>
      <c r="J1263" t="s">
        <v>70</v>
      </c>
      <c r="K1263" s="7">
        <v>0.8</v>
      </c>
      <c r="M1263" t="s">
        <v>220</v>
      </c>
    </row>
    <row r="1264" spans="1:13" outlineLevel="1" x14ac:dyDescent="0.25">
      <c r="A1264" t="s">
        <v>215</v>
      </c>
      <c r="B1264" t="s">
        <v>411</v>
      </c>
      <c r="C1264" t="str">
        <f>_xlfn.CONCAT("Nombre de trajets associés"," (",'Remplissage - Sit. Expost'!$B$273,")")</f>
        <v>Nombre de trajets associés (Catégorie 26)</v>
      </c>
      <c r="E1264" t="str">
        <f t="shared" ref="E1264" si="259">_xlfn.CONCAT("LogChantPlatLogNbTraj",RIGHT(LEFT(C1264,LEN(C1264)-1),2))</f>
        <v>LogChantPlatLogNbTraj26</v>
      </c>
      <c r="F1264" t="s">
        <v>17</v>
      </c>
      <c r="G1264" s="14">
        <f t="shared" si="229"/>
        <v>0</v>
      </c>
      <c r="J1264" t="s">
        <v>145</v>
      </c>
      <c r="K1264">
        <v>1</v>
      </c>
      <c r="M1264" t="s">
        <v>220</v>
      </c>
    </row>
    <row r="1265" spans="1:13" outlineLevel="1" x14ac:dyDescent="0.25">
      <c r="A1265" t="s">
        <v>215</v>
      </c>
      <c r="B1265" t="s">
        <v>412</v>
      </c>
      <c r="C1265" t="str">
        <f>_xlfn.CONCAT("Taux de chargement moyen des véhicules pour l'accès à la plateforme logistique"," (",'Remplissage - Sit. Expost'!$B$283,")")</f>
        <v>Taux de chargement moyen des véhicules pour l'accès à la plateforme logistique (Catégorie 27)</v>
      </c>
      <c r="E1265" t="str">
        <f t="shared" ref="E1265" si="260">_xlfn.CONCAT("LogChantPlatLogTC",RIGHT(LEFT(C1265,LEN(C1265)-1),2))</f>
        <v>LogChantPlatLogTC27</v>
      </c>
      <c r="F1265" t="s">
        <v>17</v>
      </c>
      <c r="G1265" s="14">
        <f t="shared" si="229"/>
        <v>0</v>
      </c>
      <c r="H1265" s="3"/>
      <c r="J1265" t="s">
        <v>70</v>
      </c>
      <c r="K1265" s="7">
        <v>0.8</v>
      </c>
      <c r="M1265" t="s">
        <v>220</v>
      </c>
    </row>
    <row r="1266" spans="1:13" outlineLevel="1" x14ac:dyDescent="0.25">
      <c r="A1266" t="s">
        <v>215</v>
      </c>
      <c r="B1266" t="s">
        <v>412</v>
      </c>
      <c r="C1266" t="str">
        <f>_xlfn.CONCAT("Nombre de trajets associés"," (",'Remplissage - Sit. Expost'!$B$283,")")</f>
        <v>Nombre de trajets associés (Catégorie 27)</v>
      </c>
      <c r="E1266" t="str">
        <f t="shared" ref="E1266" si="261">_xlfn.CONCAT("LogChantPlatLogNbTraj",RIGHT(LEFT(C1266,LEN(C1266)-1),2))</f>
        <v>LogChantPlatLogNbTraj27</v>
      </c>
      <c r="F1266" t="s">
        <v>17</v>
      </c>
      <c r="G1266" s="14">
        <f t="shared" si="229"/>
        <v>0</v>
      </c>
      <c r="J1266" t="s">
        <v>145</v>
      </c>
      <c r="K1266">
        <v>1</v>
      </c>
      <c r="M1266" t="s">
        <v>220</v>
      </c>
    </row>
    <row r="1267" spans="1:13" outlineLevel="1" x14ac:dyDescent="0.25">
      <c r="A1267" t="s">
        <v>215</v>
      </c>
      <c r="B1267" t="s">
        <v>413</v>
      </c>
      <c r="C1267" t="str">
        <f>_xlfn.CONCAT("Taux de chargement moyen des véhicules pour l'accès à la plateforme logistique"," (",'Remplissage - Sit. Expost'!$B$293,")")</f>
        <v>Taux de chargement moyen des véhicules pour l'accès à la plateforme logistique (Catégorie 28)</v>
      </c>
      <c r="E1267" t="str">
        <f t="shared" ref="E1267" si="262">_xlfn.CONCAT("LogChantPlatLogTC",RIGHT(LEFT(C1267,LEN(C1267)-1),2))</f>
        <v>LogChantPlatLogTC28</v>
      </c>
      <c r="F1267" t="s">
        <v>17</v>
      </c>
      <c r="G1267" s="14">
        <f t="shared" si="229"/>
        <v>0</v>
      </c>
      <c r="H1267" s="3"/>
      <c r="J1267" t="s">
        <v>70</v>
      </c>
      <c r="K1267" s="7">
        <v>0.8</v>
      </c>
      <c r="M1267" t="s">
        <v>220</v>
      </c>
    </row>
    <row r="1268" spans="1:13" outlineLevel="1" x14ac:dyDescent="0.25">
      <c r="A1268" t="s">
        <v>215</v>
      </c>
      <c r="B1268" t="s">
        <v>413</v>
      </c>
      <c r="C1268" t="str">
        <f>_xlfn.CONCAT("Nombre de trajets associés"," (",'Remplissage - Sit. Expost'!$B$293,")")</f>
        <v>Nombre de trajets associés (Catégorie 28)</v>
      </c>
      <c r="E1268" t="str">
        <f t="shared" ref="E1268" si="263">_xlfn.CONCAT("LogChantPlatLogNbTraj",RIGHT(LEFT(C1268,LEN(C1268)-1),2))</f>
        <v>LogChantPlatLogNbTraj28</v>
      </c>
      <c r="F1268" t="s">
        <v>17</v>
      </c>
      <c r="G1268" s="14">
        <f t="shared" si="229"/>
        <v>0</v>
      </c>
      <c r="J1268" t="s">
        <v>145</v>
      </c>
      <c r="K1268">
        <v>1</v>
      </c>
      <c r="M1268" t="s">
        <v>220</v>
      </c>
    </row>
    <row r="1269" spans="1:13" outlineLevel="1" x14ac:dyDescent="0.25">
      <c r="A1269" t="s">
        <v>215</v>
      </c>
      <c r="B1269" t="s">
        <v>414</v>
      </c>
      <c r="C1269" t="str">
        <f>_xlfn.CONCAT("Taux de chargement moyen des véhicules pour l'accès à la plateforme logistique"," (",'Remplissage - Sit. Expost'!$B$303,")")</f>
        <v>Taux de chargement moyen des véhicules pour l'accès à la plateforme logistique (Catégorie 29)</v>
      </c>
      <c r="E1269" t="str">
        <f t="shared" ref="E1269" si="264">_xlfn.CONCAT("LogChantPlatLogTC",RIGHT(LEFT(C1269,LEN(C1269)-1),2))</f>
        <v>LogChantPlatLogTC29</v>
      </c>
      <c r="F1269" t="s">
        <v>17</v>
      </c>
      <c r="G1269" s="14">
        <f t="shared" si="229"/>
        <v>0</v>
      </c>
      <c r="H1269" s="3"/>
      <c r="J1269" t="s">
        <v>70</v>
      </c>
      <c r="K1269" s="7">
        <v>0.8</v>
      </c>
      <c r="M1269" t="s">
        <v>220</v>
      </c>
    </row>
    <row r="1270" spans="1:13" outlineLevel="1" x14ac:dyDescent="0.25">
      <c r="A1270" t="s">
        <v>215</v>
      </c>
      <c r="B1270" t="s">
        <v>414</v>
      </c>
      <c r="C1270" t="str">
        <f>_xlfn.CONCAT("Nombre de trajets associés"," (",'Remplissage - Sit. Expost'!$B$303,")")</f>
        <v>Nombre de trajets associés (Catégorie 29)</v>
      </c>
      <c r="E1270" t="str">
        <f t="shared" ref="E1270" si="265">_xlfn.CONCAT("LogChantPlatLogNbTraj",RIGHT(LEFT(C1270,LEN(C1270)-1),2))</f>
        <v>LogChantPlatLogNbTraj29</v>
      </c>
      <c r="F1270" t="s">
        <v>17</v>
      </c>
      <c r="G1270" s="14">
        <f t="shared" si="229"/>
        <v>0</v>
      </c>
      <c r="J1270" t="s">
        <v>145</v>
      </c>
      <c r="K1270">
        <v>1</v>
      </c>
      <c r="M1270" t="s">
        <v>220</v>
      </c>
    </row>
    <row r="1271" spans="1:13" outlineLevel="1" x14ac:dyDescent="0.25">
      <c r="A1271" t="s">
        <v>215</v>
      </c>
      <c r="B1271" t="s">
        <v>415</v>
      </c>
      <c r="C1271" t="str">
        <f>_xlfn.CONCAT("Taux de chargement moyen des véhicules pour l'accès à la plateforme logistique"," (",'Remplissage - Sit. Expost'!$B$313,")")</f>
        <v>Taux de chargement moyen des véhicules pour l'accès à la plateforme logistique (Catégorie 30)</v>
      </c>
      <c r="E1271" t="str">
        <f t="shared" ref="E1271" si="266">_xlfn.CONCAT("LogChantPlatLogTC",RIGHT(LEFT(C1271,LEN(C1271)-1),2))</f>
        <v>LogChantPlatLogTC30</v>
      </c>
      <c r="F1271" t="s">
        <v>17</v>
      </c>
      <c r="G1271" s="14">
        <f t="shared" si="229"/>
        <v>0</v>
      </c>
      <c r="H1271" s="3"/>
      <c r="J1271" t="s">
        <v>70</v>
      </c>
      <c r="K1271" s="7">
        <v>0.8</v>
      </c>
      <c r="M1271" t="s">
        <v>220</v>
      </c>
    </row>
    <row r="1272" spans="1:13" outlineLevel="1" x14ac:dyDescent="0.25">
      <c r="A1272" t="s">
        <v>215</v>
      </c>
      <c r="B1272" t="s">
        <v>415</v>
      </c>
      <c r="C1272" t="str">
        <f>_xlfn.CONCAT("Nombre de trajets associés"," (",'Remplissage - Sit. Expost'!$B$313,")")</f>
        <v>Nombre de trajets associés (Catégorie 30)</v>
      </c>
      <c r="E1272" t="str">
        <f t="shared" ref="E1272" si="267">_xlfn.CONCAT("LogChantPlatLogNbTraj",RIGHT(LEFT(C1272,LEN(C1272)-1),2))</f>
        <v>LogChantPlatLogNbTraj30</v>
      </c>
      <c r="F1272" t="s">
        <v>17</v>
      </c>
      <c r="G1272" s="14">
        <f t="shared" si="229"/>
        <v>0</v>
      </c>
      <c r="J1272" t="s">
        <v>145</v>
      </c>
      <c r="K1272">
        <v>1</v>
      </c>
      <c r="M1272" t="s">
        <v>220</v>
      </c>
    </row>
    <row r="1273" spans="1:13" outlineLevel="1" x14ac:dyDescent="0.25">
      <c r="A1273" t="s">
        <v>215</v>
      </c>
      <c r="B1273" t="s">
        <v>416</v>
      </c>
      <c r="C1273" t="str">
        <f>_xlfn.CONCAT("Taux de chargement moyen des véhicules pour l'accès à la plateforme logistique"," (",'Remplissage - Sit. Expost'!$B$323,")")</f>
        <v>Taux de chargement moyen des véhicules pour l'accès à la plateforme logistique (Catégorie 31)</v>
      </c>
      <c r="E1273" t="str">
        <f t="shared" ref="E1273" si="268">_xlfn.CONCAT("LogChantPlatLogTC",RIGHT(LEFT(C1273,LEN(C1273)-1),2))</f>
        <v>LogChantPlatLogTC31</v>
      </c>
      <c r="F1273" t="s">
        <v>17</v>
      </c>
      <c r="G1273" s="14">
        <f t="shared" si="229"/>
        <v>0</v>
      </c>
      <c r="H1273" s="3"/>
      <c r="J1273" t="s">
        <v>70</v>
      </c>
      <c r="K1273" s="7">
        <v>0.8</v>
      </c>
      <c r="M1273" t="s">
        <v>220</v>
      </c>
    </row>
    <row r="1274" spans="1:13" outlineLevel="1" x14ac:dyDescent="0.25">
      <c r="A1274" t="s">
        <v>215</v>
      </c>
      <c r="B1274" t="s">
        <v>416</v>
      </c>
      <c r="C1274" t="str">
        <f>_xlfn.CONCAT("Nombre de trajets associés"," (",'Remplissage - Sit. Expost'!$B$323,")")</f>
        <v>Nombre de trajets associés (Catégorie 31)</v>
      </c>
      <c r="E1274" t="str">
        <f t="shared" ref="E1274" si="269">_xlfn.CONCAT("LogChantPlatLogNbTraj",RIGHT(LEFT(C1274,LEN(C1274)-1),2))</f>
        <v>LogChantPlatLogNbTraj31</v>
      </c>
      <c r="F1274" t="s">
        <v>17</v>
      </c>
      <c r="G1274" s="14">
        <f t="shared" si="229"/>
        <v>0</v>
      </c>
      <c r="J1274" t="s">
        <v>145</v>
      </c>
      <c r="K1274">
        <v>1</v>
      </c>
      <c r="M1274" t="s">
        <v>220</v>
      </c>
    </row>
    <row r="1275" spans="1:13" outlineLevel="1" x14ac:dyDescent="0.25">
      <c r="A1275" t="s">
        <v>215</v>
      </c>
      <c r="B1275" t="s">
        <v>417</v>
      </c>
      <c r="C1275" t="str">
        <f>_xlfn.CONCAT("Taux de chargement moyen des véhicules pour l'accès à la plateforme logistique"," (",'Remplissage - Sit. Expost'!$B$333,")")</f>
        <v>Taux de chargement moyen des véhicules pour l'accès à la plateforme logistique (Catégorie 32)</v>
      </c>
      <c r="E1275" t="str">
        <f t="shared" ref="E1275" si="270">_xlfn.CONCAT("LogChantPlatLogTC",RIGHT(LEFT(C1275,LEN(C1275)-1),2))</f>
        <v>LogChantPlatLogTC32</v>
      </c>
      <c r="F1275" t="s">
        <v>17</v>
      </c>
      <c r="G1275" s="14">
        <f t="shared" si="229"/>
        <v>0</v>
      </c>
      <c r="H1275" s="3"/>
      <c r="J1275" t="s">
        <v>70</v>
      </c>
      <c r="K1275" s="7">
        <v>0.8</v>
      </c>
      <c r="M1275" t="s">
        <v>220</v>
      </c>
    </row>
    <row r="1276" spans="1:13" outlineLevel="1" x14ac:dyDescent="0.25">
      <c r="A1276" t="s">
        <v>215</v>
      </c>
      <c r="B1276" t="s">
        <v>417</v>
      </c>
      <c r="C1276" t="str">
        <f>_xlfn.CONCAT("Nombre de trajets associés"," (",'Remplissage - Sit. Expost'!$B$333,")")</f>
        <v>Nombre de trajets associés (Catégorie 32)</v>
      </c>
      <c r="E1276" t="str">
        <f t="shared" ref="E1276" si="271">_xlfn.CONCAT("LogChantPlatLogNbTraj",RIGHT(LEFT(C1276,LEN(C1276)-1),2))</f>
        <v>LogChantPlatLogNbTraj32</v>
      </c>
      <c r="F1276" t="s">
        <v>17</v>
      </c>
      <c r="G1276" s="14">
        <f t="shared" si="229"/>
        <v>0</v>
      </c>
      <c r="J1276" t="s">
        <v>145</v>
      </c>
      <c r="K1276">
        <v>1</v>
      </c>
      <c r="M1276" t="s">
        <v>220</v>
      </c>
    </row>
    <row r="1277" spans="1:13" outlineLevel="1" x14ac:dyDescent="0.25">
      <c r="A1277" t="s">
        <v>215</v>
      </c>
      <c r="B1277" t="s">
        <v>418</v>
      </c>
      <c r="C1277" t="str">
        <f>_xlfn.CONCAT("Taux de chargement moyen des véhicules pour l'accès à la plateforme logistique"," (",'Remplissage - Sit. Expost'!$B$343,")")</f>
        <v>Taux de chargement moyen des véhicules pour l'accès à la plateforme logistique (Catégorie 33)</v>
      </c>
      <c r="E1277" t="str">
        <f t="shared" ref="E1277" si="272">_xlfn.CONCAT("LogChantPlatLogTC",RIGHT(LEFT(C1277,LEN(C1277)-1),2))</f>
        <v>LogChantPlatLogTC33</v>
      </c>
      <c r="F1277" t="s">
        <v>17</v>
      </c>
      <c r="G1277" s="14">
        <f t="shared" si="229"/>
        <v>0</v>
      </c>
      <c r="H1277" s="3"/>
      <c r="J1277" t="s">
        <v>70</v>
      </c>
      <c r="K1277" s="7">
        <v>0.8</v>
      </c>
      <c r="M1277" t="s">
        <v>220</v>
      </c>
    </row>
    <row r="1278" spans="1:13" outlineLevel="1" x14ac:dyDescent="0.25">
      <c r="A1278" t="s">
        <v>215</v>
      </c>
      <c r="B1278" t="s">
        <v>418</v>
      </c>
      <c r="C1278" t="str">
        <f>_xlfn.CONCAT("Nombre de trajets associés"," (",'Remplissage - Sit. Expost'!$B$343,")")</f>
        <v>Nombre de trajets associés (Catégorie 33)</v>
      </c>
      <c r="E1278" t="str">
        <f t="shared" ref="E1278" si="273">_xlfn.CONCAT("LogChantPlatLogNbTraj",RIGHT(LEFT(C1278,LEN(C1278)-1),2))</f>
        <v>LogChantPlatLogNbTraj33</v>
      </c>
      <c r="F1278" t="s">
        <v>17</v>
      </c>
      <c r="G1278" s="14">
        <f t="shared" ref="G1278:G1302" si="274">(IF(ISNUMBER(SEARCH($B1278,$H$1209)),1,0))*(IF(ISNUMBER(SEARCH("Par catégorie de véhicule sélectionnée",$H$1115)),1,0))</f>
        <v>0</v>
      </c>
      <c r="J1278" t="s">
        <v>145</v>
      </c>
      <c r="K1278">
        <v>1</v>
      </c>
      <c r="M1278" t="s">
        <v>220</v>
      </c>
    </row>
    <row r="1279" spans="1:13" outlineLevel="1" x14ac:dyDescent="0.25">
      <c r="A1279" t="s">
        <v>215</v>
      </c>
      <c r="B1279" t="s">
        <v>419</v>
      </c>
      <c r="C1279" t="str">
        <f>_xlfn.CONCAT("Taux de chargement moyen des véhicules pour l'accès à la plateforme logistique"," (",'Remplissage - Sit. Expost'!$B$353,")")</f>
        <v>Taux de chargement moyen des véhicules pour l'accès à la plateforme logistique (Catégorie 34)</v>
      </c>
      <c r="E1279" t="str">
        <f t="shared" ref="E1279" si="275">_xlfn.CONCAT("LogChantPlatLogTC",RIGHT(LEFT(C1279,LEN(C1279)-1),2))</f>
        <v>LogChantPlatLogTC34</v>
      </c>
      <c r="F1279" t="s">
        <v>17</v>
      </c>
      <c r="G1279" s="14">
        <f t="shared" si="274"/>
        <v>0</v>
      </c>
      <c r="H1279" s="3"/>
      <c r="J1279" t="s">
        <v>70</v>
      </c>
      <c r="K1279" s="7">
        <v>0.8</v>
      </c>
      <c r="M1279" t="s">
        <v>220</v>
      </c>
    </row>
    <row r="1280" spans="1:13" outlineLevel="1" x14ac:dyDescent="0.25">
      <c r="A1280" t="s">
        <v>215</v>
      </c>
      <c r="B1280" t="s">
        <v>419</v>
      </c>
      <c r="C1280" t="str">
        <f>_xlfn.CONCAT("Nombre de trajets associés"," (",'Remplissage - Sit. Expost'!$B$353,")")</f>
        <v>Nombre de trajets associés (Catégorie 34)</v>
      </c>
      <c r="E1280" t="str">
        <f t="shared" ref="E1280" si="276">_xlfn.CONCAT("LogChantPlatLogNbTraj",RIGHT(LEFT(C1280,LEN(C1280)-1),2))</f>
        <v>LogChantPlatLogNbTraj34</v>
      </c>
      <c r="F1280" t="s">
        <v>17</v>
      </c>
      <c r="G1280" s="14">
        <f t="shared" si="274"/>
        <v>0</v>
      </c>
      <c r="J1280" t="s">
        <v>145</v>
      </c>
      <c r="K1280">
        <v>1</v>
      </c>
      <c r="M1280" t="s">
        <v>220</v>
      </c>
    </row>
    <row r="1281" spans="1:13" outlineLevel="1" x14ac:dyDescent="0.25">
      <c r="A1281" t="s">
        <v>215</v>
      </c>
      <c r="B1281" t="s">
        <v>420</v>
      </c>
      <c r="C1281" t="str">
        <f>_xlfn.CONCAT("Taux de chargement moyen des véhicules pour l'accès à la plateforme logistique"," (",'Remplissage - Sit. Expost'!$B$363,")")</f>
        <v>Taux de chargement moyen des véhicules pour l'accès à la plateforme logistique (Catégorie 35)</v>
      </c>
      <c r="E1281" t="str">
        <f t="shared" ref="E1281" si="277">_xlfn.CONCAT("LogChantPlatLogTC",RIGHT(LEFT(C1281,LEN(C1281)-1),2))</f>
        <v>LogChantPlatLogTC35</v>
      </c>
      <c r="F1281" t="s">
        <v>17</v>
      </c>
      <c r="G1281" s="14">
        <f t="shared" si="274"/>
        <v>0</v>
      </c>
      <c r="H1281" s="3"/>
      <c r="J1281" t="s">
        <v>70</v>
      </c>
      <c r="K1281" s="7">
        <v>0.8</v>
      </c>
      <c r="M1281" t="s">
        <v>220</v>
      </c>
    </row>
    <row r="1282" spans="1:13" outlineLevel="1" x14ac:dyDescent="0.25">
      <c r="A1282" t="s">
        <v>215</v>
      </c>
      <c r="B1282" t="s">
        <v>420</v>
      </c>
      <c r="C1282" t="str">
        <f>_xlfn.CONCAT("Nombre de trajets associés"," (",'Remplissage - Sit. Expost'!$B$363,")")</f>
        <v>Nombre de trajets associés (Catégorie 35)</v>
      </c>
      <c r="E1282" t="str">
        <f t="shared" ref="E1282" si="278">_xlfn.CONCAT("LogChantPlatLogNbTraj",RIGHT(LEFT(C1282,LEN(C1282)-1),2))</f>
        <v>LogChantPlatLogNbTraj35</v>
      </c>
      <c r="F1282" t="s">
        <v>17</v>
      </c>
      <c r="G1282" s="14">
        <f t="shared" si="274"/>
        <v>0</v>
      </c>
      <c r="J1282" t="s">
        <v>145</v>
      </c>
      <c r="K1282">
        <v>1</v>
      </c>
      <c r="M1282" t="s">
        <v>220</v>
      </c>
    </row>
    <row r="1283" spans="1:13" outlineLevel="1" x14ac:dyDescent="0.25">
      <c r="A1283" t="s">
        <v>215</v>
      </c>
      <c r="B1283" t="s">
        <v>421</v>
      </c>
      <c r="C1283" t="str">
        <f>_xlfn.CONCAT("Taux de chargement moyen des véhicules pour l'accès à la plateforme logistique"," (",'Remplissage - Sit. Expost'!$B$373,")")</f>
        <v>Taux de chargement moyen des véhicules pour l'accès à la plateforme logistique (Catégorie 36)</v>
      </c>
      <c r="E1283" t="str">
        <f t="shared" ref="E1283" si="279">_xlfn.CONCAT("LogChantPlatLogTC",RIGHT(LEFT(C1283,LEN(C1283)-1),2))</f>
        <v>LogChantPlatLogTC36</v>
      </c>
      <c r="F1283" t="s">
        <v>17</v>
      </c>
      <c r="G1283" s="14">
        <f t="shared" si="274"/>
        <v>0</v>
      </c>
      <c r="H1283" s="3"/>
      <c r="J1283" t="s">
        <v>70</v>
      </c>
      <c r="K1283" s="7">
        <v>0.8</v>
      </c>
      <c r="M1283" t="s">
        <v>220</v>
      </c>
    </row>
    <row r="1284" spans="1:13" outlineLevel="1" x14ac:dyDescent="0.25">
      <c r="A1284" t="s">
        <v>215</v>
      </c>
      <c r="B1284" t="s">
        <v>421</v>
      </c>
      <c r="C1284" t="str">
        <f>_xlfn.CONCAT("Nombre de trajets associés"," (",'Remplissage - Sit. Expost'!$B$373,")")</f>
        <v>Nombre de trajets associés (Catégorie 36)</v>
      </c>
      <c r="E1284" t="str">
        <f t="shared" ref="E1284" si="280">_xlfn.CONCAT("LogChantPlatLogNbTraj",RIGHT(LEFT(C1284,LEN(C1284)-1),2))</f>
        <v>LogChantPlatLogNbTraj36</v>
      </c>
      <c r="F1284" t="s">
        <v>17</v>
      </c>
      <c r="G1284" s="14">
        <f t="shared" si="274"/>
        <v>0</v>
      </c>
      <c r="J1284" t="s">
        <v>145</v>
      </c>
      <c r="K1284">
        <v>1</v>
      </c>
      <c r="M1284" t="s">
        <v>220</v>
      </c>
    </row>
    <row r="1285" spans="1:13" outlineLevel="1" x14ac:dyDescent="0.25">
      <c r="A1285" t="s">
        <v>215</v>
      </c>
      <c r="B1285" t="s">
        <v>422</v>
      </c>
      <c r="C1285" t="str">
        <f>_xlfn.CONCAT("Taux de chargement moyen des véhicules pour l'accès à la plateforme logistique"," (",'Remplissage - Sit. Expost'!$B$383,")")</f>
        <v>Taux de chargement moyen des véhicules pour l'accès à la plateforme logistique (Catégorie 37)</v>
      </c>
      <c r="E1285" t="str">
        <f t="shared" ref="E1285" si="281">_xlfn.CONCAT("LogChantPlatLogTC",RIGHT(LEFT(C1285,LEN(C1285)-1),2))</f>
        <v>LogChantPlatLogTC37</v>
      </c>
      <c r="F1285" t="s">
        <v>17</v>
      </c>
      <c r="G1285" s="14">
        <f t="shared" si="274"/>
        <v>0</v>
      </c>
      <c r="H1285" s="3"/>
      <c r="J1285" t="s">
        <v>70</v>
      </c>
      <c r="K1285" s="7">
        <v>0.8</v>
      </c>
      <c r="M1285" t="s">
        <v>220</v>
      </c>
    </row>
    <row r="1286" spans="1:13" outlineLevel="1" x14ac:dyDescent="0.25">
      <c r="A1286" t="s">
        <v>215</v>
      </c>
      <c r="B1286" t="s">
        <v>422</v>
      </c>
      <c r="C1286" t="str">
        <f>_xlfn.CONCAT("Nombre de trajets associés"," (",'Remplissage - Sit. Expost'!$B$383,")")</f>
        <v>Nombre de trajets associés (Catégorie 37)</v>
      </c>
      <c r="E1286" t="str">
        <f t="shared" ref="E1286" si="282">_xlfn.CONCAT("LogChantPlatLogNbTraj",RIGHT(LEFT(C1286,LEN(C1286)-1),2))</f>
        <v>LogChantPlatLogNbTraj37</v>
      </c>
      <c r="F1286" t="s">
        <v>17</v>
      </c>
      <c r="G1286" s="14">
        <f t="shared" si="274"/>
        <v>0</v>
      </c>
      <c r="J1286" t="s">
        <v>145</v>
      </c>
      <c r="K1286">
        <v>1</v>
      </c>
      <c r="M1286" t="s">
        <v>220</v>
      </c>
    </row>
    <row r="1287" spans="1:13" outlineLevel="1" x14ac:dyDescent="0.25">
      <c r="A1287" t="s">
        <v>215</v>
      </c>
      <c r="B1287" t="s">
        <v>423</v>
      </c>
      <c r="C1287" t="str">
        <f>_xlfn.CONCAT("Taux de chargement moyen des véhicules pour l'accès à la plateforme logistique"," (",'Remplissage - Sit. Expost'!$B$393,")")</f>
        <v>Taux de chargement moyen des véhicules pour l'accès à la plateforme logistique (Catégorie 38)</v>
      </c>
      <c r="E1287" t="str">
        <f t="shared" ref="E1287" si="283">_xlfn.CONCAT("LogChantPlatLogTC",RIGHT(LEFT(C1287,LEN(C1287)-1),2))</f>
        <v>LogChantPlatLogTC38</v>
      </c>
      <c r="F1287" t="s">
        <v>17</v>
      </c>
      <c r="G1287" s="14">
        <f t="shared" si="274"/>
        <v>0</v>
      </c>
      <c r="H1287" s="3"/>
      <c r="J1287" t="s">
        <v>70</v>
      </c>
      <c r="K1287" s="7">
        <v>0.8</v>
      </c>
      <c r="M1287" t="s">
        <v>220</v>
      </c>
    </row>
    <row r="1288" spans="1:13" outlineLevel="1" x14ac:dyDescent="0.25">
      <c r="A1288" t="s">
        <v>215</v>
      </c>
      <c r="B1288" t="s">
        <v>423</v>
      </c>
      <c r="C1288" t="str">
        <f>_xlfn.CONCAT("Nombre de trajets associés"," (",'Remplissage - Sit. Expost'!$B$393,")")</f>
        <v>Nombre de trajets associés (Catégorie 38)</v>
      </c>
      <c r="E1288" t="str">
        <f t="shared" ref="E1288" si="284">_xlfn.CONCAT("LogChantPlatLogNbTraj",RIGHT(LEFT(C1288,LEN(C1288)-1),2))</f>
        <v>LogChantPlatLogNbTraj38</v>
      </c>
      <c r="F1288" t="s">
        <v>17</v>
      </c>
      <c r="G1288" s="14">
        <f t="shared" si="274"/>
        <v>0</v>
      </c>
      <c r="J1288" t="s">
        <v>145</v>
      </c>
      <c r="K1288">
        <v>1</v>
      </c>
      <c r="M1288" t="s">
        <v>220</v>
      </c>
    </row>
    <row r="1289" spans="1:13" outlineLevel="1" x14ac:dyDescent="0.25">
      <c r="A1289" t="s">
        <v>215</v>
      </c>
      <c r="B1289" t="s">
        <v>424</v>
      </c>
      <c r="C1289" t="str">
        <f>_xlfn.CONCAT("Taux de chargement moyen des véhicules pour l'accès à la plateforme logistique"," (",'Remplissage - Sit. Expost'!$B$403,")")</f>
        <v>Taux de chargement moyen des véhicules pour l'accès à la plateforme logistique (Catégorie 39)</v>
      </c>
      <c r="E1289" t="str">
        <f t="shared" ref="E1289" si="285">_xlfn.CONCAT("LogChantPlatLogTC",RIGHT(LEFT(C1289,LEN(C1289)-1),2))</f>
        <v>LogChantPlatLogTC39</v>
      </c>
      <c r="F1289" t="s">
        <v>17</v>
      </c>
      <c r="G1289" s="14">
        <f t="shared" si="274"/>
        <v>0</v>
      </c>
      <c r="H1289" s="3"/>
      <c r="J1289" t="s">
        <v>70</v>
      </c>
      <c r="K1289" s="7">
        <v>0.8</v>
      </c>
      <c r="M1289" t="s">
        <v>220</v>
      </c>
    </row>
    <row r="1290" spans="1:13" outlineLevel="1" x14ac:dyDescent="0.25">
      <c r="A1290" t="s">
        <v>215</v>
      </c>
      <c r="B1290" t="s">
        <v>424</v>
      </c>
      <c r="C1290" t="str">
        <f>_xlfn.CONCAT("Nombre de trajets associés"," (",'Remplissage - Sit. Expost'!$B$403,")")</f>
        <v>Nombre de trajets associés (Catégorie 39)</v>
      </c>
      <c r="E1290" t="str">
        <f t="shared" ref="E1290" si="286">_xlfn.CONCAT("LogChantPlatLogNbTraj",RIGHT(LEFT(C1290,LEN(C1290)-1),2))</f>
        <v>LogChantPlatLogNbTraj39</v>
      </c>
      <c r="F1290" t="s">
        <v>17</v>
      </c>
      <c r="G1290" s="14">
        <f t="shared" si="274"/>
        <v>0</v>
      </c>
      <c r="J1290" t="s">
        <v>145</v>
      </c>
      <c r="K1290">
        <v>1</v>
      </c>
      <c r="M1290" t="s">
        <v>220</v>
      </c>
    </row>
    <row r="1291" spans="1:13" outlineLevel="1" x14ac:dyDescent="0.25">
      <c r="A1291" t="s">
        <v>215</v>
      </c>
      <c r="B1291" t="s">
        <v>425</v>
      </c>
      <c r="C1291" t="str">
        <f>_xlfn.CONCAT("Taux de chargement moyen des véhicules pour l'accès à la plateforme logistique"," (",'Remplissage - Sit. Expost'!$B$413,")")</f>
        <v>Taux de chargement moyen des véhicules pour l'accès à la plateforme logistique (Catégorie 40)</v>
      </c>
      <c r="E1291" t="str">
        <f t="shared" ref="E1291" si="287">_xlfn.CONCAT("LogChantPlatLogTC",RIGHT(LEFT(C1291,LEN(C1291)-1),2))</f>
        <v>LogChantPlatLogTC40</v>
      </c>
      <c r="F1291" t="s">
        <v>17</v>
      </c>
      <c r="G1291" s="14">
        <f t="shared" si="274"/>
        <v>0</v>
      </c>
      <c r="H1291" s="3"/>
      <c r="J1291" t="s">
        <v>70</v>
      </c>
      <c r="K1291" s="7">
        <v>0.8</v>
      </c>
      <c r="M1291" t="s">
        <v>220</v>
      </c>
    </row>
    <row r="1292" spans="1:13" outlineLevel="1" x14ac:dyDescent="0.25">
      <c r="A1292" t="s">
        <v>215</v>
      </c>
      <c r="B1292" t="s">
        <v>425</v>
      </c>
      <c r="C1292" t="str">
        <f>_xlfn.CONCAT("Nombre de trajets associés"," (",'Remplissage - Sit. Expost'!$B$413,")")</f>
        <v>Nombre de trajets associés (Catégorie 40)</v>
      </c>
      <c r="E1292" t="str">
        <f t="shared" ref="E1292" si="288">_xlfn.CONCAT("LogChantPlatLogNbTraj",RIGHT(LEFT(C1292,LEN(C1292)-1),2))</f>
        <v>LogChantPlatLogNbTraj40</v>
      </c>
      <c r="F1292" t="s">
        <v>17</v>
      </c>
      <c r="G1292" s="14">
        <f t="shared" si="274"/>
        <v>0</v>
      </c>
      <c r="J1292" t="s">
        <v>145</v>
      </c>
      <c r="K1292">
        <v>1</v>
      </c>
      <c r="M1292" t="s">
        <v>220</v>
      </c>
    </row>
    <row r="1293" spans="1:13" outlineLevel="1" x14ac:dyDescent="0.25">
      <c r="A1293" t="s">
        <v>215</v>
      </c>
      <c r="B1293" t="s">
        <v>426</v>
      </c>
      <c r="C1293" t="str">
        <f>_xlfn.CONCAT("Taux de chargement moyen des véhicules pour l'accès à la plateforme logistique"," (",'Remplissage - Sit. Expost'!$B$423,")")</f>
        <v>Taux de chargement moyen des véhicules pour l'accès à la plateforme logistique (Catégorie 41)</v>
      </c>
      <c r="E1293" t="str">
        <f t="shared" ref="E1293" si="289">_xlfn.CONCAT("LogChantPlatLogTC",RIGHT(LEFT(C1293,LEN(C1293)-1),2))</f>
        <v>LogChantPlatLogTC41</v>
      </c>
      <c r="F1293" t="s">
        <v>17</v>
      </c>
      <c r="G1293" s="14">
        <f t="shared" si="274"/>
        <v>0</v>
      </c>
      <c r="H1293" s="3"/>
      <c r="J1293" t="s">
        <v>70</v>
      </c>
      <c r="K1293" s="7">
        <v>0.8</v>
      </c>
      <c r="M1293" t="s">
        <v>220</v>
      </c>
    </row>
    <row r="1294" spans="1:13" outlineLevel="1" x14ac:dyDescent="0.25">
      <c r="A1294" t="s">
        <v>215</v>
      </c>
      <c r="B1294" t="s">
        <v>426</v>
      </c>
      <c r="C1294" t="str">
        <f>_xlfn.CONCAT("Nombre de trajets associés"," (",'Remplissage - Sit. Expost'!$B$423,")")</f>
        <v>Nombre de trajets associés (Catégorie 41)</v>
      </c>
      <c r="E1294" t="str">
        <f t="shared" ref="E1294" si="290">_xlfn.CONCAT("LogChantPlatLogNbTraj",RIGHT(LEFT(C1294,LEN(C1294)-1),2))</f>
        <v>LogChantPlatLogNbTraj41</v>
      </c>
      <c r="F1294" t="s">
        <v>17</v>
      </c>
      <c r="G1294" s="14">
        <f t="shared" si="274"/>
        <v>0</v>
      </c>
      <c r="J1294" t="s">
        <v>145</v>
      </c>
      <c r="K1294">
        <v>1</v>
      </c>
      <c r="M1294" t="s">
        <v>220</v>
      </c>
    </row>
    <row r="1295" spans="1:13" outlineLevel="1" x14ac:dyDescent="0.25">
      <c r="A1295" t="s">
        <v>215</v>
      </c>
      <c r="B1295" t="s">
        <v>427</v>
      </c>
      <c r="C1295" t="str">
        <f>_xlfn.CONCAT("Taux de chargement moyen des véhicules pour l'accès à la plateforme logistique"," (",'Remplissage - Sit. Expost'!$B$433,")")</f>
        <v>Taux de chargement moyen des véhicules pour l'accès à la plateforme logistique (Catégorie 42)</v>
      </c>
      <c r="E1295" t="str">
        <f t="shared" ref="E1295" si="291">_xlfn.CONCAT("LogChantPlatLogTC",RIGHT(LEFT(C1295,LEN(C1295)-1),2))</f>
        <v>LogChantPlatLogTC42</v>
      </c>
      <c r="F1295" t="s">
        <v>17</v>
      </c>
      <c r="G1295" s="14">
        <f t="shared" si="274"/>
        <v>0</v>
      </c>
      <c r="H1295" s="3"/>
      <c r="J1295" t="s">
        <v>70</v>
      </c>
      <c r="K1295" s="7">
        <v>0.8</v>
      </c>
      <c r="M1295" t="s">
        <v>220</v>
      </c>
    </row>
    <row r="1296" spans="1:13" outlineLevel="1" x14ac:dyDescent="0.25">
      <c r="A1296" t="s">
        <v>215</v>
      </c>
      <c r="B1296" t="s">
        <v>427</v>
      </c>
      <c r="C1296" t="str">
        <f>_xlfn.CONCAT("Nombre de trajets associés"," (",'Remplissage - Sit. Expost'!$B$433,")")</f>
        <v>Nombre de trajets associés (Catégorie 42)</v>
      </c>
      <c r="E1296" t="str">
        <f t="shared" ref="E1296" si="292">_xlfn.CONCAT("LogChantPlatLogNbTraj",RIGHT(LEFT(C1296,LEN(C1296)-1),2))</f>
        <v>LogChantPlatLogNbTraj42</v>
      </c>
      <c r="F1296" t="s">
        <v>17</v>
      </c>
      <c r="G1296" s="14">
        <f t="shared" si="274"/>
        <v>0</v>
      </c>
      <c r="J1296" t="s">
        <v>145</v>
      </c>
      <c r="K1296">
        <v>1</v>
      </c>
      <c r="M1296" t="s">
        <v>220</v>
      </c>
    </row>
    <row r="1297" spans="1:13" outlineLevel="1" x14ac:dyDescent="0.25">
      <c r="A1297" t="s">
        <v>215</v>
      </c>
      <c r="B1297" t="s">
        <v>428</v>
      </c>
      <c r="C1297" t="str">
        <f>_xlfn.CONCAT("Taux de chargement moyen des véhicules pour l'accès à la plateforme logistique"," (",'Remplissage - Sit. Expost'!$B$443,")")</f>
        <v>Taux de chargement moyen des véhicules pour l'accès à la plateforme logistique (Catégorie 43)</v>
      </c>
      <c r="E1297" t="str">
        <f t="shared" ref="E1297" si="293">_xlfn.CONCAT("LogChantPlatLogTC",RIGHT(LEFT(C1297,LEN(C1297)-1),2))</f>
        <v>LogChantPlatLogTC43</v>
      </c>
      <c r="F1297" t="s">
        <v>17</v>
      </c>
      <c r="G1297" s="14">
        <f t="shared" si="274"/>
        <v>0</v>
      </c>
      <c r="H1297" s="3"/>
      <c r="J1297" t="s">
        <v>70</v>
      </c>
      <c r="K1297" s="7">
        <v>0.8</v>
      </c>
      <c r="M1297" t="s">
        <v>220</v>
      </c>
    </row>
    <row r="1298" spans="1:13" outlineLevel="1" x14ac:dyDescent="0.25">
      <c r="A1298" t="s">
        <v>215</v>
      </c>
      <c r="B1298" t="s">
        <v>428</v>
      </c>
      <c r="C1298" t="str">
        <f>_xlfn.CONCAT("Nombre de trajets associés"," (",'Remplissage - Sit. Expost'!$B$443,")")</f>
        <v>Nombre de trajets associés (Catégorie 43)</v>
      </c>
      <c r="E1298" t="str">
        <f t="shared" ref="E1298" si="294">_xlfn.CONCAT("LogChantPlatLogNbTraj",RIGHT(LEFT(C1298,LEN(C1298)-1),2))</f>
        <v>LogChantPlatLogNbTraj43</v>
      </c>
      <c r="F1298" t="s">
        <v>17</v>
      </c>
      <c r="G1298" s="14">
        <f t="shared" si="274"/>
        <v>0</v>
      </c>
      <c r="J1298" t="s">
        <v>145</v>
      </c>
      <c r="K1298">
        <v>1</v>
      </c>
      <c r="M1298" t="s">
        <v>220</v>
      </c>
    </row>
    <row r="1299" spans="1:13" outlineLevel="1" x14ac:dyDescent="0.25">
      <c r="A1299" t="s">
        <v>215</v>
      </c>
      <c r="B1299" t="s">
        <v>429</v>
      </c>
      <c r="C1299" t="str">
        <f>_xlfn.CONCAT("Taux de chargement moyen des véhicules pour l'accès à la plateforme logistique"," (",'Remplissage - Sit. Expost'!$B$453,")")</f>
        <v>Taux de chargement moyen des véhicules pour l'accès à la plateforme logistique (Catégorie 44)</v>
      </c>
      <c r="E1299" t="str">
        <f t="shared" ref="E1299" si="295">_xlfn.CONCAT("LogChantPlatLogTC",RIGHT(LEFT(C1299,LEN(C1299)-1),2))</f>
        <v>LogChantPlatLogTC44</v>
      </c>
      <c r="F1299" t="s">
        <v>17</v>
      </c>
      <c r="G1299" s="14">
        <f t="shared" si="274"/>
        <v>1</v>
      </c>
      <c r="H1299" s="3"/>
      <c r="J1299" t="s">
        <v>70</v>
      </c>
      <c r="K1299" s="7">
        <v>0.8</v>
      </c>
      <c r="M1299" t="s">
        <v>220</v>
      </c>
    </row>
    <row r="1300" spans="1:13" outlineLevel="1" x14ac:dyDescent="0.25">
      <c r="A1300" t="s">
        <v>215</v>
      </c>
      <c r="B1300" t="s">
        <v>429</v>
      </c>
      <c r="C1300" t="str">
        <f>_xlfn.CONCAT("Nombre de trajets associés"," (",'Remplissage - Sit. Expost'!$B$453,")")</f>
        <v>Nombre de trajets associés (Catégorie 44)</v>
      </c>
      <c r="E1300" t="str">
        <f t="shared" ref="E1300" si="296">_xlfn.CONCAT("LogChantPlatLogNbTraj",RIGHT(LEFT(C1300,LEN(C1300)-1),2))</f>
        <v>LogChantPlatLogNbTraj44</v>
      </c>
      <c r="F1300" t="s">
        <v>17</v>
      </c>
      <c r="G1300" s="14">
        <f t="shared" si="274"/>
        <v>1</v>
      </c>
      <c r="J1300" t="s">
        <v>145</v>
      </c>
      <c r="K1300">
        <v>1</v>
      </c>
      <c r="M1300" t="s">
        <v>220</v>
      </c>
    </row>
    <row r="1301" spans="1:13" outlineLevel="1" x14ac:dyDescent="0.25">
      <c r="A1301" t="s">
        <v>215</v>
      </c>
      <c r="B1301" t="s">
        <v>387</v>
      </c>
      <c r="C1301" t="str">
        <f>_xlfn.CONCAT("Taux de chargement moyen des véhicules pour l'accès à la plateforme logistique"," (",'Remplissage - Sit. Expost'!$B$463,")")</f>
        <v>Taux de chargement moyen des véhicules pour l'accès à la plateforme logistique (Catégorie 45)</v>
      </c>
      <c r="E1301" t="str">
        <f t="shared" ref="E1301" si="297">_xlfn.CONCAT("LogChantPlatLogTC",RIGHT(LEFT(C1301,LEN(C1301)-1),2))</f>
        <v>LogChantPlatLogTC45</v>
      </c>
      <c r="F1301" t="s">
        <v>17</v>
      </c>
      <c r="G1301" s="14">
        <f t="shared" si="274"/>
        <v>0</v>
      </c>
      <c r="H1301" s="3"/>
      <c r="J1301" t="s">
        <v>70</v>
      </c>
      <c r="K1301" s="7">
        <v>0.8</v>
      </c>
      <c r="M1301" t="s">
        <v>220</v>
      </c>
    </row>
    <row r="1302" spans="1:13" outlineLevel="1" x14ac:dyDescent="0.25">
      <c r="A1302" t="s">
        <v>215</v>
      </c>
      <c r="B1302" t="s">
        <v>387</v>
      </c>
      <c r="C1302" t="str">
        <f>_xlfn.CONCAT("Nombre de trajets associés"," (",'Remplissage - Sit. Expost'!$B$463,")")</f>
        <v>Nombre de trajets associés (Catégorie 45)</v>
      </c>
      <c r="E1302" t="str">
        <f t="shared" ref="E1302" si="298">_xlfn.CONCAT("LogChantPlatLogNbTraj",RIGHT(LEFT(C1302,LEN(C1302)-1),2))</f>
        <v>LogChantPlatLogNbTraj45</v>
      </c>
      <c r="F1302" t="s">
        <v>17</v>
      </c>
      <c r="G1302" s="14">
        <f t="shared" si="274"/>
        <v>0</v>
      </c>
      <c r="J1302" t="s">
        <v>145</v>
      </c>
      <c r="K1302">
        <v>1</v>
      </c>
      <c r="M1302" t="s">
        <v>220</v>
      </c>
    </row>
    <row r="1303" spans="1:13" x14ac:dyDescent="0.25">
      <c r="A1303" t="s">
        <v>215</v>
      </c>
      <c r="B1303" t="s">
        <v>258</v>
      </c>
      <c r="C1303" t="s">
        <v>259</v>
      </c>
      <c r="E1303" t="s">
        <v>260</v>
      </c>
      <c r="F1303" t="s">
        <v>20</v>
      </c>
      <c r="G1303">
        <f>IF(ISNUMBER(SEARCH("Oui",$H$1113)),1,0)</f>
        <v>0</v>
      </c>
      <c r="H1303" t="s">
        <v>430</v>
      </c>
      <c r="I1303" t="s">
        <v>383</v>
      </c>
      <c r="M1303" t="s">
        <v>220</v>
      </c>
    </row>
    <row r="1304" spans="1:13" x14ac:dyDescent="0.25">
      <c r="A1304" t="s">
        <v>215</v>
      </c>
      <c r="B1304" t="s">
        <v>258</v>
      </c>
      <c r="C1304" t="s">
        <v>521</v>
      </c>
      <c r="E1304" t="s">
        <v>262</v>
      </c>
      <c r="F1304" t="s">
        <v>17</v>
      </c>
      <c r="G1304">
        <f>IF(ISNUMBER(SEARCH("Oui",$H$1113)),1,0)</f>
        <v>0</v>
      </c>
      <c r="J1304" t="s">
        <v>88</v>
      </c>
      <c r="K1304">
        <v>5</v>
      </c>
      <c r="M1304" t="s">
        <v>220</v>
      </c>
    </row>
    <row r="1305" spans="1:13" x14ac:dyDescent="0.25">
      <c r="A1305" t="s">
        <v>215</v>
      </c>
      <c r="B1305" t="s">
        <v>258</v>
      </c>
      <c r="C1305" t="s">
        <v>263</v>
      </c>
      <c r="E1305" t="s">
        <v>264</v>
      </c>
      <c r="F1305" t="s">
        <v>17</v>
      </c>
      <c r="G1305" s="23">
        <f>(IF(ISNUMBER(SEARCH("Oui",$H$1113)),1,0))*(IF(ISNUMBER(SEARCH("Proposer un ordre de grandeur commun",$H$1115)),1,0))</f>
        <v>0</v>
      </c>
      <c r="H1305" s="18"/>
      <c r="J1305" t="s">
        <v>70</v>
      </c>
      <c r="K1305" s="7">
        <v>0.6</v>
      </c>
      <c r="M1305" t="s">
        <v>220</v>
      </c>
    </row>
    <row r="1306" spans="1:13" x14ac:dyDescent="0.25">
      <c r="A1306" t="s">
        <v>215</v>
      </c>
      <c r="B1306" t="s">
        <v>258</v>
      </c>
      <c r="C1306" t="s">
        <v>248</v>
      </c>
      <c r="E1306" t="s">
        <v>265</v>
      </c>
      <c r="F1306" t="s">
        <v>17</v>
      </c>
      <c r="G1306" s="23">
        <f>(IF(ISNUMBER(SEARCH("Oui",$H$1113)),1,0))*(IF(ISNUMBER(SEARCH("Proposer un ordre de grandeur commun",$H$1115)),1,0))</f>
        <v>0</v>
      </c>
      <c r="J1306" t="s">
        <v>145</v>
      </c>
      <c r="K1306">
        <v>3</v>
      </c>
      <c r="M1306" t="s">
        <v>220</v>
      </c>
    </row>
    <row r="1307" spans="1:13" outlineLevel="1" x14ac:dyDescent="0.25">
      <c r="A1307" t="s">
        <v>215</v>
      </c>
      <c r="B1307" t="s">
        <v>382</v>
      </c>
      <c r="C1307" t="str">
        <f>_xlfn.CONCAT("Taux de chargement moyen des véhicules pour l'accès au(x) chantier(s) depuis la plateforme"," (",'Remplissage - Sit. Expost'!$B$23,")")</f>
        <v>Taux de chargement moyen des véhicules pour l'accès au(x) chantier(s) depuis la plateforme (Catégorie 1)</v>
      </c>
      <c r="E1307" t="str">
        <f>_xlfn.CONCAT("LogChantDepuisPLTC",RIGHT(LEFT(C1307,LEN(C1307)-1),1))</f>
        <v>LogChantDepuisPLTC1</v>
      </c>
      <c r="F1307" t="s">
        <v>17</v>
      </c>
      <c r="G1307" s="14">
        <f>(IF(ISNUMBER(SEARCH($B1307,$H$1303)),1,0))*(IF(ISNUMBER(SEARCH("Par catégorie de véhicule sélectionnée",$H$1115)),1,0))</f>
        <v>1</v>
      </c>
      <c r="H1307" s="3"/>
      <c r="J1307" t="s">
        <v>70</v>
      </c>
      <c r="K1307" s="7">
        <v>0.6</v>
      </c>
      <c r="M1307" t="s">
        <v>220</v>
      </c>
    </row>
    <row r="1308" spans="1:13" outlineLevel="1" x14ac:dyDescent="0.25">
      <c r="A1308" t="s">
        <v>215</v>
      </c>
      <c r="B1308" t="s">
        <v>382</v>
      </c>
      <c r="C1308" t="str">
        <f>_xlfn.CONCAT("Nombre de trajets associés"," (",'Remplissage - Sit. Expost'!$B$23,")")</f>
        <v>Nombre de trajets associés (Catégorie 1)</v>
      </c>
      <c r="E1308" t="str">
        <f>_xlfn.CONCAT("LogChantDepuisPLNbTraj",RIGHT(LEFT(C1308,LEN(C1308)-1),1))</f>
        <v>LogChantDepuisPLNbTraj1</v>
      </c>
      <c r="F1308" t="s">
        <v>17</v>
      </c>
      <c r="G1308" s="14">
        <f t="shared" ref="G1308:G1371" si="299">(IF(ISNUMBER(SEARCH($B1308,$H$1303)),1,0))*(IF(ISNUMBER(SEARCH("Par catégorie de véhicule sélectionnée",$H$1115)),1,0))</f>
        <v>1</v>
      </c>
      <c r="J1308" t="s">
        <v>145</v>
      </c>
      <c r="K1308">
        <v>3</v>
      </c>
      <c r="M1308" t="s">
        <v>220</v>
      </c>
    </row>
    <row r="1309" spans="1:13" outlineLevel="1" x14ac:dyDescent="0.25">
      <c r="A1309" t="s">
        <v>215</v>
      </c>
      <c r="B1309" t="s">
        <v>386</v>
      </c>
      <c r="C1309" t="str">
        <f>_xlfn.CONCAT("Taux de chargement moyen des véhicules pour l'accès au(x) chantier(s) depuis la plateforme"," (",'Remplissage - Sit. Expost'!$B$33,")")</f>
        <v>Taux de chargement moyen des véhicules pour l'accès au(x) chantier(s) depuis la plateforme (Catégorie 2)</v>
      </c>
      <c r="E1309" t="str">
        <f>_xlfn.CONCAT("LogChantDepuisPLTC",RIGHT(LEFT(C1309,LEN(C1309)-1),1))</f>
        <v>LogChantDepuisPLTC2</v>
      </c>
      <c r="F1309" t="s">
        <v>17</v>
      </c>
      <c r="G1309" s="14">
        <f t="shared" si="299"/>
        <v>0</v>
      </c>
      <c r="H1309" s="3"/>
      <c r="J1309" t="s">
        <v>70</v>
      </c>
      <c r="K1309" s="7">
        <v>0.6</v>
      </c>
      <c r="M1309" t="s">
        <v>220</v>
      </c>
    </row>
    <row r="1310" spans="1:13" outlineLevel="1" x14ac:dyDescent="0.25">
      <c r="A1310" t="s">
        <v>215</v>
      </c>
      <c r="B1310" t="s">
        <v>386</v>
      </c>
      <c r="C1310" t="str">
        <f>_xlfn.CONCAT("Nombre de trajets associés"," (",'Remplissage - Sit. Expost'!$B$33,")")</f>
        <v>Nombre de trajets associés (Catégorie 2)</v>
      </c>
      <c r="E1310" t="str">
        <f>_xlfn.CONCAT("LogChantDepuisPLNbTraj",RIGHT(LEFT(C1310,LEN(C1310)-1),1))</f>
        <v>LogChantDepuisPLNbTraj2</v>
      </c>
      <c r="F1310" t="s">
        <v>17</v>
      </c>
      <c r="G1310" s="14">
        <f t="shared" si="299"/>
        <v>0</v>
      </c>
      <c r="J1310" t="s">
        <v>145</v>
      </c>
      <c r="K1310">
        <v>3</v>
      </c>
      <c r="M1310" t="s">
        <v>220</v>
      </c>
    </row>
    <row r="1311" spans="1:13" outlineLevel="1" x14ac:dyDescent="0.25">
      <c r="A1311" t="s">
        <v>215</v>
      </c>
      <c r="B1311" t="s">
        <v>388</v>
      </c>
      <c r="C1311" t="str">
        <f>_xlfn.CONCAT("Taux de chargement moyen des véhicules pour l'accès au(x) chantier(s) depuis la plateforme"," (",'Remplissage - Sit. Expost'!$B$43,")")</f>
        <v>Taux de chargement moyen des véhicules pour l'accès au(x) chantier(s) depuis la plateforme (Catégorie 3)</v>
      </c>
      <c r="E1311" t="str">
        <f>_xlfn.CONCAT("LogChantDepuisPLTC",RIGHT(LEFT(C1311,LEN(C1311)-1),1))</f>
        <v>LogChantDepuisPLTC3</v>
      </c>
      <c r="F1311" t="s">
        <v>17</v>
      </c>
      <c r="G1311" s="14">
        <f t="shared" si="299"/>
        <v>1</v>
      </c>
      <c r="H1311" s="3"/>
      <c r="J1311" t="s">
        <v>70</v>
      </c>
      <c r="K1311" s="7">
        <v>0.6</v>
      </c>
      <c r="M1311" t="s">
        <v>220</v>
      </c>
    </row>
    <row r="1312" spans="1:13" outlineLevel="1" x14ac:dyDescent="0.25">
      <c r="A1312" t="s">
        <v>215</v>
      </c>
      <c r="B1312" t="s">
        <v>388</v>
      </c>
      <c r="C1312" t="str">
        <f>_xlfn.CONCAT("Nombre de trajets associés"," (",'Remplissage - Sit. Expost'!$B$43,")")</f>
        <v>Nombre de trajets associés (Catégorie 3)</v>
      </c>
      <c r="E1312" t="str">
        <f>_xlfn.CONCAT("LogChantDepuisPLNbTraj",RIGHT(LEFT(C1312,LEN(C1312)-1),1))</f>
        <v>LogChantDepuisPLNbTraj3</v>
      </c>
      <c r="F1312" t="s">
        <v>17</v>
      </c>
      <c r="G1312" s="14">
        <f t="shared" si="299"/>
        <v>1</v>
      </c>
      <c r="J1312" t="s">
        <v>145</v>
      </c>
      <c r="K1312">
        <v>3</v>
      </c>
      <c r="M1312" t="s">
        <v>220</v>
      </c>
    </row>
    <row r="1313" spans="1:13" outlineLevel="1" x14ac:dyDescent="0.25">
      <c r="A1313" t="s">
        <v>215</v>
      </c>
      <c r="B1313" t="s">
        <v>389</v>
      </c>
      <c r="C1313" t="str">
        <f>_xlfn.CONCAT("Taux de chargement moyen des véhicules pour l'accès au(x) chantier(s) depuis la plateforme"," (",'Remplissage - Sit. Expost'!$B$53,")")</f>
        <v>Taux de chargement moyen des véhicules pour l'accès au(x) chantier(s) depuis la plateforme (Catégorie 4)</v>
      </c>
      <c r="E1313" t="str">
        <f>_xlfn.CONCAT("LogChantDepuisPLTC",RIGHT(LEFT(C1313,LEN(C1313)-1),1))</f>
        <v>LogChantDepuisPLTC4</v>
      </c>
      <c r="F1313" t="s">
        <v>17</v>
      </c>
      <c r="G1313" s="14">
        <f t="shared" si="299"/>
        <v>0</v>
      </c>
      <c r="H1313" s="3"/>
      <c r="J1313" t="s">
        <v>70</v>
      </c>
      <c r="K1313" s="7">
        <v>0.6</v>
      </c>
      <c r="M1313" t="s">
        <v>220</v>
      </c>
    </row>
    <row r="1314" spans="1:13" outlineLevel="1" x14ac:dyDescent="0.25">
      <c r="A1314" t="s">
        <v>215</v>
      </c>
      <c r="B1314" t="s">
        <v>389</v>
      </c>
      <c r="C1314" t="str">
        <f>_xlfn.CONCAT("Nombre de trajets associés"," (",'Remplissage - Sit. Expost'!$B$53,")")</f>
        <v>Nombre de trajets associés (Catégorie 4)</v>
      </c>
      <c r="E1314" t="str">
        <f>_xlfn.CONCAT("LogChantDepuisPLNbTraj",RIGHT(LEFT(C1314,LEN(C1314)-1),1))</f>
        <v>LogChantDepuisPLNbTraj4</v>
      </c>
      <c r="F1314" t="s">
        <v>17</v>
      </c>
      <c r="G1314" s="14">
        <f t="shared" si="299"/>
        <v>0</v>
      </c>
      <c r="J1314" t="s">
        <v>145</v>
      </c>
      <c r="K1314">
        <v>3</v>
      </c>
      <c r="M1314" t="s">
        <v>220</v>
      </c>
    </row>
    <row r="1315" spans="1:13" outlineLevel="1" x14ac:dyDescent="0.25">
      <c r="A1315" t="s">
        <v>215</v>
      </c>
      <c r="B1315" t="s">
        <v>390</v>
      </c>
      <c r="C1315" t="str">
        <f>_xlfn.CONCAT("Taux de chargement moyen des véhicules pour l'accès au(x) chantier(s) depuis la plateforme"," (",'Remplissage - Sit. Expost'!$B$63,")")</f>
        <v>Taux de chargement moyen des véhicules pour l'accès au(x) chantier(s) depuis la plateforme (Catégorie 5)</v>
      </c>
      <c r="E1315" t="str">
        <f>_xlfn.CONCAT("LogChantDepuisPLTC",RIGHT(LEFT(C1315,LEN(C1315)-1),1))</f>
        <v>LogChantDepuisPLTC5</v>
      </c>
      <c r="F1315" t="s">
        <v>17</v>
      </c>
      <c r="G1315" s="14">
        <f t="shared" si="299"/>
        <v>0</v>
      </c>
      <c r="H1315" s="3"/>
      <c r="J1315" t="s">
        <v>70</v>
      </c>
      <c r="K1315" s="7">
        <v>0.6</v>
      </c>
      <c r="M1315" t="s">
        <v>220</v>
      </c>
    </row>
    <row r="1316" spans="1:13" outlineLevel="1" x14ac:dyDescent="0.25">
      <c r="A1316" t="s">
        <v>215</v>
      </c>
      <c r="B1316" t="s">
        <v>390</v>
      </c>
      <c r="C1316" t="str">
        <f>_xlfn.CONCAT("Nombre de trajets associés"," (",'Remplissage - Sit. Expost'!$B$63,")")</f>
        <v>Nombre de trajets associés (Catégorie 5)</v>
      </c>
      <c r="E1316" t="str">
        <f>_xlfn.CONCAT("LogChantDepuisPLNbTraj",RIGHT(LEFT(C1316,LEN(C1316)-1),1))</f>
        <v>LogChantDepuisPLNbTraj5</v>
      </c>
      <c r="F1316" t="s">
        <v>17</v>
      </c>
      <c r="G1316" s="14">
        <f t="shared" si="299"/>
        <v>0</v>
      </c>
      <c r="J1316" t="s">
        <v>145</v>
      </c>
      <c r="K1316">
        <v>3</v>
      </c>
      <c r="M1316" t="s">
        <v>220</v>
      </c>
    </row>
    <row r="1317" spans="1:13" outlineLevel="1" x14ac:dyDescent="0.25">
      <c r="A1317" t="s">
        <v>215</v>
      </c>
      <c r="B1317" t="s">
        <v>391</v>
      </c>
      <c r="C1317" t="str">
        <f>_xlfn.CONCAT("Taux de chargement moyen des véhicules pour l'accès au(x) chantier(s) depuis la plateforme"," (",'Remplissage - Sit. Expost'!$B$73,")")</f>
        <v>Taux de chargement moyen des véhicules pour l'accès au(x) chantier(s) depuis la plateforme (Catégorie 6)</v>
      </c>
      <c r="E1317" t="str">
        <f>_xlfn.CONCAT("LogChantDepuisPLTC",RIGHT(LEFT(C1317,LEN(C1317)-1),1))</f>
        <v>LogChantDepuisPLTC6</v>
      </c>
      <c r="F1317" t="s">
        <v>17</v>
      </c>
      <c r="G1317" s="14">
        <f t="shared" si="299"/>
        <v>0</v>
      </c>
      <c r="H1317" s="3"/>
      <c r="J1317" t="s">
        <v>70</v>
      </c>
      <c r="K1317" s="7">
        <v>0.6</v>
      </c>
      <c r="M1317" t="s">
        <v>220</v>
      </c>
    </row>
    <row r="1318" spans="1:13" outlineLevel="1" x14ac:dyDescent="0.25">
      <c r="A1318" t="s">
        <v>215</v>
      </c>
      <c r="B1318" t="s">
        <v>391</v>
      </c>
      <c r="C1318" t="str">
        <f>_xlfn.CONCAT("Nombre de trajets associés"," (",'Remplissage - Sit. Expost'!$B$73,")")</f>
        <v>Nombre de trajets associés (Catégorie 6)</v>
      </c>
      <c r="E1318" t="str">
        <f>_xlfn.CONCAT("LogChantDepuisPLNbTraj",RIGHT(LEFT(C1318,LEN(C1318)-1),1))</f>
        <v>LogChantDepuisPLNbTraj6</v>
      </c>
      <c r="F1318" t="s">
        <v>17</v>
      </c>
      <c r="G1318" s="14">
        <f t="shared" si="299"/>
        <v>0</v>
      </c>
      <c r="J1318" t="s">
        <v>145</v>
      </c>
      <c r="K1318">
        <v>3</v>
      </c>
      <c r="M1318" t="s">
        <v>220</v>
      </c>
    </row>
    <row r="1319" spans="1:13" outlineLevel="1" x14ac:dyDescent="0.25">
      <c r="A1319" t="s">
        <v>215</v>
      </c>
      <c r="B1319" t="s">
        <v>392</v>
      </c>
      <c r="C1319" t="str">
        <f>_xlfn.CONCAT("Taux de chargement moyen des véhicules pour l'accès au(x) chantier(s) depuis la plateforme"," (",'Remplissage - Sit. Expost'!$B$83,")")</f>
        <v>Taux de chargement moyen des véhicules pour l'accès au(x) chantier(s) depuis la plateforme (Catégorie 7)</v>
      </c>
      <c r="E1319" t="str">
        <f>_xlfn.CONCAT("LogChantDepuisPLTC",RIGHT(LEFT(C1319,LEN(C1319)-1),1))</f>
        <v>LogChantDepuisPLTC7</v>
      </c>
      <c r="F1319" t="s">
        <v>17</v>
      </c>
      <c r="G1319" s="14">
        <f t="shared" si="299"/>
        <v>0</v>
      </c>
      <c r="H1319" s="3"/>
      <c r="J1319" t="s">
        <v>70</v>
      </c>
      <c r="K1319" s="7">
        <v>0.6</v>
      </c>
      <c r="M1319" t="s">
        <v>220</v>
      </c>
    </row>
    <row r="1320" spans="1:13" outlineLevel="1" x14ac:dyDescent="0.25">
      <c r="A1320" t="s">
        <v>215</v>
      </c>
      <c r="B1320" t="s">
        <v>392</v>
      </c>
      <c r="C1320" t="str">
        <f>_xlfn.CONCAT("Nombre de trajets associés"," (",'Remplissage - Sit. Expost'!$B$83,")")</f>
        <v>Nombre de trajets associés (Catégorie 7)</v>
      </c>
      <c r="E1320" t="str">
        <f>_xlfn.CONCAT("LogChantDepuisPLNbTraj",RIGHT(LEFT(C1320,LEN(C1320)-1),1))</f>
        <v>LogChantDepuisPLNbTraj7</v>
      </c>
      <c r="F1320" t="s">
        <v>17</v>
      </c>
      <c r="G1320" s="14">
        <f t="shared" si="299"/>
        <v>0</v>
      </c>
      <c r="J1320" t="s">
        <v>145</v>
      </c>
      <c r="K1320">
        <v>3</v>
      </c>
      <c r="M1320" t="s">
        <v>220</v>
      </c>
    </row>
    <row r="1321" spans="1:13" outlineLevel="1" x14ac:dyDescent="0.25">
      <c r="A1321" t="s">
        <v>215</v>
      </c>
      <c r="B1321" t="s">
        <v>393</v>
      </c>
      <c r="C1321" t="str">
        <f>_xlfn.CONCAT("Taux de chargement moyen des véhicules pour l'accès au(x) chantier(s) depuis la plateforme"," (",'Remplissage - Sit. Expost'!$B$93,")")</f>
        <v>Taux de chargement moyen des véhicules pour l'accès au(x) chantier(s) depuis la plateforme (Catégorie 8)</v>
      </c>
      <c r="E1321" t="str">
        <f>_xlfn.CONCAT("LogChantDepuisPLTC",RIGHT(LEFT(C1321,LEN(C1321)-1),1))</f>
        <v>LogChantDepuisPLTC8</v>
      </c>
      <c r="F1321" t="s">
        <v>17</v>
      </c>
      <c r="G1321" s="14">
        <f t="shared" si="299"/>
        <v>0</v>
      </c>
      <c r="H1321" s="3"/>
      <c r="J1321" t="s">
        <v>70</v>
      </c>
      <c r="K1321" s="7">
        <v>0.6</v>
      </c>
      <c r="M1321" t="s">
        <v>220</v>
      </c>
    </row>
    <row r="1322" spans="1:13" outlineLevel="1" x14ac:dyDescent="0.25">
      <c r="A1322" t="s">
        <v>215</v>
      </c>
      <c r="B1322" t="s">
        <v>393</v>
      </c>
      <c r="C1322" t="str">
        <f>_xlfn.CONCAT("Nombre de trajets associés"," (",'Remplissage - Sit. Expost'!$B$93,")")</f>
        <v>Nombre de trajets associés (Catégorie 8)</v>
      </c>
      <c r="E1322" t="str">
        <f>_xlfn.CONCAT("LogChantDepuisPLNbTraj",RIGHT(LEFT(C1322,LEN(C1322)-1),1))</f>
        <v>LogChantDepuisPLNbTraj8</v>
      </c>
      <c r="F1322" t="s">
        <v>17</v>
      </c>
      <c r="G1322" s="14">
        <f t="shared" si="299"/>
        <v>0</v>
      </c>
      <c r="J1322" t="s">
        <v>145</v>
      </c>
      <c r="K1322">
        <v>3</v>
      </c>
      <c r="M1322" t="s">
        <v>220</v>
      </c>
    </row>
    <row r="1323" spans="1:13" outlineLevel="1" x14ac:dyDescent="0.25">
      <c r="A1323" t="s">
        <v>215</v>
      </c>
      <c r="B1323" t="s">
        <v>394</v>
      </c>
      <c r="C1323" t="str">
        <f>_xlfn.CONCAT("Taux de chargement moyen des véhicules pour l'accès au(x) chantier(s) depuis la plateforme"," (",'Remplissage - Sit. Expost'!$B$103,")")</f>
        <v>Taux de chargement moyen des véhicules pour l'accès au(x) chantier(s) depuis la plateforme (Catégorie 9)</v>
      </c>
      <c r="E1323" t="str">
        <f>_xlfn.CONCAT("LogChantDepuisPLTC",RIGHT(LEFT(C1323,LEN(C1323)-1),1))</f>
        <v>LogChantDepuisPLTC9</v>
      </c>
      <c r="F1323" t="s">
        <v>17</v>
      </c>
      <c r="G1323" s="14">
        <f t="shared" si="299"/>
        <v>0</v>
      </c>
      <c r="H1323" s="3"/>
      <c r="J1323" t="s">
        <v>70</v>
      </c>
      <c r="K1323" s="7">
        <v>0.6</v>
      </c>
      <c r="M1323" t="s">
        <v>220</v>
      </c>
    </row>
    <row r="1324" spans="1:13" outlineLevel="1" x14ac:dyDescent="0.25">
      <c r="A1324" t="s">
        <v>215</v>
      </c>
      <c r="B1324" t="s">
        <v>394</v>
      </c>
      <c r="C1324" t="str">
        <f>_xlfn.CONCAT("Nombre de trajets associés"," (",'Remplissage - Sit. Expost'!$B$103,")")</f>
        <v>Nombre de trajets associés (Catégorie 9)</v>
      </c>
      <c r="E1324" t="str">
        <f>_xlfn.CONCAT("LogChantDepuisPLNbTraj",RIGHT(LEFT(C1324,LEN(C1324)-1),1))</f>
        <v>LogChantDepuisPLNbTraj9</v>
      </c>
      <c r="F1324" t="s">
        <v>17</v>
      </c>
      <c r="G1324" s="14">
        <f t="shared" si="299"/>
        <v>0</v>
      </c>
      <c r="J1324" t="s">
        <v>145</v>
      </c>
      <c r="K1324">
        <v>3</v>
      </c>
      <c r="M1324" t="s">
        <v>220</v>
      </c>
    </row>
    <row r="1325" spans="1:13" outlineLevel="1" x14ac:dyDescent="0.25">
      <c r="A1325" t="s">
        <v>215</v>
      </c>
      <c r="B1325" t="s">
        <v>395</v>
      </c>
      <c r="C1325" t="str">
        <f>_xlfn.CONCAT("Taux de chargement moyen des véhicules pour l'accès au(x) chantier(s) depuis la plateforme"," (",'Remplissage - Sit. Expost'!$B$113,")")</f>
        <v>Taux de chargement moyen des véhicules pour l'accès au(x) chantier(s) depuis la plateforme (Catégorie 10)</v>
      </c>
      <c r="E1325" t="str">
        <f>_xlfn.CONCAT("LogChantDepuisPLTC",RIGHT(LEFT(C1325,LEN(C1325)-1),2))</f>
        <v>LogChantDepuisPLTC10</v>
      </c>
      <c r="F1325" t="s">
        <v>17</v>
      </c>
      <c r="G1325" s="14">
        <f t="shared" si="299"/>
        <v>0</v>
      </c>
      <c r="H1325" s="3"/>
      <c r="J1325" t="s">
        <v>70</v>
      </c>
      <c r="K1325" s="7">
        <v>0.6</v>
      </c>
      <c r="M1325" t="s">
        <v>220</v>
      </c>
    </row>
    <row r="1326" spans="1:13" outlineLevel="1" x14ac:dyDescent="0.25">
      <c r="A1326" t="s">
        <v>215</v>
      </c>
      <c r="B1326" t="s">
        <v>395</v>
      </c>
      <c r="C1326" t="str">
        <f>_xlfn.CONCAT("Nombre de trajets associés"," (",'Remplissage - Sit. Expost'!$B$113,")")</f>
        <v>Nombre de trajets associés (Catégorie 10)</v>
      </c>
      <c r="E1326" t="str">
        <f>_xlfn.CONCAT("LogChantDepuisPLNbTraj",RIGHT(LEFT(C1326,LEN(C1326)-1),2))</f>
        <v>LogChantDepuisPLNbTraj10</v>
      </c>
      <c r="F1326" t="s">
        <v>17</v>
      </c>
      <c r="G1326" s="14">
        <f t="shared" si="299"/>
        <v>0</v>
      </c>
      <c r="J1326" t="s">
        <v>145</v>
      </c>
      <c r="K1326">
        <v>3</v>
      </c>
      <c r="M1326" t="s">
        <v>220</v>
      </c>
    </row>
    <row r="1327" spans="1:13" outlineLevel="1" x14ac:dyDescent="0.25">
      <c r="A1327" t="s">
        <v>215</v>
      </c>
      <c r="B1327" t="s">
        <v>396</v>
      </c>
      <c r="C1327" t="str">
        <f>_xlfn.CONCAT("Taux de chargement moyen des véhicules pour l'accès au(x) chantier(s) depuis la plateforme"," (",'Remplissage - Sit. Expost'!$B$123,")")</f>
        <v>Taux de chargement moyen des véhicules pour l'accès au(x) chantier(s) depuis la plateforme (Catégorie 11)</v>
      </c>
      <c r="E1327" t="str">
        <f t="shared" ref="E1327" si="300">_xlfn.CONCAT("LogChantDepuisPLTC",RIGHT(LEFT(C1327,LEN(C1327)-1),2))</f>
        <v>LogChantDepuisPLTC11</v>
      </c>
      <c r="F1327" t="s">
        <v>17</v>
      </c>
      <c r="G1327" s="14">
        <f t="shared" si="299"/>
        <v>0</v>
      </c>
      <c r="H1327" s="3"/>
      <c r="J1327" t="s">
        <v>70</v>
      </c>
      <c r="K1327" s="7">
        <v>0.6</v>
      </c>
      <c r="M1327" t="s">
        <v>220</v>
      </c>
    </row>
    <row r="1328" spans="1:13" outlineLevel="1" x14ac:dyDescent="0.25">
      <c r="A1328" t="s">
        <v>215</v>
      </c>
      <c r="B1328" t="s">
        <v>396</v>
      </c>
      <c r="C1328" t="str">
        <f>_xlfn.CONCAT("Nombre de trajets associés"," (",'Remplissage - Sit. Expost'!$B$123,")")</f>
        <v>Nombre de trajets associés (Catégorie 11)</v>
      </c>
      <c r="E1328" t="str">
        <f t="shared" ref="E1328" si="301">_xlfn.CONCAT("LogChantDepuisPLNbTraj",RIGHT(LEFT(C1328,LEN(C1328)-1),2))</f>
        <v>LogChantDepuisPLNbTraj11</v>
      </c>
      <c r="F1328" t="s">
        <v>17</v>
      </c>
      <c r="G1328" s="14">
        <f t="shared" si="299"/>
        <v>0</v>
      </c>
      <c r="J1328" t="s">
        <v>145</v>
      </c>
      <c r="K1328">
        <v>3</v>
      </c>
      <c r="M1328" t="s">
        <v>220</v>
      </c>
    </row>
    <row r="1329" spans="1:13" outlineLevel="1" x14ac:dyDescent="0.25">
      <c r="A1329" t="s">
        <v>215</v>
      </c>
      <c r="B1329" t="s">
        <v>397</v>
      </c>
      <c r="C1329" t="str">
        <f>_xlfn.CONCAT("Taux de chargement moyen des véhicules pour l'accès au(x) chantier(s) depuis la plateforme"," (",'Remplissage - Sit. Expost'!$B$133,")")</f>
        <v>Taux de chargement moyen des véhicules pour l'accès au(x) chantier(s) depuis la plateforme (Catégorie 12)</v>
      </c>
      <c r="E1329" t="str">
        <f t="shared" ref="E1329" si="302">_xlfn.CONCAT("LogChantDepuisPLTC",RIGHT(LEFT(C1329,LEN(C1329)-1),2))</f>
        <v>LogChantDepuisPLTC12</v>
      </c>
      <c r="F1329" t="s">
        <v>17</v>
      </c>
      <c r="G1329" s="14">
        <f t="shared" si="299"/>
        <v>0</v>
      </c>
      <c r="H1329" s="3"/>
      <c r="J1329" t="s">
        <v>70</v>
      </c>
      <c r="K1329" s="7">
        <v>0.6</v>
      </c>
      <c r="M1329" t="s">
        <v>220</v>
      </c>
    </row>
    <row r="1330" spans="1:13" outlineLevel="1" x14ac:dyDescent="0.25">
      <c r="A1330" t="s">
        <v>215</v>
      </c>
      <c r="B1330" t="s">
        <v>397</v>
      </c>
      <c r="C1330" t="str">
        <f>_xlfn.CONCAT("Nombre de trajets associés"," (",'Remplissage - Sit. Expost'!$B$133,")")</f>
        <v>Nombre de trajets associés (Catégorie 12)</v>
      </c>
      <c r="E1330" t="str">
        <f t="shared" ref="E1330" si="303">_xlfn.CONCAT("LogChantDepuisPLNbTraj",RIGHT(LEFT(C1330,LEN(C1330)-1),2))</f>
        <v>LogChantDepuisPLNbTraj12</v>
      </c>
      <c r="F1330" t="s">
        <v>17</v>
      </c>
      <c r="G1330" s="14">
        <f t="shared" si="299"/>
        <v>0</v>
      </c>
      <c r="J1330" t="s">
        <v>145</v>
      </c>
      <c r="K1330">
        <v>3</v>
      </c>
      <c r="M1330" t="s">
        <v>220</v>
      </c>
    </row>
    <row r="1331" spans="1:13" outlineLevel="1" x14ac:dyDescent="0.25">
      <c r="A1331" t="s">
        <v>215</v>
      </c>
      <c r="B1331" t="s">
        <v>398</v>
      </c>
      <c r="C1331" t="str">
        <f>_xlfn.CONCAT("Taux de chargement moyen des véhicules pour l'accès au(x) chantier(s) depuis la plateforme"," (",'Remplissage - Sit. Expost'!$B$143,")")</f>
        <v>Taux de chargement moyen des véhicules pour l'accès au(x) chantier(s) depuis la plateforme (Catégorie 13)</v>
      </c>
      <c r="E1331" t="str">
        <f t="shared" ref="E1331" si="304">_xlfn.CONCAT("LogChantDepuisPLTC",RIGHT(LEFT(C1331,LEN(C1331)-1),2))</f>
        <v>LogChantDepuisPLTC13</v>
      </c>
      <c r="F1331" t="s">
        <v>17</v>
      </c>
      <c r="G1331" s="14">
        <f t="shared" si="299"/>
        <v>0</v>
      </c>
      <c r="H1331" s="3"/>
      <c r="J1331" t="s">
        <v>70</v>
      </c>
      <c r="K1331" s="7">
        <v>0.6</v>
      </c>
      <c r="M1331" t="s">
        <v>220</v>
      </c>
    </row>
    <row r="1332" spans="1:13" outlineLevel="1" x14ac:dyDescent="0.25">
      <c r="A1332" t="s">
        <v>215</v>
      </c>
      <c r="B1332" t="s">
        <v>398</v>
      </c>
      <c r="C1332" t="str">
        <f>_xlfn.CONCAT("Nombre de trajets associés"," (",'Remplissage - Sit. Expost'!$B$143,")")</f>
        <v>Nombre de trajets associés (Catégorie 13)</v>
      </c>
      <c r="E1332" t="str">
        <f t="shared" ref="E1332" si="305">_xlfn.CONCAT("LogChantDepuisPLNbTraj",RIGHT(LEFT(C1332,LEN(C1332)-1),2))</f>
        <v>LogChantDepuisPLNbTraj13</v>
      </c>
      <c r="F1332" t="s">
        <v>17</v>
      </c>
      <c r="G1332" s="14">
        <f t="shared" si="299"/>
        <v>0</v>
      </c>
      <c r="J1332" t="s">
        <v>145</v>
      </c>
      <c r="K1332">
        <v>3</v>
      </c>
      <c r="M1332" t="s">
        <v>220</v>
      </c>
    </row>
    <row r="1333" spans="1:13" outlineLevel="1" x14ac:dyDescent="0.25">
      <c r="A1333" t="s">
        <v>215</v>
      </c>
      <c r="B1333" t="s">
        <v>399</v>
      </c>
      <c r="C1333" t="str">
        <f>_xlfn.CONCAT("Taux de chargement moyen des véhicules pour l'accès au(x) chantier(s) depuis la plateforme"," (",'Remplissage - Sit. Expost'!$B$153,")")</f>
        <v>Taux de chargement moyen des véhicules pour l'accès au(x) chantier(s) depuis la plateforme (Catégorie 14)</v>
      </c>
      <c r="E1333" t="str">
        <f t="shared" ref="E1333" si="306">_xlfn.CONCAT("LogChantDepuisPLTC",RIGHT(LEFT(C1333,LEN(C1333)-1),2))</f>
        <v>LogChantDepuisPLTC14</v>
      </c>
      <c r="F1333" t="s">
        <v>17</v>
      </c>
      <c r="G1333" s="14">
        <f t="shared" si="299"/>
        <v>0</v>
      </c>
      <c r="H1333" s="3"/>
      <c r="J1333" t="s">
        <v>70</v>
      </c>
      <c r="K1333" s="7">
        <v>0.6</v>
      </c>
      <c r="M1333" t="s">
        <v>220</v>
      </c>
    </row>
    <row r="1334" spans="1:13" outlineLevel="1" x14ac:dyDescent="0.25">
      <c r="A1334" t="s">
        <v>215</v>
      </c>
      <c r="B1334" t="s">
        <v>399</v>
      </c>
      <c r="C1334" t="str">
        <f>_xlfn.CONCAT("Nombre de trajets associés"," (",'Remplissage - Sit. Expost'!$B$153,")")</f>
        <v>Nombre de trajets associés (Catégorie 14)</v>
      </c>
      <c r="E1334" t="str">
        <f t="shared" ref="E1334" si="307">_xlfn.CONCAT("LogChantDepuisPLNbTraj",RIGHT(LEFT(C1334,LEN(C1334)-1),2))</f>
        <v>LogChantDepuisPLNbTraj14</v>
      </c>
      <c r="F1334" t="s">
        <v>17</v>
      </c>
      <c r="G1334" s="14">
        <f t="shared" si="299"/>
        <v>0</v>
      </c>
      <c r="J1334" t="s">
        <v>145</v>
      </c>
      <c r="K1334">
        <v>3</v>
      </c>
      <c r="M1334" t="s">
        <v>220</v>
      </c>
    </row>
    <row r="1335" spans="1:13" outlineLevel="1" x14ac:dyDescent="0.25">
      <c r="A1335" t="s">
        <v>215</v>
      </c>
      <c r="B1335" t="s">
        <v>400</v>
      </c>
      <c r="C1335" t="str">
        <f>_xlfn.CONCAT("Taux de chargement moyen des véhicules pour l'accès au(x) chantier(s) depuis la plateforme"," (",'Remplissage - Sit. Expost'!$B$163,")")</f>
        <v>Taux de chargement moyen des véhicules pour l'accès au(x) chantier(s) depuis la plateforme (Catégorie 15)</v>
      </c>
      <c r="E1335" t="str">
        <f t="shared" ref="E1335" si="308">_xlfn.CONCAT("LogChantDepuisPLTC",RIGHT(LEFT(C1335,LEN(C1335)-1),2))</f>
        <v>LogChantDepuisPLTC15</v>
      </c>
      <c r="F1335" t="s">
        <v>17</v>
      </c>
      <c r="G1335" s="14">
        <f t="shared" si="299"/>
        <v>0</v>
      </c>
      <c r="H1335" s="3"/>
      <c r="J1335" t="s">
        <v>70</v>
      </c>
      <c r="K1335" s="7">
        <v>0.6</v>
      </c>
      <c r="M1335" t="s">
        <v>220</v>
      </c>
    </row>
    <row r="1336" spans="1:13" outlineLevel="1" x14ac:dyDescent="0.25">
      <c r="A1336" t="s">
        <v>215</v>
      </c>
      <c r="B1336" t="s">
        <v>400</v>
      </c>
      <c r="C1336" t="str">
        <f>_xlfn.CONCAT("Nombre de trajets associés"," (",'Remplissage - Sit. Expost'!$B$163,")")</f>
        <v>Nombre de trajets associés (Catégorie 15)</v>
      </c>
      <c r="E1336" t="str">
        <f t="shared" ref="E1336" si="309">_xlfn.CONCAT("LogChantDepuisPLNbTraj",RIGHT(LEFT(C1336,LEN(C1336)-1),2))</f>
        <v>LogChantDepuisPLNbTraj15</v>
      </c>
      <c r="F1336" t="s">
        <v>17</v>
      </c>
      <c r="G1336" s="14">
        <f t="shared" si="299"/>
        <v>0</v>
      </c>
      <c r="J1336" t="s">
        <v>145</v>
      </c>
      <c r="K1336">
        <v>3</v>
      </c>
      <c r="M1336" t="s">
        <v>220</v>
      </c>
    </row>
    <row r="1337" spans="1:13" outlineLevel="1" x14ac:dyDescent="0.25">
      <c r="A1337" t="s">
        <v>215</v>
      </c>
      <c r="B1337" t="s">
        <v>401</v>
      </c>
      <c r="C1337" t="str">
        <f>_xlfn.CONCAT("Taux de chargement moyen des véhicules pour l'accès au(x) chantier(s) depuis la plateforme"," (",'Remplissage - Sit. Expost'!$B$173,")")</f>
        <v>Taux de chargement moyen des véhicules pour l'accès au(x) chantier(s) depuis la plateforme (Catégorie 16)</v>
      </c>
      <c r="E1337" t="str">
        <f t="shared" ref="E1337" si="310">_xlfn.CONCAT("LogChantDepuisPLTC",RIGHT(LEFT(C1337,LEN(C1337)-1),2))</f>
        <v>LogChantDepuisPLTC16</v>
      </c>
      <c r="F1337" t="s">
        <v>17</v>
      </c>
      <c r="G1337" s="14">
        <f t="shared" si="299"/>
        <v>0</v>
      </c>
      <c r="H1337" s="3"/>
      <c r="J1337" t="s">
        <v>70</v>
      </c>
      <c r="K1337" s="7">
        <v>0.6</v>
      </c>
      <c r="M1337" t="s">
        <v>220</v>
      </c>
    </row>
    <row r="1338" spans="1:13" outlineLevel="1" x14ac:dyDescent="0.25">
      <c r="A1338" t="s">
        <v>215</v>
      </c>
      <c r="B1338" t="s">
        <v>401</v>
      </c>
      <c r="C1338" t="str">
        <f>_xlfn.CONCAT("Nombre de trajets associés"," (",'Remplissage - Sit. Expost'!$B$173,")")</f>
        <v>Nombre de trajets associés (Catégorie 16)</v>
      </c>
      <c r="E1338" t="str">
        <f t="shared" ref="E1338" si="311">_xlfn.CONCAT("LogChantDepuisPLNbTraj",RIGHT(LEFT(C1338,LEN(C1338)-1),2))</f>
        <v>LogChantDepuisPLNbTraj16</v>
      </c>
      <c r="F1338" t="s">
        <v>17</v>
      </c>
      <c r="G1338" s="14">
        <f t="shared" si="299"/>
        <v>0</v>
      </c>
      <c r="J1338" t="s">
        <v>145</v>
      </c>
      <c r="K1338">
        <v>3</v>
      </c>
      <c r="M1338" t="s">
        <v>220</v>
      </c>
    </row>
    <row r="1339" spans="1:13" outlineLevel="1" x14ac:dyDescent="0.25">
      <c r="A1339" t="s">
        <v>215</v>
      </c>
      <c r="B1339" t="s">
        <v>402</v>
      </c>
      <c r="C1339" t="str">
        <f>_xlfn.CONCAT("Taux de chargement moyen des véhicules pour l'accès au(x) chantier(s) depuis la plateforme"," (",'Remplissage - Sit. Expost'!$B$183,")")</f>
        <v>Taux de chargement moyen des véhicules pour l'accès au(x) chantier(s) depuis la plateforme (Catégorie 17)</v>
      </c>
      <c r="E1339" t="str">
        <f t="shared" ref="E1339" si="312">_xlfn.CONCAT("LogChantDepuisPLTC",RIGHT(LEFT(C1339,LEN(C1339)-1),2))</f>
        <v>LogChantDepuisPLTC17</v>
      </c>
      <c r="F1339" t="s">
        <v>17</v>
      </c>
      <c r="G1339" s="14">
        <f t="shared" si="299"/>
        <v>0</v>
      </c>
      <c r="H1339" s="3"/>
      <c r="J1339" t="s">
        <v>70</v>
      </c>
      <c r="K1339" s="7">
        <v>0.6</v>
      </c>
      <c r="M1339" t="s">
        <v>220</v>
      </c>
    </row>
    <row r="1340" spans="1:13" outlineLevel="1" x14ac:dyDescent="0.25">
      <c r="A1340" t="s">
        <v>215</v>
      </c>
      <c r="B1340" t="s">
        <v>402</v>
      </c>
      <c r="C1340" t="str">
        <f>_xlfn.CONCAT("Nombre de trajets associés"," (",'Remplissage - Sit. Expost'!$B$183,")")</f>
        <v>Nombre de trajets associés (Catégorie 17)</v>
      </c>
      <c r="E1340" t="str">
        <f t="shared" ref="E1340" si="313">_xlfn.CONCAT("LogChantDepuisPLNbTraj",RIGHT(LEFT(C1340,LEN(C1340)-1),2))</f>
        <v>LogChantDepuisPLNbTraj17</v>
      </c>
      <c r="F1340" t="s">
        <v>17</v>
      </c>
      <c r="G1340" s="14">
        <f t="shared" si="299"/>
        <v>0</v>
      </c>
      <c r="J1340" t="s">
        <v>145</v>
      </c>
      <c r="K1340">
        <v>3</v>
      </c>
      <c r="M1340" t="s">
        <v>220</v>
      </c>
    </row>
    <row r="1341" spans="1:13" outlineLevel="1" x14ac:dyDescent="0.25">
      <c r="A1341" t="s">
        <v>215</v>
      </c>
      <c r="B1341" t="s">
        <v>403</v>
      </c>
      <c r="C1341" t="str">
        <f>_xlfn.CONCAT("Taux de chargement moyen des véhicules pour l'accès au(x) chantier(s) depuis la plateforme"," (",'Remplissage - Sit. Expost'!$B$193,")")</f>
        <v>Taux de chargement moyen des véhicules pour l'accès au(x) chantier(s) depuis la plateforme (Catégorie 18)</v>
      </c>
      <c r="E1341" t="str">
        <f t="shared" ref="E1341" si="314">_xlfn.CONCAT("LogChantDepuisPLTC",RIGHT(LEFT(C1341,LEN(C1341)-1),2))</f>
        <v>LogChantDepuisPLTC18</v>
      </c>
      <c r="F1341" t="s">
        <v>17</v>
      </c>
      <c r="G1341" s="14">
        <f t="shared" si="299"/>
        <v>0</v>
      </c>
      <c r="H1341" s="3"/>
      <c r="J1341" t="s">
        <v>70</v>
      </c>
      <c r="K1341" s="7">
        <v>0.6</v>
      </c>
      <c r="M1341" t="s">
        <v>220</v>
      </c>
    </row>
    <row r="1342" spans="1:13" outlineLevel="1" x14ac:dyDescent="0.25">
      <c r="A1342" t="s">
        <v>215</v>
      </c>
      <c r="B1342" t="s">
        <v>403</v>
      </c>
      <c r="C1342" t="str">
        <f>_xlfn.CONCAT("Nombre de trajets associés"," (",'Remplissage - Sit. Expost'!$B$193,")")</f>
        <v>Nombre de trajets associés (Catégorie 18)</v>
      </c>
      <c r="E1342" t="str">
        <f t="shared" ref="E1342" si="315">_xlfn.CONCAT("LogChantDepuisPLNbTraj",RIGHT(LEFT(C1342,LEN(C1342)-1),2))</f>
        <v>LogChantDepuisPLNbTraj18</v>
      </c>
      <c r="F1342" t="s">
        <v>17</v>
      </c>
      <c r="G1342" s="14">
        <f t="shared" si="299"/>
        <v>0</v>
      </c>
      <c r="J1342" t="s">
        <v>145</v>
      </c>
      <c r="K1342">
        <v>3</v>
      </c>
      <c r="M1342" t="s">
        <v>220</v>
      </c>
    </row>
    <row r="1343" spans="1:13" outlineLevel="1" x14ac:dyDescent="0.25">
      <c r="A1343" t="s">
        <v>215</v>
      </c>
      <c r="B1343" t="s">
        <v>404</v>
      </c>
      <c r="C1343" t="str">
        <f>_xlfn.CONCAT("Taux de chargement moyen des véhicules pour l'accès au(x) chantier(s) depuis la plateforme"," (",'Remplissage - Sit. Expost'!$B$203,")")</f>
        <v>Taux de chargement moyen des véhicules pour l'accès au(x) chantier(s) depuis la plateforme (Catégorie 19)</v>
      </c>
      <c r="E1343" t="str">
        <f t="shared" ref="E1343" si="316">_xlfn.CONCAT("LogChantDepuisPLTC",RIGHT(LEFT(C1343,LEN(C1343)-1),2))</f>
        <v>LogChantDepuisPLTC19</v>
      </c>
      <c r="F1343" t="s">
        <v>17</v>
      </c>
      <c r="G1343" s="14">
        <f t="shared" si="299"/>
        <v>0</v>
      </c>
      <c r="H1343" s="3"/>
      <c r="J1343" t="s">
        <v>70</v>
      </c>
      <c r="K1343" s="7">
        <v>0.6</v>
      </c>
      <c r="M1343" t="s">
        <v>220</v>
      </c>
    </row>
    <row r="1344" spans="1:13" outlineLevel="1" x14ac:dyDescent="0.25">
      <c r="A1344" t="s">
        <v>215</v>
      </c>
      <c r="B1344" t="s">
        <v>404</v>
      </c>
      <c r="C1344" t="str">
        <f>_xlfn.CONCAT("Nombre de trajets associés"," (",'Remplissage - Sit. Expost'!$B$203,")")</f>
        <v>Nombre de trajets associés (Catégorie 19)</v>
      </c>
      <c r="E1344" t="str">
        <f t="shared" ref="E1344" si="317">_xlfn.CONCAT("LogChantDepuisPLNbTraj",RIGHT(LEFT(C1344,LEN(C1344)-1),2))</f>
        <v>LogChantDepuisPLNbTraj19</v>
      </c>
      <c r="F1344" t="s">
        <v>17</v>
      </c>
      <c r="G1344" s="14">
        <f t="shared" si="299"/>
        <v>0</v>
      </c>
      <c r="J1344" t="s">
        <v>145</v>
      </c>
      <c r="K1344">
        <v>3</v>
      </c>
      <c r="M1344" t="s">
        <v>220</v>
      </c>
    </row>
    <row r="1345" spans="1:13" outlineLevel="1" x14ac:dyDescent="0.25">
      <c r="A1345" t="s">
        <v>215</v>
      </c>
      <c r="B1345" t="s">
        <v>405</v>
      </c>
      <c r="C1345" t="str">
        <f>_xlfn.CONCAT("Taux de chargement moyen des véhicules pour l'accès au(x) chantier(s) depuis la plateforme"," (",'Remplissage - Sit. Expost'!$B$213,")")</f>
        <v>Taux de chargement moyen des véhicules pour l'accès au(x) chantier(s) depuis la plateforme (Catégorie 20)</v>
      </c>
      <c r="E1345" t="str">
        <f t="shared" ref="E1345" si="318">_xlfn.CONCAT("LogChantDepuisPLTC",RIGHT(LEFT(C1345,LEN(C1345)-1),2))</f>
        <v>LogChantDepuisPLTC20</v>
      </c>
      <c r="F1345" t="s">
        <v>17</v>
      </c>
      <c r="G1345" s="14">
        <f t="shared" si="299"/>
        <v>0</v>
      </c>
      <c r="H1345" s="3"/>
      <c r="J1345" t="s">
        <v>70</v>
      </c>
      <c r="K1345" s="7">
        <v>0.6</v>
      </c>
      <c r="M1345" t="s">
        <v>220</v>
      </c>
    </row>
    <row r="1346" spans="1:13" outlineLevel="1" x14ac:dyDescent="0.25">
      <c r="A1346" t="s">
        <v>215</v>
      </c>
      <c r="B1346" t="s">
        <v>405</v>
      </c>
      <c r="C1346" t="str">
        <f>_xlfn.CONCAT("Nombre de trajets associés"," (",'Remplissage - Sit. Expost'!$B$213,")")</f>
        <v>Nombre de trajets associés (Catégorie 20)</v>
      </c>
      <c r="E1346" t="str">
        <f t="shared" ref="E1346" si="319">_xlfn.CONCAT("LogChantDepuisPLNbTraj",RIGHT(LEFT(C1346,LEN(C1346)-1),2))</f>
        <v>LogChantDepuisPLNbTraj20</v>
      </c>
      <c r="F1346" t="s">
        <v>17</v>
      </c>
      <c r="G1346" s="14">
        <f t="shared" si="299"/>
        <v>0</v>
      </c>
      <c r="J1346" t="s">
        <v>145</v>
      </c>
      <c r="K1346">
        <v>3</v>
      </c>
      <c r="M1346" t="s">
        <v>220</v>
      </c>
    </row>
    <row r="1347" spans="1:13" outlineLevel="1" x14ac:dyDescent="0.25">
      <c r="A1347" t="s">
        <v>215</v>
      </c>
      <c r="B1347" t="s">
        <v>406</v>
      </c>
      <c r="C1347" t="str">
        <f>_xlfn.CONCAT("Taux de chargement moyen des véhicules pour l'accès au(x) chantier(s) depuis la plateforme"," (",'Remplissage - Sit. Expost'!$B$223,")")</f>
        <v>Taux de chargement moyen des véhicules pour l'accès au(x) chantier(s) depuis la plateforme (Catégorie 21)</v>
      </c>
      <c r="E1347" t="str">
        <f t="shared" ref="E1347" si="320">_xlfn.CONCAT("LogChantDepuisPLTC",RIGHT(LEFT(C1347,LEN(C1347)-1),2))</f>
        <v>LogChantDepuisPLTC21</v>
      </c>
      <c r="F1347" t="s">
        <v>17</v>
      </c>
      <c r="G1347" s="14">
        <f t="shared" si="299"/>
        <v>0</v>
      </c>
      <c r="H1347" s="3"/>
      <c r="J1347" t="s">
        <v>70</v>
      </c>
      <c r="K1347" s="7">
        <v>0.6</v>
      </c>
      <c r="M1347" t="s">
        <v>220</v>
      </c>
    </row>
    <row r="1348" spans="1:13" outlineLevel="1" x14ac:dyDescent="0.25">
      <c r="A1348" t="s">
        <v>215</v>
      </c>
      <c r="B1348" t="s">
        <v>406</v>
      </c>
      <c r="C1348" t="str">
        <f>_xlfn.CONCAT("Nombre de trajets associés"," (",'Remplissage - Sit. Expost'!$B$223,")")</f>
        <v>Nombre de trajets associés (Catégorie 21)</v>
      </c>
      <c r="E1348" t="str">
        <f t="shared" ref="E1348" si="321">_xlfn.CONCAT("LogChantDepuisPLNbTraj",RIGHT(LEFT(C1348,LEN(C1348)-1),2))</f>
        <v>LogChantDepuisPLNbTraj21</v>
      </c>
      <c r="F1348" t="s">
        <v>17</v>
      </c>
      <c r="G1348" s="14">
        <f t="shared" si="299"/>
        <v>0</v>
      </c>
      <c r="J1348" t="s">
        <v>145</v>
      </c>
      <c r="K1348">
        <v>3</v>
      </c>
      <c r="M1348" t="s">
        <v>220</v>
      </c>
    </row>
    <row r="1349" spans="1:13" outlineLevel="1" x14ac:dyDescent="0.25">
      <c r="A1349" t="s">
        <v>215</v>
      </c>
      <c r="B1349" t="s">
        <v>407</v>
      </c>
      <c r="C1349" t="str">
        <f>_xlfn.CONCAT("Taux de chargement moyen des véhicules pour l'accès au(x) chantier(s) depuis la plateforme"," (",'Remplissage - Sit. Expost'!$B$233,")")</f>
        <v>Taux de chargement moyen des véhicules pour l'accès au(x) chantier(s) depuis la plateforme (Catégorie 22)</v>
      </c>
      <c r="E1349" t="str">
        <f t="shared" ref="E1349" si="322">_xlfn.CONCAT("LogChantDepuisPLTC",RIGHT(LEFT(C1349,LEN(C1349)-1),2))</f>
        <v>LogChantDepuisPLTC22</v>
      </c>
      <c r="F1349" t="s">
        <v>17</v>
      </c>
      <c r="G1349" s="14">
        <f t="shared" si="299"/>
        <v>0</v>
      </c>
      <c r="H1349" s="3"/>
      <c r="J1349" t="s">
        <v>70</v>
      </c>
      <c r="K1349" s="7">
        <v>0.6</v>
      </c>
      <c r="M1349" t="s">
        <v>220</v>
      </c>
    </row>
    <row r="1350" spans="1:13" outlineLevel="1" x14ac:dyDescent="0.25">
      <c r="A1350" t="s">
        <v>215</v>
      </c>
      <c r="B1350" t="s">
        <v>407</v>
      </c>
      <c r="C1350" t="str">
        <f>_xlfn.CONCAT("Nombre de trajets associés"," (",'Remplissage - Sit. Expost'!$B$233,")")</f>
        <v>Nombre de trajets associés (Catégorie 22)</v>
      </c>
      <c r="E1350" t="str">
        <f t="shared" ref="E1350" si="323">_xlfn.CONCAT("LogChantDepuisPLNbTraj",RIGHT(LEFT(C1350,LEN(C1350)-1),2))</f>
        <v>LogChantDepuisPLNbTraj22</v>
      </c>
      <c r="F1350" t="s">
        <v>17</v>
      </c>
      <c r="G1350" s="14">
        <f t="shared" si="299"/>
        <v>0</v>
      </c>
      <c r="J1350" t="s">
        <v>145</v>
      </c>
      <c r="K1350">
        <v>3</v>
      </c>
      <c r="M1350" t="s">
        <v>220</v>
      </c>
    </row>
    <row r="1351" spans="1:13" outlineLevel="1" x14ac:dyDescent="0.25">
      <c r="A1351" t="s">
        <v>215</v>
      </c>
      <c r="B1351" t="s">
        <v>408</v>
      </c>
      <c r="C1351" t="str">
        <f>_xlfn.CONCAT("Taux de chargement moyen des véhicules pour l'accès au(x) chantier(s) depuis la plateforme"," (",'Remplissage - Sit. Expost'!$B$243,")")</f>
        <v>Taux de chargement moyen des véhicules pour l'accès au(x) chantier(s) depuis la plateforme (Catégorie 23)</v>
      </c>
      <c r="E1351" t="str">
        <f t="shared" ref="E1351" si="324">_xlfn.CONCAT("LogChantDepuisPLTC",RIGHT(LEFT(C1351,LEN(C1351)-1),2))</f>
        <v>LogChantDepuisPLTC23</v>
      </c>
      <c r="F1351" t="s">
        <v>17</v>
      </c>
      <c r="G1351" s="14">
        <f t="shared" si="299"/>
        <v>0</v>
      </c>
      <c r="H1351" s="3"/>
      <c r="J1351" t="s">
        <v>70</v>
      </c>
      <c r="K1351" s="7">
        <v>0.6</v>
      </c>
      <c r="M1351" t="s">
        <v>220</v>
      </c>
    </row>
    <row r="1352" spans="1:13" outlineLevel="1" x14ac:dyDescent="0.25">
      <c r="A1352" t="s">
        <v>215</v>
      </c>
      <c r="B1352" t="s">
        <v>408</v>
      </c>
      <c r="C1352" t="str">
        <f>_xlfn.CONCAT("Nombre de trajets associés"," (",'Remplissage - Sit. Expost'!$B$243,")")</f>
        <v>Nombre de trajets associés (Catégorie 23)</v>
      </c>
      <c r="E1352" t="str">
        <f t="shared" ref="E1352" si="325">_xlfn.CONCAT("LogChantDepuisPLNbTraj",RIGHT(LEFT(C1352,LEN(C1352)-1),2))</f>
        <v>LogChantDepuisPLNbTraj23</v>
      </c>
      <c r="F1352" t="s">
        <v>17</v>
      </c>
      <c r="G1352" s="14">
        <f t="shared" si="299"/>
        <v>0</v>
      </c>
      <c r="J1352" t="s">
        <v>145</v>
      </c>
      <c r="K1352">
        <v>3</v>
      </c>
      <c r="M1352" t="s">
        <v>220</v>
      </c>
    </row>
    <row r="1353" spans="1:13" outlineLevel="1" x14ac:dyDescent="0.25">
      <c r="A1353" t="s">
        <v>215</v>
      </c>
      <c r="B1353" t="s">
        <v>409</v>
      </c>
      <c r="C1353" t="str">
        <f>_xlfn.CONCAT("Taux de chargement moyen des véhicules pour l'accès au(x) chantier(s) depuis la plateforme"," (",'Remplissage - Sit. Expost'!$B$253,")")</f>
        <v>Taux de chargement moyen des véhicules pour l'accès au(x) chantier(s) depuis la plateforme (Catégorie 24)</v>
      </c>
      <c r="E1353" t="str">
        <f t="shared" ref="E1353" si="326">_xlfn.CONCAT("LogChantDepuisPLTC",RIGHT(LEFT(C1353,LEN(C1353)-1),2))</f>
        <v>LogChantDepuisPLTC24</v>
      </c>
      <c r="F1353" t="s">
        <v>17</v>
      </c>
      <c r="G1353" s="14">
        <f t="shared" si="299"/>
        <v>0</v>
      </c>
      <c r="H1353" s="3"/>
      <c r="J1353" t="s">
        <v>70</v>
      </c>
      <c r="K1353" s="7">
        <v>0.6</v>
      </c>
      <c r="M1353" t="s">
        <v>220</v>
      </c>
    </row>
    <row r="1354" spans="1:13" outlineLevel="1" x14ac:dyDescent="0.25">
      <c r="A1354" t="s">
        <v>215</v>
      </c>
      <c r="B1354" t="s">
        <v>409</v>
      </c>
      <c r="C1354" t="str">
        <f>_xlfn.CONCAT("Nombre de trajets associés"," (",'Remplissage - Sit. Expost'!$B$253,")")</f>
        <v>Nombre de trajets associés (Catégorie 24)</v>
      </c>
      <c r="E1354" t="str">
        <f t="shared" ref="E1354" si="327">_xlfn.CONCAT("LogChantDepuisPLNbTraj",RIGHT(LEFT(C1354,LEN(C1354)-1),2))</f>
        <v>LogChantDepuisPLNbTraj24</v>
      </c>
      <c r="F1354" t="s">
        <v>17</v>
      </c>
      <c r="G1354" s="14">
        <f t="shared" si="299"/>
        <v>0</v>
      </c>
      <c r="J1354" t="s">
        <v>145</v>
      </c>
      <c r="K1354">
        <v>3</v>
      </c>
      <c r="M1354" t="s">
        <v>220</v>
      </c>
    </row>
    <row r="1355" spans="1:13" outlineLevel="1" x14ac:dyDescent="0.25">
      <c r="A1355" t="s">
        <v>215</v>
      </c>
      <c r="B1355" t="s">
        <v>410</v>
      </c>
      <c r="C1355" t="str">
        <f>_xlfn.CONCAT("Taux de chargement moyen des véhicules pour l'accès au(x) chantier(s) depuis la plateforme"," (",'Remplissage - Sit. Expost'!$B$263,")")</f>
        <v>Taux de chargement moyen des véhicules pour l'accès au(x) chantier(s) depuis la plateforme (Catégorie 25)</v>
      </c>
      <c r="E1355" t="str">
        <f t="shared" ref="E1355" si="328">_xlfn.CONCAT("LogChantDepuisPLTC",RIGHT(LEFT(C1355,LEN(C1355)-1),2))</f>
        <v>LogChantDepuisPLTC25</v>
      </c>
      <c r="F1355" t="s">
        <v>17</v>
      </c>
      <c r="G1355" s="14">
        <f t="shared" si="299"/>
        <v>0</v>
      </c>
      <c r="H1355" s="3"/>
      <c r="J1355" t="s">
        <v>70</v>
      </c>
      <c r="K1355" s="7">
        <v>0.6</v>
      </c>
      <c r="M1355" t="s">
        <v>220</v>
      </c>
    </row>
    <row r="1356" spans="1:13" outlineLevel="1" x14ac:dyDescent="0.25">
      <c r="A1356" t="s">
        <v>215</v>
      </c>
      <c r="B1356" t="s">
        <v>410</v>
      </c>
      <c r="C1356" t="str">
        <f>_xlfn.CONCAT("Nombre de trajets associés"," (",'Remplissage - Sit. Expost'!$B$263,")")</f>
        <v>Nombre de trajets associés (Catégorie 25)</v>
      </c>
      <c r="E1356" t="str">
        <f t="shared" ref="E1356" si="329">_xlfn.CONCAT("LogChantDepuisPLNbTraj",RIGHT(LEFT(C1356,LEN(C1356)-1),2))</f>
        <v>LogChantDepuisPLNbTraj25</v>
      </c>
      <c r="F1356" t="s">
        <v>17</v>
      </c>
      <c r="G1356" s="14">
        <f t="shared" si="299"/>
        <v>0</v>
      </c>
      <c r="J1356" t="s">
        <v>145</v>
      </c>
      <c r="K1356">
        <v>3</v>
      </c>
      <c r="M1356" t="s">
        <v>220</v>
      </c>
    </row>
    <row r="1357" spans="1:13" outlineLevel="1" x14ac:dyDescent="0.25">
      <c r="A1357" t="s">
        <v>215</v>
      </c>
      <c r="B1357" t="s">
        <v>411</v>
      </c>
      <c r="C1357" t="str">
        <f>_xlfn.CONCAT("Taux de chargement moyen des véhicules pour l'accès au(x) chantier(s) depuis la plateforme"," (",'Remplissage - Sit. Expost'!$B$273,")")</f>
        <v>Taux de chargement moyen des véhicules pour l'accès au(x) chantier(s) depuis la plateforme (Catégorie 26)</v>
      </c>
      <c r="E1357" t="str">
        <f t="shared" ref="E1357" si="330">_xlfn.CONCAT("LogChantDepuisPLTC",RIGHT(LEFT(C1357,LEN(C1357)-1),2))</f>
        <v>LogChantDepuisPLTC26</v>
      </c>
      <c r="F1357" t="s">
        <v>17</v>
      </c>
      <c r="G1357" s="14">
        <f t="shared" si="299"/>
        <v>0</v>
      </c>
      <c r="H1357" s="3"/>
      <c r="J1357" t="s">
        <v>70</v>
      </c>
      <c r="K1357" s="7">
        <v>0.6</v>
      </c>
      <c r="M1357" t="s">
        <v>220</v>
      </c>
    </row>
    <row r="1358" spans="1:13" outlineLevel="1" x14ac:dyDescent="0.25">
      <c r="A1358" t="s">
        <v>215</v>
      </c>
      <c r="B1358" t="s">
        <v>411</v>
      </c>
      <c r="C1358" t="str">
        <f>_xlfn.CONCAT("Nombre de trajets associés"," (",'Remplissage - Sit. Expost'!$B$273,")")</f>
        <v>Nombre de trajets associés (Catégorie 26)</v>
      </c>
      <c r="E1358" t="str">
        <f t="shared" ref="E1358" si="331">_xlfn.CONCAT("LogChantDepuisPLNbTraj",RIGHT(LEFT(C1358,LEN(C1358)-1),2))</f>
        <v>LogChantDepuisPLNbTraj26</v>
      </c>
      <c r="F1358" t="s">
        <v>17</v>
      </c>
      <c r="G1358" s="14">
        <f t="shared" si="299"/>
        <v>0</v>
      </c>
      <c r="J1358" t="s">
        <v>145</v>
      </c>
      <c r="K1358">
        <v>3</v>
      </c>
      <c r="M1358" t="s">
        <v>220</v>
      </c>
    </row>
    <row r="1359" spans="1:13" outlineLevel="1" x14ac:dyDescent="0.25">
      <c r="A1359" t="s">
        <v>215</v>
      </c>
      <c r="B1359" t="s">
        <v>412</v>
      </c>
      <c r="C1359" t="str">
        <f>_xlfn.CONCAT("Taux de chargement moyen des véhicules pour l'accès au(x) chantier(s) depuis la plateforme"," (",'Remplissage - Sit. Expost'!$B$283,")")</f>
        <v>Taux de chargement moyen des véhicules pour l'accès au(x) chantier(s) depuis la plateforme (Catégorie 27)</v>
      </c>
      <c r="E1359" t="str">
        <f t="shared" ref="E1359" si="332">_xlfn.CONCAT("LogChantDepuisPLTC",RIGHT(LEFT(C1359,LEN(C1359)-1),2))</f>
        <v>LogChantDepuisPLTC27</v>
      </c>
      <c r="F1359" t="s">
        <v>17</v>
      </c>
      <c r="G1359" s="14">
        <f t="shared" si="299"/>
        <v>0</v>
      </c>
      <c r="H1359" s="3"/>
      <c r="J1359" t="s">
        <v>70</v>
      </c>
      <c r="K1359" s="7">
        <v>0.6</v>
      </c>
      <c r="M1359" t="s">
        <v>220</v>
      </c>
    </row>
    <row r="1360" spans="1:13" outlineLevel="1" x14ac:dyDescent="0.25">
      <c r="A1360" t="s">
        <v>215</v>
      </c>
      <c r="B1360" t="s">
        <v>412</v>
      </c>
      <c r="C1360" t="str">
        <f>_xlfn.CONCAT("Nombre de trajets associés"," (",'Remplissage - Sit. Expost'!$B$283,")")</f>
        <v>Nombre de trajets associés (Catégorie 27)</v>
      </c>
      <c r="E1360" t="str">
        <f t="shared" ref="E1360" si="333">_xlfn.CONCAT("LogChantDepuisPLNbTraj",RIGHT(LEFT(C1360,LEN(C1360)-1),2))</f>
        <v>LogChantDepuisPLNbTraj27</v>
      </c>
      <c r="F1360" t="s">
        <v>17</v>
      </c>
      <c r="G1360" s="14">
        <f t="shared" si="299"/>
        <v>0</v>
      </c>
      <c r="J1360" t="s">
        <v>145</v>
      </c>
      <c r="K1360">
        <v>3</v>
      </c>
      <c r="M1360" t="s">
        <v>220</v>
      </c>
    </row>
    <row r="1361" spans="1:13" outlineLevel="1" x14ac:dyDescent="0.25">
      <c r="A1361" t="s">
        <v>215</v>
      </c>
      <c r="B1361" t="s">
        <v>413</v>
      </c>
      <c r="C1361" t="str">
        <f>_xlfn.CONCAT("Taux de chargement moyen des véhicules pour l'accès au(x) chantier(s) depuis la plateforme"," (",'Remplissage - Sit. Expost'!$B$293,")")</f>
        <v>Taux de chargement moyen des véhicules pour l'accès au(x) chantier(s) depuis la plateforme (Catégorie 28)</v>
      </c>
      <c r="E1361" t="str">
        <f t="shared" ref="E1361" si="334">_xlfn.CONCAT("LogChantDepuisPLTC",RIGHT(LEFT(C1361,LEN(C1361)-1),2))</f>
        <v>LogChantDepuisPLTC28</v>
      </c>
      <c r="F1361" t="s">
        <v>17</v>
      </c>
      <c r="G1361" s="14">
        <f t="shared" si="299"/>
        <v>0</v>
      </c>
      <c r="H1361" s="3"/>
      <c r="J1361" t="s">
        <v>70</v>
      </c>
      <c r="K1361" s="7">
        <v>0.6</v>
      </c>
      <c r="M1361" t="s">
        <v>220</v>
      </c>
    </row>
    <row r="1362" spans="1:13" outlineLevel="1" x14ac:dyDescent="0.25">
      <c r="A1362" t="s">
        <v>215</v>
      </c>
      <c r="B1362" t="s">
        <v>413</v>
      </c>
      <c r="C1362" t="str">
        <f>_xlfn.CONCAT("Nombre de trajets associés"," (",'Remplissage - Sit. Expost'!$B$293,")")</f>
        <v>Nombre de trajets associés (Catégorie 28)</v>
      </c>
      <c r="E1362" t="str">
        <f t="shared" ref="E1362" si="335">_xlfn.CONCAT("LogChantDepuisPLNbTraj",RIGHT(LEFT(C1362,LEN(C1362)-1),2))</f>
        <v>LogChantDepuisPLNbTraj28</v>
      </c>
      <c r="F1362" t="s">
        <v>17</v>
      </c>
      <c r="G1362" s="14">
        <f t="shared" si="299"/>
        <v>0</v>
      </c>
      <c r="J1362" t="s">
        <v>145</v>
      </c>
      <c r="K1362">
        <v>3</v>
      </c>
      <c r="M1362" t="s">
        <v>220</v>
      </c>
    </row>
    <row r="1363" spans="1:13" outlineLevel="1" x14ac:dyDescent="0.25">
      <c r="A1363" t="s">
        <v>215</v>
      </c>
      <c r="B1363" t="s">
        <v>414</v>
      </c>
      <c r="C1363" t="str">
        <f>_xlfn.CONCAT("Taux de chargement moyen des véhicules pour l'accès au(x) chantier(s) depuis la plateforme"," (",'Remplissage - Sit. Expost'!$B$303,")")</f>
        <v>Taux de chargement moyen des véhicules pour l'accès au(x) chantier(s) depuis la plateforme (Catégorie 29)</v>
      </c>
      <c r="E1363" t="str">
        <f t="shared" ref="E1363" si="336">_xlfn.CONCAT("LogChantDepuisPLTC",RIGHT(LEFT(C1363,LEN(C1363)-1),2))</f>
        <v>LogChantDepuisPLTC29</v>
      </c>
      <c r="F1363" t="s">
        <v>17</v>
      </c>
      <c r="G1363" s="14">
        <f t="shared" si="299"/>
        <v>0</v>
      </c>
      <c r="H1363" s="3"/>
      <c r="J1363" t="s">
        <v>70</v>
      </c>
      <c r="K1363" s="7">
        <v>0.6</v>
      </c>
      <c r="M1363" t="s">
        <v>220</v>
      </c>
    </row>
    <row r="1364" spans="1:13" outlineLevel="1" x14ac:dyDescent="0.25">
      <c r="A1364" t="s">
        <v>215</v>
      </c>
      <c r="B1364" t="s">
        <v>414</v>
      </c>
      <c r="C1364" t="str">
        <f>_xlfn.CONCAT("Nombre de trajets associés"," (",'Remplissage - Sit. Expost'!$B$303,")")</f>
        <v>Nombre de trajets associés (Catégorie 29)</v>
      </c>
      <c r="E1364" t="str">
        <f t="shared" ref="E1364" si="337">_xlfn.CONCAT("LogChantDepuisPLNbTraj",RIGHT(LEFT(C1364,LEN(C1364)-1),2))</f>
        <v>LogChantDepuisPLNbTraj29</v>
      </c>
      <c r="F1364" t="s">
        <v>17</v>
      </c>
      <c r="G1364" s="14">
        <f t="shared" si="299"/>
        <v>0</v>
      </c>
      <c r="J1364" t="s">
        <v>145</v>
      </c>
      <c r="K1364">
        <v>3</v>
      </c>
      <c r="M1364" t="s">
        <v>220</v>
      </c>
    </row>
    <row r="1365" spans="1:13" outlineLevel="1" x14ac:dyDescent="0.25">
      <c r="A1365" t="s">
        <v>215</v>
      </c>
      <c r="B1365" t="s">
        <v>415</v>
      </c>
      <c r="C1365" t="str">
        <f>_xlfn.CONCAT("Taux de chargement moyen des véhicules pour l'accès au(x) chantier(s) depuis la plateforme"," (",'Remplissage - Sit. Expost'!$B$313,")")</f>
        <v>Taux de chargement moyen des véhicules pour l'accès au(x) chantier(s) depuis la plateforme (Catégorie 30)</v>
      </c>
      <c r="E1365" t="str">
        <f t="shared" ref="E1365" si="338">_xlfn.CONCAT("LogChantDepuisPLTC",RIGHT(LEFT(C1365,LEN(C1365)-1),2))</f>
        <v>LogChantDepuisPLTC30</v>
      </c>
      <c r="F1365" t="s">
        <v>17</v>
      </c>
      <c r="G1365" s="14">
        <f t="shared" si="299"/>
        <v>0</v>
      </c>
      <c r="H1365" s="3"/>
      <c r="J1365" t="s">
        <v>70</v>
      </c>
      <c r="K1365" s="7">
        <v>0.6</v>
      </c>
      <c r="M1365" t="s">
        <v>220</v>
      </c>
    </row>
    <row r="1366" spans="1:13" outlineLevel="1" x14ac:dyDescent="0.25">
      <c r="A1366" t="s">
        <v>215</v>
      </c>
      <c r="B1366" t="s">
        <v>415</v>
      </c>
      <c r="C1366" t="str">
        <f>_xlfn.CONCAT("Nombre de trajets associés"," (",'Remplissage - Sit. Expost'!$B$313,")")</f>
        <v>Nombre de trajets associés (Catégorie 30)</v>
      </c>
      <c r="E1366" t="str">
        <f t="shared" ref="E1366" si="339">_xlfn.CONCAT("LogChantDepuisPLNbTraj",RIGHT(LEFT(C1366,LEN(C1366)-1),2))</f>
        <v>LogChantDepuisPLNbTraj30</v>
      </c>
      <c r="F1366" t="s">
        <v>17</v>
      </c>
      <c r="G1366" s="14">
        <f t="shared" si="299"/>
        <v>0</v>
      </c>
      <c r="J1366" t="s">
        <v>145</v>
      </c>
      <c r="K1366">
        <v>3</v>
      </c>
      <c r="M1366" t="s">
        <v>220</v>
      </c>
    </row>
    <row r="1367" spans="1:13" outlineLevel="1" x14ac:dyDescent="0.25">
      <c r="A1367" t="s">
        <v>215</v>
      </c>
      <c r="B1367" t="s">
        <v>416</v>
      </c>
      <c r="C1367" t="str">
        <f>_xlfn.CONCAT("Taux de chargement moyen des véhicules pour l'accès au(x) chantier(s) depuis la plateforme"," (",'Remplissage - Sit. Expost'!$B$323,")")</f>
        <v>Taux de chargement moyen des véhicules pour l'accès au(x) chantier(s) depuis la plateforme (Catégorie 31)</v>
      </c>
      <c r="E1367" t="str">
        <f t="shared" ref="E1367" si="340">_xlfn.CONCAT("LogChantDepuisPLTC",RIGHT(LEFT(C1367,LEN(C1367)-1),2))</f>
        <v>LogChantDepuisPLTC31</v>
      </c>
      <c r="F1367" t="s">
        <v>17</v>
      </c>
      <c r="G1367" s="14">
        <f t="shared" si="299"/>
        <v>0</v>
      </c>
      <c r="H1367" s="3"/>
      <c r="J1367" t="s">
        <v>70</v>
      </c>
      <c r="K1367" s="7">
        <v>0.6</v>
      </c>
      <c r="M1367" t="s">
        <v>220</v>
      </c>
    </row>
    <row r="1368" spans="1:13" outlineLevel="1" x14ac:dyDescent="0.25">
      <c r="A1368" t="s">
        <v>215</v>
      </c>
      <c r="B1368" t="s">
        <v>416</v>
      </c>
      <c r="C1368" t="str">
        <f>_xlfn.CONCAT("Nombre de trajets associés"," (",'Remplissage - Sit. Expost'!$B$323,")")</f>
        <v>Nombre de trajets associés (Catégorie 31)</v>
      </c>
      <c r="E1368" t="str">
        <f t="shared" ref="E1368" si="341">_xlfn.CONCAT("LogChantDepuisPLNbTraj",RIGHT(LEFT(C1368,LEN(C1368)-1),2))</f>
        <v>LogChantDepuisPLNbTraj31</v>
      </c>
      <c r="F1368" t="s">
        <v>17</v>
      </c>
      <c r="G1368" s="14">
        <f t="shared" si="299"/>
        <v>0</v>
      </c>
      <c r="J1368" t="s">
        <v>145</v>
      </c>
      <c r="K1368">
        <v>3</v>
      </c>
      <c r="M1368" t="s">
        <v>220</v>
      </c>
    </row>
    <row r="1369" spans="1:13" outlineLevel="1" x14ac:dyDescent="0.25">
      <c r="A1369" t="s">
        <v>215</v>
      </c>
      <c r="B1369" t="s">
        <v>417</v>
      </c>
      <c r="C1369" t="str">
        <f>_xlfn.CONCAT("Taux de chargement moyen des véhicules pour l'accès au(x) chantier(s) depuis la plateforme"," (",'Remplissage - Sit. Expost'!$B$333,")")</f>
        <v>Taux de chargement moyen des véhicules pour l'accès au(x) chantier(s) depuis la plateforme (Catégorie 32)</v>
      </c>
      <c r="E1369" t="str">
        <f t="shared" ref="E1369" si="342">_xlfn.CONCAT("LogChantDepuisPLTC",RIGHT(LEFT(C1369,LEN(C1369)-1),2))</f>
        <v>LogChantDepuisPLTC32</v>
      </c>
      <c r="F1369" t="s">
        <v>17</v>
      </c>
      <c r="G1369" s="14">
        <f t="shared" si="299"/>
        <v>0</v>
      </c>
      <c r="H1369" s="3"/>
      <c r="J1369" t="s">
        <v>70</v>
      </c>
      <c r="K1369" s="7">
        <v>0.6</v>
      </c>
      <c r="M1369" t="s">
        <v>220</v>
      </c>
    </row>
    <row r="1370" spans="1:13" outlineLevel="1" x14ac:dyDescent="0.25">
      <c r="A1370" t="s">
        <v>215</v>
      </c>
      <c r="B1370" t="s">
        <v>417</v>
      </c>
      <c r="C1370" t="str">
        <f>_xlfn.CONCAT("Nombre de trajets associés"," (",'Remplissage - Sit. Expost'!$B$333,")")</f>
        <v>Nombre de trajets associés (Catégorie 32)</v>
      </c>
      <c r="E1370" t="str">
        <f t="shared" ref="E1370" si="343">_xlfn.CONCAT("LogChantDepuisPLNbTraj",RIGHT(LEFT(C1370,LEN(C1370)-1),2))</f>
        <v>LogChantDepuisPLNbTraj32</v>
      </c>
      <c r="F1370" t="s">
        <v>17</v>
      </c>
      <c r="G1370" s="14">
        <f t="shared" si="299"/>
        <v>0</v>
      </c>
      <c r="J1370" t="s">
        <v>145</v>
      </c>
      <c r="K1370">
        <v>3</v>
      </c>
      <c r="M1370" t="s">
        <v>220</v>
      </c>
    </row>
    <row r="1371" spans="1:13" outlineLevel="1" x14ac:dyDescent="0.25">
      <c r="A1371" t="s">
        <v>215</v>
      </c>
      <c r="B1371" t="s">
        <v>418</v>
      </c>
      <c r="C1371" t="str">
        <f>_xlfn.CONCAT("Taux de chargement moyen des véhicules pour l'accès au(x) chantier(s) depuis la plateforme"," (",'Remplissage - Sit. Expost'!$B$343,")")</f>
        <v>Taux de chargement moyen des véhicules pour l'accès au(x) chantier(s) depuis la plateforme (Catégorie 33)</v>
      </c>
      <c r="E1371" t="str">
        <f t="shared" ref="E1371" si="344">_xlfn.CONCAT("LogChantDepuisPLTC",RIGHT(LEFT(C1371,LEN(C1371)-1),2))</f>
        <v>LogChantDepuisPLTC33</v>
      </c>
      <c r="F1371" t="s">
        <v>17</v>
      </c>
      <c r="G1371" s="14">
        <f t="shared" si="299"/>
        <v>0</v>
      </c>
      <c r="H1371" s="3"/>
      <c r="J1371" t="s">
        <v>70</v>
      </c>
      <c r="K1371" s="7">
        <v>0.6</v>
      </c>
      <c r="M1371" t="s">
        <v>220</v>
      </c>
    </row>
    <row r="1372" spans="1:13" outlineLevel="1" x14ac:dyDescent="0.25">
      <c r="A1372" t="s">
        <v>215</v>
      </c>
      <c r="B1372" t="s">
        <v>418</v>
      </c>
      <c r="C1372" t="str">
        <f>_xlfn.CONCAT("Nombre de trajets associés"," (",'Remplissage - Sit. Expost'!$B$343,")")</f>
        <v>Nombre de trajets associés (Catégorie 33)</v>
      </c>
      <c r="E1372" t="str">
        <f t="shared" ref="E1372" si="345">_xlfn.CONCAT("LogChantDepuisPLNbTraj",RIGHT(LEFT(C1372,LEN(C1372)-1),2))</f>
        <v>LogChantDepuisPLNbTraj33</v>
      </c>
      <c r="F1372" t="s">
        <v>17</v>
      </c>
      <c r="G1372" s="14">
        <f t="shared" ref="G1372:G1396" si="346">(IF(ISNUMBER(SEARCH($B1372,$H$1303)),1,0))*(IF(ISNUMBER(SEARCH("Par catégorie de véhicule sélectionnée",$H$1115)),1,0))</f>
        <v>0</v>
      </c>
      <c r="J1372" t="s">
        <v>145</v>
      </c>
      <c r="K1372">
        <v>3</v>
      </c>
      <c r="M1372" t="s">
        <v>220</v>
      </c>
    </row>
    <row r="1373" spans="1:13" outlineLevel="1" x14ac:dyDescent="0.25">
      <c r="A1373" t="s">
        <v>215</v>
      </c>
      <c r="B1373" t="s">
        <v>419</v>
      </c>
      <c r="C1373" t="str">
        <f>_xlfn.CONCAT("Taux de chargement moyen des véhicules pour l'accès au(x) chantier(s) depuis la plateforme"," (",'Remplissage - Sit. Expost'!$B$353,")")</f>
        <v>Taux de chargement moyen des véhicules pour l'accès au(x) chantier(s) depuis la plateforme (Catégorie 34)</v>
      </c>
      <c r="E1373" t="str">
        <f t="shared" ref="E1373" si="347">_xlfn.CONCAT("LogChantDepuisPLTC",RIGHT(LEFT(C1373,LEN(C1373)-1),2))</f>
        <v>LogChantDepuisPLTC34</v>
      </c>
      <c r="F1373" t="s">
        <v>17</v>
      </c>
      <c r="G1373" s="14">
        <f t="shared" si="346"/>
        <v>0</v>
      </c>
      <c r="H1373" s="3"/>
      <c r="J1373" t="s">
        <v>70</v>
      </c>
      <c r="K1373" s="7">
        <v>0.6</v>
      </c>
      <c r="M1373" t="s">
        <v>220</v>
      </c>
    </row>
    <row r="1374" spans="1:13" outlineLevel="1" x14ac:dyDescent="0.25">
      <c r="A1374" t="s">
        <v>215</v>
      </c>
      <c r="B1374" t="s">
        <v>419</v>
      </c>
      <c r="C1374" t="str">
        <f>_xlfn.CONCAT("Nombre de trajets associés"," (",'Remplissage - Sit. Expost'!$B$353,")")</f>
        <v>Nombre de trajets associés (Catégorie 34)</v>
      </c>
      <c r="E1374" t="str">
        <f t="shared" ref="E1374" si="348">_xlfn.CONCAT("LogChantDepuisPLNbTraj",RIGHT(LEFT(C1374,LEN(C1374)-1),2))</f>
        <v>LogChantDepuisPLNbTraj34</v>
      </c>
      <c r="F1374" t="s">
        <v>17</v>
      </c>
      <c r="G1374" s="14">
        <f t="shared" si="346"/>
        <v>0</v>
      </c>
      <c r="J1374" t="s">
        <v>145</v>
      </c>
      <c r="K1374">
        <v>3</v>
      </c>
      <c r="M1374" t="s">
        <v>220</v>
      </c>
    </row>
    <row r="1375" spans="1:13" outlineLevel="1" x14ac:dyDescent="0.25">
      <c r="A1375" t="s">
        <v>215</v>
      </c>
      <c r="B1375" t="s">
        <v>420</v>
      </c>
      <c r="C1375" t="str">
        <f>_xlfn.CONCAT("Taux de chargement moyen des véhicules pour l'accès au(x) chantier(s) depuis la plateforme"," (",'Remplissage - Sit. Expost'!$B$363,")")</f>
        <v>Taux de chargement moyen des véhicules pour l'accès au(x) chantier(s) depuis la plateforme (Catégorie 35)</v>
      </c>
      <c r="E1375" t="str">
        <f t="shared" ref="E1375" si="349">_xlfn.CONCAT("LogChantDepuisPLTC",RIGHT(LEFT(C1375,LEN(C1375)-1),2))</f>
        <v>LogChantDepuisPLTC35</v>
      </c>
      <c r="F1375" t="s">
        <v>17</v>
      </c>
      <c r="G1375" s="14">
        <f t="shared" si="346"/>
        <v>0</v>
      </c>
      <c r="H1375" s="3"/>
      <c r="J1375" t="s">
        <v>70</v>
      </c>
      <c r="K1375" s="7">
        <v>0.6</v>
      </c>
      <c r="M1375" t="s">
        <v>220</v>
      </c>
    </row>
    <row r="1376" spans="1:13" outlineLevel="1" x14ac:dyDescent="0.25">
      <c r="A1376" t="s">
        <v>215</v>
      </c>
      <c r="B1376" t="s">
        <v>420</v>
      </c>
      <c r="C1376" t="str">
        <f>_xlfn.CONCAT("Nombre de trajets associés"," (",'Remplissage - Sit. Expost'!$B$363,")")</f>
        <v>Nombre de trajets associés (Catégorie 35)</v>
      </c>
      <c r="E1376" t="str">
        <f t="shared" ref="E1376" si="350">_xlfn.CONCAT("LogChantDepuisPLNbTraj",RIGHT(LEFT(C1376,LEN(C1376)-1),2))</f>
        <v>LogChantDepuisPLNbTraj35</v>
      </c>
      <c r="F1376" t="s">
        <v>17</v>
      </c>
      <c r="G1376" s="14">
        <f t="shared" si="346"/>
        <v>0</v>
      </c>
      <c r="J1376" t="s">
        <v>145</v>
      </c>
      <c r="K1376">
        <v>3</v>
      </c>
      <c r="M1376" t="s">
        <v>220</v>
      </c>
    </row>
    <row r="1377" spans="1:13" outlineLevel="1" x14ac:dyDescent="0.25">
      <c r="A1377" t="s">
        <v>215</v>
      </c>
      <c r="B1377" t="s">
        <v>421</v>
      </c>
      <c r="C1377" t="str">
        <f>_xlfn.CONCAT("Taux de chargement moyen des véhicules pour l'accès au(x) chantier(s) depuis la plateforme"," (",'Remplissage - Sit. Expost'!$B$373,")")</f>
        <v>Taux de chargement moyen des véhicules pour l'accès au(x) chantier(s) depuis la plateforme (Catégorie 36)</v>
      </c>
      <c r="E1377" t="str">
        <f t="shared" ref="E1377" si="351">_xlfn.CONCAT("LogChantDepuisPLTC",RIGHT(LEFT(C1377,LEN(C1377)-1),2))</f>
        <v>LogChantDepuisPLTC36</v>
      </c>
      <c r="F1377" t="s">
        <v>17</v>
      </c>
      <c r="G1377" s="14">
        <f t="shared" si="346"/>
        <v>0</v>
      </c>
      <c r="H1377" s="3"/>
      <c r="J1377" t="s">
        <v>70</v>
      </c>
      <c r="K1377" s="7">
        <v>0.6</v>
      </c>
      <c r="M1377" t="s">
        <v>220</v>
      </c>
    </row>
    <row r="1378" spans="1:13" outlineLevel="1" x14ac:dyDescent="0.25">
      <c r="A1378" t="s">
        <v>215</v>
      </c>
      <c r="B1378" t="s">
        <v>421</v>
      </c>
      <c r="C1378" t="str">
        <f>_xlfn.CONCAT("Nombre de trajets associés"," (",'Remplissage - Sit. Expost'!$B$373,")")</f>
        <v>Nombre de trajets associés (Catégorie 36)</v>
      </c>
      <c r="E1378" t="str">
        <f t="shared" ref="E1378" si="352">_xlfn.CONCAT("LogChantDepuisPLNbTraj",RIGHT(LEFT(C1378,LEN(C1378)-1),2))</f>
        <v>LogChantDepuisPLNbTraj36</v>
      </c>
      <c r="F1378" t="s">
        <v>17</v>
      </c>
      <c r="G1378" s="14">
        <f t="shared" si="346"/>
        <v>0</v>
      </c>
      <c r="J1378" t="s">
        <v>145</v>
      </c>
      <c r="K1378">
        <v>3</v>
      </c>
      <c r="M1378" t="s">
        <v>220</v>
      </c>
    </row>
    <row r="1379" spans="1:13" outlineLevel="1" x14ac:dyDescent="0.25">
      <c r="A1379" t="s">
        <v>215</v>
      </c>
      <c r="B1379" t="s">
        <v>422</v>
      </c>
      <c r="C1379" t="str">
        <f>_xlfn.CONCAT("Taux de chargement moyen des véhicules pour l'accès au(x) chantier(s) depuis la plateforme"," (",'Remplissage - Sit. Expost'!$B$383,")")</f>
        <v>Taux de chargement moyen des véhicules pour l'accès au(x) chantier(s) depuis la plateforme (Catégorie 37)</v>
      </c>
      <c r="E1379" t="str">
        <f t="shared" ref="E1379" si="353">_xlfn.CONCAT("LogChantDepuisPLTC",RIGHT(LEFT(C1379,LEN(C1379)-1),2))</f>
        <v>LogChantDepuisPLTC37</v>
      </c>
      <c r="F1379" t="s">
        <v>17</v>
      </c>
      <c r="G1379" s="14">
        <f t="shared" si="346"/>
        <v>0</v>
      </c>
      <c r="H1379" s="3"/>
      <c r="J1379" t="s">
        <v>70</v>
      </c>
      <c r="K1379" s="7">
        <v>0.6</v>
      </c>
      <c r="M1379" t="s">
        <v>220</v>
      </c>
    </row>
    <row r="1380" spans="1:13" outlineLevel="1" x14ac:dyDescent="0.25">
      <c r="A1380" t="s">
        <v>215</v>
      </c>
      <c r="B1380" t="s">
        <v>422</v>
      </c>
      <c r="C1380" t="str">
        <f>_xlfn.CONCAT("Nombre de trajets associés"," (",'Remplissage - Sit. Expost'!$B$383,")")</f>
        <v>Nombre de trajets associés (Catégorie 37)</v>
      </c>
      <c r="E1380" t="str">
        <f t="shared" ref="E1380" si="354">_xlfn.CONCAT("LogChantDepuisPLNbTraj",RIGHT(LEFT(C1380,LEN(C1380)-1),2))</f>
        <v>LogChantDepuisPLNbTraj37</v>
      </c>
      <c r="F1380" t="s">
        <v>17</v>
      </c>
      <c r="G1380" s="14">
        <f t="shared" si="346"/>
        <v>0</v>
      </c>
      <c r="J1380" t="s">
        <v>145</v>
      </c>
      <c r="K1380">
        <v>3</v>
      </c>
      <c r="M1380" t="s">
        <v>220</v>
      </c>
    </row>
    <row r="1381" spans="1:13" outlineLevel="1" x14ac:dyDescent="0.25">
      <c r="A1381" t="s">
        <v>215</v>
      </c>
      <c r="B1381" t="s">
        <v>423</v>
      </c>
      <c r="C1381" t="str">
        <f>_xlfn.CONCAT("Taux de chargement moyen des véhicules pour l'accès au(x) chantier(s) depuis la plateforme"," (",'Remplissage - Sit. Expost'!$B$393,")")</f>
        <v>Taux de chargement moyen des véhicules pour l'accès au(x) chantier(s) depuis la plateforme (Catégorie 38)</v>
      </c>
      <c r="E1381" t="str">
        <f t="shared" ref="E1381" si="355">_xlfn.CONCAT("LogChantDepuisPLTC",RIGHT(LEFT(C1381,LEN(C1381)-1),2))</f>
        <v>LogChantDepuisPLTC38</v>
      </c>
      <c r="F1381" t="s">
        <v>17</v>
      </c>
      <c r="G1381" s="14">
        <f t="shared" si="346"/>
        <v>0</v>
      </c>
      <c r="H1381" s="3"/>
      <c r="J1381" t="s">
        <v>70</v>
      </c>
      <c r="K1381" s="7">
        <v>0.6</v>
      </c>
      <c r="M1381" t="s">
        <v>220</v>
      </c>
    </row>
    <row r="1382" spans="1:13" outlineLevel="1" x14ac:dyDescent="0.25">
      <c r="A1382" t="s">
        <v>215</v>
      </c>
      <c r="B1382" t="s">
        <v>423</v>
      </c>
      <c r="C1382" t="str">
        <f>_xlfn.CONCAT("Nombre de trajets associés"," (",'Remplissage - Sit. Expost'!$B$393,")")</f>
        <v>Nombre de trajets associés (Catégorie 38)</v>
      </c>
      <c r="E1382" t="str">
        <f t="shared" ref="E1382" si="356">_xlfn.CONCAT("LogChantDepuisPLNbTraj",RIGHT(LEFT(C1382,LEN(C1382)-1),2))</f>
        <v>LogChantDepuisPLNbTraj38</v>
      </c>
      <c r="F1382" t="s">
        <v>17</v>
      </c>
      <c r="G1382" s="14">
        <f t="shared" si="346"/>
        <v>0</v>
      </c>
      <c r="J1382" t="s">
        <v>145</v>
      </c>
      <c r="K1382">
        <v>3</v>
      </c>
      <c r="M1382" t="s">
        <v>220</v>
      </c>
    </row>
    <row r="1383" spans="1:13" outlineLevel="1" x14ac:dyDescent="0.25">
      <c r="A1383" t="s">
        <v>215</v>
      </c>
      <c r="B1383" t="s">
        <v>424</v>
      </c>
      <c r="C1383" t="str">
        <f>_xlfn.CONCAT("Taux de chargement moyen des véhicules pour l'accès au(x) chantier(s) depuis la plateforme"," (",'Remplissage - Sit. Expost'!$B$403,")")</f>
        <v>Taux de chargement moyen des véhicules pour l'accès au(x) chantier(s) depuis la plateforme (Catégorie 39)</v>
      </c>
      <c r="E1383" t="str">
        <f t="shared" ref="E1383" si="357">_xlfn.CONCAT("LogChantDepuisPLTC",RIGHT(LEFT(C1383,LEN(C1383)-1),2))</f>
        <v>LogChantDepuisPLTC39</v>
      </c>
      <c r="F1383" t="s">
        <v>17</v>
      </c>
      <c r="G1383" s="14">
        <f t="shared" si="346"/>
        <v>0</v>
      </c>
      <c r="H1383" s="3"/>
      <c r="J1383" t="s">
        <v>70</v>
      </c>
      <c r="K1383" s="7">
        <v>0.6</v>
      </c>
      <c r="M1383" t="s">
        <v>220</v>
      </c>
    </row>
    <row r="1384" spans="1:13" outlineLevel="1" x14ac:dyDescent="0.25">
      <c r="A1384" t="s">
        <v>215</v>
      </c>
      <c r="B1384" t="s">
        <v>424</v>
      </c>
      <c r="C1384" t="str">
        <f>_xlfn.CONCAT("Nombre de trajets associés"," (",'Remplissage - Sit. Expost'!$B$403,")")</f>
        <v>Nombre de trajets associés (Catégorie 39)</v>
      </c>
      <c r="E1384" t="str">
        <f t="shared" ref="E1384" si="358">_xlfn.CONCAT("LogChantDepuisPLNbTraj",RIGHT(LEFT(C1384,LEN(C1384)-1),2))</f>
        <v>LogChantDepuisPLNbTraj39</v>
      </c>
      <c r="F1384" t="s">
        <v>17</v>
      </c>
      <c r="G1384" s="14">
        <f t="shared" si="346"/>
        <v>0</v>
      </c>
      <c r="J1384" t="s">
        <v>145</v>
      </c>
      <c r="K1384">
        <v>3</v>
      </c>
      <c r="M1384" t="s">
        <v>220</v>
      </c>
    </row>
    <row r="1385" spans="1:13" outlineLevel="1" x14ac:dyDescent="0.25">
      <c r="A1385" t="s">
        <v>215</v>
      </c>
      <c r="B1385" t="s">
        <v>425</v>
      </c>
      <c r="C1385" t="str">
        <f>_xlfn.CONCAT("Taux de chargement moyen des véhicules pour l'accès au(x) chantier(s) depuis la plateforme"," (",'Remplissage - Sit. Expost'!$B$413,")")</f>
        <v>Taux de chargement moyen des véhicules pour l'accès au(x) chantier(s) depuis la plateforme (Catégorie 40)</v>
      </c>
      <c r="E1385" t="str">
        <f t="shared" ref="E1385" si="359">_xlfn.CONCAT("LogChantDepuisPLTC",RIGHT(LEFT(C1385,LEN(C1385)-1),2))</f>
        <v>LogChantDepuisPLTC40</v>
      </c>
      <c r="F1385" t="s">
        <v>17</v>
      </c>
      <c r="G1385" s="14">
        <f t="shared" si="346"/>
        <v>0</v>
      </c>
      <c r="H1385" s="3"/>
      <c r="J1385" t="s">
        <v>70</v>
      </c>
      <c r="K1385" s="7">
        <v>0.6</v>
      </c>
      <c r="M1385" t="s">
        <v>220</v>
      </c>
    </row>
    <row r="1386" spans="1:13" outlineLevel="1" x14ac:dyDescent="0.25">
      <c r="A1386" t="s">
        <v>215</v>
      </c>
      <c r="B1386" t="s">
        <v>425</v>
      </c>
      <c r="C1386" t="str">
        <f>_xlfn.CONCAT("Nombre de trajets associés"," (",'Remplissage - Sit. Expost'!$B$413,")")</f>
        <v>Nombre de trajets associés (Catégorie 40)</v>
      </c>
      <c r="E1386" t="str">
        <f t="shared" ref="E1386" si="360">_xlfn.CONCAT("LogChantDepuisPLNbTraj",RIGHT(LEFT(C1386,LEN(C1386)-1),2))</f>
        <v>LogChantDepuisPLNbTraj40</v>
      </c>
      <c r="F1386" t="s">
        <v>17</v>
      </c>
      <c r="G1386" s="14">
        <f t="shared" si="346"/>
        <v>0</v>
      </c>
      <c r="J1386" t="s">
        <v>145</v>
      </c>
      <c r="K1386">
        <v>3</v>
      </c>
      <c r="M1386" t="s">
        <v>220</v>
      </c>
    </row>
    <row r="1387" spans="1:13" outlineLevel="1" x14ac:dyDescent="0.25">
      <c r="A1387" t="s">
        <v>215</v>
      </c>
      <c r="B1387" t="s">
        <v>426</v>
      </c>
      <c r="C1387" t="str">
        <f>_xlfn.CONCAT("Taux de chargement moyen des véhicules pour l'accès au(x) chantier(s) depuis la plateforme"," (",'Remplissage - Sit. Expost'!$B$423,")")</f>
        <v>Taux de chargement moyen des véhicules pour l'accès au(x) chantier(s) depuis la plateforme (Catégorie 41)</v>
      </c>
      <c r="E1387" t="str">
        <f t="shared" ref="E1387" si="361">_xlfn.CONCAT("LogChantDepuisPLTC",RIGHT(LEFT(C1387,LEN(C1387)-1),2))</f>
        <v>LogChantDepuisPLTC41</v>
      </c>
      <c r="F1387" t="s">
        <v>17</v>
      </c>
      <c r="G1387" s="14">
        <f t="shared" si="346"/>
        <v>0</v>
      </c>
      <c r="H1387" s="3"/>
      <c r="J1387" t="s">
        <v>70</v>
      </c>
      <c r="K1387" s="7">
        <v>0.6</v>
      </c>
      <c r="M1387" t="s">
        <v>220</v>
      </c>
    </row>
    <row r="1388" spans="1:13" outlineLevel="1" x14ac:dyDescent="0.25">
      <c r="A1388" t="s">
        <v>215</v>
      </c>
      <c r="B1388" t="s">
        <v>426</v>
      </c>
      <c r="C1388" t="str">
        <f>_xlfn.CONCAT("Nombre de trajets associés"," (",'Remplissage - Sit. Expost'!$B$423,")")</f>
        <v>Nombre de trajets associés (Catégorie 41)</v>
      </c>
      <c r="E1388" t="str">
        <f t="shared" ref="E1388" si="362">_xlfn.CONCAT("LogChantDepuisPLNbTraj",RIGHT(LEFT(C1388,LEN(C1388)-1),2))</f>
        <v>LogChantDepuisPLNbTraj41</v>
      </c>
      <c r="F1388" t="s">
        <v>17</v>
      </c>
      <c r="G1388" s="14">
        <f t="shared" si="346"/>
        <v>0</v>
      </c>
      <c r="J1388" t="s">
        <v>145</v>
      </c>
      <c r="K1388">
        <v>3</v>
      </c>
      <c r="M1388" t="s">
        <v>220</v>
      </c>
    </row>
    <row r="1389" spans="1:13" outlineLevel="1" x14ac:dyDescent="0.25">
      <c r="A1389" t="s">
        <v>215</v>
      </c>
      <c r="B1389" t="s">
        <v>427</v>
      </c>
      <c r="C1389" t="str">
        <f>_xlfn.CONCAT("Taux de chargement moyen des véhicules pour l'accès au(x) chantier(s) depuis la plateforme"," (",'Remplissage - Sit. Expost'!$B$433,")")</f>
        <v>Taux de chargement moyen des véhicules pour l'accès au(x) chantier(s) depuis la plateforme (Catégorie 42)</v>
      </c>
      <c r="E1389" t="str">
        <f t="shared" ref="E1389" si="363">_xlfn.CONCAT("LogChantDepuisPLTC",RIGHT(LEFT(C1389,LEN(C1389)-1),2))</f>
        <v>LogChantDepuisPLTC42</v>
      </c>
      <c r="F1389" t="s">
        <v>17</v>
      </c>
      <c r="G1389" s="14">
        <f t="shared" si="346"/>
        <v>0</v>
      </c>
      <c r="H1389" s="3"/>
      <c r="J1389" t="s">
        <v>70</v>
      </c>
      <c r="K1389" s="7">
        <v>0.6</v>
      </c>
      <c r="M1389" t="s">
        <v>220</v>
      </c>
    </row>
    <row r="1390" spans="1:13" outlineLevel="1" x14ac:dyDescent="0.25">
      <c r="A1390" t="s">
        <v>215</v>
      </c>
      <c r="B1390" t="s">
        <v>427</v>
      </c>
      <c r="C1390" t="str">
        <f>_xlfn.CONCAT("Nombre de trajets associés"," (",'Remplissage - Sit. Expost'!$B$433,")")</f>
        <v>Nombre de trajets associés (Catégorie 42)</v>
      </c>
      <c r="E1390" t="str">
        <f t="shared" ref="E1390" si="364">_xlfn.CONCAT("LogChantDepuisPLNbTraj",RIGHT(LEFT(C1390,LEN(C1390)-1),2))</f>
        <v>LogChantDepuisPLNbTraj42</v>
      </c>
      <c r="F1390" t="s">
        <v>17</v>
      </c>
      <c r="G1390" s="14">
        <f t="shared" si="346"/>
        <v>0</v>
      </c>
      <c r="J1390" t="s">
        <v>145</v>
      </c>
      <c r="K1390">
        <v>3</v>
      </c>
      <c r="M1390" t="s">
        <v>220</v>
      </c>
    </row>
    <row r="1391" spans="1:13" outlineLevel="1" x14ac:dyDescent="0.25">
      <c r="A1391" t="s">
        <v>215</v>
      </c>
      <c r="B1391" t="s">
        <v>428</v>
      </c>
      <c r="C1391" t="str">
        <f>_xlfn.CONCAT("Taux de chargement moyen des véhicules pour l'accès au(x) chantier(s) depuis la plateforme"," (",'Remplissage - Sit. Expost'!$B$443,")")</f>
        <v>Taux de chargement moyen des véhicules pour l'accès au(x) chantier(s) depuis la plateforme (Catégorie 43)</v>
      </c>
      <c r="E1391" t="str">
        <f t="shared" ref="E1391" si="365">_xlfn.CONCAT("LogChantDepuisPLTC",RIGHT(LEFT(C1391,LEN(C1391)-1),2))</f>
        <v>LogChantDepuisPLTC43</v>
      </c>
      <c r="F1391" t="s">
        <v>17</v>
      </c>
      <c r="G1391" s="14">
        <f t="shared" si="346"/>
        <v>0</v>
      </c>
      <c r="H1391" s="3"/>
      <c r="J1391" t="s">
        <v>70</v>
      </c>
      <c r="K1391" s="7">
        <v>0.6</v>
      </c>
      <c r="M1391" t="s">
        <v>220</v>
      </c>
    </row>
    <row r="1392" spans="1:13" outlineLevel="1" x14ac:dyDescent="0.25">
      <c r="A1392" t="s">
        <v>215</v>
      </c>
      <c r="B1392" t="s">
        <v>428</v>
      </c>
      <c r="C1392" t="str">
        <f>_xlfn.CONCAT("Nombre de trajets associés"," (",'Remplissage - Sit. Expost'!$B$443,")")</f>
        <v>Nombre de trajets associés (Catégorie 43)</v>
      </c>
      <c r="E1392" t="str">
        <f t="shared" ref="E1392" si="366">_xlfn.CONCAT("LogChantDepuisPLNbTraj",RIGHT(LEFT(C1392,LEN(C1392)-1),2))</f>
        <v>LogChantDepuisPLNbTraj43</v>
      </c>
      <c r="F1392" t="s">
        <v>17</v>
      </c>
      <c r="G1392" s="14">
        <f t="shared" si="346"/>
        <v>0</v>
      </c>
      <c r="J1392" t="s">
        <v>145</v>
      </c>
      <c r="K1392">
        <v>3</v>
      </c>
      <c r="M1392" t="s">
        <v>220</v>
      </c>
    </row>
    <row r="1393" spans="1:15" outlineLevel="1" x14ac:dyDescent="0.25">
      <c r="A1393" t="s">
        <v>215</v>
      </c>
      <c r="B1393" t="s">
        <v>429</v>
      </c>
      <c r="C1393" t="str">
        <f>_xlfn.CONCAT("Taux de chargement moyen des véhicules pour l'accès au(x) chantier(s) depuis la plateforme"," (",'Remplissage - Sit. Expost'!$B$453,")")</f>
        <v>Taux de chargement moyen des véhicules pour l'accès au(x) chantier(s) depuis la plateforme (Catégorie 44)</v>
      </c>
      <c r="E1393" t="str">
        <f t="shared" ref="E1393" si="367">_xlfn.CONCAT("LogChantDepuisPLTC",RIGHT(LEFT(C1393,LEN(C1393)-1),2))</f>
        <v>LogChantDepuisPLTC44</v>
      </c>
      <c r="F1393" t="s">
        <v>17</v>
      </c>
      <c r="G1393" s="14">
        <f t="shared" si="346"/>
        <v>1</v>
      </c>
      <c r="H1393" s="3"/>
      <c r="J1393" t="s">
        <v>70</v>
      </c>
      <c r="K1393" s="7">
        <v>0.6</v>
      </c>
      <c r="M1393" t="s">
        <v>220</v>
      </c>
    </row>
    <row r="1394" spans="1:15" outlineLevel="1" x14ac:dyDescent="0.25">
      <c r="A1394" t="s">
        <v>215</v>
      </c>
      <c r="B1394" t="s">
        <v>429</v>
      </c>
      <c r="C1394" t="str">
        <f>_xlfn.CONCAT("Nombre de trajets associés"," (",'Remplissage - Sit. Expost'!$B$453,")")</f>
        <v>Nombre de trajets associés (Catégorie 44)</v>
      </c>
      <c r="E1394" t="str">
        <f t="shared" ref="E1394" si="368">_xlfn.CONCAT("LogChantDepuisPLNbTraj",RIGHT(LEFT(C1394,LEN(C1394)-1),2))</f>
        <v>LogChantDepuisPLNbTraj44</v>
      </c>
      <c r="F1394" t="s">
        <v>17</v>
      </c>
      <c r="G1394" s="14">
        <f t="shared" si="346"/>
        <v>1</v>
      </c>
      <c r="J1394" t="s">
        <v>145</v>
      </c>
      <c r="K1394">
        <v>3</v>
      </c>
      <c r="M1394" t="s">
        <v>220</v>
      </c>
    </row>
    <row r="1395" spans="1:15" outlineLevel="1" x14ac:dyDescent="0.25">
      <c r="A1395" t="s">
        <v>215</v>
      </c>
      <c r="B1395" t="s">
        <v>387</v>
      </c>
      <c r="C1395" t="str">
        <f>_xlfn.CONCAT("Taux de chargement moyen des véhicules pour l'accès au(x) chantier(s) depuis la plateforme"," (",'Remplissage - Sit. Expost'!$B$463,")")</f>
        <v>Taux de chargement moyen des véhicules pour l'accès au(x) chantier(s) depuis la plateforme (Catégorie 45)</v>
      </c>
      <c r="E1395" t="str">
        <f t="shared" ref="E1395" si="369">_xlfn.CONCAT("LogChantDepuisPLTC",RIGHT(LEFT(C1395,LEN(C1395)-1),2))</f>
        <v>LogChantDepuisPLTC45</v>
      </c>
      <c r="F1395" t="s">
        <v>17</v>
      </c>
      <c r="G1395" s="14">
        <f t="shared" si="346"/>
        <v>0</v>
      </c>
      <c r="H1395" s="3"/>
      <c r="J1395" t="s">
        <v>70</v>
      </c>
      <c r="K1395" s="7">
        <v>0.6</v>
      </c>
      <c r="M1395" t="s">
        <v>220</v>
      </c>
    </row>
    <row r="1396" spans="1:15" outlineLevel="1" x14ac:dyDescent="0.25">
      <c r="A1396" t="s">
        <v>215</v>
      </c>
      <c r="B1396" t="s">
        <v>387</v>
      </c>
      <c r="C1396" t="str">
        <f>_xlfn.CONCAT("Nombre de trajets associés"," (",'Remplissage - Sit. Expost'!$B$463,")")</f>
        <v>Nombre de trajets associés (Catégorie 45)</v>
      </c>
      <c r="E1396" t="str">
        <f t="shared" ref="E1396" si="370">_xlfn.CONCAT("LogChantDepuisPLNbTraj",RIGHT(LEFT(C1396,LEN(C1396)-1),2))</f>
        <v>LogChantDepuisPLNbTraj45</v>
      </c>
      <c r="F1396" t="s">
        <v>17</v>
      </c>
      <c r="G1396" s="14">
        <f t="shared" si="346"/>
        <v>0</v>
      </c>
      <c r="J1396" t="s">
        <v>145</v>
      </c>
      <c r="K1396">
        <v>3</v>
      </c>
      <c r="M1396" t="s">
        <v>220</v>
      </c>
    </row>
    <row r="1397" spans="1:15" x14ac:dyDescent="0.25">
      <c r="A1397" t="s">
        <v>440</v>
      </c>
      <c r="C1397" t="s">
        <v>443</v>
      </c>
      <c r="E1397" t="s">
        <v>442</v>
      </c>
      <c r="F1397" t="s">
        <v>17</v>
      </c>
      <c r="G1397">
        <v>1</v>
      </c>
      <c r="H1397" s="2" t="s">
        <v>54</v>
      </c>
      <c r="I1397" s="2" t="s">
        <v>55</v>
      </c>
      <c r="K1397" t="s">
        <v>199</v>
      </c>
      <c r="M1397" t="s">
        <v>269</v>
      </c>
      <c r="O1397">
        <f t="shared" ref="O1397:O1403" si="371">ROW(O1397)-1</f>
        <v>1396</v>
      </c>
    </row>
    <row r="1398" spans="1:15" x14ac:dyDescent="0.25">
      <c r="A1398" t="s">
        <v>266</v>
      </c>
      <c r="B1398" t="s">
        <v>519</v>
      </c>
      <c r="C1398" t="s">
        <v>520</v>
      </c>
      <c r="E1398" t="s">
        <v>441</v>
      </c>
      <c r="F1398" t="s">
        <v>17</v>
      </c>
      <c r="G1398">
        <v>1</v>
      </c>
      <c r="H1398">
        <v>1000</v>
      </c>
      <c r="J1398" t="s">
        <v>226</v>
      </c>
      <c r="K1398" s="13" t="s">
        <v>187</v>
      </c>
      <c r="M1398" t="s">
        <v>269</v>
      </c>
      <c r="O1398">
        <f t="shared" si="371"/>
        <v>1397</v>
      </c>
    </row>
    <row r="1399" spans="1:15" collapsed="1" x14ac:dyDescent="0.25">
      <c r="A1399" t="s">
        <v>266</v>
      </c>
      <c r="B1399" t="s">
        <v>519</v>
      </c>
      <c r="C1399" t="s">
        <v>439</v>
      </c>
      <c r="E1399" t="s">
        <v>438</v>
      </c>
      <c r="F1399" t="s">
        <v>20</v>
      </c>
      <c r="G1399">
        <v>1</v>
      </c>
      <c r="H1399" t="s">
        <v>437</v>
      </c>
      <c r="I1399" t="s">
        <v>436</v>
      </c>
      <c r="K1399" s="2" t="s">
        <v>435</v>
      </c>
      <c r="M1399" t="s">
        <v>269</v>
      </c>
      <c r="O1399">
        <f t="shared" si="371"/>
        <v>1398</v>
      </c>
    </row>
    <row r="1400" spans="1:15" x14ac:dyDescent="0.25">
      <c r="A1400" t="s">
        <v>440</v>
      </c>
      <c r="B1400" s="2" t="s">
        <v>518</v>
      </c>
      <c r="C1400" t="s">
        <v>450</v>
      </c>
      <c r="E1400" t="s">
        <v>449</v>
      </c>
      <c r="F1400" t="s">
        <v>17</v>
      </c>
      <c r="G1400">
        <v>1</v>
      </c>
      <c r="H1400" s="3">
        <v>0.6</v>
      </c>
      <c r="J1400" t="s">
        <v>70</v>
      </c>
      <c r="K1400" s="3">
        <v>0.7</v>
      </c>
      <c r="M1400" t="s">
        <v>269</v>
      </c>
      <c r="O1400">
        <f t="shared" si="371"/>
        <v>1399</v>
      </c>
    </row>
    <row r="1401" spans="1:15" x14ac:dyDescent="0.25">
      <c r="A1401" t="s">
        <v>440</v>
      </c>
      <c r="B1401" s="2" t="s">
        <v>518</v>
      </c>
      <c r="C1401" t="s">
        <v>448</v>
      </c>
      <c r="E1401" t="s">
        <v>447</v>
      </c>
      <c r="F1401" t="s">
        <v>17</v>
      </c>
      <c r="G1401">
        <v>1</v>
      </c>
      <c r="H1401" s="3">
        <v>0</v>
      </c>
      <c r="J1401" t="s">
        <v>70</v>
      </c>
      <c r="K1401" s="3">
        <v>0</v>
      </c>
      <c r="M1401" t="s">
        <v>269</v>
      </c>
      <c r="O1401">
        <f t="shared" si="371"/>
        <v>1400</v>
      </c>
    </row>
    <row r="1402" spans="1:15" x14ac:dyDescent="0.25">
      <c r="A1402" t="s">
        <v>440</v>
      </c>
      <c r="B1402" s="2" t="s">
        <v>518</v>
      </c>
      <c r="C1402" t="s">
        <v>446</v>
      </c>
      <c r="E1402" t="s">
        <v>445</v>
      </c>
      <c r="F1402" t="s">
        <v>17</v>
      </c>
      <c r="G1402">
        <v>1</v>
      </c>
      <c r="H1402" s="3">
        <v>0</v>
      </c>
      <c r="J1402" t="s">
        <v>70</v>
      </c>
      <c r="K1402" s="3">
        <v>0</v>
      </c>
      <c r="M1402" t="s">
        <v>269</v>
      </c>
      <c r="O1402">
        <f t="shared" si="371"/>
        <v>1401</v>
      </c>
    </row>
    <row r="1403" spans="1:15" x14ac:dyDescent="0.25">
      <c r="A1403" t="s">
        <v>440</v>
      </c>
      <c r="B1403" s="2" t="s">
        <v>518</v>
      </c>
      <c r="C1403" t="s">
        <v>163</v>
      </c>
      <c r="E1403" t="s">
        <v>444</v>
      </c>
      <c r="F1403" t="s">
        <v>17</v>
      </c>
      <c r="G1403">
        <v>1</v>
      </c>
      <c r="H1403" s="3">
        <v>0.4</v>
      </c>
      <c r="J1403" t="s">
        <v>70</v>
      </c>
      <c r="K1403" s="3">
        <v>0.3</v>
      </c>
      <c r="M1403" t="s">
        <v>269</v>
      </c>
      <c r="O1403">
        <f t="shared" si="371"/>
        <v>1402</v>
      </c>
    </row>
    <row r="1404" spans="1:15" collapsed="1" x14ac:dyDescent="0.25">
      <c r="A1404" t="s">
        <v>266</v>
      </c>
      <c r="C1404" t="s">
        <v>517</v>
      </c>
      <c r="E1404" t="s">
        <v>268</v>
      </c>
      <c r="F1404" t="s">
        <v>60</v>
      </c>
      <c r="G1404">
        <f>IF(OR(ISNUMBER(SEARCH("C3",$H$18)),ISNUMBER(SEARCH("C3",$H$17))),1,0)</f>
        <v>1</v>
      </c>
      <c r="H1404" t="s">
        <v>430</v>
      </c>
      <c r="I1404" t="s">
        <v>383</v>
      </c>
      <c r="M1404" t="s">
        <v>269</v>
      </c>
    </row>
    <row r="1405" spans="1:15" x14ac:dyDescent="0.25">
      <c r="A1405" t="s">
        <v>266</v>
      </c>
      <c r="C1405" t="s">
        <v>492</v>
      </c>
      <c r="E1405" t="s">
        <v>516</v>
      </c>
      <c r="F1405" t="s">
        <v>36</v>
      </c>
      <c r="G1405">
        <f>IF(OR(ISNUMBER(SEARCH("C3",$H$18)),ISNUMBER(SEARCH("C3",$H$17))),1,0)</f>
        <v>1</v>
      </c>
      <c r="H1405" t="s">
        <v>242</v>
      </c>
      <c r="I1405" t="s">
        <v>243</v>
      </c>
      <c r="K1405" s="13" t="s">
        <v>187</v>
      </c>
      <c r="M1405" t="s">
        <v>269</v>
      </c>
    </row>
    <row r="1406" spans="1:15" x14ac:dyDescent="0.25">
      <c r="A1406" t="s">
        <v>266</v>
      </c>
      <c r="B1406" t="s">
        <v>507</v>
      </c>
      <c r="C1406" t="s">
        <v>515</v>
      </c>
      <c r="E1406" t="s">
        <v>514</v>
      </c>
      <c r="F1406" t="s">
        <v>20</v>
      </c>
      <c r="G1406">
        <f>IF(OR(ISNUMBER(SEARCH("C3",$H$18)),ISNUMBER(SEARCH("C3",$H$17))),1,0)</f>
        <v>1</v>
      </c>
      <c r="H1406" t="s">
        <v>430</v>
      </c>
      <c r="I1406" t="s">
        <v>383</v>
      </c>
      <c r="M1406" t="s">
        <v>269</v>
      </c>
    </row>
    <row r="1407" spans="1:15" x14ac:dyDescent="0.25">
      <c r="A1407" t="s">
        <v>266</v>
      </c>
      <c r="B1407" t="s">
        <v>507</v>
      </c>
      <c r="C1407" t="s">
        <v>513</v>
      </c>
      <c r="E1407" t="s">
        <v>512</v>
      </c>
      <c r="F1407" t="s">
        <v>17</v>
      </c>
      <c r="G1407">
        <f>IF(ISNUMBER(SEARCH("Proposer un ordre de grandeur commun à toutes les catégories de véhicules",$H$1405)),1,0)</f>
        <v>1</v>
      </c>
      <c r="H1407">
        <v>30</v>
      </c>
      <c r="J1407" t="s">
        <v>88</v>
      </c>
      <c r="K1407" s="21"/>
      <c r="M1407" t="s">
        <v>269</v>
      </c>
    </row>
    <row r="1408" spans="1:15" x14ac:dyDescent="0.25">
      <c r="A1408" t="s">
        <v>266</v>
      </c>
      <c r="B1408" t="s">
        <v>507</v>
      </c>
      <c r="C1408" t="s">
        <v>511</v>
      </c>
      <c r="E1408" t="s">
        <v>510</v>
      </c>
      <c r="F1408" t="s">
        <v>17</v>
      </c>
      <c r="G1408">
        <f>IF(ISNUMBER(SEARCH("Proposer un ordre de grandeur commun à toutes les catégories de véhicules",$H$1405)),1,0)</f>
        <v>1</v>
      </c>
      <c r="H1408" s="18">
        <v>0.8</v>
      </c>
      <c r="J1408" t="s">
        <v>70</v>
      </c>
      <c r="K1408" s="7">
        <v>0.6</v>
      </c>
      <c r="M1408" t="s">
        <v>269</v>
      </c>
    </row>
    <row r="1409" spans="1:13" x14ac:dyDescent="0.25">
      <c r="A1409" t="s">
        <v>266</v>
      </c>
      <c r="B1409" t="s">
        <v>507</v>
      </c>
      <c r="C1409" t="s">
        <v>348</v>
      </c>
      <c r="E1409" t="s">
        <v>509</v>
      </c>
      <c r="F1409" t="s">
        <v>17</v>
      </c>
      <c r="G1409">
        <f>IF(ISNUMBER(SEARCH("Proposer un ordre de grandeur commun à toutes les catégories de véhicules",$H$1405)),1,0)</f>
        <v>1</v>
      </c>
      <c r="H1409">
        <v>120</v>
      </c>
      <c r="J1409" t="s">
        <v>88</v>
      </c>
      <c r="K1409" s="22">
        <v>20</v>
      </c>
      <c r="M1409" t="s">
        <v>269</v>
      </c>
    </row>
    <row r="1410" spans="1:13" x14ac:dyDescent="0.25">
      <c r="A1410" t="s">
        <v>266</v>
      </c>
      <c r="B1410" t="s">
        <v>507</v>
      </c>
      <c r="C1410" t="s">
        <v>248</v>
      </c>
      <c r="E1410" t="s">
        <v>508</v>
      </c>
      <c r="F1410" t="s">
        <v>17</v>
      </c>
      <c r="G1410">
        <f>IF(ISNUMBER(SEARCH("Proposer un ordre de grandeur commun à toutes les catégories de véhicules",$H$1405)),1,0)</f>
        <v>1</v>
      </c>
      <c r="H1410">
        <v>100</v>
      </c>
      <c r="J1410" t="s">
        <v>145</v>
      </c>
      <c r="K1410">
        <v>50</v>
      </c>
      <c r="M1410" t="s">
        <v>269</v>
      </c>
    </row>
    <row r="1411" spans="1:13" outlineLevel="1" x14ac:dyDescent="0.25">
      <c r="A1411" t="s">
        <v>266</v>
      </c>
      <c r="B1411" t="s">
        <v>382</v>
      </c>
      <c r="C1411" t="str">
        <f>_xlfn.CONCAT("Taux de chargement moyen des véhicules pour l'accès à l'ELU"," (",'Remplissage - Sit. Expost'!$B$23,")")</f>
        <v>Taux de chargement moyen des véhicules pour l'accès à l'ELU (Catégorie 1)</v>
      </c>
      <c r="E1411" t="str">
        <f>_xlfn.CONCAT("ELUApproTC",RIGHT(LEFT(C1411,LEN(C1411)-1),1))</f>
        <v>ELUApproTC1</v>
      </c>
      <c r="F1411" t="s">
        <v>17</v>
      </c>
      <c r="G1411" s="14">
        <f>(IF(ISNUMBER(SEARCH($B1411,$H$1406)),1,0))*(IF(ISNUMBER(SEARCH("Par catégorie de véhicule sélectionnée",$H$1405)),1,0))</f>
        <v>0</v>
      </c>
      <c r="H1411" s="18"/>
      <c r="J1411" t="s">
        <v>70</v>
      </c>
      <c r="K1411" s="7">
        <v>0.6</v>
      </c>
      <c r="M1411" t="s">
        <v>269</v>
      </c>
    </row>
    <row r="1412" spans="1:13" outlineLevel="1" x14ac:dyDescent="0.25">
      <c r="A1412" t="s">
        <v>266</v>
      </c>
      <c r="B1412" t="s">
        <v>382</v>
      </c>
      <c r="C1412" t="str">
        <f>_xlfn.CONCAT("Distance parcourue associée"," (",'Remplissage - Sit. Expost'!$B$23,")")</f>
        <v>Distance parcourue associée (Catégorie 1)</v>
      </c>
      <c r="E1412" t="str">
        <f>_xlfn.CONCAT("ELUApproDist",RIGHT(LEFT(C1412,LEN(C1412)-1),1))</f>
        <v>ELUApproDist1</v>
      </c>
      <c r="F1412" t="s">
        <v>17</v>
      </c>
      <c r="G1412" s="14">
        <f t="shared" ref="G1412:G1475" si="372">(IF(ISNUMBER(SEARCH($B1412,$H$1406)),1,0))*(IF(ISNUMBER(SEARCH("Par catégorie de véhicule sélectionnée",$H$1405)),1,0))</f>
        <v>0</v>
      </c>
      <c r="J1412" t="s">
        <v>88</v>
      </c>
      <c r="K1412">
        <v>15</v>
      </c>
      <c r="M1412" t="s">
        <v>269</v>
      </c>
    </row>
    <row r="1413" spans="1:13" outlineLevel="1" x14ac:dyDescent="0.25">
      <c r="A1413" t="s">
        <v>266</v>
      </c>
      <c r="B1413" t="s">
        <v>382</v>
      </c>
      <c r="C1413" t="str">
        <f>_xlfn.CONCAT("Nombre de trajets associés"," (",'Remplissage - Sit. Expost'!$B$23,")")</f>
        <v>Nombre de trajets associés (Catégorie 1)</v>
      </c>
      <c r="E1413" t="str">
        <f>_xlfn.CONCAT("ELUApproNbTraj",RIGHT(LEFT(C1413,LEN(C1413)-1),1))</f>
        <v>ELUApproNbTraj1</v>
      </c>
      <c r="F1413" t="s">
        <v>17</v>
      </c>
      <c r="G1413" s="14">
        <f t="shared" si="372"/>
        <v>0</v>
      </c>
      <c r="J1413" t="s">
        <v>145</v>
      </c>
      <c r="K1413">
        <v>50</v>
      </c>
      <c r="M1413" t="s">
        <v>269</v>
      </c>
    </row>
    <row r="1414" spans="1:13" outlineLevel="1" x14ac:dyDescent="0.25">
      <c r="A1414" t="s">
        <v>266</v>
      </c>
      <c r="B1414" t="s">
        <v>386</v>
      </c>
      <c r="C1414" t="str">
        <f>_xlfn.CONCAT("Taux de chargement moyen des véhicules pour l'accès à l'ELU"," (",'Remplissage - Sit. Expost'!$B$33,")")</f>
        <v>Taux de chargement moyen des véhicules pour l'accès à l'ELU (Catégorie 2)</v>
      </c>
      <c r="E1414" t="str">
        <f>_xlfn.CONCAT("ELUApproTC",RIGHT(LEFT(C1414,LEN(C1414)-1),1))</f>
        <v>ELUApproTC2</v>
      </c>
      <c r="F1414" t="s">
        <v>17</v>
      </c>
      <c r="G1414" s="14">
        <f t="shared" si="372"/>
        <v>0</v>
      </c>
      <c r="H1414" s="18"/>
      <c r="J1414" t="s">
        <v>70</v>
      </c>
      <c r="K1414" s="7">
        <v>0.6</v>
      </c>
      <c r="M1414" t="s">
        <v>269</v>
      </c>
    </row>
    <row r="1415" spans="1:13" outlineLevel="1" x14ac:dyDescent="0.25">
      <c r="A1415" t="s">
        <v>266</v>
      </c>
      <c r="B1415" t="s">
        <v>386</v>
      </c>
      <c r="C1415" t="str">
        <f>_xlfn.CONCAT("Distance parcourue associée"," (",'Remplissage - Sit. Expost'!$B$33,")")</f>
        <v>Distance parcourue associée (Catégorie 2)</v>
      </c>
      <c r="E1415" t="str">
        <f>_xlfn.CONCAT("ELUApproDist",RIGHT(LEFT(C1415,LEN(C1415)-1),1))</f>
        <v>ELUApproDist2</v>
      </c>
      <c r="F1415" t="s">
        <v>17</v>
      </c>
      <c r="G1415" s="14">
        <f t="shared" si="372"/>
        <v>0</v>
      </c>
      <c r="J1415" t="s">
        <v>88</v>
      </c>
      <c r="K1415">
        <v>15</v>
      </c>
      <c r="M1415" t="s">
        <v>269</v>
      </c>
    </row>
    <row r="1416" spans="1:13" outlineLevel="1" x14ac:dyDescent="0.25">
      <c r="A1416" t="s">
        <v>266</v>
      </c>
      <c r="B1416" t="s">
        <v>386</v>
      </c>
      <c r="C1416" t="str">
        <f>_xlfn.CONCAT("Nombre de trajets associés"," (",'Remplissage - Sit. Expost'!$B$33,")")</f>
        <v>Nombre de trajets associés (Catégorie 2)</v>
      </c>
      <c r="E1416" t="str">
        <f>_xlfn.CONCAT("ELUApproNbTraj",RIGHT(LEFT(C1416,LEN(C1416)-1),1))</f>
        <v>ELUApproNbTraj2</v>
      </c>
      <c r="F1416" t="s">
        <v>17</v>
      </c>
      <c r="G1416" s="14">
        <f t="shared" si="372"/>
        <v>0</v>
      </c>
      <c r="J1416" t="s">
        <v>145</v>
      </c>
      <c r="K1416">
        <v>50</v>
      </c>
      <c r="M1416" t="s">
        <v>269</v>
      </c>
    </row>
    <row r="1417" spans="1:13" outlineLevel="1" x14ac:dyDescent="0.25">
      <c r="A1417" t="s">
        <v>266</v>
      </c>
      <c r="B1417" t="s">
        <v>388</v>
      </c>
      <c r="C1417" t="str">
        <f>_xlfn.CONCAT("Taux de chargement moyen des véhicules pour l'accès à l'ELU"," (",'Remplissage - Sit. Expost'!$B$43,")")</f>
        <v>Taux de chargement moyen des véhicules pour l'accès à l'ELU (Catégorie 3)</v>
      </c>
      <c r="E1417" t="str">
        <f>_xlfn.CONCAT("ELUApproTC",RIGHT(LEFT(C1417,LEN(C1417)-1),1))</f>
        <v>ELUApproTC3</v>
      </c>
      <c r="F1417" t="s">
        <v>17</v>
      </c>
      <c r="G1417" s="14">
        <f t="shared" si="372"/>
        <v>0</v>
      </c>
      <c r="H1417" s="18"/>
      <c r="J1417" t="s">
        <v>70</v>
      </c>
      <c r="K1417" s="7">
        <v>0.6</v>
      </c>
      <c r="M1417" t="s">
        <v>269</v>
      </c>
    </row>
    <row r="1418" spans="1:13" outlineLevel="1" x14ac:dyDescent="0.25">
      <c r="A1418" t="s">
        <v>266</v>
      </c>
      <c r="B1418" t="s">
        <v>388</v>
      </c>
      <c r="C1418" t="str">
        <f>_xlfn.CONCAT("Distance parcourue associée"," (",'Remplissage - Sit. Expost'!$B$43,")")</f>
        <v>Distance parcourue associée (Catégorie 3)</v>
      </c>
      <c r="E1418" t="str">
        <f>_xlfn.CONCAT("ELUApproDist",RIGHT(LEFT(C1418,LEN(C1418)-1),1))</f>
        <v>ELUApproDist3</v>
      </c>
      <c r="F1418" t="s">
        <v>17</v>
      </c>
      <c r="G1418" s="14">
        <f t="shared" si="372"/>
        <v>0</v>
      </c>
      <c r="J1418" t="s">
        <v>88</v>
      </c>
      <c r="K1418">
        <v>15</v>
      </c>
      <c r="M1418" t="s">
        <v>269</v>
      </c>
    </row>
    <row r="1419" spans="1:13" outlineLevel="1" x14ac:dyDescent="0.25">
      <c r="A1419" t="s">
        <v>266</v>
      </c>
      <c r="B1419" t="s">
        <v>388</v>
      </c>
      <c r="C1419" t="str">
        <f>_xlfn.CONCAT("Nombre de trajets associés"," (",'Remplissage - Sit. Expost'!$B$43,")")</f>
        <v>Nombre de trajets associés (Catégorie 3)</v>
      </c>
      <c r="E1419" t="str">
        <f>_xlfn.CONCAT("ELUApproNbTraj",RIGHT(LEFT(C1419,LEN(C1419)-1),1))</f>
        <v>ELUApproNbTraj3</v>
      </c>
      <c r="F1419" t="s">
        <v>17</v>
      </c>
      <c r="G1419" s="14">
        <f t="shared" si="372"/>
        <v>0</v>
      </c>
      <c r="J1419" t="s">
        <v>145</v>
      </c>
      <c r="K1419">
        <v>50</v>
      </c>
      <c r="M1419" t="s">
        <v>269</v>
      </c>
    </row>
    <row r="1420" spans="1:13" outlineLevel="1" x14ac:dyDescent="0.25">
      <c r="A1420" t="s">
        <v>266</v>
      </c>
      <c r="B1420" t="s">
        <v>389</v>
      </c>
      <c r="C1420" t="str">
        <f>_xlfn.CONCAT("Taux de chargement moyen des véhicules pour l'accès à l'ELU"," (",'Remplissage - Sit. Expost'!$B$53,")")</f>
        <v>Taux de chargement moyen des véhicules pour l'accès à l'ELU (Catégorie 4)</v>
      </c>
      <c r="E1420" t="str">
        <f>_xlfn.CONCAT("ELUApproTC",RIGHT(LEFT(C1420,LEN(C1420)-1),1))</f>
        <v>ELUApproTC4</v>
      </c>
      <c r="F1420" t="s">
        <v>17</v>
      </c>
      <c r="G1420" s="14">
        <f t="shared" si="372"/>
        <v>0</v>
      </c>
      <c r="H1420" s="18"/>
      <c r="J1420" t="s">
        <v>70</v>
      </c>
      <c r="K1420" s="7">
        <v>0.6</v>
      </c>
      <c r="M1420" t="s">
        <v>269</v>
      </c>
    </row>
    <row r="1421" spans="1:13" outlineLevel="1" x14ac:dyDescent="0.25">
      <c r="A1421" t="s">
        <v>266</v>
      </c>
      <c r="B1421" t="s">
        <v>389</v>
      </c>
      <c r="C1421" t="str">
        <f>_xlfn.CONCAT("Distance parcourue associée"," (",'Remplissage - Sit. Expost'!$B$53,")")</f>
        <v>Distance parcourue associée (Catégorie 4)</v>
      </c>
      <c r="E1421" t="str">
        <f>_xlfn.CONCAT("ELUApproDist",RIGHT(LEFT(C1421,LEN(C1421)-1),1))</f>
        <v>ELUApproDist4</v>
      </c>
      <c r="F1421" t="s">
        <v>17</v>
      </c>
      <c r="G1421" s="14">
        <f t="shared" si="372"/>
        <v>0</v>
      </c>
      <c r="J1421" t="s">
        <v>88</v>
      </c>
      <c r="K1421">
        <v>15</v>
      </c>
      <c r="M1421" t="s">
        <v>269</v>
      </c>
    </row>
    <row r="1422" spans="1:13" outlineLevel="1" x14ac:dyDescent="0.25">
      <c r="A1422" t="s">
        <v>266</v>
      </c>
      <c r="B1422" t="s">
        <v>389</v>
      </c>
      <c r="C1422" t="str">
        <f>_xlfn.CONCAT("Nombre de trajets associés"," (",'Remplissage - Sit. Expost'!$B$53,")")</f>
        <v>Nombre de trajets associés (Catégorie 4)</v>
      </c>
      <c r="E1422" t="str">
        <f>_xlfn.CONCAT("ELUApproNbTraj",RIGHT(LEFT(C1422,LEN(C1422)-1),1))</f>
        <v>ELUApproNbTraj4</v>
      </c>
      <c r="F1422" t="s">
        <v>17</v>
      </c>
      <c r="G1422" s="14">
        <f t="shared" si="372"/>
        <v>0</v>
      </c>
      <c r="J1422" t="s">
        <v>145</v>
      </c>
      <c r="K1422">
        <v>50</v>
      </c>
      <c r="M1422" t="s">
        <v>269</v>
      </c>
    </row>
    <row r="1423" spans="1:13" outlineLevel="1" x14ac:dyDescent="0.25">
      <c r="A1423" t="s">
        <v>266</v>
      </c>
      <c r="B1423" t="s">
        <v>390</v>
      </c>
      <c r="C1423" t="str">
        <f>_xlfn.CONCAT("Taux de chargement moyen des véhicules pour l'accès à l'ELU"," (",'Remplissage - Sit. Expost'!$B$63,")")</f>
        <v>Taux de chargement moyen des véhicules pour l'accès à l'ELU (Catégorie 5)</v>
      </c>
      <c r="E1423" t="str">
        <f>_xlfn.CONCAT("ELUApproTC",RIGHT(LEFT(C1423,LEN(C1423)-1),1))</f>
        <v>ELUApproTC5</v>
      </c>
      <c r="F1423" t="s">
        <v>17</v>
      </c>
      <c r="G1423" s="14">
        <f t="shared" si="372"/>
        <v>0</v>
      </c>
      <c r="H1423" s="18"/>
      <c r="J1423" t="s">
        <v>70</v>
      </c>
      <c r="K1423" s="7">
        <v>0.6</v>
      </c>
      <c r="M1423" t="s">
        <v>269</v>
      </c>
    </row>
    <row r="1424" spans="1:13" outlineLevel="1" x14ac:dyDescent="0.25">
      <c r="A1424" t="s">
        <v>266</v>
      </c>
      <c r="B1424" t="s">
        <v>390</v>
      </c>
      <c r="C1424" t="str">
        <f>_xlfn.CONCAT("Distance parcourue associée"," (",'Remplissage - Sit. Expost'!$B$63,")")</f>
        <v>Distance parcourue associée (Catégorie 5)</v>
      </c>
      <c r="E1424" t="str">
        <f>_xlfn.CONCAT("ELUApproDist",RIGHT(LEFT(C1424,LEN(C1424)-1),1))</f>
        <v>ELUApproDist5</v>
      </c>
      <c r="F1424" t="s">
        <v>17</v>
      </c>
      <c r="G1424" s="14">
        <f t="shared" si="372"/>
        <v>0</v>
      </c>
      <c r="J1424" t="s">
        <v>88</v>
      </c>
      <c r="K1424">
        <v>15</v>
      </c>
      <c r="M1424" t="s">
        <v>269</v>
      </c>
    </row>
    <row r="1425" spans="1:13" outlineLevel="1" x14ac:dyDescent="0.25">
      <c r="A1425" t="s">
        <v>266</v>
      </c>
      <c r="B1425" t="s">
        <v>390</v>
      </c>
      <c r="C1425" t="str">
        <f>_xlfn.CONCAT("Nombre de trajets associés"," (",'Remplissage - Sit. Expost'!$B$63,")")</f>
        <v>Nombre de trajets associés (Catégorie 5)</v>
      </c>
      <c r="E1425" t="str">
        <f>_xlfn.CONCAT("ELUApproNbTraj",RIGHT(LEFT(C1425,LEN(C1425)-1),1))</f>
        <v>ELUApproNbTraj5</v>
      </c>
      <c r="F1425" t="s">
        <v>17</v>
      </c>
      <c r="G1425" s="14">
        <f t="shared" si="372"/>
        <v>0</v>
      </c>
      <c r="J1425" t="s">
        <v>145</v>
      </c>
      <c r="K1425">
        <v>50</v>
      </c>
      <c r="M1425" t="s">
        <v>269</v>
      </c>
    </row>
    <row r="1426" spans="1:13" outlineLevel="1" x14ac:dyDescent="0.25">
      <c r="A1426" t="s">
        <v>266</v>
      </c>
      <c r="B1426" t="s">
        <v>391</v>
      </c>
      <c r="C1426" t="str">
        <f>_xlfn.CONCAT("Taux de chargement moyen des véhicules pour l'accès à l'ELU"," (",'Remplissage - Sit. Expost'!$B$73,")")</f>
        <v>Taux de chargement moyen des véhicules pour l'accès à l'ELU (Catégorie 6)</v>
      </c>
      <c r="E1426" t="str">
        <f>_xlfn.CONCAT("ELUApproTC",RIGHT(LEFT(C1426,LEN(C1426)-1),1))</f>
        <v>ELUApproTC6</v>
      </c>
      <c r="F1426" t="s">
        <v>17</v>
      </c>
      <c r="G1426" s="14">
        <f t="shared" si="372"/>
        <v>0</v>
      </c>
      <c r="H1426" s="18"/>
      <c r="J1426" t="s">
        <v>70</v>
      </c>
      <c r="K1426" s="7">
        <v>0.6</v>
      </c>
      <c r="M1426" t="s">
        <v>269</v>
      </c>
    </row>
    <row r="1427" spans="1:13" outlineLevel="1" x14ac:dyDescent="0.25">
      <c r="A1427" t="s">
        <v>266</v>
      </c>
      <c r="B1427" t="s">
        <v>391</v>
      </c>
      <c r="C1427" t="str">
        <f>_xlfn.CONCAT("Distance parcourue associée"," (",'Remplissage - Sit. Expost'!$B$73,")")</f>
        <v>Distance parcourue associée (Catégorie 6)</v>
      </c>
      <c r="E1427" t="str">
        <f>_xlfn.CONCAT("ELUApproDist",RIGHT(LEFT(C1427,LEN(C1427)-1),1))</f>
        <v>ELUApproDist6</v>
      </c>
      <c r="F1427" t="s">
        <v>17</v>
      </c>
      <c r="G1427" s="14">
        <f t="shared" si="372"/>
        <v>0</v>
      </c>
      <c r="J1427" t="s">
        <v>88</v>
      </c>
      <c r="K1427">
        <v>15</v>
      </c>
      <c r="M1427" t="s">
        <v>269</v>
      </c>
    </row>
    <row r="1428" spans="1:13" outlineLevel="1" x14ac:dyDescent="0.25">
      <c r="A1428" t="s">
        <v>266</v>
      </c>
      <c r="B1428" t="s">
        <v>391</v>
      </c>
      <c r="C1428" t="str">
        <f>_xlfn.CONCAT("Nombre de trajets associés"," (",'Remplissage - Sit. Expost'!$B$73,")")</f>
        <v>Nombre de trajets associés (Catégorie 6)</v>
      </c>
      <c r="E1428" t="str">
        <f>_xlfn.CONCAT("ELUApproNbTraj",RIGHT(LEFT(C1428,LEN(C1428)-1),1))</f>
        <v>ELUApproNbTraj6</v>
      </c>
      <c r="F1428" t="s">
        <v>17</v>
      </c>
      <c r="G1428" s="14">
        <f t="shared" si="372"/>
        <v>0</v>
      </c>
      <c r="J1428" t="s">
        <v>145</v>
      </c>
      <c r="K1428">
        <v>50</v>
      </c>
      <c r="M1428" t="s">
        <v>269</v>
      </c>
    </row>
    <row r="1429" spans="1:13" outlineLevel="1" x14ac:dyDescent="0.25">
      <c r="A1429" t="s">
        <v>266</v>
      </c>
      <c r="B1429" t="s">
        <v>392</v>
      </c>
      <c r="C1429" t="str">
        <f>_xlfn.CONCAT("Taux de chargement moyen des véhicules pour l'accès à l'ELU"," (",'Remplissage - Sit. Expost'!$B$83,")")</f>
        <v>Taux de chargement moyen des véhicules pour l'accès à l'ELU (Catégorie 7)</v>
      </c>
      <c r="E1429" t="str">
        <f>_xlfn.CONCAT("ELUApproTC",RIGHT(LEFT(C1429,LEN(C1429)-1),1))</f>
        <v>ELUApproTC7</v>
      </c>
      <c r="F1429" t="s">
        <v>17</v>
      </c>
      <c r="G1429" s="14">
        <f t="shared" si="372"/>
        <v>0</v>
      </c>
      <c r="H1429" s="18"/>
      <c r="J1429" t="s">
        <v>70</v>
      </c>
      <c r="K1429" s="7">
        <v>0.6</v>
      </c>
      <c r="M1429" t="s">
        <v>269</v>
      </c>
    </row>
    <row r="1430" spans="1:13" outlineLevel="1" x14ac:dyDescent="0.25">
      <c r="A1430" t="s">
        <v>266</v>
      </c>
      <c r="B1430" t="s">
        <v>392</v>
      </c>
      <c r="C1430" t="str">
        <f>_xlfn.CONCAT("Distance parcourue associée"," (",'Remplissage - Sit. Expost'!$B$83,")")</f>
        <v>Distance parcourue associée (Catégorie 7)</v>
      </c>
      <c r="E1430" t="str">
        <f>_xlfn.CONCAT("ELUApproDist",RIGHT(LEFT(C1430,LEN(C1430)-1),1))</f>
        <v>ELUApproDist7</v>
      </c>
      <c r="F1430" t="s">
        <v>17</v>
      </c>
      <c r="G1430" s="14">
        <f t="shared" si="372"/>
        <v>0</v>
      </c>
      <c r="J1430" t="s">
        <v>88</v>
      </c>
      <c r="K1430">
        <v>15</v>
      </c>
      <c r="M1430" t="s">
        <v>269</v>
      </c>
    </row>
    <row r="1431" spans="1:13" outlineLevel="1" x14ac:dyDescent="0.25">
      <c r="A1431" t="s">
        <v>266</v>
      </c>
      <c r="B1431" t="s">
        <v>392</v>
      </c>
      <c r="C1431" t="str">
        <f>_xlfn.CONCAT("Nombre de trajets associés"," (",'Remplissage - Sit. Expost'!$B$83,")")</f>
        <v>Nombre de trajets associés (Catégorie 7)</v>
      </c>
      <c r="E1431" t="str">
        <f>_xlfn.CONCAT("ELUApproNbTraj",RIGHT(LEFT(C1431,LEN(C1431)-1),1))</f>
        <v>ELUApproNbTraj7</v>
      </c>
      <c r="F1431" t="s">
        <v>17</v>
      </c>
      <c r="G1431" s="14">
        <f t="shared" si="372"/>
        <v>0</v>
      </c>
      <c r="J1431" t="s">
        <v>145</v>
      </c>
      <c r="K1431">
        <v>50</v>
      </c>
      <c r="M1431" t="s">
        <v>269</v>
      </c>
    </row>
    <row r="1432" spans="1:13" outlineLevel="1" x14ac:dyDescent="0.25">
      <c r="A1432" t="s">
        <v>266</v>
      </c>
      <c r="B1432" t="s">
        <v>393</v>
      </c>
      <c r="C1432" t="str">
        <f>_xlfn.CONCAT("Taux de chargement moyen des véhicules pour l'accès à l'ELU"," (",'Remplissage - Sit. Expost'!$B$93,")")</f>
        <v>Taux de chargement moyen des véhicules pour l'accès à l'ELU (Catégorie 8)</v>
      </c>
      <c r="E1432" t="str">
        <f>_xlfn.CONCAT("ELUApproTC",RIGHT(LEFT(C1432,LEN(C1432)-1),1))</f>
        <v>ELUApproTC8</v>
      </c>
      <c r="F1432" t="s">
        <v>17</v>
      </c>
      <c r="G1432" s="14">
        <f t="shared" si="372"/>
        <v>0</v>
      </c>
      <c r="H1432" s="18"/>
      <c r="J1432" t="s">
        <v>70</v>
      </c>
      <c r="K1432" s="7">
        <v>0.6</v>
      </c>
      <c r="M1432" t="s">
        <v>269</v>
      </c>
    </row>
    <row r="1433" spans="1:13" outlineLevel="1" x14ac:dyDescent="0.25">
      <c r="A1433" t="s">
        <v>266</v>
      </c>
      <c r="B1433" t="s">
        <v>393</v>
      </c>
      <c r="C1433" t="str">
        <f>_xlfn.CONCAT("Distance parcourue associée"," (",'Remplissage - Sit. Expost'!$B$93,")")</f>
        <v>Distance parcourue associée (Catégorie 8)</v>
      </c>
      <c r="E1433" t="str">
        <f>_xlfn.CONCAT("ELUApproDist",RIGHT(LEFT(C1433,LEN(C1433)-1),1))</f>
        <v>ELUApproDist8</v>
      </c>
      <c r="F1433" t="s">
        <v>17</v>
      </c>
      <c r="G1433" s="14">
        <f t="shared" si="372"/>
        <v>0</v>
      </c>
      <c r="J1433" t="s">
        <v>88</v>
      </c>
      <c r="K1433">
        <v>15</v>
      </c>
      <c r="M1433" t="s">
        <v>269</v>
      </c>
    </row>
    <row r="1434" spans="1:13" outlineLevel="1" x14ac:dyDescent="0.25">
      <c r="A1434" t="s">
        <v>266</v>
      </c>
      <c r="B1434" t="s">
        <v>393</v>
      </c>
      <c r="C1434" t="str">
        <f>_xlfn.CONCAT("Nombre de trajets associés"," (",'Remplissage - Sit. Expost'!$B$93,")")</f>
        <v>Nombre de trajets associés (Catégorie 8)</v>
      </c>
      <c r="E1434" t="str">
        <f>_xlfn.CONCAT("ELUApproNbTraj",RIGHT(LEFT(C1434,LEN(C1434)-1),1))</f>
        <v>ELUApproNbTraj8</v>
      </c>
      <c r="F1434" t="s">
        <v>17</v>
      </c>
      <c r="G1434" s="14">
        <f t="shared" si="372"/>
        <v>0</v>
      </c>
      <c r="J1434" t="s">
        <v>145</v>
      </c>
      <c r="K1434">
        <v>50</v>
      </c>
      <c r="M1434" t="s">
        <v>269</v>
      </c>
    </row>
    <row r="1435" spans="1:13" outlineLevel="1" x14ac:dyDescent="0.25">
      <c r="A1435" t="s">
        <v>266</v>
      </c>
      <c r="B1435" t="s">
        <v>394</v>
      </c>
      <c r="C1435" t="str">
        <f>_xlfn.CONCAT("Taux de chargement moyen des véhicules pour l'accès à l'ELU"," (",'Remplissage - Sit. Expost'!$B$103,")")</f>
        <v>Taux de chargement moyen des véhicules pour l'accès à l'ELU (Catégorie 9)</v>
      </c>
      <c r="E1435" t="str">
        <f>_xlfn.CONCAT("ELUApproTC",RIGHT(LEFT(C1435,LEN(C1435)-1),1))</f>
        <v>ELUApproTC9</v>
      </c>
      <c r="F1435" t="s">
        <v>17</v>
      </c>
      <c r="G1435" s="14">
        <f t="shared" si="372"/>
        <v>0</v>
      </c>
      <c r="H1435" s="18"/>
      <c r="J1435" t="s">
        <v>70</v>
      </c>
      <c r="K1435" s="7">
        <v>0.6</v>
      </c>
      <c r="M1435" t="s">
        <v>269</v>
      </c>
    </row>
    <row r="1436" spans="1:13" outlineLevel="1" x14ac:dyDescent="0.25">
      <c r="A1436" t="s">
        <v>266</v>
      </c>
      <c r="B1436" t="s">
        <v>394</v>
      </c>
      <c r="C1436" t="str">
        <f>_xlfn.CONCAT("Distance parcourue associée"," (",'Remplissage - Sit. Expost'!$B$103,")")</f>
        <v>Distance parcourue associée (Catégorie 9)</v>
      </c>
      <c r="E1436" t="str">
        <f>_xlfn.CONCAT("ELUApproDist",RIGHT(LEFT(C1436,LEN(C1436)-1),1))</f>
        <v>ELUApproDist9</v>
      </c>
      <c r="F1436" t="s">
        <v>17</v>
      </c>
      <c r="G1436" s="14">
        <f t="shared" si="372"/>
        <v>0</v>
      </c>
      <c r="J1436" t="s">
        <v>88</v>
      </c>
      <c r="K1436">
        <v>15</v>
      </c>
      <c r="M1436" t="s">
        <v>269</v>
      </c>
    </row>
    <row r="1437" spans="1:13" outlineLevel="1" x14ac:dyDescent="0.25">
      <c r="A1437" t="s">
        <v>266</v>
      </c>
      <c r="B1437" t="s">
        <v>394</v>
      </c>
      <c r="C1437" t="str">
        <f>_xlfn.CONCAT("Nombre de trajets associés"," (",'Remplissage - Sit. Expost'!$B$103,")")</f>
        <v>Nombre de trajets associés (Catégorie 9)</v>
      </c>
      <c r="E1437" t="str">
        <f>_xlfn.CONCAT("ELUApproNbTraj",RIGHT(LEFT(C1437,LEN(C1437)-1),1))</f>
        <v>ELUApproNbTraj9</v>
      </c>
      <c r="F1437" t="s">
        <v>17</v>
      </c>
      <c r="G1437" s="14">
        <f t="shared" si="372"/>
        <v>0</v>
      </c>
      <c r="J1437" t="s">
        <v>145</v>
      </c>
      <c r="K1437">
        <v>50</v>
      </c>
      <c r="M1437" t="s">
        <v>269</v>
      </c>
    </row>
    <row r="1438" spans="1:13" outlineLevel="1" x14ac:dyDescent="0.25">
      <c r="A1438" t="s">
        <v>266</v>
      </c>
      <c r="B1438" t="s">
        <v>395</v>
      </c>
      <c r="C1438" t="str">
        <f>_xlfn.CONCAT("Taux de chargement moyen des véhicules pour l'accès à l'ELU"," (",'Remplissage - Sit. Expost'!$B$113,")")</f>
        <v>Taux de chargement moyen des véhicules pour l'accès à l'ELU (Catégorie 10)</v>
      </c>
      <c r="E1438" t="str">
        <f>_xlfn.CONCAT("ELUApproTC",RIGHT(LEFT(C1438,LEN(C1438)-1),2))</f>
        <v>ELUApproTC10</v>
      </c>
      <c r="F1438" t="s">
        <v>17</v>
      </c>
      <c r="G1438" s="14">
        <f t="shared" si="372"/>
        <v>0</v>
      </c>
      <c r="H1438" s="18"/>
      <c r="J1438" t="s">
        <v>70</v>
      </c>
      <c r="K1438" s="7">
        <v>0.6</v>
      </c>
      <c r="M1438" t="s">
        <v>269</v>
      </c>
    </row>
    <row r="1439" spans="1:13" outlineLevel="1" x14ac:dyDescent="0.25">
      <c r="A1439" t="s">
        <v>266</v>
      </c>
      <c r="B1439" t="s">
        <v>395</v>
      </c>
      <c r="C1439" t="str">
        <f>_xlfn.CONCAT("Distance parcourue associée"," (",'Remplissage - Sit. Expost'!$B$113,")")</f>
        <v>Distance parcourue associée (Catégorie 10)</v>
      </c>
      <c r="E1439" t="str">
        <f>_xlfn.CONCAT("ELUApproDist",RIGHT(LEFT(C1439,LEN(C1439)-1),2))</f>
        <v>ELUApproDist10</v>
      </c>
      <c r="F1439" t="s">
        <v>17</v>
      </c>
      <c r="G1439" s="14">
        <f t="shared" si="372"/>
        <v>0</v>
      </c>
      <c r="J1439" t="s">
        <v>88</v>
      </c>
      <c r="K1439">
        <v>15</v>
      </c>
      <c r="M1439" t="s">
        <v>269</v>
      </c>
    </row>
    <row r="1440" spans="1:13" outlineLevel="1" x14ac:dyDescent="0.25">
      <c r="A1440" t="s">
        <v>266</v>
      </c>
      <c r="B1440" t="s">
        <v>395</v>
      </c>
      <c r="C1440" t="str">
        <f>_xlfn.CONCAT("Nombre de trajets associés"," (",'Remplissage - Sit. Expost'!$B$113,")")</f>
        <v>Nombre de trajets associés (Catégorie 10)</v>
      </c>
      <c r="E1440" t="str">
        <f>_xlfn.CONCAT("ELUApproNbTraj",RIGHT(LEFT(C1440,LEN(C1440)-1),2))</f>
        <v>ELUApproNbTraj10</v>
      </c>
      <c r="F1440" t="s">
        <v>17</v>
      </c>
      <c r="G1440" s="14">
        <f t="shared" si="372"/>
        <v>0</v>
      </c>
      <c r="J1440" t="s">
        <v>145</v>
      </c>
      <c r="K1440">
        <v>50</v>
      </c>
      <c r="M1440" t="s">
        <v>269</v>
      </c>
    </row>
    <row r="1441" spans="1:13" outlineLevel="1" x14ac:dyDescent="0.25">
      <c r="A1441" t="s">
        <v>266</v>
      </c>
      <c r="B1441" t="s">
        <v>396</v>
      </c>
      <c r="C1441" t="str">
        <f>_xlfn.CONCAT("Taux de chargement moyen des véhicules pour l'accès à l'ELU"," (",'Remplissage - Sit. Expost'!$B$123,")")</f>
        <v>Taux de chargement moyen des véhicules pour l'accès à l'ELU (Catégorie 11)</v>
      </c>
      <c r="E1441" t="str">
        <f>_xlfn.CONCAT("ELUApproTC",RIGHT(LEFT(C1441,LEN(C1441)-1),2))</f>
        <v>ELUApproTC11</v>
      </c>
      <c r="F1441" t="s">
        <v>17</v>
      </c>
      <c r="G1441" s="14">
        <f t="shared" si="372"/>
        <v>0</v>
      </c>
      <c r="H1441" s="18"/>
      <c r="J1441" t="s">
        <v>70</v>
      </c>
      <c r="K1441" s="7">
        <v>0.6</v>
      </c>
      <c r="M1441" t="s">
        <v>269</v>
      </c>
    </row>
    <row r="1442" spans="1:13" outlineLevel="1" x14ac:dyDescent="0.25">
      <c r="A1442" t="s">
        <v>266</v>
      </c>
      <c r="B1442" t="s">
        <v>396</v>
      </c>
      <c r="C1442" t="str">
        <f>_xlfn.CONCAT("Distance parcourue associée"," (",'Remplissage - Sit. Expost'!$B$123,")")</f>
        <v>Distance parcourue associée (Catégorie 11)</v>
      </c>
      <c r="E1442" t="str">
        <f>_xlfn.CONCAT("ELUApproDist",RIGHT(LEFT(C1442,LEN(C1442)-1),2))</f>
        <v>ELUApproDist11</v>
      </c>
      <c r="F1442" t="s">
        <v>17</v>
      </c>
      <c r="G1442" s="14">
        <f t="shared" si="372"/>
        <v>0</v>
      </c>
      <c r="J1442" t="s">
        <v>88</v>
      </c>
      <c r="K1442">
        <v>15</v>
      </c>
      <c r="M1442" t="s">
        <v>269</v>
      </c>
    </row>
    <row r="1443" spans="1:13" outlineLevel="1" x14ac:dyDescent="0.25">
      <c r="A1443" t="s">
        <v>266</v>
      </c>
      <c r="B1443" t="s">
        <v>396</v>
      </c>
      <c r="C1443" t="str">
        <f>_xlfn.CONCAT("Nombre de trajets associés"," (",'Remplissage - Sit. Expost'!$B$123,")")</f>
        <v>Nombre de trajets associés (Catégorie 11)</v>
      </c>
      <c r="E1443" t="str">
        <f>_xlfn.CONCAT("ELUApproNbTraj",RIGHT(LEFT(C1443,LEN(C1443)-1),2))</f>
        <v>ELUApproNbTraj11</v>
      </c>
      <c r="F1443" t="s">
        <v>17</v>
      </c>
      <c r="G1443" s="14">
        <f t="shared" si="372"/>
        <v>0</v>
      </c>
      <c r="J1443" t="s">
        <v>145</v>
      </c>
      <c r="K1443">
        <v>50</v>
      </c>
      <c r="M1443" t="s">
        <v>269</v>
      </c>
    </row>
    <row r="1444" spans="1:13" outlineLevel="1" x14ac:dyDescent="0.25">
      <c r="A1444" t="s">
        <v>266</v>
      </c>
      <c r="B1444" t="s">
        <v>397</v>
      </c>
      <c r="C1444" t="str">
        <f>_xlfn.CONCAT("Taux de chargement moyen des véhicules pour l'accès à l'ELU"," (",'Remplissage - Sit. Expost'!$B$133,")")</f>
        <v>Taux de chargement moyen des véhicules pour l'accès à l'ELU (Catégorie 12)</v>
      </c>
      <c r="E1444" t="str">
        <f>_xlfn.CONCAT("ELUApproTC",RIGHT(LEFT(C1444,LEN(C1444)-1),2))</f>
        <v>ELUApproTC12</v>
      </c>
      <c r="F1444" t="s">
        <v>17</v>
      </c>
      <c r="G1444" s="14">
        <f t="shared" si="372"/>
        <v>0</v>
      </c>
      <c r="H1444" s="18"/>
      <c r="J1444" t="s">
        <v>70</v>
      </c>
      <c r="K1444" s="7">
        <v>0.6</v>
      </c>
      <c r="M1444" t="s">
        <v>269</v>
      </c>
    </row>
    <row r="1445" spans="1:13" outlineLevel="1" x14ac:dyDescent="0.25">
      <c r="A1445" t="s">
        <v>266</v>
      </c>
      <c r="B1445" t="s">
        <v>397</v>
      </c>
      <c r="C1445" t="str">
        <f>_xlfn.CONCAT("Distance parcourue associée"," (",'Remplissage - Sit. Expost'!$B$133,")")</f>
        <v>Distance parcourue associée (Catégorie 12)</v>
      </c>
      <c r="E1445" t="str">
        <f>_xlfn.CONCAT("ELUApproDist",RIGHT(LEFT(C1445,LEN(C1445)-1),2))</f>
        <v>ELUApproDist12</v>
      </c>
      <c r="F1445" t="s">
        <v>17</v>
      </c>
      <c r="G1445" s="14">
        <f t="shared" si="372"/>
        <v>0</v>
      </c>
      <c r="J1445" t="s">
        <v>88</v>
      </c>
      <c r="K1445">
        <v>15</v>
      </c>
      <c r="M1445" t="s">
        <v>269</v>
      </c>
    </row>
    <row r="1446" spans="1:13" outlineLevel="1" x14ac:dyDescent="0.25">
      <c r="A1446" t="s">
        <v>266</v>
      </c>
      <c r="B1446" t="s">
        <v>397</v>
      </c>
      <c r="C1446" t="str">
        <f>_xlfn.CONCAT("Nombre de trajets associés"," (",'Remplissage - Sit. Expost'!$B$133,")")</f>
        <v>Nombre de trajets associés (Catégorie 12)</v>
      </c>
      <c r="E1446" t="str">
        <f>_xlfn.CONCAT("ELUApproNbTraj",RIGHT(LEFT(C1446,LEN(C1446)-1),2))</f>
        <v>ELUApproNbTraj12</v>
      </c>
      <c r="F1446" t="s">
        <v>17</v>
      </c>
      <c r="G1446" s="14">
        <f t="shared" si="372"/>
        <v>0</v>
      </c>
      <c r="J1446" t="s">
        <v>145</v>
      </c>
      <c r="K1446">
        <v>50</v>
      </c>
      <c r="M1446" t="s">
        <v>269</v>
      </c>
    </row>
    <row r="1447" spans="1:13" outlineLevel="1" x14ac:dyDescent="0.25">
      <c r="A1447" t="s">
        <v>266</v>
      </c>
      <c r="B1447" t="s">
        <v>398</v>
      </c>
      <c r="C1447" t="str">
        <f>_xlfn.CONCAT("Taux de chargement moyen des véhicules pour l'accès à l'ELU"," (",'Remplissage - Sit. Expost'!$B$143,")")</f>
        <v>Taux de chargement moyen des véhicules pour l'accès à l'ELU (Catégorie 13)</v>
      </c>
      <c r="E1447" t="str">
        <f>_xlfn.CONCAT("ELUApproTC",RIGHT(LEFT(C1447,LEN(C1447)-1),2))</f>
        <v>ELUApproTC13</v>
      </c>
      <c r="F1447" t="s">
        <v>17</v>
      </c>
      <c r="G1447" s="14">
        <f t="shared" si="372"/>
        <v>0</v>
      </c>
      <c r="H1447" s="18"/>
      <c r="J1447" t="s">
        <v>70</v>
      </c>
      <c r="K1447" s="7">
        <v>0.6</v>
      </c>
      <c r="M1447" t="s">
        <v>269</v>
      </c>
    </row>
    <row r="1448" spans="1:13" outlineLevel="1" x14ac:dyDescent="0.25">
      <c r="A1448" t="s">
        <v>266</v>
      </c>
      <c r="B1448" t="s">
        <v>398</v>
      </c>
      <c r="C1448" t="str">
        <f>_xlfn.CONCAT("Distance parcourue associée"," (",'Remplissage - Sit. Expost'!$B$143,")")</f>
        <v>Distance parcourue associée (Catégorie 13)</v>
      </c>
      <c r="E1448" t="str">
        <f>_xlfn.CONCAT("ELUApproDist",RIGHT(LEFT(C1448,LEN(C1448)-1),2))</f>
        <v>ELUApproDist13</v>
      </c>
      <c r="F1448" t="s">
        <v>17</v>
      </c>
      <c r="G1448" s="14">
        <f t="shared" si="372"/>
        <v>0</v>
      </c>
      <c r="J1448" t="s">
        <v>88</v>
      </c>
      <c r="K1448">
        <v>15</v>
      </c>
      <c r="M1448" t="s">
        <v>269</v>
      </c>
    </row>
    <row r="1449" spans="1:13" outlineLevel="1" x14ac:dyDescent="0.25">
      <c r="A1449" t="s">
        <v>266</v>
      </c>
      <c r="B1449" t="s">
        <v>398</v>
      </c>
      <c r="C1449" t="str">
        <f>_xlfn.CONCAT("Nombre de trajets associés"," (",'Remplissage - Sit. Expost'!$B$143,")")</f>
        <v>Nombre de trajets associés (Catégorie 13)</v>
      </c>
      <c r="E1449" t="str">
        <f>_xlfn.CONCAT("ELUApproNbTraj",RIGHT(LEFT(C1449,LEN(C1449)-1),2))</f>
        <v>ELUApproNbTraj13</v>
      </c>
      <c r="F1449" t="s">
        <v>17</v>
      </c>
      <c r="G1449" s="14">
        <f t="shared" si="372"/>
        <v>0</v>
      </c>
      <c r="J1449" t="s">
        <v>145</v>
      </c>
      <c r="K1449">
        <v>50</v>
      </c>
      <c r="M1449" t="s">
        <v>269</v>
      </c>
    </row>
    <row r="1450" spans="1:13" outlineLevel="1" x14ac:dyDescent="0.25">
      <c r="A1450" t="s">
        <v>266</v>
      </c>
      <c r="B1450" t="s">
        <v>399</v>
      </c>
      <c r="C1450" t="str">
        <f>_xlfn.CONCAT("Taux de chargement moyen des véhicules pour l'accès à l'ELU"," (",'Remplissage - Sit. Expost'!$B$153,")")</f>
        <v>Taux de chargement moyen des véhicules pour l'accès à l'ELU (Catégorie 14)</v>
      </c>
      <c r="E1450" t="str">
        <f>_xlfn.CONCAT("ELUApproTC",RIGHT(LEFT(C1450,LEN(C1450)-1),2))</f>
        <v>ELUApproTC14</v>
      </c>
      <c r="F1450" t="s">
        <v>17</v>
      </c>
      <c r="G1450" s="14">
        <f t="shared" si="372"/>
        <v>0</v>
      </c>
      <c r="H1450" s="18"/>
      <c r="J1450" t="s">
        <v>70</v>
      </c>
      <c r="K1450" s="7">
        <v>0.6</v>
      </c>
      <c r="M1450" t="s">
        <v>269</v>
      </c>
    </row>
    <row r="1451" spans="1:13" outlineLevel="1" x14ac:dyDescent="0.25">
      <c r="A1451" t="s">
        <v>266</v>
      </c>
      <c r="B1451" t="s">
        <v>399</v>
      </c>
      <c r="C1451" t="str">
        <f>_xlfn.CONCAT("Distance parcourue associée"," (",'Remplissage - Sit. Expost'!$B$153,")")</f>
        <v>Distance parcourue associée (Catégorie 14)</v>
      </c>
      <c r="E1451" t="str">
        <f>_xlfn.CONCAT("ELUApproDist",RIGHT(LEFT(C1451,LEN(C1451)-1),2))</f>
        <v>ELUApproDist14</v>
      </c>
      <c r="F1451" t="s">
        <v>17</v>
      </c>
      <c r="G1451" s="14">
        <f t="shared" si="372"/>
        <v>0</v>
      </c>
      <c r="J1451" t="s">
        <v>88</v>
      </c>
      <c r="K1451">
        <v>15</v>
      </c>
      <c r="M1451" t="s">
        <v>269</v>
      </c>
    </row>
    <row r="1452" spans="1:13" outlineLevel="1" x14ac:dyDescent="0.25">
      <c r="A1452" t="s">
        <v>266</v>
      </c>
      <c r="B1452" t="s">
        <v>399</v>
      </c>
      <c r="C1452" t="str">
        <f>_xlfn.CONCAT("Nombre de trajets associés"," (",'Remplissage - Sit. Expost'!$B$153,")")</f>
        <v>Nombre de trajets associés (Catégorie 14)</v>
      </c>
      <c r="E1452" t="str">
        <f>_xlfn.CONCAT("ELUApproNbTraj",RIGHT(LEFT(C1452,LEN(C1452)-1),2))</f>
        <v>ELUApproNbTraj14</v>
      </c>
      <c r="F1452" t="s">
        <v>17</v>
      </c>
      <c r="G1452" s="14">
        <f t="shared" si="372"/>
        <v>0</v>
      </c>
      <c r="J1452" t="s">
        <v>145</v>
      </c>
      <c r="K1452">
        <v>50</v>
      </c>
      <c r="M1452" t="s">
        <v>269</v>
      </c>
    </row>
    <row r="1453" spans="1:13" outlineLevel="1" x14ac:dyDescent="0.25">
      <c r="A1453" t="s">
        <v>266</v>
      </c>
      <c r="B1453" t="s">
        <v>400</v>
      </c>
      <c r="C1453" t="str">
        <f>_xlfn.CONCAT("Taux de chargement moyen des véhicules pour l'accès à l'ELU"," (",'Remplissage - Sit. Expost'!$B$163,")")</f>
        <v>Taux de chargement moyen des véhicules pour l'accès à l'ELU (Catégorie 15)</v>
      </c>
      <c r="E1453" t="str">
        <f>_xlfn.CONCAT("ELUApproTC",RIGHT(LEFT(C1453,LEN(C1453)-1),2))</f>
        <v>ELUApproTC15</v>
      </c>
      <c r="F1453" t="s">
        <v>17</v>
      </c>
      <c r="G1453" s="14">
        <f t="shared" si="372"/>
        <v>0</v>
      </c>
      <c r="H1453" s="18"/>
      <c r="J1453" t="s">
        <v>70</v>
      </c>
      <c r="K1453" s="7">
        <v>0.6</v>
      </c>
      <c r="M1453" t="s">
        <v>269</v>
      </c>
    </row>
    <row r="1454" spans="1:13" outlineLevel="1" x14ac:dyDescent="0.25">
      <c r="A1454" t="s">
        <v>266</v>
      </c>
      <c r="B1454" t="s">
        <v>400</v>
      </c>
      <c r="C1454" t="str">
        <f>_xlfn.CONCAT("Distance parcourue associée"," (",'Remplissage - Sit. Expost'!$B$163,")")</f>
        <v>Distance parcourue associée (Catégorie 15)</v>
      </c>
      <c r="E1454" t="str">
        <f>_xlfn.CONCAT("ELUApproDist",RIGHT(LEFT(C1454,LEN(C1454)-1),2))</f>
        <v>ELUApproDist15</v>
      </c>
      <c r="F1454" t="s">
        <v>17</v>
      </c>
      <c r="G1454" s="14">
        <f t="shared" si="372"/>
        <v>0</v>
      </c>
      <c r="J1454" t="s">
        <v>88</v>
      </c>
      <c r="K1454">
        <v>15</v>
      </c>
      <c r="M1454" t="s">
        <v>269</v>
      </c>
    </row>
    <row r="1455" spans="1:13" outlineLevel="1" x14ac:dyDescent="0.25">
      <c r="A1455" t="s">
        <v>266</v>
      </c>
      <c r="B1455" t="s">
        <v>400</v>
      </c>
      <c r="C1455" t="str">
        <f>_xlfn.CONCAT("Nombre de trajets associés"," (",'Remplissage - Sit. Expost'!$B$163,")")</f>
        <v>Nombre de trajets associés (Catégorie 15)</v>
      </c>
      <c r="E1455" t="str">
        <f>_xlfn.CONCAT("ELUApproNbTraj",RIGHT(LEFT(C1455,LEN(C1455)-1),2))</f>
        <v>ELUApproNbTraj15</v>
      </c>
      <c r="F1455" t="s">
        <v>17</v>
      </c>
      <c r="G1455" s="14">
        <f t="shared" si="372"/>
        <v>0</v>
      </c>
      <c r="J1455" t="s">
        <v>145</v>
      </c>
      <c r="K1455">
        <v>50</v>
      </c>
      <c r="M1455" t="s">
        <v>269</v>
      </c>
    </row>
    <row r="1456" spans="1:13" outlineLevel="1" x14ac:dyDescent="0.25">
      <c r="A1456" t="s">
        <v>266</v>
      </c>
      <c r="B1456" t="s">
        <v>401</v>
      </c>
      <c r="C1456" t="str">
        <f>_xlfn.CONCAT("Taux de chargement moyen des véhicules pour l'accès à l'ELU"," (",'Remplissage - Sit. Expost'!$B$173,")")</f>
        <v>Taux de chargement moyen des véhicules pour l'accès à l'ELU (Catégorie 16)</v>
      </c>
      <c r="E1456" t="str">
        <f>_xlfn.CONCAT("ELUApproTC",RIGHT(LEFT(C1456,LEN(C1456)-1),2))</f>
        <v>ELUApproTC16</v>
      </c>
      <c r="F1456" t="s">
        <v>17</v>
      </c>
      <c r="G1456" s="14">
        <f t="shared" si="372"/>
        <v>0</v>
      </c>
      <c r="H1456" s="18"/>
      <c r="J1456" t="s">
        <v>70</v>
      </c>
      <c r="K1456" s="7">
        <v>0.6</v>
      </c>
      <c r="M1456" t="s">
        <v>269</v>
      </c>
    </row>
    <row r="1457" spans="1:13" outlineLevel="1" x14ac:dyDescent="0.25">
      <c r="A1457" t="s">
        <v>266</v>
      </c>
      <c r="B1457" t="s">
        <v>401</v>
      </c>
      <c r="C1457" t="str">
        <f>_xlfn.CONCAT("Distance parcourue associée"," (",'Remplissage - Sit. Expost'!$B$173,")")</f>
        <v>Distance parcourue associée (Catégorie 16)</v>
      </c>
      <c r="E1457" t="str">
        <f>_xlfn.CONCAT("ELUApproDist",RIGHT(LEFT(C1457,LEN(C1457)-1),2))</f>
        <v>ELUApproDist16</v>
      </c>
      <c r="F1457" t="s">
        <v>17</v>
      </c>
      <c r="G1457" s="14">
        <f t="shared" si="372"/>
        <v>0</v>
      </c>
      <c r="J1457" t="s">
        <v>88</v>
      </c>
      <c r="K1457">
        <v>15</v>
      </c>
      <c r="M1457" t="s">
        <v>269</v>
      </c>
    </row>
    <row r="1458" spans="1:13" outlineLevel="1" x14ac:dyDescent="0.25">
      <c r="A1458" t="s">
        <v>266</v>
      </c>
      <c r="B1458" t="s">
        <v>401</v>
      </c>
      <c r="C1458" t="str">
        <f>_xlfn.CONCAT("Nombre de trajets associés"," (",'Remplissage - Sit. Expost'!$B$173,")")</f>
        <v>Nombre de trajets associés (Catégorie 16)</v>
      </c>
      <c r="E1458" t="str">
        <f>_xlfn.CONCAT("ELUApproNbTraj",RIGHT(LEFT(C1458,LEN(C1458)-1),2))</f>
        <v>ELUApproNbTraj16</v>
      </c>
      <c r="F1458" t="s">
        <v>17</v>
      </c>
      <c r="G1458" s="14">
        <f t="shared" si="372"/>
        <v>0</v>
      </c>
      <c r="J1458" t="s">
        <v>145</v>
      </c>
      <c r="K1458">
        <v>50</v>
      </c>
      <c r="M1458" t="s">
        <v>269</v>
      </c>
    </row>
    <row r="1459" spans="1:13" outlineLevel="1" x14ac:dyDescent="0.25">
      <c r="A1459" t="s">
        <v>266</v>
      </c>
      <c r="B1459" t="s">
        <v>402</v>
      </c>
      <c r="C1459" t="str">
        <f>_xlfn.CONCAT("Taux de chargement moyen des véhicules pour l'accès à l'ELU"," (",'Remplissage - Sit. Expost'!$B$183,")")</f>
        <v>Taux de chargement moyen des véhicules pour l'accès à l'ELU (Catégorie 17)</v>
      </c>
      <c r="E1459" t="str">
        <f>_xlfn.CONCAT("ELUApproTC",RIGHT(LEFT(C1459,LEN(C1459)-1),2))</f>
        <v>ELUApproTC17</v>
      </c>
      <c r="F1459" t="s">
        <v>17</v>
      </c>
      <c r="G1459" s="14">
        <f t="shared" si="372"/>
        <v>0</v>
      </c>
      <c r="H1459" s="18"/>
      <c r="J1459" t="s">
        <v>70</v>
      </c>
      <c r="K1459" s="7">
        <v>0.6</v>
      </c>
      <c r="M1459" t="s">
        <v>269</v>
      </c>
    </row>
    <row r="1460" spans="1:13" outlineLevel="1" x14ac:dyDescent="0.25">
      <c r="A1460" t="s">
        <v>266</v>
      </c>
      <c r="B1460" t="s">
        <v>402</v>
      </c>
      <c r="C1460" t="str">
        <f>_xlfn.CONCAT("Distance parcourue associée"," (",'Remplissage - Sit. Expost'!$B$183,")")</f>
        <v>Distance parcourue associée (Catégorie 17)</v>
      </c>
      <c r="E1460" t="str">
        <f>_xlfn.CONCAT("ELUApproDist",RIGHT(LEFT(C1460,LEN(C1460)-1),2))</f>
        <v>ELUApproDist17</v>
      </c>
      <c r="F1460" t="s">
        <v>17</v>
      </c>
      <c r="G1460" s="14">
        <f t="shared" si="372"/>
        <v>0</v>
      </c>
      <c r="J1460" t="s">
        <v>88</v>
      </c>
      <c r="K1460">
        <v>15</v>
      </c>
      <c r="M1460" t="s">
        <v>269</v>
      </c>
    </row>
    <row r="1461" spans="1:13" outlineLevel="1" x14ac:dyDescent="0.25">
      <c r="A1461" t="s">
        <v>266</v>
      </c>
      <c r="B1461" t="s">
        <v>402</v>
      </c>
      <c r="C1461" t="str">
        <f>_xlfn.CONCAT("Nombre de trajets associés"," (",'Remplissage - Sit. Expost'!$B$183,")")</f>
        <v>Nombre de trajets associés (Catégorie 17)</v>
      </c>
      <c r="E1461" t="str">
        <f>_xlfn.CONCAT("ELUApproNbTraj",RIGHT(LEFT(C1461,LEN(C1461)-1),2))</f>
        <v>ELUApproNbTraj17</v>
      </c>
      <c r="F1461" t="s">
        <v>17</v>
      </c>
      <c r="G1461" s="14">
        <f t="shared" si="372"/>
        <v>0</v>
      </c>
      <c r="J1461" t="s">
        <v>145</v>
      </c>
      <c r="K1461">
        <v>50</v>
      </c>
      <c r="M1461" t="s">
        <v>269</v>
      </c>
    </row>
    <row r="1462" spans="1:13" outlineLevel="1" x14ac:dyDescent="0.25">
      <c r="A1462" t="s">
        <v>266</v>
      </c>
      <c r="B1462" t="s">
        <v>403</v>
      </c>
      <c r="C1462" t="str">
        <f>_xlfn.CONCAT("Taux de chargement moyen des véhicules pour l'accès à l'ELU"," (",'Remplissage - Sit. Expost'!$B$193,")")</f>
        <v>Taux de chargement moyen des véhicules pour l'accès à l'ELU (Catégorie 18)</v>
      </c>
      <c r="E1462" t="str">
        <f>_xlfn.CONCAT("ELUApproTC",RIGHT(LEFT(C1462,LEN(C1462)-1),2))</f>
        <v>ELUApproTC18</v>
      </c>
      <c r="F1462" t="s">
        <v>17</v>
      </c>
      <c r="G1462" s="14">
        <f t="shared" si="372"/>
        <v>0</v>
      </c>
      <c r="H1462" s="18"/>
      <c r="J1462" t="s">
        <v>70</v>
      </c>
      <c r="K1462" s="7">
        <v>0.6</v>
      </c>
      <c r="M1462" t="s">
        <v>269</v>
      </c>
    </row>
    <row r="1463" spans="1:13" outlineLevel="1" x14ac:dyDescent="0.25">
      <c r="A1463" t="s">
        <v>266</v>
      </c>
      <c r="B1463" t="s">
        <v>403</v>
      </c>
      <c r="C1463" t="str">
        <f>_xlfn.CONCAT("Distance parcourue associée"," (",'Remplissage - Sit. Expost'!$B$193,")")</f>
        <v>Distance parcourue associée (Catégorie 18)</v>
      </c>
      <c r="E1463" t="str">
        <f>_xlfn.CONCAT("ELUApproDist",RIGHT(LEFT(C1463,LEN(C1463)-1),2))</f>
        <v>ELUApproDist18</v>
      </c>
      <c r="F1463" t="s">
        <v>17</v>
      </c>
      <c r="G1463" s="14">
        <f t="shared" si="372"/>
        <v>0</v>
      </c>
      <c r="J1463" t="s">
        <v>88</v>
      </c>
      <c r="K1463">
        <v>15</v>
      </c>
      <c r="M1463" t="s">
        <v>269</v>
      </c>
    </row>
    <row r="1464" spans="1:13" outlineLevel="1" x14ac:dyDescent="0.25">
      <c r="A1464" t="s">
        <v>266</v>
      </c>
      <c r="B1464" t="s">
        <v>403</v>
      </c>
      <c r="C1464" t="str">
        <f>_xlfn.CONCAT("Nombre de trajets associés"," (",'Remplissage - Sit. Expost'!$B$193,")")</f>
        <v>Nombre de trajets associés (Catégorie 18)</v>
      </c>
      <c r="E1464" t="str">
        <f>_xlfn.CONCAT("ELUApproNbTraj",RIGHT(LEFT(C1464,LEN(C1464)-1),2))</f>
        <v>ELUApproNbTraj18</v>
      </c>
      <c r="F1464" t="s">
        <v>17</v>
      </c>
      <c r="G1464" s="14">
        <f t="shared" si="372"/>
        <v>0</v>
      </c>
      <c r="J1464" t="s">
        <v>145</v>
      </c>
      <c r="K1464">
        <v>50</v>
      </c>
      <c r="M1464" t="s">
        <v>269</v>
      </c>
    </row>
    <row r="1465" spans="1:13" outlineLevel="1" x14ac:dyDescent="0.25">
      <c r="A1465" t="s">
        <v>266</v>
      </c>
      <c r="B1465" t="s">
        <v>404</v>
      </c>
      <c r="C1465" t="str">
        <f>_xlfn.CONCAT("Taux de chargement moyen des véhicules pour l'accès à l'ELU"," (",'Remplissage - Sit. Expost'!$B$203,")")</f>
        <v>Taux de chargement moyen des véhicules pour l'accès à l'ELU (Catégorie 19)</v>
      </c>
      <c r="E1465" t="str">
        <f>_xlfn.CONCAT("ELUApproTC",RIGHT(LEFT(C1465,LEN(C1465)-1),2))</f>
        <v>ELUApproTC19</v>
      </c>
      <c r="F1465" t="s">
        <v>17</v>
      </c>
      <c r="G1465" s="14">
        <f t="shared" si="372"/>
        <v>0</v>
      </c>
      <c r="H1465" s="18"/>
      <c r="J1465" t="s">
        <v>70</v>
      </c>
      <c r="K1465" s="7">
        <v>0.6</v>
      </c>
      <c r="M1465" t="s">
        <v>269</v>
      </c>
    </row>
    <row r="1466" spans="1:13" outlineLevel="1" x14ac:dyDescent="0.25">
      <c r="A1466" t="s">
        <v>266</v>
      </c>
      <c r="B1466" t="s">
        <v>404</v>
      </c>
      <c r="C1466" t="str">
        <f>_xlfn.CONCAT("Distance parcourue associée"," (",'Remplissage - Sit. Expost'!$B$203,")")</f>
        <v>Distance parcourue associée (Catégorie 19)</v>
      </c>
      <c r="E1466" t="str">
        <f>_xlfn.CONCAT("ELUApproDist",RIGHT(LEFT(C1466,LEN(C1466)-1),2))</f>
        <v>ELUApproDist19</v>
      </c>
      <c r="F1466" t="s">
        <v>17</v>
      </c>
      <c r="G1466" s="14">
        <f t="shared" si="372"/>
        <v>0</v>
      </c>
      <c r="J1466" t="s">
        <v>88</v>
      </c>
      <c r="K1466">
        <v>15</v>
      </c>
      <c r="M1466" t="s">
        <v>269</v>
      </c>
    </row>
    <row r="1467" spans="1:13" outlineLevel="1" x14ac:dyDescent="0.25">
      <c r="A1467" t="s">
        <v>266</v>
      </c>
      <c r="B1467" t="s">
        <v>404</v>
      </c>
      <c r="C1467" t="str">
        <f>_xlfn.CONCAT("Nombre de trajets associés"," (",'Remplissage - Sit. Expost'!$B$203,")")</f>
        <v>Nombre de trajets associés (Catégorie 19)</v>
      </c>
      <c r="E1467" t="str">
        <f>_xlfn.CONCAT("ELUApproNbTraj",RIGHT(LEFT(C1467,LEN(C1467)-1),2))</f>
        <v>ELUApproNbTraj19</v>
      </c>
      <c r="F1467" t="s">
        <v>17</v>
      </c>
      <c r="G1467" s="14">
        <f t="shared" si="372"/>
        <v>0</v>
      </c>
      <c r="J1467" t="s">
        <v>145</v>
      </c>
      <c r="K1467">
        <v>50</v>
      </c>
      <c r="M1467" t="s">
        <v>269</v>
      </c>
    </row>
    <row r="1468" spans="1:13" outlineLevel="1" x14ac:dyDescent="0.25">
      <c r="A1468" t="s">
        <v>266</v>
      </c>
      <c r="B1468" t="s">
        <v>405</v>
      </c>
      <c r="C1468" t="str">
        <f>_xlfn.CONCAT("Taux de chargement moyen des véhicules pour l'accès à l'ELU"," (",'Remplissage - Sit. Expost'!$B$213,")")</f>
        <v>Taux de chargement moyen des véhicules pour l'accès à l'ELU (Catégorie 20)</v>
      </c>
      <c r="E1468" t="str">
        <f>_xlfn.CONCAT("ELUApproTC",RIGHT(LEFT(C1468,LEN(C1468)-1),2))</f>
        <v>ELUApproTC20</v>
      </c>
      <c r="F1468" t="s">
        <v>17</v>
      </c>
      <c r="G1468" s="14">
        <f t="shared" si="372"/>
        <v>0</v>
      </c>
      <c r="H1468" s="18"/>
      <c r="J1468" t="s">
        <v>70</v>
      </c>
      <c r="K1468" s="7">
        <v>0.6</v>
      </c>
      <c r="M1468" t="s">
        <v>269</v>
      </c>
    </row>
    <row r="1469" spans="1:13" outlineLevel="1" x14ac:dyDescent="0.25">
      <c r="A1469" t="s">
        <v>266</v>
      </c>
      <c r="B1469" t="s">
        <v>405</v>
      </c>
      <c r="C1469" t="str">
        <f>_xlfn.CONCAT("Distance parcourue associée"," (",'Remplissage - Sit. Expost'!$B$213,")")</f>
        <v>Distance parcourue associée (Catégorie 20)</v>
      </c>
      <c r="E1469" t="str">
        <f>_xlfn.CONCAT("ELUApproDist",RIGHT(LEFT(C1469,LEN(C1469)-1),2))</f>
        <v>ELUApproDist20</v>
      </c>
      <c r="F1469" t="s">
        <v>17</v>
      </c>
      <c r="G1469" s="14">
        <f t="shared" si="372"/>
        <v>0</v>
      </c>
      <c r="J1469" t="s">
        <v>88</v>
      </c>
      <c r="K1469">
        <v>15</v>
      </c>
      <c r="M1469" t="s">
        <v>269</v>
      </c>
    </row>
    <row r="1470" spans="1:13" outlineLevel="1" x14ac:dyDescent="0.25">
      <c r="A1470" t="s">
        <v>266</v>
      </c>
      <c r="B1470" t="s">
        <v>405</v>
      </c>
      <c r="C1470" t="str">
        <f>_xlfn.CONCAT("Nombre de trajets associés"," (",'Remplissage - Sit. Expost'!$B$213,")")</f>
        <v>Nombre de trajets associés (Catégorie 20)</v>
      </c>
      <c r="E1470" t="str">
        <f>_xlfn.CONCAT("ELUApproNbTraj",RIGHT(LEFT(C1470,LEN(C1470)-1),2))</f>
        <v>ELUApproNbTraj20</v>
      </c>
      <c r="F1470" t="s">
        <v>17</v>
      </c>
      <c r="G1470" s="14">
        <f t="shared" si="372"/>
        <v>0</v>
      </c>
      <c r="J1470" t="s">
        <v>145</v>
      </c>
      <c r="K1470">
        <v>50</v>
      </c>
      <c r="M1470" t="s">
        <v>269</v>
      </c>
    </row>
    <row r="1471" spans="1:13" outlineLevel="1" x14ac:dyDescent="0.25">
      <c r="A1471" t="s">
        <v>266</v>
      </c>
      <c r="B1471" t="s">
        <v>406</v>
      </c>
      <c r="C1471" t="str">
        <f>_xlfn.CONCAT("Taux de chargement moyen des véhicules pour l'accès à l'ELU"," (",'Remplissage - Sit. Expost'!$B$223,")")</f>
        <v>Taux de chargement moyen des véhicules pour l'accès à l'ELU (Catégorie 21)</v>
      </c>
      <c r="E1471" t="str">
        <f>_xlfn.CONCAT("ELUApproTC",RIGHT(LEFT(C1471,LEN(C1471)-1),2))</f>
        <v>ELUApproTC21</v>
      </c>
      <c r="F1471" t="s">
        <v>17</v>
      </c>
      <c r="G1471" s="14">
        <f t="shared" si="372"/>
        <v>0</v>
      </c>
      <c r="H1471" s="18"/>
      <c r="J1471" t="s">
        <v>70</v>
      </c>
      <c r="K1471" s="7">
        <v>0.6</v>
      </c>
      <c r="M1471" t="s">
        <v>269</v>
      </c>
    </row>
    <row r="1472" spans="1:13" outlineLevel="1" x14ac:dyDescent="0.25">
      <c r="A1472" t="s">
        <v>266</v>
      </c>
      <c r="B1472" t="s">
        <v>406</v>
      </c>
      <c r="C1472" t="str">
        <f>_xlfn.CONCAT("Distance parcourue associée"," (",'Remplissage - Sit. Expost'!$B$223,")")</f>
        <v>Distance parcourue associée (Catégorie 21)</v>
      </c>
      <c r="E1472" t="str">
        <f>_xlfn.CONCAT("ELUApproDist",RIGHT(LEFT(C1472,LEN(C1472)-1),2))</f>
        <v>ELUApproDist21</v>
      </c>
      <c r="F1472" t="s">
        <v>17</v>
      </c>
      <c r="G1472" s="14">
        <f t="shared" si="372"/>
        <v>0</v>
      </c>
      <c r="J1472" t="s">
        <v>88</v>
      </c>
      <c r="K1472">
        <v>15</v>
      </c>
      <c r="M1472" t="s">
        <v>269</v>
      </c>
    </row>
    <row r="1473" spans="1:13" outlineLevel="1" x14ac:dyDescent="0.25">
      <c r="A1473" t="s">
        <v>266</v>
      </c>
      <c r="B1473" t="s">
        <v>406</v>
      </c>
      <c r="C1473" t="str">
        <f>_xlfn.CONCAT("Nombre de trajets associés"," (",'Remplissage - Sit. Expost'!$B$223,")")</f>
        <v>Nombre de trajets associés (Catégorie 21)</v>
      </c>
      <c r="E1473" t="str">
        <f>_xlfn.CONCAT("ELUApproNbTraj",RIGHT(LEFT(C1473,LEN(C1473)-1),2))</f>
        <v>ELUApproNbTraj21</v>
      </c>
      <c r="F1473" t="s">
        <v>17</v>
      </c>
      <c r="G1473" s="14">
        <f t="shared" si="372"/>
        <v>0</v>
      </c>
      <c r="J1473" t="s">
        <v>145</v>
      </c>
      <c r="K1473">
        <v>50</v>
      </c>
      <c r="M1473" t="s">
        <v>269</v>
      </c>
    </row>
    <row r="1474" spans="1:13" outlineLevel="1" x14ac:dyDescent="0.25">
      <c r="A1474" t="s">
        <v>266</v>
      </c>
      <c r="B1474" t="s">
        <v>407</v>
      </c>
      <c r="C1474" t="str">
        <f>_xlfn.CONCAT("Taux de chargement moyen des véhicules pour l'accès à l'ELU"," (",'Remplissage - Sit. Expost'!$B$233,")")</f>
        <v>Taux de chargement moyen des véhicules pour l'accès à l'ELU (Catégorie 22)</v>
      </c>
      <c r="E1474" t="str">
        <f>_xlfn.CONCAT("ELUApproTC",RIGHT(LEFT(C1474,LEN(C1474)-1),2))</f>
        <v>ELUApproTC22</v>
      </c>
      <c r="F1474" t="s">
        <v>17</v>
      </c>
      <c r="G1474" s="14">
        <f t="shared" si="372"/>
        <v>0</v>
      </c>
      <c r="H1474" s="18"/>
      <c r="J1474" t="s">
        <v>70</v>
      </c>
      <c r="K1474" s="7">
        <v>0.6</v>
      </c>
      <c r="M1474" t="s">
        <v>269</v>
      </c>
    </row>
    <row r="1475" spans="1:13" outlineLevel="1" x14ac:dyDescent="0.25">
      <c r="A1475" t="s">
        <v>266</v>
      </c>
      <c r="B1475" t="s">
        <v>407</v>
      </c>
      <c r="C1475" t="str">
        <f>_xlfn.CONCAT("Distance parcourue associée"," (",'Remplissage - Sit. Expost'!$B$233,")")</f>
        <v>Distance parcourue associée (Catégorie 22)</v>
      </c>
      <c r="E1475" t="str">
        <f>_xlfn.CONCAT("ELUApproDist",RIGHT(LEFT(C1475,LEN(C1475)-1),2))</f>
        <v>ELUApproDist22</v>
      </c>
      <c r="F1475" t="s">
        <v>17</v>
      </c>
      <c r="G1475" s="14">
        <f t="shared" si="372"/>
        <v>0</v>
      </c>
      <c r="J1475" t="s">
        <v>88</v>
      </c>
      <c r="K1475">
        <v>15</v>
      </c>
      <c r="M1475" t="s">
        <v>269</v>
      </c>
    </row>
    <row r="1476" spans="1:13" outlineLevel="1" x14ac:dyDescent="0.25">
      <c r="A1476" t="s">
        <v>266</v>
      </c>
      <c r="B1476" t="s">
        <v>407</v>
      </c>
      <c r="C1476" t="str">
        <f>_xlfn.CONCAT("Nombre de trajets associés"," (",'Remplissage - Sit. Expost'!$B$233,")")</f>
        <v>Nombre de trajets associés (Catégorie 22)</v>
      </c>
      <c r="E1476" t="str">
        <f>_xlfn.CONCAT("ELUApproNbTraj",RIGHT(LEFT(C1476,LEN(C1476)-1),2))</f>
        <v>ELUApproNbTraj22</v>
      </c>
      <c r="F1476" t="s">
        <v>17</v>
      </c>
      <c r="G1476" s="14">
        <f t="shared" ref="G1476:G1539" si="373">(IF(ISNUMBER(SEARCH($B1476,$H$1406)),1,0))*(IF(ISNUMBER(SEARCH("Par catégorie de véhicule sélectionnée",$H$1405)),1,0))</f>
        <v>0</v>
      </c>
      <c r="J1476" t="s">
        <v>145</v>
      </c>
      <c r="K1476">
        <v>50</v>
      </c>
      <c r="M1476" t="s">
        <v>269</v>
      </c>
    </row>
    <row r="1477" spans="1:13" outlineLevel="1" x14ac:dyDescent="0.25">
      <c r="A1477" t="s">
        <v>266</v>
      </c>
      <c r="B1477" t="s">
        <v>408</v>
      </c>
      <c r="C1477" t="str">
        <f>_xlfn.CONCAT("Taux de chargement moyen des véhicules pour l'accès à l'ELU"," (",'Remplissage - Sit. Expost'!$B$243,")")</f>
        <v>Taux de chargement moyen des véhicules pour l'accès à l'ELU (Catégorie 23)</v>
      </c>
      <c r="E1477" t="str">
        <f>_xlfn.CONCAT("ELUApproTC",RIGHT(LEFT(C1477,LEN(C1477)-1),2))</f>
        <v>ELUApproTC23</v>
      </c>
      <c r="F1477" t="s">
        <v>17</v>
      </c>
      <c r="G1477" s="14">
        <f t="shared" si="373"/>
        <v>0</v>
      </c>
      <c r="H1477" s="18"/>
      <c r="J1477" t="s">
        <v>70</v>
      </c>
      <c r="K1477" s="7">
        <v>0.6</v>
      </c>
      <c r="M1477" t="s">
        <v>269</v>
      </c>
    </row>
    <row r="1478" spans="1:13" outlineLevel="1" x14ac:dyDescent="0.25">
      <c r="A1478" t="s">
        <v>266</v>
      </c>
      <c r="B1478" t="s">
        <v>408</v>
      </c>
      <c r="C1478" t="str">
        <f>_xlfn.CONCAT("Distance parcourue associée"," (",'Remplissage - Sit. Expost'!$B$243,")")</f>
        <v>Distance parcourue associée (Catégorie 23)</v>
      </c>
      <c r="E1478" t="str">
        <f>_xlfn.CONCAT("ELUApproDist",RIGHT(LEFT(C1478,LEN(C1478)-1),2))</f>
        <v>ELUApproDist23</v>
      </c>
      <c r="F1478" t="s">
        <v>17</v>
      </c>
      <c r="G1478" s="14">
        <f t="shared" si="373"/>
        <v>0</v>
      </c>
      <c r="J1478" t="s">
        <v>88</v>
      </c>
      <c r="K1478">
        <v>15</v>
      </c>
      <c r="M1478" t="s">
        <v>269</v>
      </c>
    </row>
    <row r="1479" spans="1:13" outlineLevel="1" x14ac:dyDescent="0.25">
      <c r="A1479" t="s">
        <v>266</v>
      </c>
      <c r="B1479" t="s">
        <v>408</v>
      </c>
      <c r="C1479" t="str">
        <f>_xlfn.CONCAT("Nombre de trajets associés"," (",'Remplissage - Sit. Expost'!$B$243,")")</f>
        <v>Nombre de trajets associés (Catégorie 23)</v>
      </c>
      <c r="E1479" t="str">
        <f>_xlfn.CONCAT("ELUApproNbTraj",RIGHT(LEFT(C1479,LEN(C1479)-1),2))</f>
        <v>ELUApproNbTraj23</v>
      </c>
      <c r="F1479" t="s">
        <v>17</v>
      </c>
      <c r="G1479" s="14">
        <f t="shared" si="373"/>
        <v>0</v>
      </c>
      <c r="J1479" t="s">
        <v>145</v>
      </c>
      <c r="K1479">
        <v>50</v>
      </c>
      <c r="M1479" t="s">
        <v>269</v>
      </c>
    </row>
    <row r="1480" spans="1:13" outlineLevel="1" x14ac:dyDescent="0.25">
      <c r="A1480" t="s">
        <v>266</v>
      </c>
      <c r="B1480" t="s">
        <v>409</v>
      </c>
      <c r="C1480" t="str">
        <f>_xlfn.CONCAT("Taux de chargement moyen des véhicules pour l'accès à l'ELU"," (",'Remplissage - Sit. Expost'!$B$253,")")</f>
        <v>Taux de chargement moyen des véhicules pour l'accès à l'ELU (Catégorie 24)</v>
      </c>
      <c r="E1480" t="str">
        <f>_xlfn.CONCAT("ELUApproTC",RIGHT(LEFT(C1480,LEN(C1480)-1),2))</f>
        <v>ELUApproTC24</v>
      </c>
      <c r="F1480" t="s">
        <v>17</v>
      </c>
      <c r="G1480" s="14">
        <f t="shared" si="373"/>
        <v>0</v>
      </c>
      <c r="H1480" s="18"/>
      <c r="J1480" t="s">
        <v>70</v>
      </c>
      <c r="K1480" s="7">
        <v>0.6</v>
      </c>
      <c r="M1480" t="s">
        <v>269</v>
      </c>
    </row>
    <row r="1481" spans="1:13" outlineLevel="1" x14ac:dyDescent="0.25">
      <c r="A1481" t="s">
        <v>266</v>
      </c>
      <c r="B1481" t="s">
        <v>409</v>
      </c>
      <c r="C1481" t="str">
        <f>_xlfn.CONCAT("Distance parcourue associée"," (",'Remplissage - Sit. Expost'!$B$253,")")</f>
        <v>Distance parcourue associée (Catégorie 24)</v>
      </c>
      <c r="E1481" t="str">
        <f>_xlfn.CONCAT("ELUApproDist",RIGHT(LEFT(C1481,LEN(C1481)-1),2))</f>
        <v>ELUApproDist24</v>
      </c>
      <c r="F1481" t="s">
        <v>17</v>
      </c>
      <c r="G1481" s="14">
        <f t="shared" si="373"/>
        <v>0</v>
      </c>
      <c r="J1481" t="s">
        <v>88</v>
      </c>
      <c r="K1481">
        <v>15</v>
      </c>
      <c r="M1481" t="s">
        <v>269</v>
      </c>
    </row>
    <row r="1482" spans="1:13" outlineLevel="1" x14ac:dyDescent="0.25">
      <c r="A1482" t="s">
        <v>266</v>
      </c>
      <c r="B1482" t="s">
        <v>409</v>
      </c>
      <c r="C1482" t="str">
        <f>_xlfn.CONCAT("Nombre de trajets associés"," (",'Remplissage - Sit. Expost'!$B$253,")")</f>
        <v>Nombre de trajets associés (Catégorie 24)</v>
      </c>
      <c r="E1482" t="str">
        <f>_xlfn.CONCAT("ELUApproNbTraj",RIGHT(LEFT(C1482,LEN(C1482)-1),2))</f>
        <v>ELUApproNbTraj24</v>
      </c>
      <c r="F1482" t="s">
        <v>17</v>
      </c>
      <c r="G1482" s="14">
        <f t="shared" si="373"/>
        <v>0</v>
      </c>
      <c r="J1482" t="s">
        <v>145</v>
      </c>
      <c r="K1482">
        <v>50</v>
      </c>
      <c r="M1482" t="s">
        <v>269</v>
      </c>
    </row>
    <row r="1483" spans="1:13" outlineLevel="1" x14ac:dyDescent="0.25">
      <c r="A1483" t="s">
        <v>266</v>
      </c>
      <c r="B1483" t="s">
        <v>410</v>
      </c>
      <c r="C1483" t="str">
        <f>_xlfn.CONCAT("Taux de chargement moyen des véhicules pour l'accès à l'ELU"," (",'Remplissage - Sit. Expost'!$B$263,")")</f>
        <v>Taux de chargement moyen des véhicules pour l'accès à l'ELU (Catégorie 25)</v>
      </c>
      <c r="E1483" t="str">
        <f>_xlfn.CONCAT("ELUApproTC",RIGHT(LEFT(C1483,LEN(C1483)-1),2))</f>
        <v>ELUApproTC25</v>
      </c>
      <c r="F1483" t="s">
        <v>17</v>
      </c>
      <c r="G1483" s="14">
        <f t="shared" si="373"/>
        <v>0</v>
      </c>
      <c r="H1483" s="18"/>
      <c r="J1483" t="s">
        <v>70</v>
      </c>
      <c r="K1483" s="7">
        <v>0.6</v>
      </c>
      <c r="M1483" t="s">
        <v>269</v>
      </c>
    </row>
    <row r="1484" spans="1:13" outlineLevel="1" x14ac:dyDescent="0.25">
      <c r="A1484" t="s">
        <v>266</v>
      </c>
      <c r="B1484" t="s">
        <v>410</v>
      </c>
      <c r="C1484" t="str">
        <f>_xlfn.CONCAT("Distance parcourue associée"," (",'Remplissage - Sit. Expost'!$B$263,")")</f>
        <v>Distance parcourue associée (Catégorie 25)</v>
      </c>
      <c r="E1484" t="str">
        <f>_xlfn.CONCAT("ELUApproDist",RIGHT(LEFT(C1484,LEN(C1484)-1),2))</f>
        <v>ELUApproDist25</v>
      </c>
      <c r="F1484" t="s">
        <v>17</v>
      </c>
      <c r="G1484" s="14">
        <f t="shared" si="373"/>
        <v>0</v>
      </c>
      <c r="J1484" t="s">
        <v>88</v>
      </c>
      <c r="K1484">
        <v>15</v>
      </c>
      <c r="M1484" t="s">
        <v>269</v>
      </c>
    </row>
    <row r="1485" spans="1:13" outlineLevel="1" x14ac:dyDescent="0.25">
      <c r="A1485" t="s">
        <v>266</v>
      </c>
      <c r="B1485" t="s">
        <v>410</v>
      </c>
      <c r="C1485" t="str">
        <f>_xlfn.CONCAT("Nombre de trajets associés"," (",'Remplissage - Sit. Expost'!$B$263,")")</f>
        <v>Nombre de trajets associés (Catégorie 25)</v>
      </c>
      <c r="E1485" t="str">
        <f>_xlfn.CONCAT("ELUApproNbTraj",RIGHT(LEFT(C1485,LEN(C1485)-1),2))</f>
        <v>ELUApproNbTraj25</v>
      </c>
      <c r="F1485" t="s">
        <v>17</v>
      </c>
      <c r="G1485" s="14">
        <f t="shared" si="373"/>
        <v>0</v>
      </c>
      <c r="J1485" t="s">
        <v>145</v>
      </c>
      <c r="K1485">
        <v>50</v>
      </c>
      <c r="M1485" t="s">
        <v>269</v>
      </c>
    </row>
    <row r="1486" spans="1:13" outlineLevel="1" x14ac:dyDescent="0.25">
      <c r="A1486" t="s">
        <v>266</v>
      </c>
      <c r="B1486" t="s">
        <v>411</v>
      </c>
      <c r="C1486" t="str">
        <f>_xlfn.CONCAT("Taux de chargement moyen des véhicules pour l'accès à l'ELU"," (",'Remplissage - Sit. Expost'!$B$273,")")</f>
        <v>Taux de chargement moyen des véhicules pour l'accès à l'ELU (Catégorie 26)</v>
      </c>
      <c r="E1486" t="str">
        <f>_xlfn.CONCAT("ELUApproTC",RIGHT(LEFT(C1486,LEN(C1486)-1),2))</f>
        <v>ELUApproTC26</v>
      </c>
      <c r="F1486" t="s">
        <v>17</v>
      </c>
      <c r="G1486" s="14">
        <f t="shared" si="373"/>
        <v>0</v>
      </c>
      <c r="H1486" s="18"/>
      <c r="J1486" t="s">
        <v>70</v>
      </c>
      <c r="K1486" s="7">
        <v>0.6</v>
      </c>
      <c r="M1486" t="s">
        <v>269</v>
      </c>
    </row>
    <row r="1487" spans="1:13" outlineLevel="1" x14ac:dyDescent="0.25">
      <c r="A1487" t="s">
        <v>266</v>
      </c>
      <c r="B1487" t="s">
        <v>411</v>
      </c>
      <c r="C1487" t="str">
        <f>_xlfn.CONCAT("Distance parcourue associée"," (",'Remplissage - Sit. Expost'!$B$273,")")</f>
        <v>Distance parcourue associée (Catégorie 26)</v>
      </c>
      <c r="E1487" t="str">
        <f>_xlfn.CONCAT("ELUApproDist",RIGHT(LEFT(C1487,LEN(C1487)-1),2))</f>
        <v>ELUApproDist26</v>
      </c>
      <c r="F1487" t="s">
        <v>17</v>
      </c>
      <c r="G1487" s="14">
        <f t="shared" si="373"/>
        <v>0</v>
      </c>
      <c r="J1487" t="s">
        <v>88</v>
      </c>
      <c r="K1487">
        <v>15</v>
      </c>
      <c r="M1487" t="s">
        <v>269</v>
      </c>
    </row>
    <row r="1488" spans="1:13" outlineLevel="1" x14ac:dyDescent="0.25">
      <c r="A1488" t="s">
        <v>266</v>
      </c>
      <c r="B1488" t="s">
        <v>411</v>
      </c>
      <c r="C1488" t="str">
        <f>_xlfn.CONCAT("Nombre de trajets associés"," (",'Remplissage - Sit. Expost'!$B$273,")")</f>
        <v>Nombre de trajets associés (Catégorie 26)</v>
      </c>
      <c r="E1488" t="str">
        <f>_xlfn.CONCAT("ELUApproNbTraj",RIGHT(LEFT(C1488,LEN(C1488)-1),2))</f>
        <v>ELUApproNbTraj26</v>
      </c>
      <c r="F1488" t="s">
        <v>17</v>
      </c>
      <c r="G1488" s="14">
        <f t="shared" si="373"/>
        <v>0</v>
      </c>
      <c r="J1488" t="s">
        <v>145</v>
      </c>
      <c r="K1488">
        <v>50</v>
      </c>
      <c r="M1488" t="s">
        <v>269</v>
      </c>
    </row>
    <row r="1489" spans="1:13" outlineLevel="1" x14ac:dyDescent="0.25">
      <c r="A1489" t="s">
        <v>266</v>
      </c>
      <c r="B1489" t="s">
        <v>412</v>
      </c>
      <c r="C1489" t="str">
        <f>_xlfn.CONCAT("Taux de chargement moyen des véhicules pour l'accès à l'ELU"," (",'Remplissage - Sit. Expost'!$B$283,")")</f>
        <v>Taux de chargement moyen des véhicules pour l'accès à l'ELU (Catégorie 27)</v>
      </c>
      <c r="E1489" t="str">
        <f>_xlfn.CONCAT("ELUApproTC",RIGHT(LEFT(C1489,LEN(C1489)-1),2))</f>
        <v>ELUApproTC27</v>
      </c>
      <c r="F1489" t="s">
        <v>17</v>
      </c>
      <c r="G1489" s="14">
        <f t="shared" si="373"/>
        <v>0</v>
      </c>
      <c r="H1489" s="18"/>
      <c r="J1489" t="s">
        <v>70</v>
      </c>
      <c r="K1489" s="7">
        <v>0.6</v>
      </c>
      <c r="M1489" t="s">
        <v>269</v>
      </c>
    </row>
    <row r="1490" spans="1:13" outlineLevel="1" x14ac:dyDescent="0.25">
      <c r="A1490" t="s">
        <v>266</v>
      </c>
      <c r="B1490" t="s">
        <v>412</v>
      </c>
      <c r="C1490" t="str">
        <f>_xlfn.CONCAT("Distance parcourue associée"," (",'Remplissage - Sit. Expost'!$B$283,")")</f>
        <v>Distance parcourue associée (Catégorie 27)</v>
      </c>
      <c r="E1490" t="str">
        <f>_xlfn.CONCAT("ELUApproDist",RIGHT(LEFT(C1490,LEN(C1490)-1),2))</f>
        <v>ELUApproDist27</v>
      </c>
      <c r="F1490" t="s">
        <v>17</v>
      </c>
      <c r="G1490" s="14">
        <f t="shared" si="373"/>
        <v>0</v>
      </c>
      <c r="J1490" t="s">
        <v>88</v>
      </c>
      <c r="K1490">
        <v>15</v>
      </c>
      <c r="M1490" t="s">
        <v>269</v>
      </c>
    </row>
    <row r="1491" spans="1:13" outlineLevel="1" x14ac:dyDescent="0.25">
      <c r="A1491" t="s">
        <v>266</v>
      </c>
      <c r="B1491" t="s">
        <v>412</v>
      </c>
      <c r="C1491" t="str">
        <f>_xlfn.CONCAT("Nombre de trajets associés"," (",'Remplissage - Sit. Expost'!$B$283,")")</f>
        <v>Nombre de trajets associés (Catégorie 27)</v>
      </c>
      <c r="E1491" t="str">
        <f>_xlfn.CONCAT("ELUApproNbTraj",RIGHT(LEFT(C1491,LEN(C1491)-1),2))</f>
        <v>ELUApproNbTraj27</v>
      </c>
      <c r="F1491" t="s">
        <v>17</v>
      </c>
      <c r="G1491" s="14">
        <f t="shared" si="373"/>
        <v>0</v>
      </c>
      <c r="J1491" t="s">
        <v>145</v>
      </c>
      <c r="K1491">
        <v>50</v>
      </c>
      <c r="M1491" t="s">
        <v>269</v>
      </c>
    </row>
    <row r="1492" spans="1:13" outlineLevel="1" x14ac:dyDescent="0.25">
      <c r="A1492" t="s">
        <v>266</v>
      </c>
      <c r="B1492" t="s">
        <v>413</v>
      </c>
      <c r="C1492" t="str">
        <f>_xlfn.CONCAT("Taux de chargement moyen des véhicules pour l'accès à l'ELU"," (",'Remplissage - Sit. Expost'!$B$293,")")</f>
        <v>Taux de chargement moyen des véhicules pour l'accès à l'ELU (Catégorie 28)</v>
      </c>
      <c r="E1492" t="str">
        <f>_xlfn.CONCAT("ELUApproTC",RIGHT(LEFT(C1492,LEN(C1492)-1),2))</f>
        <v>ELUApproTC28</v>
      </c>
      <c r="F1492" t="s">
        <v>17</v>
      </c>
      <c r="G1492" s="14">
        <f t="shared" si="373"/>
        <v>0</v>
      </c>
      <c r="H1492" s="18"/>
      <c r="J1492" t="s">
        <v>70</v>
      </c>
      <c r="K1492" s="7">
        <v>0.6</v>
      </c>
      <c r="M1492" t="s">
        <v>269</v>
      </c>
    </row>
    <row r="1493" spans="1:13" outlineLevel="1" x14ac:dyDescent="0.25">
      <c r="A1493" t="s">
        <v>266</v>
      </c>
      <c r="B1493" t="s">
        <v>413</v>
      </c>
      <c r="C1493" t="str">
        <f>_xlfn.CONCAT("Distance parcourue associée"," (",'Remplissage - Sit. Expost'!$B$293,")")</f>
        <v>Distance parcourue associée (Catégorie 28)</v>
      </c>
      <c r="E1493" t="str">
        <f>_xlfn.CONCAT("ELUApproDist",RIGHT(LEFT(C1493,LEN(C1493)-1),2))</f>
        <v>ELUApproDist28</v>
      </c>
      <c r="F1493" t="s">
        <v>17</v>
      </c>
      <c r="G1493" s="14">
        <f t="shared" si="373"/>
        <v>0</v>
      </c>
      <c r="J1493" t="s">
        <v>88</v>
      </c>
      <c r="K1493">
        <v>15</v>
      </c>
      <c r="M1493" t="s">
        <v>269</v>
      </c>
    </row>
    <row r="1494" spans="1:13" outlineLevel="1" x14ac:dyDescent="0.25">
      <c r="A1494" t="s">
        <v>266</v>
      </c>
      <c r="B1494" t="s">
        <v>413</v>
      </c>
      <c r="C1494" t="str">
        <f>_xlfn.CONCAT("Nombre de trajets associés"," (",'Remplissage - Sit. Expost'!$B$293,")")</f>
        <v>Nombre de trajets associés (Catégorie 28)</v>
      </c>
      <c r="E1494" t="str">
        <f>_xlfn.CONCAT("ELUApproNbTraj",RIGHT(LEFT(C1494,LEN(C1494)-1),2))</f>
        <v>ELUApproNbTraj28</v>
      </c>
      <c r="F1494" t="s">
        <v>17</v>
      </c>
      <c r="G1494" s="14">
        <f t="shared" si="373"/>
        <v>0</v>
      </c>
      <c r="J1494" t="s">
        <v>145</v>
      </c>
      <c r="K1494">
        <v>50</v>
      </c>
      <c r="M1494" t="s">
        <v>269</v>
      </c>
    </row>
    <row r="1495" spans="1:13" outlineLevel="1" x14ac:dyDescent="0.25">
      <c r="A1495" t="s">
        <v>266</v>
      </c>
      <c r="B1495" t="s">
        <v>414</v>
      </c>
      <c r="C1495" t="str">
        <f>_xlfn.CONCAT("Taux de chargement moyen des véhicules pour l'accès à l'ELU"," (",'Remplissage - Sit. Expost'!$B$303,")")</f>
        <v>Taux de chargement moyen des véhicules pour l'accès à l'ELU (Catégorie 29)</v>
      </c>
      <c r="E1495" t="str">
        <f>_xlfn.CONCAT("ELUApproTC",RIGHT(LEFT(C1495,LEN(C1495)-1),2))</f>
        <v>ELUApproTC29</v>
      </c>
      <c r="F1495" t="s">
        <v>17</v>
      </c>
      <c r="G1495" s="14">
        <f t="shared" si="373"/>
        <v>0</v>
      </c>
      <c r="H1495" s="18"/>
      <c r="J1495" t="s">
        <v>70</v>
      </c>
      <c r="K1495" s="7">
        <v>0.6</v>
      </c>
      <c r="M1495" t="s">
        <v>269</v>
      </c>
    </row>
    <row r="1496" spans="1:13" outlineLevel="1" x14ac:dyDescent="0.25">
      <c r="A1496" t="s">
        <v>266</v>
      </c>
      <c r="B1496" t="s">
        <v>414</v>
      </c>
      <c r="C1496" t="str">
        <f>_xlfn.CONCAT("Distance parcourue associée"," (",'Remplissage - Sit. Expost'!$B$303,")")</f>
        <v>Distance parcourue associée (Catégorie 29)</v>
      </c>
      <c r="E1496" t="str">
        <f>_xlfn.CONCAT("ELUApproDist",RIGHT(LEFT(C1496,LEN(C1496)-1),2))</f>
        <v>ELUApproDist29</v>
      </c>
      <c r="F1496" t="s">
        <v>17</v>
      </c>
      <c r="G1496" s="14">
        <f t="shared" si="373"/>
        <v>0</v>
      </c>
      <c r="J1496" t="s">
        <v>88</v>
      </c>
      <c r="K1496">
        <v>15</v>
      </c>
      <c r="M1496" t="s">
        <v>269</v>
      </c>
    </row>
    <row r="1497" spans="1:13" outlineLevel="1" x14ac:dyDescent="0.25">
      <c r="A1497" t="s">
        <v>266</v>
      </c>
      <c r="B1497" t="s">
        <v>414</v>
      </c>
      <c r="C1497" t="str">
        <f>_xlfn.CONCAT("Nombre de trajets associés"," (",'Remplissage - Sit. Expost'!$B$303,")")</f>
        <v>Nombre de trajets associés (Catégorie 29)</v>
      </c>
      <c r="E1497" t="str">
        <f>_xlfn.CONCAT("ELUApproNbTraj",RIGHT(LEFT(C1497,LEN(C1497)-1),2))</f>
        <v>ELUApproNbTraj29</v>
      </c>
      <c r="F1497" t="s">
        <v>17</v>
      </c>
      <c r="G1497" s="14">
        <f t="shared" si="373"/>
        <v>0</v>
      </c>
      <c r="J1497" t="s">
        <v>145</v>
      </c>
      <c r="K1497">
        <v>50</v>
      </c>
      <c r="M1497" t="s">
        <v>269</v>
      </c>
    </row>
    <row r="1498" spans="1:13" outlineLevel="1" x14ac:dyDescent="0.25">
      <c r="A1498" t="s">
        <v>266</v>
      </c>
      <c r="B1498" t="s">
        <v>415</v>
      </c>
      <c r="C1498" t="str">
        <f>_xlfn.CONCAT("Taux de chargement moyen des véhicules pour l'accès à l'ELU"," (",'Remplissage - Sit. Expost'!$B$313,")")</f>
        <v>Taux de chargement moyen des véhicules pour l'accès à l'ELU (Catégorie 30)</v>
      </c>
      <c r="E1498" t="str">
        <f>_xlfn.CONCAT("ELUApproTC",RIGHT(LEFT(C1498,LEN(C1498)-1),2))</f>
        <v>ELUApproTC30</v>
      </c>
      <c r="F1498" t="s">
        <v>17</v>
      </c>
      <c r="G1498" s="14">
        <f t="shared" si="373"/>
        <v>0</v>
      </c>
      <c r="H1498" s="18"/>
      <c r="J1498" t="s">
        <v>70</v>
      </c>
      <c r="K1498" s="7">
        <v>0.6</v>
      </c>
      <c r="M1498" t="s">
        <v>269</v>
      </c>
    </row>
    <row r="1499" spans="1:13" outlineLevel="1" x14ac:dyDescent="0.25">
      <c r="A1499" t="s">
        <v>266</v>
      </c>
      <c r="B1499" t="s">
        <v>415</v>
      </c>
      <c r="C1499" t="str">
        <f>_xlfn.CONCAT("Distance parcourue associée"," (",'Remplissage - Sit. Expost'!$B$313,")")</f>
        <v>Distance parcourue associée (Catégorie 30)</v>
      </c>
      <c r="E1499" t="str">
        <f>_xlfn.CONCAT("ELUApproDist",RIGHT(LEFT(C1499,LEN(C1499)-1),2))</f>
        <v>ELUApproDist30</v>
      </c>
      <c r="F1499" t="s">
        <v>17</v>
      </c>
      <c r="G1499" s="14">
        <f t="shared" si="373"/>
        <v>0</v>
      </c>
      <c r="J1499" t="s">
        <v>88</v>
      </c>
      <c r="K1499">
        <v>15</v>
      </c>
      <c r="M1499" t="s">
        <v>269</v>
      </c>
    </row>
    <row r="1500" spans="1:13" outlineLevel="1" x14ac:dyDescent="0.25">
      <c r="A1500" t="s">
        <v>266</v>
      </c>
      <c r="B1500" t="s">
        <v>415</v>
      </c>
      <c r="C1500" t="str">
        <f>_xlfn.CONCAT("Nombre de trajets associés"," (",'Remplissage - Sit. Expost'!$B$313,")")</f>
        <v>Nombre de trajets associés (Catégorie 30)</v>
      </c>
      <c r="E1500" t="str">
        <f>_xlfn.CONCAT("ELUApproNbTraj",RIGHT(LEFT(C1500,LEN(C1500)-1),2))</f>
        <v>ELUApproNbTraj30</v>
      </c>
      <c r="F1500" t="s">
        <v>17</v>
      </c>
      <c r="G1500" s="14">
        <f t="shared" si="373"/>
        <v>0</v>
      </c>
      <c r="J1500" t="s">
        <v>145</v>
      </c>
      <c r="K1500">
        <v>50</v>
      </c>
      <c r="M1500" t="s">
        <v>269</v>
      </c>
    </row>
    <row r="1501" spans="1:13" outlineLevel="1" x14ac:dyDescent="0.25">
      <c r="A1501" t="s">
        <v>266</v>
      </c>
      <c r="B1501" t="s">
        <v>416</v>
      </c>
      <c r="C1501" t="str">
        <f>_xlfn.CONCAT("Taux de chargement moyen des véhicules pour l'accès à l'ELU"," (",'Remplissage - Sit. Expost'!$B$323,")")</f>
        <v>Taux de chargement moyen des véhicules pour l'accès à l'ELU (Catégorie 31)</v>
      </c>
      <c r="E1501" t="str">
        <f>_xlfn.CONCAT("ELUApproTC",RIGHT(LEFT(C1501,LEN(C1501)-1),2))</f>
        <v>ELUApproTC31</v>
      </c>
      <c r="F1501" t="s">
        <v>17</v>
      </c>
      <c r="G1501" s="14">
        <f t="shared" si="373"/>
        <v>0</v>
      </c>
      <c r="H1501" s="18"/>
      <c r="J1501" t="s">
        <v>70</v>
      </c>
      <c r="K1501" s="7">
        <v>0.6</v>
      </c>
      <c r="M1501" t="s">
        <v>269</v>
      </c>
    </row>
    <row r="1502" spans="1:13" outlineLevel="1" x14ac:dyDescent="0.25">
      <c r="A1502" t="s">
        <v>266</v>
      </c>
      <c r="B1502" t="s">
        <v>416</v>
      </c>
      <c r="C1502" t="str">
        <f>_xlfn.CONCAT("Distance parcourue associée"," (",'Remplissage - Sit. Expost'!$B$323,")")</f>
        <v>Distance parcourue associée (Catégorie 31)</v>
      </c>
      <c r="E1502" t="str">
        <f>_xlfn.CONCAT("ELUApproDist",RIGHT(LEFT(C1502,LEN(C1502)-1),2))</f>
        <v>ELUApproDist31</v>
      </c>
      <c r="F1502" t="s">
        <v>17</v>
      </c>
      <c r="G1502" s="14">
        <f t="shared" si="373"/>
        <v>0</v>
      </c>
      <c r="J1502" t="s">
        <v>88</v>
      </c>
      <c r="K1502">
        <v>15</v>
      </c>
      <c r="M1502" t="s">
        <v>269</v>
      </c>
    </row>
    <row r="1503" spans="1:13" outlineLevel="1" x14ac:dyDescent="0.25">
      <c r="A1503" t="s">
        <v>266</v>
      </c>
      <c r="B1503" t="s">
        <v>416</v>
      </c>
      <c r="C1503" t="str">
        <f>_xlfn.CONCAT("Nombre de trajets associés"," (",'Remplissage - Sit. Expost'!$B$323,")")</f>
        <v>Nombre de trajets associés (Catégorie 31)</v>
      </c>
      <c r="E1503" t="str">
        <f>_xlfn.CONCAT("ELUApproNbTraj",RIGHT(LEFT(C1503,LEN(C1503)-1),2))</f>
        <v>ELUApproNbTraj31</v>
      </c>
      <c r="F1503" t="s">
        <v>17</v>
      </c>
      <c r="G1503" s="14">
        <f t="shared" si="373"/>
        <v>0</v>
      </c>
      <c r="J1503" t="s">
        <v>145</v>
      </c>
      <c r="K1503">
        <v>50</v>
      </c>
      <c r="M1503" t="s">
        <v>269</v>
      </c>
    </row>
    <row r="1504" spans="1:13" outlineLevel="1" x14ac:dyDescent="0.25">
      <c r="A1504" t="s">
        <v>266</v>
      </c>
      <c r="B1504" t="s">
        <v>417</v>
      </c>
      <c r="C1504" t="str">
        <f>_xlfn.CONCAT("Taux de chargement moyen des véhicules pour l'accès à l'ELU"," (",'Remplissage - Sit. Expost'!$B$333,")")</f>
        <v>Taux de chargement moyen des véhicules pour l'accès à l'ELU (Catégorie 32)</v>
      </c>
      <c r="E1504" t="str">
        <f>_xlfn.CONCAT("ELUApproTC",RIGHT(LEFT(C1504,LEN(C1504)-1),2))</f>
        <v>ELUApproTC32</v>
      </c>
      <c r="F1504" t="s">
        <v>17</v>
      </c>
      <c r="G1504" s="14">
        <f t="shared" si="373"/>
        <v>0</v>
      </c>
      <c r="H1504" s="18"/>
      <c r="J1504" t="s">
        <v>70</v>
      </c>
      <c r="K1504" s="7">
        <v>0.6</v>
      </c>
      <c r="M1504" t="s">
        <v>269</v>
      </c>
    </row>
    <row r="1505" spans="1:13" outlineLevel="1" x14ac:dyDescent="0.25">
      <c r="A1505" t="s">
        <v>266</v>
      </c>
      <c r="B1505" t="s">
        <v>417</v>
      </c>
      <c r="C1505" t="str">
        <f>_xlfn.CONCAT("Distance parcourue associée"," (",'Remplissage - Sit. Expost'!$B$333,")")</f>
        <v>Distance parcourue associée (Catégorie 32)</v>
      </c>
      <c r="E1505" t="str">
        <f>_xlfn.CONCAT("ELUApproDist",RIGHT(LEFT(C1505,LEN(C1505)-1),2))</f>
        <v>ELUApproDist32</v>
      </c>
      <c r="F1505" t="s">
        <v>17</v>
      </c>
      <c r="G1505" s="14">
        <f t="shared" si="373"/>
        <v>0</v>
      </c>
      <c r="J1505" t="s">
        <v>88</v>
      </c>
      <c r="K1505">
        <v>15</v>
      </c>
      <c r="M1505" t="s">
        <v>269</v>
      </c>
    </row>
    <row r="1506" spans="1:13" outlineLevel="1" x14ac:dyDescent="0.25">
      <c r="A1506" t="s">
        <v>266</v>
      </c>
      <c r="B1506" t="s">
        <v>417</v>
      </c>
      <c r="C1506" t="str">
        <f>_xlfn.CONCAT("Nombre de trajets associés"," (",'Remplissage - Sit. Expost'!$B$333,")")</f>
        <v>Nombre de trajets associés (Catégorie 32)</v>
      </c>
      <c r="E1506" t="str">
        <f>_xlfn.CONCAT("ELUApproNbTraj",RIGHT(LEFT(C1506,LEN(C1506)-1),2))</f>
        <v>ELUApproNbTraj32</v>
      </c>
      <c r="F1506" t="s">
        <v>17</v>
      </c>
      <c r="G1506" s="14">
        <f t="shared" si="373"/>
        <v>0</v>
      </c>
      <c r="J1506" t="s">
        <v>145</v>
      </c>
      <c r="K1506">
        <v>50</v>
      </c>
      <c r="M1506" t="s">
        <v>269</v>
      </c>
    </row>
    <row r="1507" spans="1:13" outlineLevel="1" x14ac:dyDescent="0.25">
      <c r="A1507" t="s">
        <v>266</v>
      </c>
      <c r="B1507" t="s">
        <v>418</v>
      </c>
      <c r="C1507" t="str">
        <f>_xlfn.CONCAT("Taux de chargement moyen des véhicules pour l'accès à l'ELU"," (",'Remplissage - Sit. Expost'!$B$343,")")</f>
        <v>Taux de chargement moyen des véhicules pour l'accès à l'ELU (Catégorie 33)</v>
      </c>
      <c r="E1507" t="str">
        <f>_xlfn.CONCAT("ELUApproTC",RIGHT(LEFT(C1507,LEN(C1507)-1),2))</f>
        <v>ELUApproTC33</v>
      </c>
      <c r="F1507" t="s">
        <v>17</v>
      </c>
      <c r="G1507" s="14">
        <f t="shared" si="373"/>
        <v>0</v>
      </c>
      <c r="H1507" s="18"/>
      <c r="J1507" t="s">
        <v>70</v>
      </c>
      <c r="K1507" s="7">
        <v>0.6</v>
      </c>
      <c r="M1507" t="s">
        <v>269</v>
      </c>
    </row>
    <row r="1508" spans="1:13" outlineLevel="1" x14ac:dyDescent="0.25">
      <c r="A1508" t="s">
        <v>266</v>
      </c>
      <c r="B1508" t="s">
        <v>418</v>
      </c>
      <c r="C1508" t="str">
        <f>_xlfn.CONCAT("Distance parcourue associée"," (",'Remplissage - Sit. Expost'!$B$343,")")</f>
        <v>Distance parcourue associée (Catégorie 33)</v>
      </c>
      <c r="E1508" t="str">
        <f>_xlfn.CONCAT("ELUApproDist",RIGHT(LEFT(C1508,LEN(C1508)-1),2))</f>
        <v>ELUApproDist33</v>
      </c>
      <c r="F1508" t="s">
        <v>17</v>
      </c>
      <c r="G1508" s="14">
        <f t="shared" si="373"/>
        <v>0</v>
      </c>
      <c r="J1508" t="s">
        <v>88</v>
      </c>
      <c r="K1508">
        <v>15</v>
      </c>
      <c r="M1508" t="s">
        <v>269</v>
      </c>
    </row>
    <row r="1509" spans="1:13" outlineLevel="1" x14ac:dyDescent="0.25">
      <c r="A1509" t="s">
        <v>266</v>
      </c>
      <c r="B1509" t="s">
        <v>418</v>
      </c>
      <c r="C1509" t="str">
        <f>_xlfn.CONCAT("Nombre de trajets associés"," (",'Remplissage - Sit. Expost'!$B$343,")")</f>
        <v>Nombre de trajets associés (Catégorie 33)</v>
      </c>
      <c r="E1509" t="str">
        <f>_xlfn.CONCAT("ELUApproNbTraj",RIGHT(LEFT(C1509,LEN(C1509)-1),2))</f>
        <v>ELUApproNbTraj33</v>
      </c>
      <c r="F1509" t="s">
        <v>17</v>
      </c>
      <c r="G1509" s="14">
        <f t="shared" si="373"/>
        <v>0</v>
      </c>
      <c r="J1509" t="s">
        <v>145</v>
      </c>
      <c r="K1509">
        <v>50</v>
      </c>
      <c r="M1509" t="s">
        <v>269</v>
      </c>
    </row>
    <row r="1510" spans="1:13" outlineLevel="1" x14ac:dyDescent="0.25">
      <c r="A1510" t="s">
        <v>266</v>
      </c>
      <c r="B1510" t="s">
        <v>419</v>
      </c>
      <c r="C1510" t="str">
        <f>_xlfn.CONCAT("Taux de chargement moyen des véhicules pour l'accès à l'ELU"," (",'Remplissage - Sit. Expost'!$B$353,")")</f>
        <v>Taux de chargement moyen des véhicules pour l'accès à l'ELU (Catégorie 34)</v>
      </c>
      <c r="E1510" t="str">
        <f>_xlfn.CONCAT("ELUApproTC",RIGHT(LEFT(C1510,LEN(C1510)-1),2))</f>
        <v>ELUApproTC34</v>
      </c>
      <c r="F1510" t="s">
        <v>17</v>
      </c>
      <c r="G1510" s="14">
        <f t="shared" si="373"/>
        <v>0</v>
      </c>
      <c r="H1510" s="18"/>
      <c r="J1510" t="s">
        <v>70</v>
      </c>
      <c r="K1510" s="7">
        <v>0.6</v>
      </c>
      <c r="M1510" t="s">
        <v>269</v>
      </c>
    </row>
    <row r="1511" spans="1:13" outlineLevel="1" x14ac:dyDescent="0.25">
      <c r="A1511" t="s">
        <v>266</v>
      </c>
      <c r="B1511" t="s">
        <v>419</v>
      </c>
      <c r="C1511" t="str">
        <f>_xlfn.CONCAT("Distance parcourue associée"," (",'Remplissage - Sit. Expost'!$B$353,")")</f>
        <v>Distance parcourue associée (Catégorie 34)</v>
      </c>
      <c r="E1511" t="str">
        <f>_xlfn.CONCAT("ELUApproDist",RIGHT(LEFT(C1511,LEN(C1511)-1),2))</f>
        <v>ELUApproDist34</v>
      </c>
      <c r="F1511" t="s">
        <v>17</v>
      </c>
      <c r="G1511" s="14">
        <f t="shared" si="373"/>
        <v>0</v>
      </c>
      <c r="J1511" t="s">
        <v>88</v>
      </c>
      <c r="K1511">
        <v>15</v>
      </c>
      <c r="M1511" t="s">
        <v>269</v>
      </c>
    </row>
    <row r="1512" spans="1:13" outlineLevel="1" x14ac:dyDescent="0.25">
      <c r="A1512" t="s">
        <v>266</v>
      </c>
      <c r="B1512" t="s">
        <v>419</v>
      </c>
      <c r="C1512" t="str">
        <f>_xlfn.CONCAT("Nombre de trajets associés"," (",'Remplissage - Sit. Expost'!$B$353,")")</f>
        <v>Nombre de trajets associés (Catégorie 34)</v>
      </c>
      <c r="E1512" t="str">
        <f>_xlfn.CONCAT("ELUApproNbTraj",RIGHT(LEFT(C1512,LEN(C1512)-1),2))</f>
        <v>ELUApproNbTraj34</v>
      </c>
      <c r="F1512" t="s">
        <v>17</v>
      </c>
      <c r="G1512" s="14">
        <f t="shared" si="373"/>
        <v>0</v>
      </c>
      <c r="J1512" t="s">
        <v>145</v>
      </c>
      <c r="K1512">
        <v>50</v>
      </c>
      <c r="M1512" t="s">
        <v>269</v>
      </c>
    </row>
    <row r="1513" spans="1:13" outlineLevel="1" x14ac:dyDescent="0.25">
      <c r="A1513" t="s">
        <v>266</v>
      </c>
      <c r="B1513" t="s">
        <v>420</v>
      </c>
      <c r="C1513" t="str">
        <f>_xlfn.CONCAT("Taux de chargement moyen des véhicules pour l'accès à l'ELU"," (",'Remplissage - Sit. Expost'!$B$363,")")</f>
        <v>Taux de chargement moyen des véhicules pour l'accès à l'ELU (Catégorie 35)</v>
      </c>
      <c r="E1513" t="str">
        <f>_xlfn.CONCAT("ELUApproTC",RIGHT(LEFT(C1513,LEN(C1513)-1),2))</f>
        <v>ELUApproTC35</v>
      </c>
      <c r="F1513" t="s">
        <v>17</v>
      </c>
      <c r="G1513" s="14">
        <f t="shared" si="373"/>
        <v>0</v>
      </c>
      <c r="H1513" s="18"/>
      <c r="J1513" t="s">
        <v>70</v>
      </c>
      <c r="K1513" s="7">
        <v>0.6</v>
      </c>
      <c r="M1513" t="s">
        <v>269</v>
      </c>
    </row>
    <row r="1514" spans="1:13" outlineLevel="1" x14ac:dyDescent="0.25">
      <c r="A1514" t="s">
        <v>266</v>
      </c>
      <c r="B1514" t="s">
        <v>420</v>
      </c>
      <c r="C1514" t="str">
        <f>_xlfn.CONCAT("Distance parcourue associée"," (",'Remplissage - Sit. Expost'!$B$363,")")</f>
        <v>Distance parcourue associée (Catégorie 35)</v>
      </c>
      <c r="E1514" t="str">
        <f>_xlfn.CONCAT("ELUApproDist",RIGHT(LEFT(C1514,LEN(C1514)-1),2))</f>
        <v>ELUApproDist35</v>
      </c>
      <c r="F1514" t="s">
        <v>17</v>
      </c>
      <c r="G1514" s="14">
        <f t="shared" si="373"/>
        <v>0</v>
      </c>
      <c r="J1514" t="s">
        <v>88</v>
      </c>
      <c r="K1514">
        <v>15</v>
      </c>
      <c r="M1514" t="s">
        <v>269</v>
      </c>
    </row>
    <row r="1515" spans="1:13" outlineLevel="1" x14ac:dyDescent="0.25">
      <c r="A1515" t="s">
        <v>266</v>
      </c>
      <c r="B1515" t="s">
        <v>420</v>
      </c>
      <c r="C1515" t="str">
        <f>_xlfn.CONCAT("Nombre de trajets associés"," (",'Remplissage - Sit. Expost'!$B$363,")")</f>
        <v>Nombre de trajets associés (Catégorie 35)</v>
      </c>
      <c r="E1515" t="str">
        <f>_xlfn.CONCAT("ELUApproNbTraj",RIGHT(LEFT(C1515,LEN(C1515)-1),2))</f>
        <v>ELUApproNbTraj35</v>
      </c>
      <c r="F1515" t="s">
        <v>17</v>
      </c>
      <c r="G1515" s="14">
        <f t="shared" si="373"/>
        <v>0</v>
      </c>
      <c r="J1515" t="s">
        <v>145</v>
      </c>
      <c r="K1515">
        <v>50</v>
      </c>
      <c r="M1515" t="s">
        <v>269</v>
      </c>
    </row>
    <row r="1516" spans="1:13" outlineLevel="1" x14ac:dyDescent="0.25">
      <c r="A1516" t="s">
        <v>266</v>
      </c>
      <c r="B1516" t="s">
        <v>421</v>
      </c>
      <c r="C1516" t="str">
        <f>_xlfn.CONCAT("Taux de chargement moyen des véhicules pour l'accès à l'ELU"," (",'Remplissage - Sit. Expost'!$B$373,")")</f>
        <v>Taux de chargement moyen des véhicules pour l'accès à l'ELU (Catégorie 36)</v>
      </c>
      <c r="E1516" t="str">
        <f>_xlfn.CONCAT("ELUApproTC",RIGHT(LEFT(C1516,LEN(C1516)-1),2))</f>
        <v>ELUApproTC36</v>
      </c>
      <c r="F1516" t="s">
        <v>17</v>
      </c>
      <c r="G1516" s="14">
        <f t="shared" si="373"/>
        <v>0</v>
      </c>
      <c r="H1516" s="18"/>
      <c r="J1516" t="s">
        <v>70</v>
      </c>
      <c r="K1516" s="7">
        <v>0.6</v>
      </c>
      <c r="M1516" t="s">
        <v>269</v>
      </c>
    </row>
    <row r="1517" spans="1:13" outlineLevel="1" x14ac:dyDescent="0.25">
      <c r="A1517" t="s">
        <v>266</v>
      </c>
      <c r="B1517" t="s">
        <v>421</v>
      </c>
      <c r="C1517" t="str">
        <f>_xlfn.CONCAT("Distance parcourue associée"," (",'Remplissage - Sit. Expost'!$B$373,")")</f>
        <v>Distance parcourue associée (Catégorie 36)</v>
      </c>
      <c r="E1517" t="str">
        <f>_xlfn.CONCAT("ELUApproDist",RIGHT(LEFT(C1517,LEN(C1517)-1),2))</f>
        <v>ELUApproDist36</v>
      </c>
      <c r="F1517" t="s">
        <v>17</v>
      </c>
      <c r="G1517" s="14">
        <f t="shared" si="373"/>
        <v>0</v>
      </c>
      <c r="J1517" t="s">
        <v>88</v>
      </c>
      <c r="K1517">
        <v>15</v>
      </c>
      <c r="M1517" t="s">
        <v>269</v>
      </c>
    </row>
    <row r="1518" spans="1:13" outlineLevel="1" x14ac:dyDescent="0.25">
      <c r="A1518" t="s">
        <v>266</v>
      </c>
      <c r="B1518" t="s">
        <v>421</v>
      </c>
      <c r="C1518" t="str">
        <f>_xlfn.CONCAT("Nombre de trajets associés"," (",'Remplissage - Sit. Expost'!$B$373,")")</f>
        <v>Nombre de trajets associés (Catégorie 36)</v>
      </c>
      <c r="E1518" t="str">
        <f>_xlfn.CONCAT("ELUApproNbTraj",RIGHT(LEFT(C1518,LEN(C1518)-1),2))</f>
        <v>ELUApproNbTraj36</v>
      </c>
      <c r="F1518" t="s">
        <v>17</v>
      </c>
      <c r="G1518" s="14">
        <f t="shared" si="373"/>
        <v>0</v>
      </c>
      <c r="J1518" t="s">
        <v>145</v>
      </c>
      <c r="K1518">
        <v>50</v>
      </c>
      <c r="M1518" t="s">
        <v>269</v>
      </c>
    </row>
    <row r="1519" spans="1:13" outlineLevel="1" x14ac:dyDescent="0.25">
      <c r="A1519" t="s">
        <v>266</v>
      </c>
      <c r="B1519" t="s">
        <v>422</v>
      </c>
      <c r="C1519" t="str">
        <f>_xlfn.CONCAT("Taux de chargement moyen des véhicules pour l'accès à l'ELU"," (",'Remplissage - Sit. Expost'!$B$383,")")</f>
        <v>Taux de chargement moyen des véhicules pour l'accès à l'ELU (Catégorie 37)</v>
      </c>
      <c r="E1519" t="str">
        <f>_xlfn.CONCAT("ELUApproTC",RIGHT(LEFT(C1519,LEN(C1519)-1),2))</f>
        <v>ELUApproTC37</v>
      </c>
      <c r="F1519" t="s">
        <v>17</v>
      </c>
      <c r="G1519" s="14">
        <f t="shared" si="373"/>
        <v>0</v>
      </c>
      <c r="H1519" s="18"/>
      <c r="J1519" t="s">
        <v>70</v>
      </c>
      <c r="K1519" s="7">
        <v>0.6</v>
      </c>
      <c r="M1519" t="s">
        <v>269</v>
      </c>
    </row>
    <row r="1520" spans="1:13" outlineLevel="1" x14ac:dyDescent="0.25">
      <c r="A1520" t="s">
        <v>266</v>
      </c>
      <c r="B1520" t="s">
        <v>422</v>
      </c>
      <c r="C1520" t="str">
        <f>_xlfn.CONCAT("Distance parcourue associée"," (",'Remplissage - Sit. Expost'!$B$383,")")</f>
        <v>Distance parcourue associée (Catégorie 37)</v>
      </c>
      <c r="E1520" t="str">
        <f>_xlfn.CONCAT("ELUApproDist",RIGHT(LEFT(C1520,LEN(C1520)-1),2))</f>
        <v>ELUApproDist37</v>
      </c>
      <c r="F1520" t="s">
        <v>17</v>
      </c>
      <c r="G1520" s="14">
        <f t="shared" si="373"/>
        <v>0</v>
      </c>
      <c r="J1520" t="s">
        <v>88</v>
      </c>
      <c r="K1520">
        <v>15</v>
      </c>
      <c r="M1520" t="s">
        <v>269</v>
      </c>
    </row>
    <row r="1521" spans="1:13" outlineLevel="1" x14ac:dyDescent="0.25">
      <c r="A1521" t="s">
        <v>266</v>
      </c>
      <c r="B1521" t="s">
        <v>422</v>
      </c>
      <c r="C1521" t="str">
        <f>_xlfn.CONCAT("Nombre de trajets associés"," (",'Remplissage - Sit. Expost'!$B$383,")")</f>
        <v>Nombre de trajets associés (Catégorie 37)</v>
      </c>
      <c r="E1521" t="str">
        <f>_xlfn.CONCAT("ELUApproNbTraj",RIGHT(LEFT(C1521,LEN(C1521)-1),2))</f>
        <v>ELUApproNbTraj37</v>
      </c>
      <c r="F1521" t="s">
        <v>17</v>
      </c>
      <c r="G1521" s="14">
        <f t="shared" si="373"/>
        <v>0</v>
      </c>
      <c r="J1521" t="s">
        <v>145</v>
      </c>
      <c r="K1521">
        <v>50</v>
      </c>
      <c r="M1521" t="s">
        <v>269</v>
      </c>
    </row>
    <row r="1522" spans="1:13" outlineLevel="1" x14ac:dyDescent="0.25">
      <c r="A1522" t="s">
        <v>266</v>
      </c>
      <c r="B1522" t="s">
        <v>423</v>
      </c>
      <c r="C1522" t="str">
        <f>_xlfn.CONCAT("Taux de chargement moyen des véhicules pour l'accès à l'ELU"," (",'Remplissage - Sit. Expost'!$B$393,")")</f>
        <v>Taux de chargement moyen des véhicules pour l'accès à l'ELU (Catégorie 38)</v>
      </c>
      <c r="E1522" t="str">
        <f>_xlfn.CONCAT("ELUApproTC",RIGHT(LEFT(C1522,LEN(C1522)-1),2))</f>
        <v>ELUApproTC38</v>
      </c>
      <c r="F1522" t="s">
        <v>17</v>
      </c>
      <c r="G1522" s="14">
        <f t="shared" si="373"/>
        <v>0</v>
      </c>
      <c r="H1522" s="18"/>
      <c r="J1522" t="s">
        <v>70</v>
      </c>
      <c r="K1522" s="7">
        <v>0.6</v>
      </c>
      <c r="M1522" t="s">
        <v>269</v>
      </c>
    </row>
    <row r="1523" spans="1:13" outlineLevel="1" x14ac:dyDescent="0.25">
      <c r="A1523" t="s">
        <v>266</v>
      </c>
      <c r="B1523" t="s">
        <v>423</v>
      </c>
      <c r="C1523" t="str">
        <f>_xlfn.CONCAT("Distance parcourue associée"," (",'Remplissage - Sit. Expost'!$B$393,")")</f>
        <v>Distance parcourue associée (Catégorie 38)</v>
      </c>
      <c r="E1523" t="str">
        <f>_xlfn.CONCAT("ELUApproDist",RIGHT(LEFT(C1523,LEN(C1523)-1),2))</f>
        <v>ELUApproDist38</v>
      </c>
      <c r="F1523" t="s">
        <v>17</v>
      </c>
      <c r="G1523" s="14">
        <f t="shared" si="373"/>
        <v>0</v>
      </c>
      <c r="J1523" t="s">
        <v>88</v>
      </c>
      <c r="K1523">
        <v>15</v>
      </c>
      <c r="M1523" t="s">
        <v>269</v>
      </c>
    </row>
    <row r="1524" spans="1:13" outlineLevel="1" x14ac:dyDescent="0.25">
      <c r="A1524" t="s">
        <v>266</v>
      </c>
      <c r="B1524" t="s">
        <v>423</v>
      </c>
      <c r="C1524" t="str">
        <f>_xlfn.CONCAT("Nombre de trajets associés"," (",'Remplissage - Sit. Expost'!$B$393,")")</f>
        <v>Nombre de trajets associés (Catégorie 38)</v>
      </c>
      <c r="E1524" t="str">
        <f>_xlfn.CONCAT("ELUApproNbTraj",RIGHT(LEFT(C1524,LEN(C1524)-1),2))</f>
        <v>ELUApproNbTraj38</v>
      </c>
      <c r="F1524" t="s">
        <v>17</v>
      </c>
      <c r="G1524" s="14">
        <f t="shared" si="373"/>
        <v>0</v>
      </c>
      <c r="J1524" t="s">
        <v>145</v>
      </c>
      <c r="K1524">
        <v>50</v>
      </c>
      <c r="M1524" t="s">
        <v>269</v>
      </c>
    </row>
    <row r="1525" spans="1:13" outlineLevel="1" x14ac:dyDescent="0.25">
      <c r="A1525" t="s">
        <v>266</v>
      </c>
      <c r="B1525" t="s">
        <v>424</v>
      </c>
      <c r="C1525" t="str">
        <f>_xlfn.CONCAT("Taux de chargement moyen des véhicules pour l'accès à l'ELU"," (",'Remplissage - Sit. Expost'!$B$403,")")</f>
        <v>Taux de chargement moyen des véhicules pour l'accès à l'ELU (Catégorie 39)</v>
      </c>
      <c r="E1525" t="str">
        <f>_xlfn.CONCAT("ELUApproTC",RIGHT(LEFT(C1525,LEN(C1525)-1),2))</f>
        <v>ELUApproTC39</v>
      </c>
      <c r="F1525" t="s">
        <v>17</v>
      </c>
      <c r="G1525" s="14">
        <f t="shared" si="373"/>
        <v>0</v>
      </c>
      <c r="H1525" s="18"/>
      <c r="J1525" t="s">
        <v>70</v>
      </c>
      <c r="K1525" s="7">
        <v>0.6</v>
      </c>
      <c r="M1525" t="s">
        <v>269</v>
      </c>
    </row>
    <row r="1526" spans="1:13" outlineLevel="1" x14ac:dyDescent="0.25">
      <c r="A1526" t="s">
        <v>266</v>
      </c>
      <c r="B1526" t="s">
        <v>424</v>
      </c>
      <c r="C1526" t="str">
        <f>_xlfn.CONCAT("Distance parcourue associée"," (",'Remplissage - Sit. Expost'!$B$403,")")</f>
        <v>Distance parcourue associée (Catégorie 39)</v>
      </c>
      <c r="E1526" t="str">
        <f>_xlfn.CONCAT("ELUApproDist",RIGHT(LEFT(C1526,LEN(C1526)-1),2))</f>
        <v>ELUApproDist39</v>
      </c>
      <c r="F1526" t="s">
        <v>17</v>
      </c>
      <c r="G1526" s="14">
        <f t="shared" si="373"/>
        <v>0</v>
      </c>
      <c r="J1526" t="s">
        <v>88</v>
      </c>
      <c r="K1526">
        <v>15</v>
      </c>
      <c r="M1526" t="s">
        <v>269</v>
      </c>
    </row>
    <row r="1527" spans="1:13" outlineLevel="1" x14ac:dyDescent="0.25">
      <c r="A1527" t="s">
        <v>266</v>
      </c>
      <c r="B1527" t="s">
        <v>424</v>
      </c>
      <c r="C1527" t="str">
        <f>_xlfn.CONCAT("Nombre de trajets associés"," (",'Remplissage - Sit. Expost'!$B$403,")")</f>
        <v>Nombre de trajets associés (Catégorie 39)</v>
      </c>
      <c r="E1527" t="str">
        <f>_xlfn.CONCAT("ELUApproNbTraj",RIGHT(LEFT(C1527,LEN(C1527)-1),2))</f>
        <v>ELUApproNbTraj39</v>
      </c>
      <c r="F1527" t="s">
        <v>17</v>
      </c>
      <c r="G1527" s="14">
        <f t="shared" si="373"/>
        <v>0</v>
      </c>
      <c r="J1527" t="s">
        <v>145</v>
      </c>
      <c r="K1527">
        <v>50</v>
      </c>
      <c r="M1527" t="s">
        <v>269</v>
      </c>
    </row>
    <row r="1528" spans="1:13" outlineLevel="1" x14ac:dyDescent="0.25">
      <c r="A1528" t="s">
        <v>266</v>
      </c>
      <c r="B1528" t="s">
        <v>425</v>
      </c>
      <c r="C1528" t="str">
        <f>_xlfn.CONCAT("Taux de chargement moyen des véhicules pour l'accès à l'ELU"," (",'Remplissage - Sit. Expost'!$B$413,")")</f>
        <v>Taux de chargement moyen des véhicules pour l'accès à l'ELU (Catégorie 40)</v>
      </c>
      <c r="E1528" t="str">
        <f>_xlfn.CONCAT("ELUApproTC",RIGHT(LEFT(C1528,LEN(C1528)-1),2))</f>
        <v>ELUApproTC40</v>
      </c>
      <c r="F1528" t="s">
        <v>17</v>
      </c>
      <c r="G1528" s="14">
        <f t="shared" si="373"/>
        <v>0</v>
      </c>
      <c r="H1528" s="18"/>
      <c r="J1528" t="s">
        <v>70</v>
      </c>
      <c r="K1528" s="7">
        <v>0.6</v>
      </c>
      <c r="M1528" t="s">
        <v>269</v>
      </c>
    </row>
    <row r="1529" spans="1:13" outlineLevel="1" x14ac:dyDescent="0.25">
      <c r="A1529" t="s">
        <v>266</v>
      </c>
      <c r="B1529" t="s">
        <v>425</v>
      </c>
      <c r="C1529" t="str">
        <f>_xlfn.CONCAT("Distance parcourue associée"," (",'Remplissage - Sit. Expost'!$B$413,")")</f>
        <v>Distance parcourue associée (Catégorie 40)</v>
      </c>
      <c r="E1529" t="str">
        <f>_xlfn.CONCAT("ELUApproDist",RIGHT(LEFT(C1529,LEN(C1529)-1),2))</f>
        <v>ELUApproDist40</v>
      </c>
      <c r="F1529" t="s">
        <v>17</v>
      </c>
      <c r="G1529" s="14">
        <f t="shared" si="373"/>
        <v>0</v>
      </c>
      <c r="J1529" t="s">
        <v>88</v>
      </c>
      <c r="K1529">
        <v>15</v>
      </c>
      <c r="M1529" t="s">
        <v>269</v>
      </c>
    </row>
    <row r="1530" spans="1:13" outlineLevel="1" x14ac:dyDescent="0.25">
      <c r="A1530" t="s">
        <v>266</v>
      </c>
      <c r="B1530" t="s">
        <v>425</v>
      </c>
      <c r="C1530" t="str">
        <f>_xlfn.CONCAT("Nombre de trajets associés"," (",'Remplissage - Sit. Expost'!$B$413,")")</f>
        <v>Nombre de trajets associés (Catégorie 40)</v>
      </c>
      <c r="E1530" t="str">
        <f>_xlfn.CONCAT("ELUApproNbTraj",RIGHT(LEFT(C1530,LEN(C1530)-1),2))</f>
        <v>ELUApproNbTraj40</v>
      </c>
      <c r="F1530" t="s">
        <v>17</v>
      </c>
      <c r="G1530" s="14">
        <f t="shared" si="373"/>
        <v>0</v>
      </c>
      <c r="J1530" t="s">
        <v>145</v>
      </c>
      <c r="K1530">
        <v>50</v>
      </c>
      <c r="M1530" t="s">
        <v>269</v>
      </c>
    </row>
    <row r="1531" spans="1:13" outlineLevel="1" x14ac:dyDescent="0.25">
      <c r="A1531" t="s">
        <v>266</v>
      </c>
      <c r="B1531" t="s">
        <v>426</v>
      </c>
      <c r="C1531" t="str">
        <f>_xlfn.CONCAT("Taux de chargement moyen des véhicules pour l'accès à l'ELU"," (",'Remplissage - Sit. Expost'!$B$423,")")</f>
        <v>Taux de chargement moyen des véhicules pour l'accès à l'ELU (Catégorie 41)</v>
      </c>
      <c r="E1531" t="str">
        <f>_xlfn.CONCAT("ELUApproTC",RIGHT(LEFT(C1531,LEN(C1531)-1),2))</f>
        <v>ELUApproTC41</v>
      </c>
      <c r="F1531" t="s">
        <v>17</v>
      </c>
      <c r="G1531" s="14">
        <f t="shared" si="373"/>
        <v>0</v>
      </c>
      <c r="H1531" s="18"/>
      <c r="J1531" t="s">
        <v>70</v>
      </c>
      <c r="K1531" s="7">
        <v>0.6</v>
      </c>
      <c r="M1531" t="s">
        <v>269</v>
      </c>
    </row>
    <row r="1532" spans="1:13" outlineLevel="1" x14ac:dyDescent="0.25">
      <c r="A1532" t="s">
        <v>266</v>
      </c>
      <c r="B1532" t="s">
        <v>426</v>
      </c>
      <c r="C1532" t="str">
        <f>_xlfn.CONCAT("Distance parcourue associée"," (",'Remplissage - Sit. Expost'!$B$423,")")</f>
        <v>Distance parcourue associée (Catégorie 41)</v>
      </c>
      <c r="E1532" t="str">
        <f>_xlfn.CONCAT("ELUApproDist",RIGHT(LEFT(C1532,LEN(C1532)-1),2))</f>
        <v>ELUApproDist41</v>
      </c>
      <c r="F1532" t="s">
        <v>17</v>
      </c>
      <c r="G1532" s="14">
        <f t="shared" si="373"/>
        <v>0</v>
      </c>
      <c r="J1532" t="s">
        <v>88</v>
      </c>
      <c r="K1532">
        <v>15</v>
      </c>
      <c r="M1532" t="s">
        <v>269</v>
      </c>
    </row>
    <row r="1533" spans="1:13" outlineLevel="1" x14ac:dyDescent="0.25">
      <c r="A1533" t="s">
        <v>266</v>
      </c>
      <c r="B1533" t="s">
        <v>426</v>
      </c>
      <c r="C1533" t="str">
        <f>_xlfn.CONCAT("Nombre de trajets associés"," (",'Remplissage - Sit. Expost'!$B$423,")")</f>
        <v>Nombre de trajets associés (Catégorie 41)</v>
      </c>
      <c r="E1533" t="str">
        <f>_xlfn.CONCAT("ELUApproNbTraj",RIGHT(LEFT(C1533,LEN(C1533)-1),2))</f>
        <v>ELUApproNbTraj41</v>
      </c>
      <c r="F1533" t="s">
        <v>17</v>
      </c>
      <c r="G1533" s="14">
        <f t="shared" si="373"/>
        <v>0</v>
      </c>
      <c r="J1533" t="s">
        <v>145</v>
      </c>
      <c r="K1533">
        <v>50</v>
      </c>
      <c r="M1533" t="s">
        <v>269</v>
      </c>
    </row>
    <row r="1534" spans="1:13" outlineLevel="1" x14ac:dyDescent="0.25">
      <c r="A1534" t="s">
        <v>266</v>
      </c>
      <c r="B1534" t="s">
        <v>427</v>
      </c>
      <c r="C1534" t="str">
        <f>_xlfn.CONCAT("Taux de chargement moyen des véhicules pour l'accès à l'ELU"," (",'Remplissage - Sit. Expost'!$B$433,")")</f>
        <v>Taux de chargement moyen des véhicules pour l'accès à l'ELU (Catégorie 42)</v>
      </c>
      <c r="E1534" t="str">
        <f>_xlfn.CONCAT("ELUApproTC",RIGHT(LEFT(C1534,LEN(C1534)-1),2))</f>
        <v>ELUApproTC42</v>
      </c>
      <c r="F1534" t="s">
        <v>17</v>
      </c>
      <c r="G1534" s="14">
        <f t="shared" si="373"/>
        <v>0</v>
      </c>
      <c r="H1534" s="18"/>
      <c r="J1534" t="s">
        <v>70</v>
      </c>
      <c r="K1534" s="7">
        <v>0.6</v>
      </c>
      <c r="M1534" t="s">
        <v>269</v>
      </c>
    </row>
    <row r="1535" spans="1:13" outlineLevel="1" x14ac:dyDescent="0.25">
      <c r="A1535" t="s">
        <v>266</v>
      </c>
      <c r="B1535" t="s">
        <v>427</v>
      </c>
      <c r="C1535" t="str">
        <f>_xlfn.CONCAT("Distance parcourue associée"," (",'Remplissage - Sit. Expost'!$B$433,")")</f>
        <v>Distance parcourue associée (Catégorie 42)</v>
      </c>
      <c r="E1535" t="str">
        <f>_xlfn.CONCAT("ELUApproDist",RIGHT(LEFT(C1535,LEN(C1535)-1),2))</f>
        <v>ELUApproDist42</v>
      </c>
      <c r="F1535" t="s">
        <v>17</v>
      </c>
      <c r="G1535" s="14">
        <f t="shared" si="373"/>
        <v>0</v>
      </c>
      <c r="J1535" t="s">
        <v>88</v>
      </c>
      <c r="K1535">
        <v>15</v>
      </c>
      <c r="M1535" t="s">
        <v>269</v>
      </c>
    </row>
    <row r="1536" spans="1:13" outlineLevel="1" x14ac:dyDescent="0.25">
      <c r="A1536" t="s">
        <v>266</v>
      </c>
      <c r="B1536" t="s">
        <v>427</v>
      </c>
      <c r="C1536" t="str">
        <f>_xlfn.CONCAT("Nombre de trajets associés"," (",'Remplissage - Sit. Expost'!$B$433,")")</f>
        <v>Nombre de trajets associés (Catégorie 42)</v>
      </c>
      <c r="E1536" t="str">
        <f>_xlfn.CONCAT("ELUApproNbTraj",RIGHT(LEFT(C1536,LEN(C1536)-1),2))</f>
        <v>ELUApproNbTraj42</v>
      </c>
      <c r="F1536" t="s">
        <v>17</v>
      </c>
      <c r="G1536" s="14">
        <f t="shared" si="373"/>
        <v>0</v>
      </c>
      <c r="J1536" t="s">
        <v>145</v>
      </c>
      <c r="K1536">
        <v>50</v>
      </c>
      <c r="M1536" t="s">
        <v>269</v>
      </c>
    </row>
    <row r="1537" spans="1:13" outlineLevel="1" x14ac:dyDescent="0.25">
      <c r="A1537" t="s">
        <v>266</v>
      </c>
      <c r="B1537" t="s">
        <v>428</v>
      </c>
      <c r="C1537" t="str">
        <f>_xlfn.CONCAT("Taux de chargement moyen des véhicules pour l'accès à l'ELU"," (",'Remplissage - Sit. Expost'!$B$443,")")</f>
        <v>Taux de chargement moyen des véhicules pour l'accès à l'ELU (Catégorie 43)</v>
      </c>
      <c r="E1537" t="str">
        <f>_xlfn.CONCAT("ELUApproTC",RIGHT(LEFT(C1537,LEN(C1537)-1),2))</f>
        <v>ELUApproTC43</v>
      </c>
      <c r="F1537" t="s">
        <v>17</v>
      </c>
      <c r="G1537" s="14">
        <f t="shared" si="373"/>
        <v>0</v>
      </c>
      <c r="H1537" s="18"/>
      <c r="J1537" t="s">
        <v>70</v>
      </c>
      <c r="K1537" s="7">
        <v>0.6</v>
      </c>
      <c r="M1537" t="s">
        <v>269</v>
      </c>
    </row>
    <row r="1538" spans="1:13" outlineLevel="1" x14ac:dyDescent="0.25">
      <c r="A1538" t="s">
        <v>266</v>
      </c>
      <c r="B1538" t="s">
        <v>428</v>
      </c>
      <c r="C1538" t="str">
        <f>_xlfn.CONCAT("Distance parcourue associée"," (",'Remplissage - Sit. Expost'!$B$443,")")</f>
        <v>Distance parcourue associée (Catégorie 43)</v>
      </c>
      <c r="E1538" t="str">
        <f>_xlfn.CONCAT("ELUApproDist",RIGHT(LEFT(C1538,LEN(C1538)-1),2))</f>
        <v>ELUApproDist43</v>
      </c>
      <c r="F1538" t="s">
        <v>17</v>
      </c>
      <c r="G1538" s="14">
        <f t="shared" si="373"/>
        <v>0</v>
      </c>
      <c r="J1538" t="s">
        <v>88</v>
      </c>
      <c r="K1538">
        <v>15</v>
      </c>
      <c r="M1538" t="s">
        <v>269</v>
      </c>
    </row>
    <row r="1539" spans="1:13" outlineLevel="1" x14ac:dyDescent="0.25">
      <c r="A1539" t="s">
        <v>266</v>
      </c>
      <c r="B1539" t="s">
        <v>428</v>
      </c>
      <c r="C1539" t="str">
        <f>_xlfn.CONCAT("Nombre de trajets associés"," (",'Remplissage - Sit. Expost'!$B$443,")")</f>
        <v>Nombre de trajets associés (Catégorie 43)</v>
      </c>
      <c r="E1539" t="str">
        <f>_xlfn.CONCAT("ELUApproNbTraj",RIGHT(LEFT(C1539,LEN(C1539)-1),2))</f>
        <v>ELUApproNbTraj43</v>
      </c>
      <c r="F1539" t="s">
        <v>17</v>
      </c>
      <c r="G1539" s="14">
        <f t="shared" si="373"/>
        <v>0</v>
      </c>
      <c r="J1539" t="s">
        <v>145</v>
      </c>
      <c r="K1539">
        <v>50</v>
      </c>
      <c r="M1539" t="s">
        <v>269</v>
      </c>
    </row>
    <row r="1540" spans="1:13" outlineLevel="1" x14ac:dyDescent="0.25">
      <c r="A1540" t="s">
        <v>266</v>
      </c>
      <c r="B1540" t="s">
        <v>429</v>
      </c>
      <c r="C1540" t="str">
        <f>_xlfn.CONCAT("Taux de chargement moyen des véhicules pour l'accès à l'ELU"," (",'Remplissage - Sit. Expost'!$B$453,")")</f>
        <v>Taux de chargement moyen des véhicules pour l'accès à l'ELU (Catégorie 44)</v>
      </c>
      <c r="E1540" t="str">
        <f>_xlfn.CONCAT("ELUApproTC",RIGHT(LEFT(C1540,LEN(C1540)-1),2))</f>
        <v>ELUApproTC44</v>
      </c>
      <c r="F1540" t="s">
        <v>17</v>
      </c>
      <c r="G1540" s="14">
        <f t="shared" ref="G1540:G1545" si="374">(IF(ISNUMBER(SEARCH($B1540,$H$1406)),1,0))*(IF(ISNUMBER(SEARCH("Par catégorie de véhicule sélectionnée",$H$1405)),1,0))</f>
        <v>0</v>
      </c>
      <c r="H1540" s="18"/>
      <c r="J1540" t="s">
        <v>70</v>
      </c>
      <c r="K1540" s="7">
        <v>0.6</v>
      </c>
      <c r="M1540" t="s">
        <v>269</v>
      </c>
    </row>
    <row r="1541" spans="1:13" outlineLevel="1" x14ac:dyDescent="0.25">
      <c r="A1541" t="s">
        <v>266</v>
      </c>
      <c r="B1541" t="s">
        <v>429</v>
      </c>
      <c r="C1541" t="str">
        <f>_xlfn.CONCAT("Distance parcourue associée"," (",'Remplissage - Sit. Expost'!$B$453,")")</f>
        <v>Distance parcourue associée (Catégorie 44)</v>
      </c>
      <c r="E1541" t="str">
        <f>_xlfn.CONCAT("ELUApproDist",RIGHT(LEFT(C1541,LEN(C1541)-1),2))</f>
        <v>ELUApproDist44</v>
      </c>
      <c r="F1541" t="s">
        <v>17</v>
      </c>
      <c r="G1541" s="14">
        <f t="shared" si="374"/>
        <v>0</v>
      </c>
      <c r="J1541" t="s">
        <v>88</v>
      </c>
      <c r="K1541">
        <v>15</v>
      </c>
      <c r="M1541" t="s">
        <v>269</v>
      </c>
    </row>
    <row r="1542" spans="1:13" outlineLevel="1" x14ac:dyDescent="0.25">
      <c r="A1542" t="s">
        <v>266</v>
      </c>
      <c r="B1542" t="s">
        <v>429</v>
      </c>
      <c r="C1542" t="str">
        <f>_xlfn.CONCAT("Nombre de trajets associés"," (",'Remplissage - Sit. Expost'!$B$453,")")</f>
        <v>Nombre de trajets associés (Catégorie 44)</v>
      </c>
      <c r="E1542" t="str">
        <f>_xlfn.CONCAT("ELUApproNbTraj",RIGHT(LEFT(C1542,LEN(C1542)-1),2))</f>
        <v>ELUApproNbTraj44</v>
      </c>
      <c r="F1542" t="s">
        <v>17</v>
      </c>
      <c r="G1542" s="14">
        <f t="shared" si="374"/>
        <v>0</v>
      </c>
      <c r="J1542" t="s">
        <v>145</v>
      </c>
      <c r="K1542">
        <v>50</v>
      </c>
      <c r="M1542" t="s">
        <v>269</v>
      </c>
    </row>
    <row r="1543" spans="1:13" outlineLevel="1" x14ac:dyDescent="0.25">
      <c r="A1543" t="s">
        <v>266</v>
      </c>
      <c r="B1543" t="s">
        <v>387</v>
      </c>
      <c r="C1543" t="str">
        <f>_xlfn.CONCAT("Taux de chargement moyen des véhicules pour l'accès à l'ELU"," (",'Remplissage - Sit. Expost'!$B$463,")")</f>
        <v>Taux de chargement moyen des véhicules pour l'accès à l'ELU (Catégorie 45)</v>
      </c>
      <c r="E1543" t="str">
        <f>_xlfn.CONCAT("ELUApproTC",RIGHT(LEFT(C1543,LEN(C1543)-1),2))</f>
        <v>ELUApproTC45</v>
      </c>
      <c r="F1543" t="s">
        <v>17</v>
      </c>
      <c r="G1543" s="14">
        <f t="shared" si="374"/>
        <v>0</v>
      </c>
      <c r="H1543" s="18"/>
      <c r="J1543" t="s">
        <v>70</v>
      </c>
      <c r="K1543" s="7">
        <v>0.6</v>
      </c>
      <c r="M1543" t="s">
        <v>269</v>
      </c>
    </row>
    <row r="1544" spans="1:13" outlineLevel="1" x14ac:dyDescent="0.25">
      <c r="A1544" t="s">
        <v>266</v>
      </c>
      <c r="B1544" t="s">
        <v>387</v>
      </c>
      <c r="C1544" t="str">
        <f>_xlfn.CONCAT("Distance parcourue associée"," (",'Remplissage - Sit. Expost'!$B$463,")")</f>
        <v>Distance parcourue associée (Catégorie 45)</v>
      </c>
      <c r="E1544" t="str">
        <f>_xlfn.CONCAT("ELUApproDist",RIGHT(LEFT(C1544,LEN(C1544)-1),2))</f>
        <v>ELUApproDist45</v>
      </c>
      <c r="F1544" t="s">
        <v>17</v>
      </c>
      <c r="G1544" s="14">
        <f t="shared" si="374"/>
        <v>0</v>
      </c>
      <c r="J1544" t="s">
        <v>88</v>
      </c>
      <c r="K1544">
        <v>15</v>
      </c>
      <c r="M1544" t="s">
        <v>269</v>
      </c>
    </row>
    <row r="1545" spans="1:13" outlineLevel="1" x14ac:dyDescent="0.25">
      <c r="A1545" t="s">
        <v>266</v>
      </c>
      <c r="B1545" t="s">
        <v>387</v>
      </c>
      <c r="C1545" t="str">
        <f>_xlfn.CONCAT("Nombre de trajets associés"," (",'Remplissage - Sit. Expost'!$B$463,")")</f>
        <v>Nombre de trajets associés (Catégorie 45)</v>
      </c>
      <c r="E1545" t="str">
        <f>_xlfn.CONCAT("ELUApproNbTraj",RIGHT(LEFT(C1545,LEN(C1545)-1),2))</f>
        <v>ELUApproNbTraj45</v>
      </c>
      <c r="F1545" t="s">
        <v>17</v>
      </c>
      <c r="G1545" s="14">
        <f t="shared" si="374"/>
        <v>0</v>
      </c>
      <c r="J1545" t="s">
        <v>145</v>
      </c>
      <c r="K1545">
        <v>50</v>
      </c>
      <c r="M1545" t="s">
        <v>269</v>
      </c>
    </row>
    <row r="1546" spans="1:13" x14ac:dyDescent="0.25">
      <c r="A1546" t="s">
        <v>266</v>
      </c>
      <c r="B1546" t="s">
        <v>495</v>
      </c>
      <c r="C1546" t="s">
        <v>506</v>
      </c>
      <c r="E1546" t="s">
        <v>505</v>
      </c>
      <c r="F1546" t="s">
        <v>20</v>
      </c>
      <c r="G1546">
        <f>IF(OR(ISNUMBER(SEARCH("C3",$H$18)),ISNUMBER(SEARCH("C3",$H$17))),1,0)</f>
        <v>1</v>
      </c>
      <c r="H1546" t="s">
        <v>430</v>
      </c>
      <c r="I1546" t="s">
        <v>383</v>
      </c>
      <c r="M1546" t="s">
        <v>269</v>
      </c>
    </row>
    <row r="1547" spans="1:13" x14ac:dyDescent="0.25">
      <c r="A1547" t="s">
        <v>266</v>
      </c>
      <c r="B1547" t="s">
        <v>495</v>
      </c>
      <c r="C1547" t="s">
        <v>504</v>
      </c>
      <c r="E1547" t="s">
        <v>503</v>
      </c>
      <c r="F1547" t="s">
        <v>17</v>
      </c>
      <c r="G1547">
        <f>IF(OR(ISNUMBER(SEARCH("C3",$H$18)),ISNUMBER(SEARCH("C3",$H$17))),1,0)</f>
        <v>1</v>
      </c>
      <c r="H1547">
        <v>50</v>
      </c>
      <c r="J1547" t="s">
        <v>88</v>
      </c>
      <c r="K1547" s="21"/>
      <c r="M1547" t="s">
        <v>269</v>
      </c>
    </row>
    <row r="1548" spans="1:13" x14ac:dyDescent="0.25">
      <c r="A1548" t="s">
        <v>266</v>
      </c>
      <c r="B1548" t="s">
        <v>495</v>
      </c>
      <c r="C1548" t="s">
        <v>502</v>
      </c>
      <c r="E1548" t="s">
        <v>278</v>
      </c>
      <c r="F1548" t="s">
        <v>17</v>
      </c>
      <c r="G1548">
        <f>IF(OR(ISNUMBER(SEARCH("C3",$H$18)),ISNUMBER(SEARCH("C3",$H$17))),1,0)</f>
        <v>1</v>
      </c>
      <c r="H1548" s="18">
        <v>0.8</v>
      </c>
      <c r="J1548" t="s">
        <v>70</v>
      </c>
      <c r="K1548" s="7">
        <v>0.8</v>
      </c>
      <c r="M1548" t="s">
        <v>269</v>
      </c>
    </row>
    <row r="1549" spans="1:13" x14ac:dyDescent="0.25">
      <c r="A1549" t="s">
        <v>266</v>
      </c>
      <c r="B1549" t="s">
        <v>495</v>
      </c>
      <c r="C1549" t="s">
        <v>501</v>
      </c>
      <c r="E1549" t="s">
        <v>276</v>
      </c>
      <c r="F1549" t="s">
        <v>17</v>
      </c>
      <c r="G1549">
        <f>IF(OR(ISNUMBER(SEARCH("C3",$H$18)),ISNUMBER(SEARCH("C3",$H$17))),1,0)*IF(ISNUMBER(SEARCH("La distance totale parcourue",#REF!)),1,0)</f>
        <v>0</v>
      </c>
      <c r="H1549">
        <v>50</v>
      </c>
      <c r="J1549" t="s">
        <v>88</v>
      </c>
      <c r="K1549" s="22">
        <v>50</v>
      </c>
      <c r="M1549" t="s">
        <v>269</v>
      </c>
    </row>
    <row r="1550" spans="1:13" x14ac:dyDescent="0.25">
      <c r="A1550" t="s">
        <v>266</v>
      </c>
      <c r="B1550" t="s">
        <v>495</v>
      </c>
      <c r="C1550" t="s">
        <v>500</v>
      </c>
      <c r="E1550" t="s">
        <v>282</v>
      </c>
      <c r="F1550" t="s">
        <v>17</v>
      </c>
      <c r="G1550">
        <f>IF(OR(ISNUMBER(SEARCH("C3",$H$18)),ISNUMBER(SEARCH("C3",$H$17))),1,0)*IF(ISNUMBER(SEARCH("La distance moyenne d'un trajet et le nombre de trajets",#REF!)),1,0)</f>
        <v>0</v>
      </c>
      <c r="H1550">
        <v>200</v>
      </c>
      <c r="J1550" t="s">
        <v>145</v>
      </c>
      <c r="K1550">
        <v>100</v>
      </c>
      <c r="M1550" t="s">
        <v>269</v>
      </c>
    </row>
    <row r="1551" spans="1:13" outlineLevel="1" x14ac:dyDescent="0.25">
      <c r="A1551" t="s">
        <v>266</v>
      </c>
      <c r="B1551" t="s">
        <v>382</v>
      </c>
      <c r="C1551" t="str">
        <f>_xlfn.CONCAT("Taux de chargement moyen des véhicules pour les tournées depuis le ou les ELU"," (",'Remplissage - Sit. Expost'!$B$23,")")</f>
        <v>Taux de chargement moyen des véhicules pour les tournées depuis le ou les ELU (Catégorie 1)</v>
      </c>
      <c r="E1551" t="str">
        <f>_xlfn.CONCAT("ELUTourneeTC",RIGHT(LEFT(C1551,LEN(C1551)-1),1))</f>
        <v>ELUTourneeTC1</v>
      </c>
      <c r="F1551" t="s">
        <v>17</v>
      </c>
      <c r="G1551">
        <f>IF(ISNUMBER(SEARCH($B1551,$H$1546)),1,0)</f>
        <v>1</v>
      </c>
      <c r="H1551" s="18"/>
      <c r="J1551" t="s">
        <v>70</v>
      </c>
      <c r="K1551" s="7">
        <v>0.8</v>
      </c>
      <c r="M1551" t="s">
        <v>269</v>
      </c>
    </row>
    <row r="1552" spans="1:13" outlineLevel="1" x14ac:dyDescent="0.25">
      <c r="A1552" t="s">
        <v>266</v>
      </c>
      <c r="B1552" t="s">
        <v>382</v>
      </c>
      <c r="C1552" t="str">
        <f>_xlfn.CONCAT("Distance moyenne d'une tournée"," (",'Remplissage - Sit. Expost'!$B$23,")")</f>
        <v>Distance moyenne d'une tournée (Catégorie 1)</v>
      </c>
      <c r="E1552" t="str">
        <f>_xlfn.CONCAT("ELUTourneeDist",RIGHT(LEFT(C1552,LEN(C1552)-1),1))</f>
        <v>ELUTourneeDist1</v>
      </c>
      <c r="F1552" t="s">
        <v>17</v>
      </c>
      <c r="G1552">
        <f t="shared" ref="G1552:G1615" si="375">IF(ISNUMBER(SEARCH($B1552,$H$1546)),1,0)</f>
        <v>1</v>
      </c>
      <c r="J1552" t="s">
        <v>88</v>
      </c>
      <c r="K1552">
        <v>50</v>
      </c>
      <c r="M1552" t="s">
        <v>269</v>
      </c>
    </row>
    <row r="1553" spans="1:13" outlineLevel="1" x14ac:dyDescent="0.25">
      <c r="A1553" t="s">
        <v>266</v>
      </c>
      <c r="B1553" t="s">
        <v>382</v>
      </c>
      <c r="C1553" t="str">
        <f>_xlfn.CONCAT("Nombre annuel de tournées"," (",'Remplissage - Sit. Expost'!$B$23,")")</f>
        <v>Nombre annuel de tournées (Catégorie 1)</v>
      </c>
      <c r="E1553" t="str">
        <f>_xlfn.CONCAT("ELUTourneeNb",RIGHT(LEFT(C1553,LEN(C1553)-1),1))</f>
        <v>ELUTourneeNb1</v>
      </c>
      <c r="F1553" t="s">
        <v>17</v>
      </c>
      <c r="G1553">
        <f t="shared" si="375"/>
        <v>1</v>
      </c>
      <c r="J1553" t="s">
        <v>145</v>
      </c>
      <c r="K1553">
        <v>100</v>
      </c>
      <c r="M1553" t="s">
        <v>269</v>
      </c>
    </row>
    <row r="1554" spans="1:13" outlineLevel="1" x14ac:dyDescent="0.25">
      <c r="A1554" t="s">
        <v>266</v>
      </c>
      <c r="B1554" t="s">
        <v>386</v>
      </c>
      <c r="C1554" t="str">
        <f>_xlfn.CONCAT("Taux de chargement moyen des véhicules pour les tournées depuis le ou les ELU"," (",'Remplissage - Sit. Expost'!$B$33,")")</f>
        <v>Taux de chargement moyen des véhicules pour les tournées depuis le ou les ELU (Catégorie 2)</v>
      </c>
      <c r="E1554" t="str">
        <f>_xlfn.CONCAT("ELUTourneeTC",RIGHT(LEFT(C1554,LEN(C1554)-1),1))</f>
        <v>ELUTourneeTC2</v>
      </c>
      <c r="F1554" t="s">
        <v>17</v>
      </c>
      <c r="G1554">
        <f t="shared" si="375"/>
        <v>0</v>
      </c>
      <c r="H1554" s="18"/>
      <c r="J1554" t="s">
        <v>70</v>
      </c>
      <c r="K1554" s="7">
        <v>0.8</v>
      </c>
      <c r="M1554" t="s">
        <v>269</v>
      </c>
    </row>
    <row r="1555" spans="1:13" outlineLevel="1" x14ac:dyDescent="0.25">
      <c r="A1555" t="s">
        <v>266</v>
      </c>
      <c r="B1555" t="s">
        <v>386</v>
      </c>
      <c r="C1555" t="str">
        <f>_xlfn.CONCAT("Distance moyenne d'une tournée"," (",'Remplissage - Sit. Expost'!$B$33,")")</f>
        <v>Distance moyenne d'une tournée (Catégorie 2)</v>
      </c>
      <c r="E1555" t="str">
        <f>_xlfn.CONCAT("ELUTourneeDist",RIGHT(LEFT(C1555,LEN(C1555)-1),1))</f>
        <v>ELUTourneeDist2</v>
      </c>
      <c r="F1555" t="s">
        <v>17</v>
      </c>
      <c r="G1555">
        <f t="shared" si="375"/>
        <v>0</v>
      </c>
      <c r="J1555" t="s">
        <v>88</v>
      </c>
      <c r="K1555">
        <v>50</v>
      </c>
      <c r="M1555" t="s">
        <v>269</v>
      </c>
    </row>
    <row r="1556" spans="1:13" outlineLevel="1" x14ac:dyDescent="0.25">
      <c r="A1556" t="s">
        <v>266</v>
      </c>
      <c r="B1556" t="s">
        <v>386</v>
      </c>
      <c r="C1556" t="str">
        <f>_xlfn.CONCAT("Nombre annuel de tournées"," (",'Remplissage - Sit. Expost'!$B$33,")")</f>
        <v>Nombre annuel de tournées (Catégorie 2)</v>
      </c>
      <c r="E1556" t="str">
        <f>_xlfn.CONCAT("ELUTourneeNb",RIGHT(LEFT(C1556,LEN(C1556)-1),1))</f>
        <v>ELUTourneeNb2</v>
      </c>
      <c r="F1556" t="s">
        <v>17</v>
      </c>
      <c r="G1556">
        <f t="shared" si="375"/>
        <v>0</v>
      </c>
      <c r="J1556" t="s">
        <v>145</v>
      </c>
      <c r="K1556">
        <v>100</v>
      </c>
      <c r="M1556" t="s">
        <v>269</v>
      </c>
    </row>
    <row r="1557" spans="1:13" outlineLevel="1" x14ac:dyDescent="0.25">
      <c r="A1557" t="s">
        <v>266</v>
      </c>
      <c r="B1557" t="s">
        <v>388</v>
      </c>
      <c r="C1557" t="str">
        <f>_xlfn.CONCAT("Taux de chargement moyen des véhicules pour les tournées depuis le ou les ELU"," (",'Remplissage - Sit. Expost'!$B$43,")")</f>
        <v>Taux de chargement moyen des véhicules pour les tournées depuis le ou les ELU (Catégorie 3)</v>
      </c>
      <c r="E1557" t="str">
        <f>_xlfn.CONCAT("ELUTourneeTC",RIGHT(LEFT(C1557,LEN(C1557)-1),1))</f>
        <v>ELUTourneeTC3</v>
      </c>
      <c r="F1557" t="s">
        <v>17</v>
      </c>
      <c r="G1557">
        <f t="shared" si="375"/>
        <v>1</v>
      </c>
      <c r="H1557" s="18"/>
      <c r="J1557" t="s">
        <v>70</v>
      </c>
      <c r="K1557" s="7">
        <v>0.8</v>
      </c>
      <c r="M1557" t="s">
        <v>269</v>
      </c>
    </row>
    <row r="1558" spans="1:13" outlineLevel="1" x14ac:dyDescent="0.25">
      <c r="A1558" t="s">
        <v>266</v>
      </c>
      <c r="B1558" t="s">
        <v>388</v>
      </c>
      <c r="C1558" t="str">
        <f>_xlfn.CONCAT("Distance moyenne d'une tournée"," (",'Remplissage - Sit. Expost'!$B$43,")")</f>
        <v>Distance moyenne d'une tournée (Catégorie 3)</v>
      </c>
      <c r="E1558" t="str">
        <f>_xlfn.CONCAT("ELUTourneeDist",RIGHT(LEFT(C1558,LEN(C1558)-1),1))</f>
        <v>ELUTourneeDist3</v>
      </c>
      <c r="F1558" t="s">
        <v>17</v>
      </c>
      <c r="G1558">
        <f t="shared" si="375"/>
        <v>1</v>
      </c>
      <c r="J1558" t="s">
        <v>88</v>
      </c>
      <c r="K1558">
        <v>50</v>
      </c>
      <c r="M1558" t="s">
        <v>269</v>
      </c>
    </row>
    <row r="1559" spans="1:13" outlineLevel="1" x14ac:dyDescent="0.25">
      <c r="A1559" t="s">
        <v>266</v>
      </c>
      <c r="B1559" t="s">
        <v>388</v>
      </c>
      <c r="C1559" t="str">
        <f>_xlfn.CONCAT("Nombre annuel de tournées"," (",'Remplissage - Sit. Expost'!$B$43,")")</f>
        <v>Nombre annuel de tournées (Catégorie 3)</v>
      </c>
      <c r="E1559" t="str">
        <f>_xlfn.CONCAT("ELUTourneeNb",RIGHT(LEFT(C1559,LEN(C1559)-1),1))</f>
        <v>ELUTourneeNb3</v>
      </c>
      <c r="F1559" t="s">
        <v>17</v>
      </c>
      <c r="G1559">
        <f t="shared" si="375"/>
        <v>1</v>
      </c>
      <c r="J1559" t="s">
        <v>145</v>
      </c>
      <c r="K1559">
        <v>100</v>
      </c>
      <c r="M1559" t="s">
        <v>269</v>
      </c>
    </row>
    <row r="1560" spans="1:13" outlineLevel="1" x14ac:dyDescent="0.25">
      <c r="A1560" t="s">
        <v>266</v>
      </c>
      <c r="B1560" t="s">
        <v>389</v>
      </c>
      <c r="C1560" t="str">
        <f>_xlfn.CONCAT("Taux de chargement moyen des véhicules pour les tournées depuis le ou les ELU"," (",'Remplissage - Sit. Expost'!$B$53,")")</f>
        <v>Taux de chargement moyen des véhicules pour les tournées depuis le ou les ELU (Catégorie 4)</v>
      </c>
      <c r="E1560" t="str">
        <f>_xlfn.CONCAT("ELUTourneeTC",RIGHT(LEFT(C1560,LEN(C1560)-1),1))</f>
        <v>ELUTourneeTC4</v>
      </c>
      <c r="F1560" t="s">
        <v>17</v>
      </c>
      <c r="G1560">
        <f t="shared" si="375"/>
        <v>0</v>
      </c>
      <c r="H1560" s="18"/>
      <c r="J1560" t="s">
        <v>70</v>
      </c>
      <c r="K1560" s="7">
        <v>0.8</v>
      </c>
      <c r="M1560" t="s">
        <v>269</v>
      </c>
    </row>
    <row r="1561" spans="1:13" outlineLevel="1" x14ac:dyDescent="0.25">
      <c r="A1561" t="s">
        <v>266</v>
      </c>
      <c r="B1561" t="s">
        <v>389</v>
      </c>
      <c r="C1561" t="str">
        <f>_xlfn.CONCAT("Distance moyenne d'une tournée"," (",'Remplissage - Sit. Expost'!$B$53,")")</f>
        <v>Distance moyenne d'une tournée (Catégorie 4)</v>
      </c>
      <c r="E1561" t="str">
        <f>_xlfn.CONCAT("ELUTourneeDist",RIGHT(LEFT(C1561,LEN(C1561)-1),1))</f>
        <v>ELUTourneeDist4</v>
      </c>
      <c r="F1561" t="s">
        <v>17</v>
      </c>
      <c r="G1561">
        <f t="shared" si="375"/>
        <v>0</v>
      </c>
      <c r="J1561" t="s">
        <v>88</v>
      </c>
      <c r="K1561">
        <v>50</v>
      </c>
      <c r="M1561" t="s">
        <v>269</v>
      </c>
    </row>
    <row r="1562" spans="1:13" outlineLevel="1" x14ac:dyDescent="0.25">
      <c r="A1562" t="s">
        <v>266</v>
      </c>
      <c r="B1562" t="s">
        <v>389</v>
      </c>
      <c r="C1562" t="str">
        <f>_xlfn.CONCAT("Nombre annuel de tournées"," (",'Remplissage - Sit. Expost'!$B$53,")")</f>
        <v>Nombre annuel de tournées (Catégorie 4)</v>
      </c>
      <c r="E1562" t="str">
        <f>_xlfn.CONCAT("ELUTourneeNb",RIGHT(LEFT(C1562,LEN(C1562)-1),1))</f>
        <v>ELUTourneeNb4</v>
      </c>
      <c r="F1562" t="s">
        <v>17</v>
      </c>
      <c r="G1562">
        <f t="shared" si="375"/>
        <v>0</v>
      </c>
      <c r="J1562" t="s">
        <v>145</v>
      </c>
      <c r="K1562">
        <v>100</v>
      </c>
      <c r="M1562" t="s">
        <v>269</v>
      </c>
    </row>
    <row r="1563" spans="1:13" outlineLevel="1" x14ac:dyDescent="0.25">
      <c r="A1563" t="s">
        <v>266</v>
      </c>
      <c r="B1563" t="s">
        <v>390</v>
      </c>
      <c r="C1563" t="str">
        <f>_xlfn.CONCAT("Taux de chargement moyen des véhicules pour les tournées depuis le ou les ELU"," (",'Remplissage - Sit. Expost'!$B$63,")")</f>
        <v>Taux de chargement moyen des véhicules pour les tournées depuis le ou les ELU (Catégorie 5)</v>
      </c>
      <c r="E1563" t="str">
        <f>_xlfn.CONCAT("ELUTourneeTC",RIGHT(LEFT(C1563,LEN(C1563)-1),1))</f>
        <v>ELUTourneeTC5</v>
      </c>
      <c r="F1563" t="s">
        <v>17</v>
      </c>
      <c r="G1563">
        <f t="shared" si="375"/>
        <v>0</v>
      </c>
      <c r="H1563" s="18"/>
      <c r="J1563" t="s">
        <v>70</v>
      </c>
      <c r="K1563" s="7">
        <v>0.8</v>
      </c>
      <c r="M1563" t="s">
        <v>269</v>
      </c>
    </row>
    <row r="1564" spans="1:13" outlineLevel="1" x14ac:dyDescent="0.25">
      <c r="A1564" t="s">
        <v>266</v>
      </c>
      <c r="B1564" t="s">
        <v>390</v>
      </c>
      <c r="C1564" t="str">
        <f>_xlfn.CONCAT("Distance moyenne d'une tournée"," (",'Remplissage - Sit. Expost'!$B$63,")")</f>
        <v>Distance moyenne d'une tournée (Catégorie 5)</v>
      </c>
      <c r="E1564" t="str">
        <f>_xlfn.CONCAT("ELUTourneeDist",RIGHT(LEFT(C1564,LEN(C1564)-1),1))</f>
        <v>ELUTourneeDist5</v>
      </c>
      <c r="F1564" t="s">
        <v>17</v>
      </c>
      <c r="G1564">
        <f t="shared" si="375"/>
        <v>0</v>
      </c>
      <c r="J1564" t="s">
        <v>88</v>
      </c>
      <c r="K1564">
        <v>50</v>
      </c>
      <c r="M1564" t="s">
        <v>269</v>
      </c>
    </row>
    <row r="1565" spans="1:13" outlineLevel="1" x14ac:dyDescent="0.25">
      <c r="A1565" t="s">
        <v>266</v>
      </c>
      <c r="B1565" t="s">
        <v>390</v>
      </c>
      <c r="C1565" t="str">
        <f>_xlfn.CONCAT("Nombre annuel de tournées"," (",'Remplissage - Sit. Expost'!$B$63,")")</f>
        <v>Nombre annuel de tournées (Catégorie 5)</v>
      </c>
      <c r="E1565" t="str">
        <f>_xlfn.CONCAT("ELUTourneeNb",RIGHT(LEFT(C1565,LEN(C1565)-1),1))</f>
        <v>ELUTourneeNb5</v>
      </c>
      <c r="F1565" t="s">
        <v>17</v>
      </c>
      <c r="G1565">
        <f t="shared" si="375"/>
        <v>0</v>
      </c>
      <c r="J1565" t="s">
        <v>145</v>
      </c>
      <c r="K1565">
        <v>100</v>
      </c>
      <c r="M1565" t="s">
        <v>269</v>
      </c>
    </row>
    <row r="1566" spans="1:13" outlineLevel="1" x14ac:dyDescent="0.25">
      <c r="A1566" t="s">
        <v>266</v>
      </c>
      <c r="B1566" t="s">
        <v>391</v>
      </c>
      <c r="C1566" t="str">
        <f>_xlfn.CONCAT("Taux de chargement moyen des véhicules pour les tournées depuis le ou les ELU"," (",'Remplissage - Sit. Expost'!$B$73,")")</f>
        <v>Taux de chargement moyen des véhicules pour les tournées depuis le ou les ELU (Catégorie 6)</v>
      </c>
      <c r="E1566" t="str">
        <f>_xlfn.CONCAT("ELUTourneeTC",RIGHT(LEFT(C1566,LEN(C1566)-1),1))</f>
        <v>ELUTourneeTC6</v>
      </c>
      <c r="F1566" t="s">
        <v>17</v>
      </c>
      <c r="G1566">
        <f t="shared" si="375"/>
        <v>0</v>
      </c>
      <c r="H1566" s="18"/>
      <c r="J1566" t="s">
        <v>70</v>
      </c>
      <c r="K1566" s="7">
        <v>0.8</v>
      </c>
      <c r="M1566" t="s">
        <v>269</v>
      </c>
    </row>
    <row r="1567" spans="1:13" outlineLevel="1" x14ac:dyDescent="0.25">
      <c r="A1567" t="s">
        <v>266</v>
      </c>
      <c r="B1567" t="s">
        <v>391</v>
      </c>
      <c r="C1567" t="str">
        <f>_xlfn.CONCAT("Distance moyenne d'une tournée"," (",'Remplissage - Sit. Expost'!$B$73,")")</f>
        <v>Distance moyenne d'une tournée (Catégorie 6)</v>
      </c>
      <c r="E1567" t="str">
        <f>_xlfn.CONCAT("ELUTourneeDist",RIGHT(LEFT(C1567,LEN(C1567)-1),1))</f>
        <v>ELUTourneeDist6</v>
      </c>
      <c r="F1567" t="s">
        <v>17</v>
      </c>
      <c r="G1567">
        <f t="shared" si="375"/>
        <v>0</v>
      </c>
      <c r="J1567" t="s">
        <v>88</v>
      </c>
      <c r="K1567">
        <v>50</v>
      </c>
      <c r="M1567" t="s">
        <v>269</v>
      </c>
    </row>
    <row r="1568" spans="1:13" outlineLevel="1" x14ac:dyDescent="0.25">
      <c r="A1568" t="s">
        <v>266</v>
      </c>
      <c r="B1568" t="s">
        <v>391</v>
      </c>
      <c r="C1568" t="str">
        <f>_xlfn.CONCAT("Nombre annuel de tournées"," (",'Remplissage - Sit. Expost'!$B$73,")")</f>
        <v>Nombre annuel de tournées (Catégorie 6)</v>
      </c>
      <c r="E1568" t="str">
        <f>_xlfn.CONCAT("ELUTourneeNb",RIGHT(LEFT(C1568,LEN(C1568)-1),1))</f>
        <v>ELUTourneeNb6</v>
      </c>
      <c r="F1568" t="s">
        <v>17</v>
      </c>
      <c r="G1568">
        <f t="shared" si="375"/>
        <v>0</v>
      </c>
      <c r="J1568" t="s">
        <v>145</v>
      </c>
      <c r="K1568">
        <v>100</v>
      </c>
      <c r="M1568" t="s">
        <v>269</v>
      </c>
    </row>
    <row r="1569" spans="1:13" outlineLevel="1" x14ac:dyDescent="0.25">
      <c r="A1569" t="s">
        <v>266</v>
      </c>
      <c r="B1569" t="s">
        <v>392</v>
      </c>
      <c r="C1569" t="str">
        <f>_xlfn.CONCAT("Taux de chargement moyen des véhicules pour les tournées depuis le ou les ELU"," (",'Remplissage - Sit. Expost'!$B$83,")")</f>
        <v>Taux de chargement moyen des véhicules pour les tournées depuis le ou les ELU (Catégorie 7)</v>
      </c>
      <c r="E1569" t="str">
        <f>_xlfn.CONCAT("ELUTourneeTC",RIGHT(LEFT(C1569,LEN(C1569)-1),1))</f>
        <v>ELUTourneeTC7</v>
      </c>
      <c r="F1569" t="s">
        <v>17</v>
      </c>
      <c r="G1569">
        <f t="shared" si="375"/>
        <v>0</v>
      </c>
      <c r="H1569" s="18"/>
      <c r="J1569" t="s">
        <v>70</v>
      </c>
      <c r="K1569" s="7">
        <v>0.8</v>
      </c>
      <c r="M1569" t="s">
        <v>269</v>
      </c>
    </row>
    <row r="1570" spans="1:13" outlineLevel="1" x14ac:dyDescent="0.25">
      <c r="A1570" t="s">
        <v>266</v>
      </c>
      <c r="B1570" t="s">
        <v>392</v>
      </c>
      <c r="C1570" t="str">
        <f>_xlfn.CONCAT("Distance moyenne d'une tournée"," (",'Remplissage - Sit. Expost'!$B$83,")")</f>
        <v>Distance moyenne d'une tournée (Catégorie 7)</v>
      </c>
      <c r="E1570" t="str">
        <f>_xlfn.CONCAT("ELUTourneeDist",RIGHT(LEFT(C1570,LEN(C1570)-1),1))</f>
        <v>ELUTourneeDist7</v>
      </c>
      <c r="F1570" t="s">
        <v>17</v>
      </c>
      <c r="G1570">
        <f t="shared" si="375"/>
        <v>0</v>
      </c>
      <c r="J1570" t="s">
        <v>88</v>
      </c>
      <c r="K1570">
        <v>50</v>
      </c>
      <c r="M1570" t="s">
        <v>269</v>
      </c>
    </row>
    <row r="1571" spans="1:13" outlineLevel="1" x14ac:dyDescent="0.25">
      <c r="A1571" t="s">
        <v>266</v>
      </c>
      <c r="B1571" t="s">
        <v>392</v>
      </c>
      <c r="C1571" t="str">
        <f>_xlfn.CONCAT("Nombre annuel de tournées"," (",'Remplissage - Sit. Expost'!$B$83,")")</f>
        <v>Nombre annuel de tournées (Catégorie 7)</v>
      </c>
      <c r="E1571" t="str">
        <f>_xlfn.CONCAT("ELUTourneeNb",RIGHT(LEFT(C1571,LEN(C1571)-1),1))</f>
        <v>ELUTourneeNb7</v>
      </c>
      <c r="F1571" t="s">
        <v>17</v>
      </c>
      <c r="G1571">
        <f t="shared" si="375"/>
        <v>0</v>
      </c>
      <c r="J1571" t="s">
        <v>145</v>
      </c>
      <c r="K1571">
        <v>100</v>
      </c>
      <c r="M1571" t="s">
        <v>269</v>
      </c>
    </row>
    <row r="1572" spans="1:13" outlineLevel="1" x14ac:dyDescent="0.25">
      <c r="A1572" t="s">
        <v>266</v>
      </c>
      <c r="B1572" t="s">
        <v>393</v>
      </c>
      <c r="C1572" t="str">
        <f>_xlfn.CONCAT("Taux de chargement moyen des véhicules pour les tournées depuis le ou les ELU"," (",'Remplissage - Sit. Expost'!$B$93,")")</f>
        <v>Taux de chargement moyen des véhicules pour les tournées depuis le ou les ELU (Catégorie 8)</v>
      </c>
      <c r="E1572" t="str">
        <f>_xlfn.CONCAT("ELUTourneeTC",RIGHT(LEFT(C1572,LEN(C1572)-1),1))</f>
        <v>ELUTourneeTC8</v>
      </c>
      <c r="F1572" t="s">
        <v>17</v>
      </c>
      <c r="G1572">
        <f t="shared" si="375"/>
        <v>0</v>
      </c>
      <c r="H1572" s="18"/>
      <c r="J1572" t="s">
        <v>70</v>
      </c>
      <c r="K1572" s="7">
        <v>0.8</v>
      </c>
      <c r="M1572" t="s">
        <v>269</v>
      </c>
    </row>
    <row r="1573" spans="1:13" outlineLevel="1" x14ac:dyDescent="0.25">
      <c r="A1573" t="s">
        <v>266</v>
      </c>
      <c r="B1573" t="s">
        <v>393</v>
      </c>
      <c r="C1573" t="str">
        <f>_xlfn.CONCAT("Distance moyenne d'une tournée"," (",'Remplissage - Sit. Expost'!$B$93,")")</f>
        <v>Distance moyenne d'une tournée (Catégorie 8)</v>
      </c>
      <c r="E1573" t="str">
        <f>_xlfn.CONCAT("ELUTourneeDist",RIGHT(LEFT(C1573,LEN(C1573)-1),1))</f>
        <v>ELUTourneeDist8</v>
      </c>
      <c r="F1573" t="s">
        <v>17</v>
      </c>
      <c r="G1573">
        <f t="shared" si="375"/>
        <v>0</v>
      </c>
      <c r="J1573" t="s">
        <v>88</v>
      </c>
      <c r="K1573">
        <v>50</v>
      </c>
      <c r="M1573" t="s">
        <v>269</v>
      </c>
    </row>
    <row r="1574" spans="1:13" outlineLevel="1" x14ac:dyDescent="0.25">
      <c r="A1574" t="s">
        <v>266</v>
      </c>
      <c r="B1574" t="s">
        <v>393</v>
      </c>
      <c r="C1574" t="str">
        <f>_xlfn.CONCAT("Nombre annuel de tournées"," (",'Remplissage - Sit. Expost'!$B$93,")")</f>
        <v>Nombre annuel de tournées (Catégorie 8)</v>
      </c>
      <c r="E1574" t="str">
        <f>_xlfn.CONCAT("ELUTourneeNb",RIGHT(LEFT(C1574,LEN(C1574)-1),1))</f>
        <v>ELUTourneeNb8</v>
      </c>
      <c r="F1574" t="s">
        <v>17</v>
      </c>
      <c r="G1574">
        <f t="shared" si="375"/>
        <v>0</v>
      </c>
      <c r="J1574" t="s">
        <v>145</v>
      </c>
      <c r="K1574">
        <v>100</v>
      </c>
      <c r="M1574" t="s">
        <v>269</v>
      </c>
    </row>
    <row r="1575" spans="1:13" outlineLevel="1" x14ac:dyDescent="0.25">
      <c r="A1575" t="s">
        <v>266</v>
      </c>
      <c r="B1575" t="s">
        <v>394</v>
      </c>
      <c r="C1575" t="str">
        <f>_xlfn.CONCAT("Taux de chargement moyen des véhicules pour les tournées depuis le ou les ELU"," (",'Remplissage - Sit. Expost'!$B$103,")")</f>
        <v>Taux de chargement moyen des véhicules pour les tournées depuis le ou les ELU (Catégorie 9)</v>
      </c>
      <c r="E1575" t="str">
        <f>_xlfn.CONCAT("ELUTourneeTC",RIGHT(LEFT(C1575,LEN(C1575)-1),1))</f>
        <v>ELUTourneeTC9</v>
      </c>
      <c r="F1575" t="s">
        <v>17</v>
      </c>
      <c r="G1575">
        <f t="shared" si="375"/>
        <v>0</v>
      </c>
      <c r="H1575" s="18"/>
      <c r="J1575" t="s">
        <v>70</v>
      </c>
      <c r="K1575" s="7">
        <v>0.8</v>
      </c>
      <c r="M1575" t="s">
        <v>269</v>
      </c>
    </row>
    <row r="1576" spans="1:13" outlineLevel="1" x14ac:dyDescent="0.25">
      <c r="A1576" t="s">
        <v>266</v>
      </c>
      <c r="B1576" t="s">
        <v>394</v>
      </c>
      <c r="C1576" t="str">
        <f>_xlfn.CONCAT("Distance moyenne d'une tournée"," (",'Remplissage - Sit. Expost'!$B$103,")")</f>
        <v>Distance moyenne d'une tournée (Catégorie 9)</v>
      </c>
      <c r="E1576" t="str">
        <f>_xlfn.CONCAT("ELUTourneeDist",RIGHT(LEFT(C1576,LEN(C1576)-1),1))</f>
        <v>ELUTourneeDist9</v>
      </c>
      <c r="F1576" t="s">
        <v>17</v>
      </c>
      <c r="G1576">
        <f t="shared" si="375"/>
        <v>0</v>
      </c>
      <c r="J1576" t="s">
        <v>88</v>
      </c>
      <c r="K1576">
        <v>50</v>
      </c>
      <c r="M1576" t="s">
        <v>269</v>
      </c>
    </row>
    <row r="1577" spans="1:13" outlineLevel="1" x14ac:dyDescent="0.25">
      <c r="A1577" t="s">
        <v>266</v>
      </c>
      <c r="B1577" t="s">
        <v>394</v>
      </c>
      <c r="C1577" t="str">
        <f>_xlfn.CONCAT("Nombre annuel de tournées"," (",'Remplissage - Sit. Expost'!$B$103,")")</f>
        <v>Nombre annuel de tournées (Catégorie 9)</v>
      </c>
      <c r="E1577" t="str">
        <f>_xlfn.CONCAT("ELUTourneeNb",RIGHT(LEFT(C1577,LEN(C1577)-1),1))</f>
        <v>ELUTourneeNb9</v>
      </c>
      <c r="F1577" t="s">
        <v>17</v>
      </c>
      <c r="G1577">
        <f t="shared" si="375"/>
        <v>0</v>
      </c>
      <c r="J1577" t="s">
        <v>145</v>
      </c>
      <c r="K1577">
        <v>100</v>
      </c>
      <c r="M1577" t="s">
        <v>269</v>
      </c>
    </row>
    <row r="1578" spans="1:13" outlineLevel="1" x14ac:dyDescent="0.25">
      <c r="A1578" t="s">
        <v>266</v>
      </c>
      <c r="B1578" t="s">
        <v>395</v>
      </c>
      <c r="C1578" t="str">
        <f>_xlfn.CONCAT("Taux de chargement moyen des véhicules pour les tournées depuis le ou les ELU"," (",'Remplissage - Sit. Expost'!$B$113,")")</f>
        <v>Taux de chargement moyen des véhicules pour les tournées depuis le ou les ELU (Catégorie 10)</v>
      </c>
      <c r="E1578" t="str">
        <f>_xlfn.CONCAT("ELUTourneeTC",RIGHT(LEFT(C1578,LEN(C1578)-1),2))</f>
        <v>ELUTourneeTC10</v>
      </c>
      <c r="F1578" t="s">
        <v>17</v>
      </c>
      <c r="G1578">
        <f t="shared" si="375"/>
        <v>0</v>
      </c>
      <c r="H1578" s="18"/>
      <c r="J1578" t="s">
        <v>70</v>
      </c>
      <c r="K1578" s="7">
        <v>0.8</v>
      </c>
      <c r="M1578" t="s">
        <v>269</v>
      </c>
    </row>
    <row r="1579" spans="1:13" outlineLevel="1" x14ac:dyDescent="0.25">
      <c r="A1579" t="s">
        <v>266</v>
      </c>
      <c r="B1579" t="s">
        <v>395</v>
      </c>
      <c r="C1579" t="str">
        <f>_xlfn.CONCAT("Distance moyenne d'une tournée"," (",'Remplissage - Sit. Expost'!$B$113,")")</f>
        <v>Distance moyenne d'une tournée (Catégorie 10)</v>
      </c>
      <c r="E1579" t="str">
        <f>_xlfn.CONCAT("ELUTourneeDist",RIGHT(LEFT(C1579,LEN(C1579)-1),2))</f>
        <v>ELUTourneeDist10</v>
      </c>
      <c r="F1579" t="s">
        <v>17</v>
      </c>
      <c r="G1579">
        <f t="shared" si="375"/>
        <v>0</v>
      </c>
      <c r="J1579" t="s">
        <v>88</v>
      </c>
      <c r="K1579">
        <v>50</v>
      </c>
      <c r="M1579" t="s">
        <v>269</v>
      </c>
    </row>
    <row r="1580" spans="1:13" outlineLevel="1" x14ac:dyDescent="0.25">
      <c r="A1580" t="s">
        <v>266</v>
      </c>
      <c r="B1580" t="s">
        <v>395</v>
      </c>
      <c r="C1580" t="str">
        <f>_xlfn.CONCAT("Nombre annuel de tournées"," (",'Remplissage - Sit. Expost'!$B$113,")")</f>
        <v>Nombre annuel de tournées (Catégorie 10)</v>
      </c>
      <c r="E1580" t="str">
        <f>_xlfn.CONCAT("ELUTourneeNb",RIGHT(LEFT(C1580,LEN(C1580)-1),2))</f>
        <v>ELUTourneeNb10</v>
      </c>
      <c r="F1580" t="s">
        <v>17</v>
      </c>
      <c r="G1580">
        <f t="shared" si="375"/>
        <v>0</v>
      </c>
      <c r="J1580" t="s">
        <v>145</v>
      </c>
      <c r="K1580">
        <v>100</v>
      </c>
      <c r="M1580" t="s">
        <v>269</v>
      </c>
    </row>
    <row r="1581" spans="1:13" outlineLevel="1" x14ac:dyDescent="0.25">
      <c r="A1581" t="s">
        <v>266</v>
      </c>
      <c r="B1581" t="s">
        <v>396</v>
      </c>
      <c r="C1581" t="str">
        <f>_xlfn.CONCAT("Taux de chargement moyen des véhicules pour les tournées depuis le ou les ELU"," (",'Remplissage - Sit. Expost'!$B$123,")")</f>
        <v>Taux de chargement moyen des véhicules pour les tournées depuis le ou les ELU (Catégorie 11)</v>
      </c>
      <c r="E1581" t="str">
        <f>_xlfn.CONCAT("ELUTourneeTC",RIGHT(LEFT(C1581,LEN(C1581)-1),2))</f>
        <v>ELUTourneeTC11</v>
      </c>
      <c r="F1581" t="s">
        <v>17</v>
      </c>
      <c r="G1581">
        <f t="shared" si="375"/>
        <v>0</v>
      </c>
      <c r="H1581" s="18"/>
      <c r="J1581" t="s">
        <v>70</v>
      </c>
      <c r="K1581" s="7">
        <v>0.6</v>
      </c>
      <c r="M1581" t="s">
        <v>269</v>
      </c>
    </row>
    <row r="1582" spans="1:13" outlineLevel="1" x14ac:dyDescent="0.25">
      <c r="A1582" t="s">
        <v>266</v>
      </c>
      <c r="B1582" t="s">
        <v>396</v>
      </c>
      <c r="C1582" t="str">
        <f>_xlfn.CONCAT("Distance moyenne d'une tournée"," (",'Remplissage - Sit. Expost'!$B$123,")")</f>
        <v>Distance moyenne d'une tournée (Catégorie 11)</v>
      </c>
      <c r="E1582" t="str">
        <f>_xlfn.CONCAT("ELUTourneeDist",RIGHT(LEFT(C1582,LEN(C1582)-1),2))</f>
        <v>ELUTourneeDist11</v>
      </c>
      <c r="F1582" t="s">
        <v>17</v>
      </c>
      <c r="G1582">
        <f t="shared" si="375"/>
        <v>0</v>
      </c>
      <c r="J1582" t="s">
        <v>88</v>
      </c>
      <c r="K1582">
        <v>15</v>
      </c>
      <c r="M1582" t="s">
        <v>269</v>
      </c>
    </row>
    <row r="1583" spans="1:13" outlineLevel="1" x14ac:dyDescent="0.25">
      <c r="A1583" t="s">
        <v>266</v>
      </c>
      <c r="B1583" t="s">
        <v>396</v>
      </c>
      <c r="C1583" t="str">
        <f>_xlfn.CONCAT("Nombre annuel de tournées"," (",'Remplissage - Sit. Expost'!$B$123,")")</f>
        <v>Nombre annuel de tournées (Catégorie 11)</v>
      </c>
      <c r="E1583" t="str">
        <f>_xlfn.CONCAT("ELUTourneeNb",RIGHT(LEFT(C1583,LEN(C1583)-1),2))</f>
        <v>ELUTourneeNb11</v>
      </c>
      <c r="F1583" t="s">
        <v>17</v>
      </c>
      <c r="G1583">
        <f t="shared" si="375"/>
        <v>0</v>
      </c>
      <c r="J1583" t="s">
        <v>145</v>
      </c>
      <c r="K1583">
        <v>50</v>
      </c>
      <c r="M1583" t="s">
        <v>269</v>
      </c>
    </row>
    <row r="1584" spans="1:13" outlineLevel="1" x14ac:dyDescent="0.25">
      <c r="A1584" t="s">
        <v>266</v>
      </c>
      <c r="B1584" t="s">
        <v>397</v>
      </c>
      <c r="C1584" t="str">
        <f>_xlfn.CONCAT("Taux de chargement moyen des véhicules pour les tournées depuis le ou les ELU"," (",'Remplissage - Sit. Expost'!$B$133,")")</f>
        <v>Taux de chargement moyen des véhicules pour les tournées depuis le ou les ELU (Catégorie 12)</v>
      </c>
      <c r="E1584" t="str">
        <f t="shared" ref="E1584" si="376">_xlfn.CONCAT("ELUTourneeTC",RIGHT(LEFT(C1584,LEN(C1584)-1),2))</f>
        <v>ELUTourneeTC12</v>
      </c>
      <c r="F1584" t="s">
        <v>17</v>
      </c>
      <c r="G1584">
        <f t="shared" si="375"/>
        <v>0</v>
      </c>
      <c r="H1584" s="18"/>
      <c r="J1584" t="s">
        <v>70</v>
      </c>
      <c r="K1584" s="7">
        <v>0.6</v>
      </c>
      <c r="M1584" t="s">
        <v>269</v>
      </c>
    </row>
    <row r="1585" spans="1:13" outlineLevel="1" x14ac:dyDescent="0.25">
      <c r="A1585" t="s">
        <v>266</v>
      </c>
      <c r="B1585" t="s">
        <v>397</v>
      </c>
      <c r="C1585" t="str">
        <f>_xlfn.CONCAT("Distance moyenne d'une tournée"," (",'Remplissage - Sit. Expost'!$B$133,")")</f>
        <v>Distance moyenne d'une tournée (Catégorie 12)</v>
      </c>
      <c r="E1585" t="str">
        <f t="shared" ref="E1585" si="377">_xlfn.CONCAT("ELUTourneeDist",RIGHT(LEFT(C1585,LEN(C1585)-1),2))</f>
        <v>ELUTourneeDist12</v>
      </c>
      <c r="F1585" t="s">
        <v>17</v>
      </c>
      <c r="G1585">
        <f t="shared" si="375"/>
        <v>0</v>
      </c>
      <c r="J1585" t="s">
        <v>88</v>
      </c>
      <c r="K1585">
        <v>15</v>
      </c>
      <c r="M1585" t="s">
        <v>269</v>
      </c>
    </row>
    <row r="1586" spans="1:13" outlineLevel="1" x14ac:dyDescent="0.25">
      <c r="A1586" t="s">
        <v>266</v>
      </c>
      <c r="B1586" t="s">
        <v>397</v>
      </c>
      <c r="C1586" t="str">
        <f>_xlfn.CONCAT("Nombre annuel de tournées"," (",'Remplissage - Sit. Expost'!$B$133,")")</f>
        <v>Nombre annuel de tournées (Catégorie 12)</v>
      </c>
      <c r="E1586" t="str">
        <f t="shared" ref="E1586" si="378">_xlfn.CONCAT("ELUTourneeNb",RIGHT(LEFT(C1586,LEN(C1586)-1),2))</f>
        <v>ELUTourneeNb12</v>
      </c>
      <c r="F1586" t="s">
        <v>17</v>
      </c>
      <c r="G1586">
        <f t="shared" si="375"/>
        <v>0</v>
      </c>
      <c r="J1586" t="s">
        <v>145</v>
      </c>
      <c r="K1586">
        <v>50</v>
      </c>
      <c r="M1586" t="s">
        <v>269</v>
      </c>
    </row>
    <row r="1587" spans="1:13" outlineLevel="1" x14ac:dyDescent="0.25">
      <c r="A1587" t="s">
        <v>266</v>
      </c>
      <c r="B1587" t="s">
        <v>398</v>
      </c>
      <c r="C1587" t="str">
        <f>_xlfn.CONCAT("Taux de chargement moyen des véhicules pour les tournées depuis le ou les ELU"," (",'Remplissage - Sit. Expost'!$B$143,")")</f>
        <v>Taux de chargement moyen des véhicules pour les tournées depuis le ou les ELU (Catégorie 13)</v>
      </c>
      <c r="E1587" t="str">
        <f t="shared" ref="E1587" si="379">_xlfn.CONCAT("ELUTourneeTC",RIGHT(LEFT(C1587,LEN(C1587)-1),2))</f>
        <v>ELUTourneeTC13</v>
      </c>
      <c r="F1587" t="s">
        <v>17</v>
      </c>
      <c r="G1587">
        <f t="shared" si="375"/>
        <v>0</v>
      </c>
      <c r="H1587" s="18"/>
      <c r="J1587" t="s">
        <v>70</v>
      </c>
      <c r="K1587" s="7">
        <v>0.6</v>
      </c>
      <c r="M1587" t="s">
        <v>269</v>
      </c>
    </row>
    <row r="1588" spans="1:13" outlineLevel="1" x14ac:dyDescent="0.25">
      <c r="A1588" t="s">
        <v>266</v>
      </c>
      <c r="B1588" t="s">
        <v>398</v>
      </c>
      <c r="C1588" t="str">
        <f>_xlfn.CONCAT("Distance moyenne d'une tournée"," (",'Remplissage - Sit. Expost'!$B$143,")")</f>
        <v>Distance moyenne d'une tournée (Catégorie 13)</v>
      </c>
      <c r="E1588" t="str">
        <f t="shared" ref="E1588" si="380">_xlfn.CONCAT("ELUTourneeDist",RIGHT(LEFT(C1588,LEN(C1588)-1),2))</f>
        <v>ELUTourneeDist13</v>
      </c>
      <c r="F1588" t="s">
        <v>17</v>
      </c>
      <c r="G1588">
        <f t="shared" si="375"/>
        <v>0</v>
      </c>
      <c r="J1588" t="s">
        <v>88</v>
      </c>
      <c r="K1588">
        <v>15</v>
      </c>
      <c r="M1588" t="s">
        <v>269</v>
      </c>
    </row>
    <row r="1589" spans="1:13" outlineLevel="1" x14ac:dyDescent="0.25">
      <c r="A1589" t="s">
        <v>266</v>
      </c>
      <c r="B1589" t="s">
        <v>398</v>
      </c>
      <c r="C1589" t="str">
        <f>_xlfn.CONCAT("Nombre annuel de tournées"," (",'Remplissage - Sit. Expost'!$B$143,")")</f>
        <v>Nombre annuel de tournées (Catégorie 13)</v>
      </c>
      <c r="E1589" t="str">
        <f t="shared" ref="E1589" si="381">_xlfn.CONCAT("ELUTourneeNb",RIGHT(LEFT(C1589,LEN(C1589)-1),2))</f>
        <v>ELUTourneeNb13</v>
      </c>
      <c r="F1589" t="s">
        <v>17</v>
      </c>
      <c r="G1589">
        <f t="shared" si="375"/>
        <v>0</v>
      </c>
      <c r="J1589" t="s">
        <v>145</v>
      </c>
      <c r="K1589">
        <v>50</v>
      </c>
      <c r="M1589" t="s">
        <v>269</v>
      </c>
    </row>
    <row r="1590" spans="1:13" outlineLevel="1" x14ac:dyDescent="0.25">
      <c r="A1590" t="s">
        <v>266</v>
      </c>
      <c r="B1590" t="s">
        <v>399</v>
      </c>
      <c r="C1590" t="str">
        <f>_xlfn.CONCAT("Taux de chargement moyen des véhicules pour les tournées depuis le ou les ELU"," (",'Remplissage - Sit. Expost'!$B$153,")")</f>
        <v>Taux de chargement moyen des véhicules pour les tournées depuis le ou les ELU (Catégorie 14)</v>
      </c>
      <c r="E1590" t="str">
        <f t="shared" ref="E1590" si="382">_xlfn.CONCAT("ELUTourneeTC",RIGHT(LEFT(C1590,LEN(C1590)-1),2))</f>
        <v>ELUTourneeTC14</v>
      </c>
      <c r="F1590" t="s">
        <v>17</v>
      </c>
      <c r="G1590">
        <f t="shared" si="375"/>
        <v>0</v>
      </c>
      <c r="H1590" s="18"/>
      <c r="J1590" t="s">
        <v>70</v>
      </c>
      <c r="K1590" s="7">
        <v>0.6</v>
      </c>
      <c r="M1590" t="s">
        <v>269</v>
      </c>
    </row>
    <row r="1591" spans="1:13" outlineLevel="1" x14ac:dyDescent="0.25">
      <c r="A1591" t="s">
        <v>266</v>
      </c>
      <c r="B1591" t="s">
        <v>399</v>
      </c>
      <c r="C1591" t="str">
        <f>_xlfn.CONCAT("Distance moyenne d'une tournée"," (",'Remplissage - Sit. Expost'!$B$153,")")</f>
        <v>Distance moyenne d'une tournée (Catégorie 14)</v>
      </c>
      <c r="E1591" t="str">
        <f t="shared" ref="E1591" si="383">_xlfn.CONCAT("ELUTourneeDist",RIGHT(LEFT(C1591,LEN(C1591)-1),2))</f>
        <v>ELUTourneeDist14</v>
      </c>
      <c r="F1591" t="s">
        <v>17</v>
      </c>
      <c r="G1591">
        <f t="shared" si="375"/>
        <v>0</v>
      </c>
      <c r="J1591" t="s">
        <v>88</v>
      </c>
      <c r="K1591">
        <v>15</v>
      </c>
      <c r="M1591" t="s">
        <v>269</v>
      </c>
    </row>
    <row r="1592" spans="1:13" outlineLevel="1" x14ac:dyDescent="0.25">
      <c r="A1592" t="s">
        <v>266</v>
      </c>
      <c r="B1592" t="s">
        <v>399</v>
      </c>
      <c r="C1592" t="str">
        <f>_xlfn.CONCAT("Nombre annuel de tournées"," (",'Remplissage - Sit. Expost'!$B$153,")")</f>
        <v>Nombre annuel de tournées (Catégorie 14)</v>
      </c>
      <c r="E1592" t="str">
        <f t="shared" ref="E1592" si="384">_xlfn.CONCAT("ELUTourneeNb",RIGHT(LEFT(C1592,LEN(C1592)-1),2))</f>
        <v>ELUTourneeNb14</v>
      </c>
      <c r="F1592" t="s">
        <v>17</v>
      </c>
      <c r="G1592">
        <f t="shared" si="375"/>
        <v>0</v>
      </c>
      <c r="J1592" t="s">
        <v>145</v>
      </c>
      <c r="K1592">
        <v>50</v>
      </c>
      <c r="M1592" t="s">
        <v>269</v>
      </c>
    </row>
    <row r="1593" spans="1:13" outlineLevel="1" x14ac:dyDescent="0.25">
      <c r="A1593" t="s">
        <v>266</v>
      </c>
      <c r="B1593" t="s">
        <v>400</v>
      </c>
      <c r="C1593" t="str">
        <f>_xlfn.CONCAT("Taux de chargement moyen des véhicules pour les tournées depuis le ou les ELU"," (",'Remplissage - Sit. Expost'!$B$163,")")</f>
        <v>Taux de chargement moyen des véhicules pour les tournées depuis le ou les ELU (Catégorie 15)</v>
      </c>
      <c r="E1593" t="str">
        <f t="shared" ref="E1593" si="385">_xlfn.CONCAT("ELUTourneeTC",RIGHT(LEFT(C1593,LEN(C1593)-1),2))</f>
        <v>ELUTourneeTC15</v>
      </c>
      <c r="F1593" t="s">
        <v>17</v>
      </c>
      <c r="G1593">
        <f t="shared" si="375"/>
        <v>0</v>
      </c>
      <c r="H1593" s="18"/>
      <c r="J1593" t="s">
        <v>70</v>
      </c>
      <c r="K1593" s="7">
        <v>0.6</v>
      </c>
      <c r="M1593" t="s">
        <v>269</v>
      </c>
    </row>
    <row r="1594" spans="1:13" outlineLevel="1" x14ac:dyDescent="0.25">
      <c r="A1594" t="s">
        <v>266</v>
      </c>
      <c r="B1594" t="s">
        <v>400</v>
      </c>
      <c r="C1594" t="str">
        <f>_xlfn.CONCAT("Distance moyenne d'une tournée"," (",'Remplissage - Sit. Expost'!$B$163,")")</f>
        <v>Distance moyenne d'une tournée (Catégorie 15)</v>
      </c>
      <c r="E1594" t="str">
        <f t="shared" ref="E1594" si="386">_xlfn.CONCAT("ELUTourneeDist",RIGHT(LEFT(C1594,LEN(C1594)-1),2))</f>
        <v>ELUTourneeDist15</v>
      </c>
      <c r="F1594" t="s">
        <v>17</v>
      </c>
      <c r="G1594">
        <f t="shared" si="375"/>
        <v>0</v>
      </c>
      <c r="J1594" t="s">
        <v>88</v>
      </c>
      <c r="K1594">
        <v>15</v>
      </c>
      <c r="M1594" t="s">
        <v>269</v>
      </c>
    </row>
    <row r="1595" spans="1:13" outlineLevel="1" x14ac:dyDescent="0.25">
      <c r="A1595" t="s">
        <v>266</v>
      </c>
      <c r="B1595" t="s">
        <v>400</v>
      </c>
      <c r="C1595" t="str">
        <f>_xlfn.CONCAT("Nombre annuel de tournées"," (",'Remplissage - Sit. Expost'!$B$163,")")</f>
        <v>Nombre annuel de tournées (Catégorie 15)</v>
      </c>
      <c r="E1595" t="str">
        <f t="shared" ref="E1595" si="387">_xlfn.CONCAT("ELUTourneeNb",RIGHT(LEFT(C1595,LEN(C1595)-1),2))</f>
        <v>ELUTourneeNb15</v>
      </c>
      <c r="F1595" t="s">
        <v>17</v>
      </c>
      <c r="G1595">
        <f t="shared" si="375"/>
        <v>0</v>
      </c>
      <c r="J1595" t="s">
        <v>145</v>
      </c>
      <c r="K1595">
        <v>50</v>
      </c>
      <c r="M1595" t="s">
        <v>269</v>
      </c>
    </row>
    <row r="1596" spans="1:13" outlineLevel="1" x14ac:dyDescent="0.25">
      <c r="A1596" t="s">
        <v>266</v>
      </c>
      <c r="B1596" t="s">
        <v>401</v>
      </c>
      <c r="C1596" t="str">
        <f>_xlfn.CONCAT("Taux de chargement moyen des véhicules pour les tournées depuis le ou les ELU"," (",'Remplissage - Sit. Expost'!$B$173,")")</f>
        <v>Taux de chargement moyen des véhicules pour les tournées depuis le ou les ELU (Catégorie 16)</v>
      </c>
      <c r="E1596" t="str">
        <f t="shared" ref="E1596" si="388">_xlfn.CONCAT("ELUTourneeTC",RIGHT(LEFT(C1596,LEN(C1596)-1),2))</f>
        <v>ELUTourneeTC16</v>
      </c>
      <c r="F1596" t="s">
        <v>17</v>
      </c>
      <c r="G1596">
        <f t="shared" si="375"/>
        <v>0</v>
      </c>
      <c r="H1596" s="18"/>
      <c r="J1596" t="s">
        <v>70</v>
      </c>
      <c r="K1596" s="7">
        <v>0.6</v>
      </c>
      <c r="M1596" t="s">
        <v>269</v>
      </c>
    </row>
    <row r="1597" spans="1:13" outlineLevel="1" x14ac:dyDescent="0.25">
      <c r="A1597" t="s">
        <v>266</v>
      </c>
      <c r="B1597" t="s">
        <v>401</v>
      </c>
      <c r="C1597" t="str">
        <f>_xlfn.CONCAT("Distance moyenne d'une tournée"," (",'Remplissage - Sit. Expost'!$B$173,")")</f>
        <v>Distance moyenne d'une tournée (Catégorie 16)</v>
      </c>
      <c r="E1597" t="str">
        <f t="shared" ref="E1597" si="389">_xlfn.CONCAT("ELUTourneeDist",RIGHT(LEFT(C1597,LEN(C1597)-1),2))</f>
        <v>ELUTourneeDist16</v>
      </c>
      <c r="F1597" t="s">
        <v>17</v>
      </c>
      <c r="G1597">
        <f t="shared" si="375"/>
        <v>0</v>
      </c>
      <c r="J1597" t="s">
        <v>88</v>
      </c>
      <c r="K1597">
        <v>15</v>
      </c>
      <c r="M1597" t="s">
        <v>269</v>
      </c>
    </row>
    <row r="1598" spans="1:13" outlineLevel="1" x14ac:dyDescent="0.25">
      <c r="A1598" t="s">
        <v>266</v>
      </c>
      <c r="B1598" t="s">
        <v>401</v>
      </c>
      <c r="C1598" t="str">
        <f>_xlfn.CONCAT("Nombre annuel de tournées"," (",'Remplissage - Sit. Expost'!$B$173,")")</f>
        <v>Nombre annuel de tournées (Catégorie 16)</v>
      </c>
      <c r="E1598" t="str">
        <f t="shared" ref="E1598" si="390">_xlfn.CONCAT("ELUTourneeNb",RIGHT(LEFT(C1598,LEN(C1598)-1),2))</f>
        <v>ELUTourneeNb16</v>
      </c>
      <c r="F1598" t="s">
        <v>17</v>
      </c>
      <c r="G1598">
        <f t="shared" si="375"/>
        <v>0</v>
      </c>
      <c r="J1598" t="s">
        <v>145</v>
      </c>
      <c r="K1598">
        <v>50</v>
      </c>
      <c r="M1598" t="s">
        <v>269</v>
      </c>
    </row>
    <row r="1599" spans="1:13" outlineLevel="1" x14ac:dyDescent="0.25">
      <c r="A1599" t="s">
        <v>266</v>
      </c>
      <c r="B1599" t="s">
        <v>402</v>
      </c>
      <c r="C1599" t="str">
        <f>_xlfn.CONCAT("Taux de chargement moyen des véhicules pour les tournées depuis le ou les ELU"," (",'Remplissage - Sit. Expost'!$B$183,")")</f>
        <v>Taux de chargement moyen des véhicules pour les tournées depuis le ou les ELU (Catégorie 17)</v>
      </c>
      <c r="E1599" t="str">
        <f t="shared" ref="E1599" si="391">_xlfn.CONCAT("ELUTourneeTC",RIGHT(LEFT(C1599,LEN(C1599)-1),2))</f>
        <v>ELUTourneeTC17</v>
      </c>
      <c r="F1599" t="s">
        <v>17</v>
      </c>
      <c r="G1599">
        <f t="shared" si="375"/>
        <v>0</v>
      </c>
      <c r="H1599" s="18"/>
      <c r="J1599" t="s">
        <v>70</v>
      </c>
      <c r="K1599" s="7">
        <v>0.6</v>
      </c>
      <c r="M1599" t="s">
        <v>269</v>
      </c>
    </row>
    <row r="1600" spans="1:13" outlineLevel="1" x14ac:dyDescent="0.25">
      <c r="A1600" t="s">
        <v>266</v>
      </c>
      <c r="B1600" t="s">
        <v>402</v>
      </c>
      <c r="C1600" t="str">
        <f>_xlfn.CONCAT("Distance moyenne d'une tournée"," (",'Remplissage - Sit. Expost'!$B$183,")")</f>
        <v>Distance moyenne d'une tournée (Catégorie 17)</v>
      </c>
      <c r="E1600" t="str">
        <f t="shared" ref="E1600" si="392">_xlfn.CONCAT("ELUTourneeDist",RIGHT(LEFT(C1600,LEN(C1600)-1),2))</f>
        <v>ELUTourneeDist17</v>
      </c>
      <c r="F1600" t="s">
        <v>17</v>
      </c>
      <c r="G1600">
        <f t="shared" si="375"/>
        <v>0</v>
      </c>
      <c r="J1600" t="s">
        <v>88</v>
      </c>
      <c r="K1600">
        <v>15</v>
      </c>
      <c r="M1600" t="s">
        <v>269</v>
      </c>
    </row>
    <row r="1601" spans="1:13" outlineLevel="1" x14ac:dyDescent="0.25">
      <c r="A1601" t="s">
        <v>266</v>
      </c>
      <c r="B1601" t="s">
        <v>402</v>
      </c>
      <c r="C1601" t="str">
        <f>_xlfn.CONCAT("Nombre annuel de tournées"," (",'Remplissage - Sit. Expost'!$B$183,")")</f>
        <v>Nombre annuel de tournées (Catégorie 17)</v>
      </c>
      <c r="E1601" t="str">
        <f t="shared" ref="E1601" si="393">_xlfn.CONCAT("ELUTourneeNb",RIGHT(LEFT(C1601,LEN(C1601)-1),2))</f>
        <v>ELUTourneeNb17</v>
      </c>
      <c r="F1601" t="s">
        <v>17</v>
      </c>
      <c r="G1601">
        <f t="shared" si="375"/>
        <v>0</v>
      </c>
      <c r="J1601" t="s">
        <v>145</v>
      </c>
      <c r="K1601">
        <v>50</v>
      </c>
      <c r="M1601" t="s">
        <v>269</v>
      </c>
    </row>
    <row r="1602" spans="1:13" outlineLevel="1" x14ac:dyDescent="0.25">
      <c r="A1602" t="s">
        <v>266</v>
      </c>
      <c r="B1602" t="s">
        <v>403</v>
      </c>
      <c r="C1602" t="str">
        <f>_xlfn.CONCAT("Taux de chargement moyen des véhicules pour les tournées depuis le ou les ELU"," (",'Remplissage - Sit. Expost'!$B$193,")")</f>
        <v>Taux de chargement moyen des véhicules pour les tournées depuis le ou les ELU (Catégorie 18)</v>
      </c>
      <c r="E1602" t="str">
        <f t="shared" ref="E1602" si="394">_xlfn.CONCAT("ELUTourneeTC",RIGHT(LEFT(C1602,LEN(C1602)-1),2))</f>
        <v>ELUTourneeTC18</v>
      </c>
      <c r="F1602" t="s">
        <v>17</v>
      </c>
      <c r="G1602">
        <f t="shared" si="375"/>
        <v>0</v>
      </c>
      <c r="H1602" s="18"/>
      <c r="J1602" t="s">
        <v>70</v>
      </c>
      <c r="K1602" s="7">
        <v>0.6</v>
      </c>
      <c r="M1602" t="s">
        <v>269</v>
      </c>
    </row>
    <row r="1603" spans="1:13" outlineLevel="1" x14ac:dyDescent="0.25">
      <c r="A1603" t="s">
        <v>266</v>
      </c>
      <c r="B1603" t="s">
        <v>403</v>
      </c>
      <c r="C1603" t="str">
        <f>_xlfn.CONCAT("Distance moyenne d'une tournée"," (",'Remplissage - Sit. Expost'!$B$193,")")</f>
        <v>Distance moyenne d'une tournée (Catégorie 18)</v>
      </c>
      <c r="E1603" t="str">
        <f t="shared" ref="E1603" si="395">_xlfn.CONCAT("ELUTourneeDist",RIGHT(LEFT(C1603,LEN(C1603)-1),2))</f>
        <v>ELUTourneeDist18</v>
      </c>
      <c r="F1603" t="s">
        <v>17</v>
      </c>
      <c r="G1603">
        <f t="shared" si="375"/>
        <v>0</v>
      </c>
      <c r="J1603" t="s">
        <v>88</v>
      </c>
      <c r="K1603">
        <v>15</v>
      </c>
      <c r="M1603" t="s">
        <v>269</v>
      </c>
    </row>
    <row r="1604" spans="1:13" outlineLevel="1" x14ac:dyDescent="0.25">
      <c r="A1604" t="s">
        <v>266</v>
      </c>
      <c r="B1604" t="s">
        <v>403</v>
      </c>
      <c r="C1604" t="str">
        <f>_xlfn.CONCAT("Nombre annuel de tournées"," (",'Remplissage - Sit. Expost'!$B$193,")")</f>
        <v>Nombre annuel de tournées (Catégorie 18)</v>
      </c>
      <c r="E1604" t="str">
        <f t="shared" ref="E1604" si="396">_xlfn.CONCAT("ELUTourneeNb",RIGHT(LEFT(C1604,LEN(C1604)-1),2))</f>
        <v>ELUTourneeNb18</v>
      </c>
      <c r="F1604" t="s">
        <v>17</v>
      </c>
      <c r="G1604">
        <f t="shared" si="375"/>
        <v>0</v>
      </c>
      <c r="J1604" t="s">
        <v>145</v>
      </c>
      <c r="K1604">
        <v>50</v>
      </c>
      <c r="M1604" t="s">
        <v>269</v>
      </c>
    </row>
    <row r="1605" spans="1:13" outlineLevel="1" x14ac:dyDescent="0.25">
      <c r="A1605" t="s">
        <v>266</v>
      </c>
      <c r="B1605" t="s">
        <v>404</v>
      </c>
      <c r="C1605" t="str">
        <f>_xlfn.CONCAT("Taux de chargement moyen des véhicules pour les tournées depuis le ou les ELU"," (",'Remplissage - Sit. Expost'!$B$203,")")</f>
        <v>Taux de chargement moyen des véhicules pour les tournées depuis le ou les ELU (Catégorie 19)</v>
      </c>
      <c r="E1605" t="str">
        <f t="shared" ref="E1605" si="397">_xlfn.CONCAT("ELUTourneeTC",RIGHT(LEFT(C1605,LEN(C1605)-1),2))</f>
        <v>ELUTourneeTC19</v>
      </c>
      <c r="F1605" t="s">
        <v>17</v>
      </c>
      <c r="G1605">
        <f t="shared" si="375"/>
        <v>0</v>
      </c>
      <c r="H1605" s="18"/>
      <c r="J1605" t="s">
        <v>70</v>
      </c>
      <c r="K1605" s="7">
        <v>0.6</v>
      </c>
      <c r="M1605" t="s">
        <v>269</v>
      </c>
    </row>
    <row r="1606" spans="1:13" outlineLevel="1" x14ac:dyDescent="0.25">
      <c r="A1606" t="s">
        <v>266</v>
      </c>
      <c r="B1606" t="s">
        <v>404</v>
      </c>
      <c r="C1606" t="str">
        <f>_xlfn.CONCAT("Distance moyenne d'une tournée"," (",'Remplissage - Sit. Expost'!$B$203,")")</f>
        <v>Distance moyenne d'une tournée (Catégorie 19)</v>
      </c>
      <c r="E1606" t="str">
        <f t="shared" ref="E1606" si="398">_xlfn.CONCAT("ELUTourneeDist",RIGHT(LEFT(C1606,LEN(C1606)-1),2))</f>
        <v>ELUTourneeDist19</v>
      </c>
      <c r="F1606" t="s">
        <v>17</v>
      </c>
      <c r="G1606">
        <f t="shared" si="375"/>
        <v>0</v>
      </c>
      <c r="J1606" t="s">
        <v>88</v>
      </c>
      <c r="K1606">
        <v>15</v>
      </c>
      <c r="M1606" t="s">
        <v>269</v>
      </c>
    </row>
    <row r="1607" spans="1:13" outlineLevel="1" x14ac:dyDescent="0.25">
      <c r="A1607" t="s">
        <v>266</v>
      </c>
      <c r="B1607" t="s">
        <v>404</v>
      </c>
      <c r="C1607" t="str">
        <f>_xlfn.CONCAT("Nombre annuel de tournées"," (",'Remplissage - Sit. Expost'!$B$203,")")</f>
        <v>Nombre annuel de tournées (Catégorie 19)</v>
      </c>
      <c r="E1607" t="str">
        <f t="shared" ref="E1607" si="399">_xlfn.CONCAT("ELUTourneeNb",RIGHT(LEFT(C1607,LEN(C1607)-1),2))</f>
        <v>ELUTourneeNb19</v>
      </c>
      <c r="F1607" t="s">
        <v>17</v>
      </c>
      <c r="G1607">
        <f t="shared" si="375"/>
        <v>0</v>
      </c>
      <c r="J1607" t="s">
        <v>145</v>
      </c>
      <c r="K1607">
        <v>50</v>
      </c>
      <c r="M1607" t="s">
        <v>269</v>
      </c>
    </row>
    <row r="1608" spans="1:13" outlineLevel="1" x14ac:dyDescent="0.25">
      <c r="A1608" t="s">
        <v>266</v>
      </c>
      <c r="B1608" t="s">
        <v>405</v>
      </c>
      <c r="C1608" t="str">
        <f>_xlfn.CONCAT("Taux de chargement moyen des véhicules pour les tournées depuis le ou les ELU"," (",'Remplissage - Sit. Expost'!$B$213,")")</f>
        <v>Taux de chargement moyen des véhicules pour les tournées depuis le ou les ELU (Catégorie 20)</v>
      </c>
      <c r="E1608" t="str">
        <f t="shared" ref="E1608" si="400">_xlfn.CONCAT("ELUTourneeTC",RIGHT(LEFT(C1608,LEN(C1608)-1),2))</f>
        <v>ELUTourneeTC20</v>
      </c>
      <c r="F1608" t="s">
        <v>17</v>
      </c>
      <c r="G1608">
        <f t="shared" si="375"/>
        <v>0</v>
      </c>
      <c r="H1608" s="18"/>
      <c r="J1608" t="s">
        <v>70</v>
      </c>
      <c r="K1608" s="7">
        <v>0.6</v>
      </c>
      <c r="M1608" t="s">
        <v>269</v>
      </c>
    </row>
    <row r="1609" spans="1:13" outlineLevel="1" x14ac:dyDescent="0.25">
      <c r="A1609" t="s">
        <v>266</v>
      </c>
      <c r="B1609" t="s">
        <v>405</v>
      </c>
      <c r="C1609" t="str">
        <f>_xlfn.CONCAT("Distance moyenne d'une tournée"," (",'Remplissage - Sit. Expost'!$B$213,")")</f>
        <v>Distance moyenne d'une tournée (Catégorie 20)</v>
      </c>
      <c r="E1609" t="str">
        <f t="shared" ref="E1609" si="401">_xlfn.CONCAT("ELUTourneeDist",RIGHT(LEFT(C1609,LEN(C1609)-1),2))</f>
        <v>ELUTourneeDist20</v>
      </c>
      <c r="F1609" t="s">
        <v>17</v>
      </c>
      <c r="G1609">
        <f t="shared" si="375"/>
        <v>0</v>
      </c>
      <c r="J1609" t="s">
        <v>88</v>
      </c>
      <c r="K1609">
        <v>15</v>
      </c>
      <c r="M1609" t="s">
        <v>269</v>
      </c>
    </row>
    <row r="1610" spans="1:13" outlineLevel="1" x14ac:dyDescent="0.25">
      <c r="A1610" t="s">
        <v>266</v>
      </c>
      <c r="B1610" t="s">
        <v>405</v>
      </c>
      <c r="C1610" t="str">
        <f>_xlfn.CONCAT("Nombre annuel de tournées"," (",'Remplissage - Sit. Expost'!$B$213,")")</f>
        <v>Nombre annuel de tournées (Catégorie 20)</v>
      </c>
      <c r="E1610" t="str">
        <f t="shared" ref="E1610" si="402">_xlfn.CONCAT("ELUTourneeNb",RIGHT(LEFT(C1610,LEN(C1610)-1),2))</f>
        <v>ELUTourneeNb20</v>
      </c>
      <c r="F1610" t="s">
        <v>17</v>
      </c>
      <c r="G1610">
        <f t="shared" si="375"/>
        <v>0</v>
      </c>
      <c r="J1610" t="s">
        <v>145</v>
      </c>
      <c r="K1610">
        <v>50</v>
      </c>
      <c r="M1610" t="s">
        <v>269</v>
      </c>
    </row>
    <row r="1611" spans="1:13" outlineLevel="1" x14ac:dyDescent="0.25">
      <c r="A1611" t="s">
        <v>266</v>
      </c>
      <c r="B1611" t="s">
        <v>406</v>
      </c>
      <c r="C1611" t="str">
        <f>_xlfn.CONCAT("Taux de chargement moyen des véhicules pour les tournées depuis le ou les ELU"," (",'Remplissage - Sit. Expost'!$B$223,")")</f>
        <v>Taux de chargement moyen des véhicules pour les tournées depuis le ou les ELU (Catégorie 21)</v>
      </c>
      <c r="E1611" t="str">
        <f t="shared" ref="E1611" si="403">_xlfn.CONCAT("ELUTourneeTC",RIGHT(LEFT(C1611,LEN(C1611)-1),2))</f>
        <v>ELUTourneeTC21</v>
      </c>
      <c r="F1611" t="s">
        <v>17</v>
      </c>
      <c r="G1611">
        <f t="shared" si="375"/>
        <v>0</v>
      </c>
      <c r="H1611" s="18"/>
      <c r="J1611" t="s">
        <v>70</v>
      </c>
      <c r="K1611" s="7">
        <v>0.6</v>
      </c>
      <c r="M1611" t="s">
        <v>269</v>
      </c>
    </row>
    <row r="1612" spans="1:13" outlineLevel="1" x14ac:dyDescent="0.25">
      <c r="A1612" t="s">
        <v>266</v>
      </c>
      <c r="B1612" t="s">
        <v>406</v>
      </c>
      <c r="C1612" t="str">
        <f>_xlfn.CONCAT("Distance moyenne d'une tournée"," (",'Remplissage - Sit. Expost'!$B$223,")")</f>
        <v>Distance moyenne d'une tournée (Catégorie 21)</v>
      </c>
      <c r="E1612" t="str">
        <f t="shared" ref="E1612" si="404">_xlfn.CONCAT("ELUTourneeDist",RIGHT(LEFT(C1612,LEN(C1612)-1),2))</f>
        <v>ELUTourneeDist21</v>
      </c>
      <c r="F1612" t="s">
        <v>17</v>
      </c>
      <c r="G1612">
        <f t="shared" si="375"/>
        <v>0</v>
      </c>
      <c r="J1612" t="s">
        <v>88</v>
      </c>
      <c r="K1612">
        <v>15</v>
      </c>
      <c r="M1612" t="s">
        <v>269</v>
      </c>
    </row>
    <row r="1613" spans="1:13" outlineLevel="1" x14ac:dyDescent="0.25">
      <c r="A1613" t="s">
        <v>266</v>
      </c>
      <c r="B1613" t="s">
        <v>406</v>
      </c>
      <c r="C1613" t="str">
        <f>_xlfn.CONCAT("Nombre annuel de tournées"," (",'Remplissage - Sit. Expost'!$B$223,")")</f>
        <v>Nombre annuel de tournées (Catégorie 21)</v>
      </c>
      <c r="E1613" t="str">
        <f t="shared" ref="E1613" si="405">_xlfn.CONCAT("ELUTourneeNb",RIGHT(LEFT(C1613,LEN(C1613)-1),2))</f>
        <v>ELUTourneeNb21</v>
      </c>
      <c r="F1613" t="s">
        <v>17</v>
      </c>
      <c r="G1613">
        <f t="shared" si="375"/>
        <v>0</v>
      </c>
      <c r="J1613" t="s">
        <v>145</v>
      </c>
      <c r="K1613">
        <v>50</v>
      </c>
      <c r="M1613" t="s">
        <v>269</v>
      </c>
    </row>
    <row r="1614" spans="1:13" outlineLevel="1" x14ac:dyDescent="0.25">
      <c r="A1614" t="s">
        <v>266</v>
      </c>
      <c r="B1614" t="s">
        <v>407</v>
      </c>
      <c r="C1614" t="str">
        <f>_xlfn.CONCAT("Taux de chargement moyen des véhicules pour les tournées depuis le ou les ELU"," (",'Remplissage - Sit. Expost'!$B$233,")")</f>
        <v>Taux de chargement moyen des véhicules pour les tournées depuis le ou les ELU (Catégorie 22)</v>
      </c>
      <c r="E1614" t="str">
        <f t="shared" ref="E1614" si="406">_xlfn.CONCAT("ELUTourneeTC",RIGHT(LEFT(C1614,LEN(C1614)-1),2))</f>
        <v>ELUTourneeTC22</v>
      </c>
      <c r="F1614" t="s">
        <v>17</v>
      </c>
      <c r="G1614">
        <f t="shared" si="375"/>
        <v>0</v>
      </c>
      <c r="H1614" s="18"/>
      <c r="J1614" t="s">
        <v>70</v>
      </c>
      <c r="K1614" s="7">
        <v>0.6</v>
      </c>
      <c r="M1614" t="s">
        <v>269</v>
      </c>
    </row>
    <row r="1615" spans="1:13" outlineLevel="1" x14ac:dyDescent="0.25">
      <c r="A1615" t="s">
        <v>266</v>
      </c>
      <c r="B1615" t="s">
        <v>407</v>
      </c>
      <c r="C1615" t="str">
        <f>_xlfn.CONCAT("Distance moyenne d'une tournée"," (",'Remplissage - Sit. Expost'!$B$233,")")</f>
        <v>Distance moyenne d'une tournée (Catégorie 22)</v>
      </c>
      <c r="E1615" t="str">
        <f t="shared" ref="E1615" si="407">_xlfn.CONCAT("ELUTourneeDist",RIGHT(LEFT(C1615,LEN(C1615)-1),2))</f>
        <v>ELUTourneeDist22</v>
      </c>
      <c r="F1615" t="s">
        <v>17</v>
      </c>
      <c r="G1615">
        <f t="shared" si="375"/>
        <v>0</v>
      </c>
      <c r="J1615" t="s">
        <v>88</v>
      </c>
      <c r="K1615">
        <v>15</v>
      </c>
      <c r="M1615" t="s">
        <v>269</v>
      </c>
    </row>
    <row r="1616" spans="1:13" outlineLevel="1" x14ac:dyDescent="0.25">
      <c r="A1616" t="s">
        <v>266</v>
      </c>
      <c r="B1616" t="s">
        <v>407</v>
      </c>
      <c r="C1616" t="str">
        <f>_xlfn.CONCAT("Nombre annuel de tournées"," (",'Remplissage - Sit. Expost'!$B$233,")")</f>
        <v>Nombre annuel de tournées (Catégorie 22)</v>
      </c>
      <c r="E1616" t="str">
        <f t="shared" ref="E1616" si="408">_xlfn.CONCAT("ELUTourneeNb",RIGHT(LEFT(C1616,LEN(C1616)-1),2))</f>
        <v>ELUTourneeNb22</v>
      </c>
      <c r="F1616" t="s">
        <v>17</v>
      </c>
      <c r="G1616">
        <f t="shared" ref="G1616:G1679" si="409">IF(ISNUMBER(SEARCH($B1616,$H$1546)),1,0)</f>
        <v>0</v>
      </c>
      <c r="J1616" t="s">
        <v>145</v>
      </c>
      <c r="K1616">
        <v>50</v>
      </c>
      <c r="M1616" t="s">
        <v>269</v>
      </c>
    </row>
    <row r="1617" spans="1:13" outlineLevel="1" x14ac:dyDescent="0.25">
      <c r="A1617" t="s">
        <v>266</v>
      </c>
      <c r="B1617" t="s">
        <v>408</v>
      </c>
      <c r="C1617" t="str">
        <f>_xlfn.CONCAT("Taux de chargement moyen des véhicules pour les tournées depuis le ou les ELU"," (",'Remplissage - Sit. Expost'!$B$243,")")</f>
        <v>Taux de chargement moyen des véhicules pour les tournées depuis le ou les ELU (Catégorie 23)</v>
      </c>
      <c r="E1617" t="str">
        <f t="shared" ref="E1617" si="410">_xlfn.CONCAT("ELUTourneeTC",RIGHT(LEFT(C1617,LEN(C1617)-1),2))</f>
        <v>ELUTourneeTC23</v>
      </c>
      <c r="F1617" t="s">
        <v>17</v>
      </c>
      <c r="G1617">
        <f t="shared" si="409"/>
        <v>0</v>
      </c>
      <c r="H1617" s="18"/>
      <c r="J1617" t="s">
        <v>70</v>
      </c>
      <c r="K1617" s="7">
        <v>0.6</v>
      </c>
      <c r="M1617" t="s">
        <v>269</v>
      </c>
    </row>
    <row r="1618" spans="1:13" outlineLevel="1" x14ac:dyDescent="0.25">
      <c r="A1618" t="s">
        <v>266</v>
      </c>
      <c r="B1618" t="s">
        <v>408</v>
      </c>
      <c r="C1618" t="str">
        <f>_xlfn.CONCAT("Distance moyenne d'une tournée"," (",'Remplissage - Sit. Expost'!$B$243,")")</f>
        <v>Distance moyenne d'une tournée (Catégorie 23)</v>
      </c>
      <c r="E1618" t="str">
        <f t="shared" ref="E1618" si="411">_xlfn.CONCAT("ELUTourneeDist",RIGHT(LEFT(C1618,LEN(C1618)-1),2))</f>
        <v>ELUTourneeDist23</v>
      </c>
      <c r="F1618" t="s">
        <v>17</v>
      </c>
      <c r="G1618">
        <f t="shared" si="409"/>
        <v>0</v>
      </c>
      <c r="J1618" t="s">
        <v>88</v>
      </c>
      <c r="K1618">
        <v>15</v>
      </c>
      <c r="M1618" t="s">
        <v>269</v>
      </c>
    </row>
    <row r="1619" spans="1:13" outlineLevel="1" x14ac:dyDescent="0.25">
      <c r="A1619" t="s">
        <v>266</v>
      </c>
      <c r="B1619" t="s">
        <v>408</v>
      </c>
      <c r="C1619" t="str">
        <f>_xlfn.CONCAT("Nombre annuel de tournées"," (",'Remplissage - Sit. Expost'!$B$243,")")</f>
        <v>Nombre annuel de tournées (Catégorie 23)</v>
      </c>
      <c r="E1619" t="str">
        <f t="shared" ref="E1619" si="412">_xlfn.CONCAT("ELUTourneeNb",RIGHT(LEFT(C1619,LEN(C1619)-1),2))</f>
        <v>ELUTourneeNb23</v>
      </c>
      <c r="F1619" t="s">
        <v>17</v>
      </c>
      <c r="G1619">
        <f t="shared" si="409"/>
        <v>0</v>
      </c>
      <c r="J1619" t="s">
        <v>145</v>
      </c>
      <c r="K1619">
        <v>50</v>
      </c>
      <c r="M1619" t="s">
        <v>269</v>
      </c>
    </row>
    <row r="1620" spans="1:13" outlineLevel="1" x14ac:dyDescent="0.25">
      <c r="A1620" t="s">
        <v>266</v>
      </c>
      <c r="B1620" t="s">
        <v>409</v>
      </c>
      <c r="C1620" t="str">
        <f>_xlfn.CONCAT("Taux de chargement moyen des véhicules pour les tournées depuis le ou les ELU"," (",'Remplissage - Sit. Expost'!$B$253,")")</f>
        <v>Taux de chargement moyen des véhicules pour les tournées depuis le ou les ELU (Catégorie 24)</v>
      </c>
      <c r="E1620" t="str">
        <f t="shared" ref="E1620" si="413">_xlfn.CONCAT("ELUTourneeTC",RIGHT(LEFT(C1620,LEN(C1620)-1),2))</f>
        <v>ELUTourneeTC24</v>
      </c>
      <c r="F1620" t="s">
        <v>17</v>
      </c>
      <c r="G1620">
        <f t="shared" si="409"/>
        <v>0</v>
      </c>
      <c r="H1620" s="18"/>
      <c r="J1620" t="s">
        <v>70</v>
      </c>
      <c r="K1620" s="7">
        <v>0.6</v>
      </c>
      <c r="M1620" t="s">
        <v>269</v>
      </c>
    </row>
    <row r="1621" spans="1:13" outlineLevel="1" x14ac:dyDescent="0.25">
      <c r="A1621" t="s">
        <v>266</v>
      </c>
      <c r="B1621" t="s">
        <v>409</v>
      </c>
      <c r="C1621" t="str">
        <f>_xlfn.CONCAT("Distance moyenne d'une tournée"," (",'Remplissage - Sit. Expost'!$B$253,")")</f>
        <v>Distance moyenne d'une tournée (Catégorie 24)</v>
      </c>
      <c r="E1621" t="str">
        <f t="shared" ref="E1621" si="414">_xlfn.CONCAT("ELUTourneeDist",RIGHT(LEFT(C1621,LEN(C1621)-1),2))</f>
        <v>ELUTourneeDist24</v>
      </c>
      <c r="F1621" t="s">
        <v>17</v>
      </c>
      <c r="G1621">
        <f t="shared" si="409"/>
        <v>0</v>
      </c>
      <c r="J1621" t="s">
        <v>88</v>
      </c>
      <c r="K1621">
        <v>15</v>
      </c>
      <c r="M1621" t="s">
        <v>269</v>
      </c>
    </row>
    <row r="1622" spans="1:13" outlineLevel="1" x14ac:dyDescent="0.25">
      <c r="A1622" t="s">
        <v>266</v>
      </c>
      <c r="B1622" t="s">
        <v>409</v>
      </c>
      <c r="C1622" t="str">
        <f>_xlfn.CONCAT("Nombre annuel de tournées"," (",'Remplissage - Sit. Expost'!$B$253,")")</f>
        <v>Nombre annuel de tournées (Catégorie 24)</v>
      </c>
      <c r="E1622" t="str">
        <f t="shared" ref="E1622" si="415">_xlfn.CONCAT("ELUTourneeNb",RIGHT(LEFT(C1622,LEN(C1622)-1),2))</f>
        <v>ELUTourneeNb24</v>
      </c>
      <c r="F1622" t="s">
        <v>17</v>
      </c>
      <c r="G1622">
        <f t="shared" si="409"/>
        <v>0</v>
      </c>
      <c r="J1622" t="s">
        <v>145</v>
      </c>
      <c r="K1622">
        <v>50</v>
      </c>
      <c r="M1622" t="s">
        <v>269</v>
      </c>
    </row>
    <row r="1623" spans="1:13" outlineLevel="1" x14ac:dyDescent="0.25">
      <c r="A1623" t="s">
        <v>266</v>
      </c>
      <c r="B1623" t="s">
        <v>410</v>
      </c>
      <c r="C1623" t="str">
        <f>_xlfn.CONCAT("Taux de chargement moyen des véhicules pour les tournées depuis le ou les ELU"," (",'Remplissage - Sit. Expost'!$B$263,")")</f>
        <v>Taux de chargement moyen des véhicules pour les tournées depuis le ou les ELU (Catégorie 25)</v>
      </c>
      <c r="E1623" t="str">
        <f t="shared" ref="E1623" si="416">_xlfn.CONCAT("ELUTourneeTC",RIGHT(LEFT(C1623,LEN(C1623)-1),2))</f>
        <v>ELUTourneeTC25</v>
      </c>
      <c r="F1623" t="s">
        <v>17</v>
      </c>
      <c r="G1623">
        <f t="shared" si="409"/>
        <v>0</v>
      </c>
      <c r="H1623" s="18"/>
      <c r="J1623" t="s">
        <v>70</v>
      </c>
      <c r="K1623" s="7">
        <v>0.6</v>
      </c>
      <c r="M1623" t="s">
        <v>269</v>
      </c>
    </row>
    <row r="1624" spans="1:13" outlineLevel="1" x14ac:dyDescent="0.25">
      <c r="A1624" t="s">
        <v>266</v>
      </c>
      <c r="B1624" t="s">
        <v>410</v>
      </c>
      <c r="C1624" t="str">
        <f>_xlfn.CONCAT("Distance moyenne d'une tournée"," (",'Remplissage - Sit. Expost'!$B$263,")")</f>
        <v>Distance moyenne d'une tournée (Catégorie 25)</v>
      </c>
      <c r="E1624" t="str">
        <f t="shared" ref="E1624" si="417">_xlfn.CONCAT("ELUTourneeDist",RIGHT(LEFT(C1624,LEN(C1624)-1),2))</f>
        <v>ELUTourneeDist25</v>
      </c>
      <c r="F1624" t="s">
        <v>17</v>
      </c>
      <c r="G1624">
        <f t="shared" si="409"/>
        <v>0</v>
      </c>
      <c r="J1624" t="s">
        <v>88</v>
      </c>
      <c r="K1624">
        <v>15</v>
      </c>
      <c r="M1624" t="s">
        <v>269</v>
      </c>
    </row>
    <row r="1625" spans="1:13" outlineLevel="1" x14ac:dyDescent="0.25">
      <c r="A1625" t="s">
        <v>266</v>
      </c>
      <c r="B1625" t="s">
        <v>410</v>
      </c>
      <c r="C1625" t="str">
        <f>_xlfn.CONCAT("Nombre annuel de tournées"," (",'Remplissage - Sit. Expost'!$B$263,")")</f>
        <v>Nombre annuel de tournées (Catégorie 25)</v>
      </c>
      <c r="E1625" t="str">
        <f t="shared" ref="E1625" si="418">_xlfn.CONCAT("ELUTourneeNb",RIGHT(LEFT(C1625,LEN(C1625)-1),2))</f>
        <v>ELUTourneeNb25</v>
      </c>
      <c r="F1625" t="s">
        <v>17</v>
      </c>
      <c r="G1625">
        <f t="shared" si="409"/>
        <v>0</v>
      </c>
      <c r="J1625" t="s">
        <v>145</v>
      </c>
      <c r="K1625">
        <v>50</v>
      </c>
      <c r="M1625" t="s">
        <v>269</v>
      </c>
    </row>
    <row r="1626" spans="1:13" outlineLevel="1" x14ac:dyDescent="0.25">
      <c r="A1626" t="s">
        <v>266</v>
      </c>
      <c r="B1626" t="s">
        <v>411</v>
      </c>
      <c r="C1626" t="str">
        <f>_xlfn.CONCAT("Taux de chargement moyen des véhicules pour les tournées depuis le ou les ELU"," (",'Remplissage - Sit. Expost'!$B$273,")")</f>
        <v>Taux de chargement moyen des véhicules pour les tournées depuis le ou les ELU (Catégorie 26)</v>
      </c>
      <c r="E1626" t="str">
        <f t="shared" ref="E1626" si="419">_xlfn.CONCAT("ELUTourneeTC",RIGHT(LEFT(C1626,LEN(C1626)-1),2))</f>
        <v>ELUTourneeTC26</v>
      </c>
      <c r="F1626" t="s">
        <v>17</v>
      </c>
      <c r="G1626">
        <f t="shared" si="409"/>
        <v>0</v>
      </c>
      <c r="H1626" s="18"/>
      <c r="J1626" t="s">
        <v>70</v>
      </c>
      <c r="K1626" s="7">
        <v>0.6</v>
      </c>
      <c r="M1626" t="s">
        <v>269</v>
      </c>
    </row>
    <row r="1627" spans="1:13" outlineLevel="1" x14ac:dyDescent="0.25">
      <c r="A1627" t="s">
        <v>266</v>
      </c>
      <c r="B1627" t="s">
        <v>411</v>
      </c>
      <c r="C1627" t="str">
        <f>_xlfn.CONCAT("Distance moyenne d'une tournée"," (",'Remplissage - Sit. Expost'!$B$273,")")</f>
        <v>Distance moyenne d'une tournée (Catégorie 26)</v>
      </c>
      <c r="E1627" t="str">
        <f t="shared" ref="E1627" si="420">_xlfn.CONCAT("ELUTourneeDist",RIGHT(LEFT(C1627,LEN(C1627)-1),2))</f>
        <v>ELUTourneeDist26</v>
      </c>
      <c r="F1627" t="s">
        <v>17</v>
      </c>
      <c r="G1627">
        <f t="shared" si="409"/>
        <v>0</v>
      </c>
      <c r="J1627" t="s">
        <v>88</v>
      </c>
      <c r="K1627">
        <v>15</v>
      </c>
      <c r="M1627" t="s">
        <v>269</v>
      </c>
    </row>
    <row r="1628" spans="1:13" outlineLevel="1" x14ac:dyDescent="0.25">
      <c r="A1628" t="s">
        <v>266</v>
      </c>
      <c r="B1628" t="s">
        <v>411</v>
      </c>
      <c r="C1628" t="str">
        <f>_xlfn.CONCAT("Nombre annuel de tournées"," (",'Remplissage - Sit. Expost'!$B$273,")")</f>
        <v>Nombre annuel de tournées (Catégorie 26)</v>
      </c>
      <c r="E1628" t="str">
        <f t="shared" ref="E1628" si="421">_xlfn.CONCAT("ELUTourneeNb",RIGHT(LEFT(C1628,LEN(C1628)-1),2))</f>
        <v>ELUTourneeNb26</v>
      </c>
      <c r="F1628" t="s">
        <v>17</v>
      </c>
      <c r="G1628">
        <f t="shared" si="409"/>
        <v>0</v>
      </c>
      <c r="J1628" t="s">
        <v>145</v>
      </c>
      <c r="K1628">
        <v>50</v>
      </c>
      <c r="M1628" t="s">
        <v>269</v>
      </c>
    </row>
    <row r="1629" spans="1:13" outlineLevel="1" x14ac:dyDescent="0.25">
      <c r="A1629" t="s">
        <v>266</v>
      </c>
      <c r="B1629" t="s">
        <v>412</v>
      </c>
      <c r="C1629" t="str">
        <f>_xlfn.CONCAT("Taux de chargement moyen des véhicules pour les tournées depuis le ou les ELU"," (",'Remplissage - Sit. Expost'!$B$283,")")</f>
        <v>Taux de chargement moyen des véhicules pour les tournées depuis le ou les ELU (Catégorie 27)</v>
      </c>
      <c r="E1629" t="str">
        <f t="shared" ref="E1629" si="422">_xlfn.CONCAT("ELUTourneeTC",RIGHT(LEFT(C1629,LEN(C1629)-1),2))</f>
        <v>ELUTourneeTC27</v>
      </c>
      <c r="F1629" t="s">
        <v>17</v>
      </c>
      <c r="G1629">
        <f t="shared" si="409"/>
        <v>0</v>
      </c>
      <c r="H1629" s="18"/>
      <c r="J1629" t="s">
        <v>70</v>
      </c>
      <c r="K1629" s="7">
        <v>0.6</v>
      </c>
      <c r="M1629" t="s">
        <v>269</v>
      </c>
    </row>
    <row r="1630" spans="1:13" outlineLevel="1" x14ac:dyDescent="0.25">
      <c r="A1630" t="s">
        <v>266</v>
      </c>
      <c r="B1630" t="s">
        <v>412</v>
      </c>
      <c r="C1630" t="str">
        <f>_xlfn.CONCAT("Distance moyenne d'une tournée"," (",'Remplissage - Sit. Expost'!$B$283,")")</f>
        <v>Distance moyenne d'une tournée (Catégorie 27)</v>
      </c>
      <c r="E1630" t="str">
        <f t="shared" ref="E1630" si="423">_xlfn.CONCAT("ELUTourneeDist",RIGHT(LEFT(C1630,LEN(C1630)-1),2))</f>
        <v>ELUTourneeDist27</v>
      </c>
      <c r="F1630" t="s">
        <v>17</v>
      </c>
      <c r="G1630">
        <f t="shared" si="409"/>
        <v>0</v>
      </c>
      <c r="J1630" t="s">
        <v>88</v>
      </c>
      <c r="K1630">
        <v>15</v>
      </c>
      <c r="M1630" t="s">
        <v>269</v>
      </c>
    </row>
    <row r="1631" spans="1:13" outlineLevel="1" x14ac:dyDescent="0.25">
      <c r="A1631" t="s">
        <v>266</v>
      </c>
      <c r="B1631" t="s">
        <v>412</v>
      </c>
      <c r="C1631" t="str">
        <f>_xlfn.CONCAT("Nombre annuel de tournées"," (",'Remplissage - Sit. Expost'!$B$283,")")</f>
        <v>Nombre annuel de tournées (Catégorie 27)</v>
      </c>
      <c r="E1631" t="str">
        <f t="shared" ref="E1631" si="424">_xlfn.CONCAT("ELUTourneeNb",RIGHT(LEFT(C1631,LEN(C1631)-1),2))</f>
        <v>ELUTourneeNb27</v>
      </c>
      <c r="F1631" t="s">
        <v>17</v>
      </c>
      <c r="G1631">
        <f t="shared" si="409"/>
        <v>0</v>
      </c>
      <c r="J1631" t="s">
        <v>145</v>
      </c>
      <c r="K1631">
        <v>50</v>
      </c>
      <c r="M1631" t="s">
        <v>269</v>
      </c>
    </row>
    <row r="1632" spans="1:13" outlineLevel="1" x14ac:dyDescent="0.25">
      <c r="A1632" t="s">
        <v>266</v>
      </c>
      <c r="B1632" t="s">
        <v>413</v>
      </c>
      <c r="C1632" t="str">
        <f>_xlfn.CONCAT("Taux de chargement moyen des véhicules pour les tournées depuis le ou les ELU"," (",'Remplissage - Sit. Expost'!$B$293,")")</f>
        <v>Taux de chargement moyen des véhicules pour les tournées depuis le ou les ELU (Catégorie 28)</v>
      </c>
      <c r="E1632" t="str">
        <f t="shared" ref="E1632" si="425">_xlfn.CONCAT("ELUTourneeTC",RIGHT(LEFT(C1632,LEN(C1632)-1),2))</f>
        <v>ELUTourneeTC28</v>
      </c>
      <c r="F1632" t="s">
        <v>17</v>
      </c>
      <c r="G1632">
        <f t="shared" si="409"/>
        <v>0</v>
      </c>
      <c r="H1632" s="18"/>
      <c r="J1632" t="s">
        <v>70</v>
      </c>
      <c r="K1632" s="7">
        <v>0.6</v>
      </c>
      <c r="M1632" t="s">
        <v>269</v>
      </c>
    </row>
    <row r="1633" spans="1:13" outlineLevel="1" x14ac:dyDescent="0.25">
      <c r="A1633" t="s">
        <v>266</v>
      </c>
      <c r="B1633" t="s">
        <v>413</v>
      </c>
      <c r="C1633" t="str">
        <f>_xlfn.CONCAT("Distance moyenne d'une tournée"," (",'Remplissage - Sit. Expost'!$B$293,")")</f>
        <v>Distance moyenne d'une tournée (Catégorie 28)</v>
      </c>
      <c r="E1633" t="str">
        <f t="shared" ref="E1633" si="426">_xlfn.CONCAT("ELUTourneeDist",RIGHT(LEFT(C1633,LEN(C1633)-1),2))</f>
        <v>ELUTourneeDist28</v>
      </c>
      <c r="F1633" t="s">
        <v>17</v>
      </c>
      <c r="G1633">
        <f t="shared" si="409"/>
        <v>0</v>
      </c>
      <c r="J1633" t="s">
        <v>88</v>
      </c>
      <c r="K1633">
        <v>15</v>
      </c>
      <c r="M1633" t="s">
        <v>269</v>
      </c>
    </row>
    <row r="1634" spans="1:13" outlineLevel="1" x14ac:dyDescent="0.25">
      <c r="A1634" t="s">
        <v>266</v>
      </c>
      <c r="B1634" t="s">
        <v>413</v>
      </c>
      <c r="C1634" t="str">
        <f>_xlfn.CONCAT("Nombre annuel de tournées"," (",'Remplissage - Sit. Expost'!$B$293,")")</f>
        <v>Nombre annuel de tournées (Catégorie 28)</v>
      </c>
      <c r="E1634" t="str">
        <f t="shared" ref="E1634" si="427">_xlfn.CONCAT("ELUTourneeNb",RIGHT(LEFT(C1634,LEN(C1634)-1),2))</f>
        <v>ELUTourneeNb28</v>
      </c>
      <c r="F1634" t="s">
        <v>17</v>
      </c>
      <c r="G1634">
        <f t="shared" si="409"/>
        <v>0</v>
      </c>
      <c r="J1634" t="s">
        <v>145</v>
      </c>
      <c r="K1634">
        <v>50</v>
      </c>
      <c r="M1634" t="s">
        <v>269</v>
      </c>
    </row>
    <row r="1635" spans="1:13" outlineLevel="1" x14ac:dyDescent="0.25">
      <c r="A1635" t="s">
        <v>266</v>
      </c>
      <c r="B1635" t="s">
        <v>414</v>
      </c>
      <c r="C1635" t="str">
        <f>_xlfn.CONCAT("Taux de chargement moyen des véhicules pour les tournées depuis le ou les ELU"," (",'Remplissage - Sit. Expost'!$B$303,")")</f>
        <v>Taux de chargement moyen des véhicules pour les tournées depuis le ou les ELU (Catégorie 29)</v>
      </c>
      <c r="E1635" t="str">
        <f t="shared" ref="E1635" si="428">_xlfn.CONCAT("ELUTourneeTC",RIGHT(LEFT(C1635,LEN(C1635)-1),2))</f>
        <v>ELUTourneeTC29</v>
      </c>
      <c r="F1635" t="s">
        <v>17</v>
      </c>
      <c r="G1635">
        <f t="shared" si="409"/>
        <v>0</v>
      </c>
      <c r="H1635" s="18"/>
      <c r="J1635" t="s">
        <v>70</v>
      </c>
      <c r="K1635" s="7">
        <v>0.6</v>
      </c>
      <c r="M1635" t="s">
        <v>269</v>
      </c>
    </row>
    <row r="1636" spans="1:13" outlineLevel="1" x14ac:dyDescent="0.25">
      <c r="A1636" t="s">
        <v>266</v>
      </c>
      <c r="B1636" t="s">
        <v>414</v>
      </c>
      <c r="C1636" t="str">
        <f>_xlfn.CONCAT("Distance moyenne d'une tournée"," (",'Remplissage - Sit. Expost'!$B$303,")")</f>
        <v>Distance moyenne d'une tournée (Catégorie 29)</v>
      </c>
      <c r="E1636" t="str">
        <f t="shared" ref="E1636" si="429">_xlfn.CONCAT("ELUTourneeDist",RIGHT(LEFT(C1636,LEN(C1636)-1),2))</f>
        <v>ELUTourneeDist29</v>
      </c>
      <c r="F1636" t="s">
        <v>17</v>
      </c>
      <c r="G1636">
        <f t="shared" si="409"/>
        <v>0</v>
      </c>
      <c r="J1636" t="s">
        <v>88</v>
      </c>
      <c r="K1636">
        <v>15</v>
      </c>
      <c r="M1636" t="s">
        <v>269</v>
      </c>
    </row>
    <row r="1637" spans="1:13" outlineLevel="1" x14ac:dyDescent="0.25">
      <c r="A1637" t="s">
        <v>266</v>
      </c>
      <c r="B1637" t="s">
        <v>414</v>
      </c>
      <c r="C1637" t="str">
        <f>_xlfn.CONCAT("Nombre annuel de tournées"," (",'Remplissage - Sit. Expost'!$B$303,")")</f>
        <v>Nombre annuel de tournées (Catégorie 29)</v>
      </c>
      <c r="E1637" t="str">
        <f t="shared" ref="E1637" si="430">_xlfn.CONCAT("ELUTourneeNb",RIGHT(LEFT(C1637,LEN(C1637)-1),2))</f>
        <v>ELUTourneeNb29</v>
      </c>
      <c r="F1637" t="s">
        <v>17</v>
      </c>
      <c r="G1637">
        <f t="shared" si="409"/>
        <v>0</v>
      </c>
      <c r="J1637" t="s">
        <v>145</v>
      </c>
      <c r="K1637">
        <v>50</v>
      </c>
      <c r="M1637" t="s">
        <v>269</v>
      </c>
    </row>
    <row r="1638" spans="1:13" outlineLevel="1" x14ac:dyDescent="0.25">
      <c r="A1638" t="s">
        <v>266</v>
      </c>
      <c r="B1638" t="s">
        <v>415</v>
      </c>
      <c r="C1638" t="str">
        <f>_xlfn.CONCAT("Taux de chargement moyen des véhicules pour les tournées depuis le ou les ELU"," (",'Remplissage - Sit. Expost'!$B$313,")")</f>
        <v>Taux de chargement moyen des véhicules pour les tournées depuis le ou les ELU (Catégorie 30)</v>
      </c>
      <c r="E1638" t="str">
        <f t="shared" ref="E1638" si="431">_xlfn.CONCAT("ELUTourneeTC",RIGHT(LEFT(C1638,LEN(C1638)-1),2))</f>
        <v>ELUTourneeTC30</v>
      </c>
      <c r="F1638" t="s">
        <v>17</v>
      </c>
      <c r="G1638">
        <f t="shared" si="409"/>
        <v>0</v>
      </c>
      <c r="H1638" s="18"/>
      <c r="J1638" t="s">
        <v>70</v>
      </c>
      <c r="K1638" s="7">
        <v>0.6</v>
      </c>
      <c r="M1638" t="s">
        <v>269</v>
      </c>
    </row>
    <row r="1639" spans="1:13" outlineLevel="1" x14ac:dyDescent="0.25">
      <c r="A1639" t="s">
        <v>266</v>
      </c>
      <c r="B1639" t="s">
        <v>415</v>
      </c>
      <c r="C1639" t="str">
        <f>_xlfn.CONCAT("Distance moyenne d'une tournée"," (",'Remplissage - Sit. Expost'!$B$313,")")</f>
        <v>Distance moyenne d'une tournée (Catégorie 30)</v>
      </c>
      <c r="E1639" t="str">
        <f t="shared" ref="E1639" si="432">_xlfn.CONCAT("ELUTourneeDist",RIGHT(LEFT(C1639,LEN(C1639)-1),2))</f>
        <v>ELUTourneeDist30</v>
      </c>
      <c r="F1639" t="s">
        <v>17</v>
      </c>
      <c r="G1639">
        <f t="shared" si="409"/>
        <v>0</v>
      </c>
      <c r="J1639" t="s">
        <v>88</v>
      </c>
      <c r="K1639">
        <v>15</v>
      </c>
      <c r="M1639" t="s">
        <v>269</v>
      </c>
    </row>
    <row r="1640" spans="1:13" outlineLevel="1" x14ac:dyDescent="0.25">
      <c r="A1640" t="s">
        <v>266</v>
      </c>
      <c r="B1640" t="s">
        <v>415</v>
      </c>
      <c r="C1640" t="str">
        <f>_xlfn.CONCAT("Nombre annuel de tournées"," (",'Remplissage - Sit. Expost'!$B$313,")")</f>
        <v>Nombre annuel de tournées (Catégorie 30)</v>
      </c>
      <c r="E1640" t="str">
        <f t="shared" ref="E1640" si="433">_xlfn.CONCAT("ELUTourneeNb",RIGHT(LEFT(C1640,LEN(C1640)-1),2))</f>
        <v>ELUTourneeNb30</v>
      </c>
      <c r="F1640" t="s">
        <v>17</v>
      </c>
      <c r="G1640">
        <f t="shared" si="409"/>
        <v>0</v>
      </c>
      <c r="J1640" t="s">
        <v>145</v>
      </c>
      <c r="K1640">
        <v>50</v>
      </c>
      <c r="M1640" t="s">
        <v>269</v>
      </c>
    </row>
    <row r="1641" spans="1:13" outlineLevel="1" x14ac:dyDescent="0.25">
      <c r="A1641" t="s">
        <v>266</v>
      </c>
      <c r="B1641" t="s">
        <v>416</v>
      </c>
      <c r="C1641" t="str">
        <f>_xlfn.CONCAT("Taux de chargement moyen des véhicules pour les tournées depuis le ou les ELU"," (",'Remplissage - Sit. Expost'!$B$323,")")</f>
        <v>Taux de chargement moyen des véhicules pour les tournées depuis le ou les ELU (Catégorie 31)</v>
      </c>
      <c r="E1641" t="str">
        <f t="shared" ref="E1641" si="434">_xlfn.CONCAT("ELUTourneeTC",RIGHT(LEFT(C1641,LEN(C1641)-1),2))</f>
        <v>ELUTourneeTC31</v>
      </c>
      <c r="F1641" t="s">
        <v>17</v>
      </c>
      <c r="G1641">
        <f t="shared" si="409"/>
        <v>0</v>
      </c>
      <c r="H1641" s="18"/>
      <c r="J1641" t="s">
        <v>70</v>
      </c>
      <c r="K1641" s="7">
        <v>0.6</v>
      </c>
      <c r="M1641" t="s">
        <v>269</v>
      </c>
    </row>
    <row r="1642" spans="1:13" outlineLevel="1" x14ac:dyDescent="0.25">
      <c r="A1642" t="s">
        <v>266</v>
      </c>
      <c r="B1642" t="s">
        <v>416</v>
      </c>
      <c r="C1642" t="str">
        <f>_xlfn.CONCAT("Distance moyenne d'une tournée"," (",'Remplissage - Sit. Expost'!$B$323,")")</f>
        <v>Distance moyenne d'une tournée (Catégorie 31)</v>
      </c>
      <c r="E1642" t="str">
        <f t="shared" ref="E1642" si="435">_xlfn.CONCAT("ELUTourneeDist",RIGHT(LEFT(C1642,LEN(C1642)-1),2))</f>
        <v>ELUTourneeDist31</v>
      </c>
      <c r="F1642" t="s">
        <v>17</v>
      </c>
      <c r="G1642">
        <f t="shared" si="409"/>
        <v>0</v>
      </c>
      <c r="J1642" t="s">
        <v>88</v>
      </c>
      <c r="K1642">
        <v>15</v>
      </c>
      <c r="M1642" t="s">
        <v>269</v>
      </c>
    </row>
    <row r="1643" spans="1:13" outlineLevel="1" x14ac:dyDescent="0.25">
      <c r="A1643" t="s">
        <v>266</v>
      </c>
      <c r="B1643" t="s">
        <v>416</v>
      </c>
      <c r="C1643" t="str">
        <f>_xlfn.CONCAT("Nombre annuel de tournées"," (",'Remplissage - Sit. Expost'!$B$323,")")</f>
        <v>Nombre annuel de tournées (Catégorie 31)</v>
      </c>
      <c r="E1643" t="str">
        <f t="shared" ref="E1643" si="436">_xlfn.CONCAT("ELUTourneeNb",RIGHT(LEFT(C1643,LEN(C1643)-1),2))</f>
        <v>ELUTourneeNb31</v>
      </c>
      <c r="F1643" t="s">
        <v>17</v>
      </c>
      <c r="G1643">
        <f t="shared" si="409"/>
        <v>0</v>
      </c>
      <c r="J1643" t="s">
        <v>145</v>
      </c>
      <c r="K1643">
        <v>50</v>
      </c>
      <c r="M1643" t="s">
        <v>269</v>
      </c>
    </row>
    <row r="1644" spans="1:13" outlineLevel="1" x14ac:dyDescent="0.25">
      <c r="A1644" t="s">
        <v>266</v>
      </c>
      <c r="B1644" t="s">
        <v>417</v>
      </c>
      <c r="C1644" t="str">
        <f>_xlfn.CONCAT("Taux de chargement moyen des véhicules pour les tournées depuis le ou les ELU"," (",'Remplissage - Sit. Expost'!$B$333,")")</f>
        <v>Taux de chargement moyen des véhicules pour les tournées depuis le ou les ELU (Catégorie 32)</v>
      </c>
      <c r="E1644" t="str">
        <f t="shared" ref="E1644" si="437">_xlfn.CONCAT("ELUTourneeTC",RIGHT(LEFT(C1644,LEN(C1644)-1),2))</f>
        <v>ELUTourneeTC32</v>
      </c>
      <c r="F1644" t="s">
        <v>17</v>
      </c>
      <c r="G1644">
        <f t="shared" si="409"/>
        <v>0</v>
      </c>
      <c r="H1644" s="18"/>
      <c r="J1644" t="s">
        <v>70</v>
      </c>
      <c r="K1644" s="7">
        <v>0.6</v>
      </c>
      <c r="M1644" t="s">
        <v>269</v>
      </c>
    </row>
    <row r="1645" spans="1:13" outlineLevel="1" x14ac:dyDescent="0.25">
      <c r="A1645" t="s">
        <v>266</v>
      </c>
      <c r="B1645" t="s">
        <v>417</v>
      </c>
      <c r="C1645" t="str">
        <f>_xlfn.CONCAT("Distance moyenne d'une tournée"," (",'Remplissage - Sit. Expost'!$B$333,")")</f>
        <v>Distance moyenne d'une tournée (Catégorie 32)</v>
      </c>
      <c r="E1645" t="str">
        <f t="shared" ref="E1645" si="438">_xlfn.CONCAT("ELUTourneeDist",RIGHT(LEFT(C1645,LEN(C1645)-1),2))</f>
        <v>ELUTourneeDist32</v>
      </c>
      <c r="F1645" t="s">
        <v>17</v>
      </c>
      <c r="G1645">
        <f t="shared" si="409"/>
        <v>0</v>
      </c>
      <c r="J1645" t="s">
        <v>88</v>
      </c>
      <c r="K1645">
        <v>15</v>
      </c>
      <c r="M1645" t="s">
        <v>269</v>
      </c>
    </row>
    <row r="1646" spans="1:13" outlineLevel="1" x14ac:dyDescent="0.25">
      <c r="A1646" t="s">
        <v>266</v>
      </c>
      <c r="B1646" t="s">
        <v>417</v>
      </c>
      <c r="C1646" t="str">
        <f>_xlfn.CONCAT("Nombre annuel de tournées"," (",'Remplissage - Sit. Expost'!$B$333,")")</f>
        <v>Nombre annuel de tournées (Catégorie 32)</v>
      </c>
      <c r="E1646" t="str">
        <f t="shared" ref="E1646" si="439">_xlfn.CONCAT("ELUTourneeNb",RIGHT(LEFT(C1646,LEN(C1646)-1),2))</f>
        <v>ELUTourneeNb32</v>
      </c>
      <c r="F1646" t="s">
        <v>17</v>
      </c>
      <c r="G1646">
        <f t="shared" si="409"/>
        <v>0</v>
      </c>
      <c r="J1646" t="s">
        <v>145</v>
      </c>
      <c r="K1646">
        <v>50</v>
      </c>
      <c r="M1646" t="s">
        <v>269</v>
      </c>
    </row>
    <row r="1647" spans="1:13" outlineLevel="1" x14ac:dyDescent="0.25">
      <c r="A1647" t="s">
        <v>266</v>
      </c>
      <c r="B1647" t="s">
        <v>418</v>
      </c>
      <c r="C1647" t="str">
        <f>_xlfn.CONCAT("Taux de chargement moyen des véhicules pour les tournées depuis le ou les ELU"," (",'Remplissage - Sit. Expost'!$B$343,")")</f>
        <v>Taux de chargement moyen des véhicules pour les tournées depuis le ou les ELU (Catégorie 33)</v>
      </c>
      <c r="E1647" t="str">
        <f t="shared" ref="E1647" si="440">_xlfn.CONCAT("ELUTourneeTC",RIGHT(LEFT(C1647,LEN(C1647)-1),2))</f>
        <v>ELUTourneeTC33</v>
      </c>
      <c r="F1647" t="s">
        <v>17</v>
      </c>
      <c r="G1647">
        <f t="shared" si="409"/>
        <v>0</v>
      </c>
      <c r="H1647" s="18"/>
      <c r="J1647" t="s">
        <v>70</v>
      </c>
      <c r="K1647" s="7">
        <v>0.6</v>
      </c>
      <c r="M1647" t="s">
        <v>269</v>
      </c>
    </row>
    <row r="1648" spans="1:13" outlineLevel="1" x14ac:dyDescent="0.25">
      <c r="A1648" t="s">
        <v>266</v>
      </c>
      <c r="B1648" t="s">
        <v>418</v>
      </c>
      <c r="C1648" t="str">
        <f>_xlfn.CONCAT("Distance moyenne d'une tournée"," (",'Remplissage - Sit. Expost'!$B$343,")")</f>
        <v>Distance moyenne d'une tournée (Catégorie 33)</v>
      </c>
      <c r="E1648" t="str">
        <f t="shared" ref="E1648" si="441">_xlfn.CONCAT("ELUTourneeDist",RIGHT(LEFT(C1648,LEN(C1648)-1),2))</f>
        <v>ELUTourneeDist33</v>
      </c>
      <c r="F1648" t="s">
        <v>17</v>
      </c>
      <c r="G1648">
        <f t="shared" si="409"/>
        <v>0</v>
      </c>
      <c r="J1648" t="s">
        <v>88</v>
      </c>
      <c r="K1648">
        <v>15</v>
      </c>
      <c r="M1648" t="s">
        <v>269</v>
      </c>
    </row>
    <row r="1649" spans="1:13" outlineLevel="1" x14ac:dyDescent="0.25">
      <c r="A1649" t="s">
        <v>266</v>
      </c>
      <c r="B1649" t="s">
        <v>418</v>
      </c>
      <c r="C1649" t="str">
        <f>_xlfn.CONCAT("Nombre annuel de tournées"," (",'Remplissage - Sit. Expost'!$B$343,")")</f>
        <v>Nombre annuel de tournées (Catégorie 33)</v>
      </c>
      <c r="E1649" t="str">
        <f t="shared" ref="E1649" si="442">_xlfn.CONCAT("ELUTourneeNb",RIGHT(LEFT(C1649,LEN(C1649)-1),2))</f>
        <v>ELUTourneeNb33</v>
      </c>
      <c r="F1649" t="s">
        <v>17</v>
      </c>
      <c r="G1649">
        <f t="shared" si="409"/>
        <v>0</v>
      </c>
      <c r="J1649" t="s">
        <v>145</v>
      </c>
      <c r="K1649">
        <v>50</v>
      </c>
      <c r="M1649" t="s">
        <v>269</v>
      </c>
    </row>
    <row r="1650" spans="1:13" outlineLevel="1" x14ac:dyDescent="0.25">
      <c r="A1650" t="s">
        <v>266</v>
      </c>
      <c r="B1650" t="s">
        <v>419</v>
      </c>
      <c r="C1650" t="str">
        <f>_xlfn.CONCAT("Taux de chargement moyen des véhicules pour les tournées depuis le ou les ELU"," (",'Remplissage - Sit. Expost'!$B$353,")")</f>
        <v>Taux de chargement moyen des véhicules pour les tournées depuis le ou les ELU (Catégorie 34)</v>
      </c>
      <c r="E1650" t="str">
        <f t="shared" ref="E1650" si="443">_xlfn.CONCAT("ELUTourneeTC",RIGHT(LEFT(C1650,LEN(C1650)-1),2))</f>
        <v>ELUTourneeTC34</v>
      </c>
      <c r="F1650" t="s">
        <v>17</v>
      </c>
      <c r="G1650">
        <f t="shared" si="409"/>
        <v>0</v>
      </c>
      <c r="H1650" s="18"/>
      <c r="J1650" t="s">
        <v>70</v>
      </c>
      <c r="K1650" s="7">
        <v>0.6</v>
      </c>
      <c r="M1650" t="s">
        <v>269</v>
      </c>
    </row>
    <row r="1651" spans="1:13" outlineLevel="1" x14ac:dyDescent="0.25">
      <c r="A1651" t="s">
        <v>266</v>
      </c>
      <c r="B1651" t="s">
        <v>419</v>
      </c>
      <c r="C1651" t="str">
        <f>_xlfn.CONCAT("Distance moyenne d'une tournée"," (",'Remplissage - Sit. Expost'!$B$353,")")</f>
        <v>Distance moyenne d'une tournée (Catégorie 34)</v>
      </c>
      <c r="E1651" t="str">
        <f t="shared" ref="E1651" si="444">_xlfn.CONCAT("ELUTourneeDist",RIGHT(LEFT(C1651,LEN(C1651)-1),2))</f>
        <v>ELUTourneeDist34</v>
      </c>
      <c r="F1651" t="s">
        <v>17</v>
      </c>
      <c r="G1651">
        <f t="shared" si="409"/>
        <v>0</v>
      </c>
      <c r="J1651" t="s">
        <v>88</v>
      </c>
      <c r="K1651">
        <v>15</v>
      </c>
      <c r="M1651" t="s">
        <v>269</v>
      </c>
    </row>
    <row r="1652" spans="1:13" outlineLevel="1" x14ac:dyDescent="0.25">
      <c r="A1652" t="s">
        <v>266</v>
      </c>
      <c r="B1652" t="s">
        <v>419</v>
      </c>
      <c r="C1652" t="str">
        <f>_xlfn.CONCAT("Nombre annuel de tournées"," (",'Remplissage - Sit. Expost'!$B$353,")")</f>
        <v>Nombre annuel de tournées (Catégorie 34)</v>
      </c>
      <c r="E1652" t="str">
        <f t="shared" ref="E1652" si="445">_xlfn.CONCAT("ELUTourneeNb",RIGHT(LEFT(C1652,LEN(C1652)-1),2))</f>
        <v>ELUTourneeNb34</v>
      </c>
      <c r="F1652" t="s">
        <v>17</v>
      </c>
      <c r="G1652">
        <f t="shared" si="409"/>
        <v>0</v>
      </c>
      <c r="J1652" t="s">
        <v>145</v>
      </c>
      <c r="K1652">
        <v>50</v>
      </c>
      <c r="M1652" t="s">
        <v>269</v>
      </c>
    </row>
    <row r="1653" spans="1:13" outlineLevel="1" x14ac:dyDescent="0.25">
      <c r="A1653" t="s">
        <v>266</v>
      </c>
      <c r="B1653" t="s">
        <v>420</v>
      </c>
      <c r="C1653" t="str">
        <f>_xlfn.CONCAT("Taux de chargement moyen des véhicules pour les tournées depuis le ou les ELU"," (",'Remplissage - Sit. Expost'!$B$363,")")</f>
        <v>Taux de chargement moyen des véhicules pour les tournées depuis le ou les ELU (Catégorie 35)</v>
      </c>
      <c r="E1653" t="str">
        <f t="shared" ref="E1653" si="446">_xlfn.CONCAT("ELUTourneeTC",RIGHT(LEFT(C1653,LEN(C1653)-1),2))</f>
        <v>ELUTourneeTC35</v>
      </c>
      <c r="F1653" t="s">
        <v>17</v>
      </c>
      <c r="G1653">
        <f t="shared" si="409"/>
        <v>0</v>
      </c>
      <c r="H1653" s="18"/>
      <c r="J1653" t="s">
        <v>70</v>
      </c>
      <c r="K1653" s="7">
        <v>0.6</v>
      </c>
      <c r="M1653" t="s">
        <v>269</v>
      </c>
    </row>
    <row r="1654" spans="1:13" outlineLevel="1" x14ac:dyDescent="0.25">
      <c r="A1654" t="s">
        <v>266</v>
      </c>
      <c r="B1654" t="s">
        <v>420</v>
      </c>
      <c r="C1654" t="str">
        <f>_xlfn.CONCAT("Distance moyenne d'une tournée"," (",'Remplissage - Sit. Expost'!$B$363,")")</f>
        <v>Distance moyenne d'une tournée (Catégorie 35)</v>
      </c>
      <c r="E1654" t="str">
        <f t="shared" ref="E1654" si="447">_xlfn.CONCAT("ELUTourneeDist",RIGHT(LEFT(C1654,LEN(C1654)-1),2))</f>
        <v>ELUTourneeDist35</v>
      </c>
      <c r="F1654" t="s">
        <v>17</v>
      </c>
      <c r="G1654">
        <f t="shared" si="409"/>
        <v>0</v>
      </c>
      <c r="J1654" t="s">
        <v>88</v>
      </c>
      <c r="K1654">
        <v>15</v>
      </c>
      <c r="M1654" t="s">
        <v>269</v>
      </c>
    </row>
    <row r="1655" spans="1:13" outlineLevel="1" x14ac:dyDescent="0.25">
      <c r="A1655" t="s">
        <v>266</v>
      </c>
      <c r="B1655" t="s">
        <v>420</v>
      </c>
      <c r="C1655" t="str">
        <f>_xlfn.CONCAT("Nombre annuel de tournées"," (",'Remplissage - Sit. Expost'!$B$363,")")</f>
        <v>Nombre annuel de tournées (Catégorie 35)</v>
      </c>
      <c r="E1655" t="str">
        <f t="shared" ref="E1655" si="448">_xlfn.CONCAT("ELUTourneeNb",RIGHT(LEFT(C1655,LEN(C1655)-1),2))</f>
        <v>ELUTourneeNb35</v>
      </c>
      <c r="F1655" t="s">
        <v>17</v>
      </c>
      <c r="G1655">
        <f t="shared" si="409"/>
        <v>0</v>
      </c>
      <c r="J1655" t="s">
        <v>145</v>
      </c>
      <c r="K1655">
        <v>50</v>
      </c>
      <c r="M1655" t="s">
        <v>269</v>
      </c>
    </row>
    <row r="1656" spans="1:13" outlineLevel="1" x14ac:dyDescent="0.25">
      <c r="A1656" t="s">
        <v>266</v>
      </c>
      <c r="B1656" t="s">
        <v>421</v>
      </c>
      <c r="C1656" t="str">
        <f>_xlfn.CONCAT("Taux de chargement moyen des véhicules pour les tournées depuis le ou les ELU"," (",'Remplissage - Sit. Expost'!$B$373,")")</f>
        <v>Taux de chargement moyen des véhicules pour les tournées depuis le ou les ELU (Catégorie 36)</v>
      </c>
      <c r="E1656" t="str">
        <f t="shared" ref="E1656" si="449">_xlfn.CONCAT("ELUTourneeTC",RIGHT(LEFT(C1656,LEN(C1656)-1),2))</f>
        <v>ELUTourneeTC36</v>
      </c>
      <c r="F1656" t="s">
        <v>17</v>
      </c>
      <c r="G1656">
        <f t="shared" si="409"/>
        <v>0</v>
      </c>
      <c r="H1656" s="18"/>
      <c r="J1656" t="s">
        <v>70</v>
      </c>
      <c r="K1656" s="7">
        <v>0.6</v>
      </c>
      <c r="M1656" t="s">
        <v>269</v>
      </c>
    </row>
    <row r="1657" spans="1:13" outlineLevel="1" x14ac:dyDescent="0.25">
      <c r="A1657" t="s">
        <v>266</v>
      </c>
      <c r="B1657" t="s">
        <v>421</v>
      </c>
      <c r="C1657" t="str">
        <f>_xlfn.CONCAT("Distance moyenne d'une tournée"," (",'Remplissage - Sit. Expost'!$B$373,")")</f>
        <v>Distance moyenne d'une tournée (Catégorie 36)</v>
      </c>
      <c r="E1657" t="str">
        <f t="shared" ref="E1657" si="450">_xlfn.CONCAT("ELUTourneeDist",RIGHT(LEFT(C1657,LEN(C1657)-1),2))</f>
        <v>ELUTourneeDist36</v>
      </c>
      <c r="F1657" t="s">
        <v>17</v>
      </c>
      <c r="G1657">
        <f t="shared" si="409"/>
        <v>0</v>
      </c>
      <c r="J1657" t="s">
        <v>88</v>
      </c>
      <c r="K1657">
        <v>15</v>
      </c>
      <c r="M1657" t="s">
        <v>269</v>
      </c>
    </row>
    <row r="1658" spans="1:13" outlineLevel="1" x14ac:dyDescent="0.25">
      <c r="A1658" t="s">
        <v>266</v>
      </c>
      <c r="B1658" t="s">
        <v>421</v>
      </c>
      <c r="C1658" t="str">
        <f>_xlfn.CONCAT("Nombre annuel de tournées"," (",'Remplissage - Sit. Expost'!$B$373,")")</f>
        <v>Nombre annuel de tournées (Catégorie 36)</v>
      </c>
      <c r="E1658" t="str">
        <f t="shared" ref="E1658" si="451">_xlfn.CONCAT("ELUTourneeNb",RIGHT(LEFT(C1658,LEN(C1658)-1),2))</f>
        <v>ELUTourneeNb36</v>
      </c>
      <c r="F1658" t="s">
        <v>17</v>
      </c>
      <c r="G1658">
        <f t="shared" si="409"/>
        <v>0</v>
      </c>
      <c r="J1658" t="s">
        <v>145</v>
      </c>
      <c r="K1658">
        <v>50</v>
      </c>
      <c r="M1658" t="s">
        <v>269</v>
      </c>
    </row>
    <row r="1659" spans="1:13" outlineLevel="1" x14ac:dyDescent="0.25">
      <c r="A1659" t="s">
        <v>266</v>
      </c>
      <c r="B1659" t="s">
        <v>422</v>
      </c>
      <c r="C1659" t="str">
        <f>_xlfn.CONCAT("Taux de chargement moyen des véhicules pour les tournées depuis le ou les ELU"," (",'Remplissage - Sit. Expost'!$B$383,")")</f>
        <v>Taux de chargement moyen des véhicules pour les tournées depuis le ou les ELU (Catégorie 37)</v>
      </c>
      <c r="E1659" t="str">
        <f t="shared" ref="E1659" si="452">_xlfn.CONCAT("ELUTourneeTC",RIGHT(LEFT(C1659,LEN(C1659)-1),2))</f>
        <v>ELUTourneeTC37</v>
      </c>
      <c r="F1659" t="s">
        <v>17</v>
      </c>
      <c r="G1659">
        <f t="shared" si="409"/>
        <v>0</v>
      </c>
      <c r="H1659" s="18"/>
      <c r="J1659" t="s">
        <v>70</v>
      </c>
      <c r="K1659" s="7">
        <v>0.6</v>
      </c>
      <c r="M1659" t="s">
        <v>269</v>
      </c>
    </row>
    <row r="1660" spans="1:13" outlineLevel="1" x14ac:dyDescent="0.25">
      <c r="A1660" t="s">
        <v>266</v>
      </c>
      <c r="B1660" t="s">
        <v>422</v>
      </c>
      <c r="C1660" t="str">
        <f>_xlfn.CONCAT("Distance moyenne d'une tournée"," (",'Remplissage - Sit. Expost'!$B$383,")")</f>
        <v>Distance moyenne d'une tournée (Catégorie 37)</v>
      </c>
      <c r="E1660" t="str">
        <f t="shared" ref="E1660" si="453">_xlfn.CONCAT("ELUTourneeDist",RIGHT(LEFT(C1660,LEN(C1660)-1),2))</f>
        <v>ELUTourneeDist37</v>
      </c>
      <c r="F1660" t="s">
        <v>17</v>
      </c>
      <c r="G1660">
        <f t="shared" si="409"/>
        <v>0</v>
      </c>
      <c r="J1660" t="s">
        <v>88</v>
      </c>
      <c r="K1660">
        <v>15</v>
      </c>
      <c r="M1660" t="s">
        <v>269</v>
      </c>
    </row>
    <row r="1661" spans="1:13" outlineLevel="1" x14ac:dyDescent="0.25">
      <c r="A1661" t="s">
        <v>266</v>
      </c>
      <c r="B1661" t="s">
        <v>422</v>
      </c>
      <c r="C1661" t="str">
        <f>_xlfn.CONCAT("Nombre annuel de tournées"," (",'Remplissage - Sit. Expost'!$B$383,")")</f>
        <v>Nombre annuel de tournées (Catégorie 37)</v>
      </c>
      <c r="E1661" t="str">
        <f t="shared" ref="E1661" si="454">_xlfn.CONCAT("ELUTourneeNb",RIGHT(LEFT(C1661,LEN(C1661)-1),2))</f>
        <v>ELUTourneeNb37</v>
      </c>
      <c r="F1661" t="s">
        <v>17</v>
      </c>
      <c r="G1661">
        <f t="shared" si="409"/>
        <v>0</v>
      </c>
      <c r="J1661" t="s">
        <v>145</v>
      </c>
      <c r="K1661">
        <v>50</v>
      </c>
      <c r="M1661" t="s">
        <v>269</v>
      </c>
    </row>
    <row r="1662" spans="1:13" outlineLevel="1" x14ac:dyDescent="0.25">
      <c r="A1662" t="s">
        <v>266</v>
      </c>
      <c r="B1662" t="s">
        <v>423</v>
      </c>
      <c r="C1662" t="str">
        <f>_xlfn.CONCAT("Taux de chargement moyen des véhicules pour les tournées depuis le ou les ELU"," (",'Remplissage - Sit. Expost'!$B$393,")")</f>
        <v>Taux de chargement moyen des véhicules pour les tournées depuis le ou les ELU (Catégorie 38)</v>
      </c>
      <c r="E1662" t="str">
        <f t="shared" ref="E1662" si="455">_xlfn.CONCAT("ELUTourneeTC",RIGHT(LEFT(C1662,LEN(C1662)-1),2))</f>
        <v>ELUTourneeTC38</v>
      </c>
      <c r="F1662" t="s">
        <v>17</v>
      </c>
      <c r="G1662">
        <f t="shared" si="409"/>
        <v>0</v>
      </c>
      <c r="H1662" s="18"/>
      <c r="J1662" t="s">
        <v>70</v>
      </c>
      <c r="K1662" s="7">
        <v>0.6</v>
      </c>
      <c r="M1662" t="s">
        <v>269</v>
      </c>
    </row>
    <row r="1663" spans="1:13" outlineLevel="1" x14ac:dyDescent="0.25">
      <c r="A1663" t="s">
        <v>266</v>
      </c>
      <c r="B1663" t="s">
        <v>423</v>
      </c>
      <c r="C1663" t="str">
        <f>_xlfn.CONCAT("Distance moyenne d'une tournée"," (",'Remplissage - Sit. Expost'!$B$393,")")</f>
        <v>Distance moyenne d'une tournée (Catégorie 38)</v>
      </c>
      <c r="E1663" t="str">
        <f t="shared" ref="E1663" si="456">_xlfn.CONCAT("ELUTourneeDist",RIGHT(LEFT(C1663,LEN(C1663)-1),2))</f>
        <v>ELUTourneeDist38</v>
      </c>
      <c r="F1663" t="s">
        <v>17</v>
      </c>
      <c r="G1663">
        <f t="shared" si="409"/>
        <v>0</v>
      </c>
      <c r="J1663" t="s">
        <v>88</v>
      </c>
      <c r="K1663">
        <v>15</v>
      </c>
      <c r="M1663" t="s">
        <v>269</v>
      </c>
    </row>
    <row r="1664" spans="1:13" outlineLevel="1" x14ac:dyDescent="0.25">
      <c r="A1664" t="s">
        <v>266</v>
      </c>
      <c r="B1664" t="s">
        <v>423</v>
      </c>
      <c r="C1664" t="str">
        <f>_xlfn.CONCAT("Nombre annuel de tournées"," (",'Remplissage - Sit. Expost'!$B$393,")")</f>
        <v>Nombre annuel de tournées (Catégorie 38)</v>
      </c>
      <c r="E1664" t="str">
        <f t="shared" ref="E1664" si="457">_xlfn.CONCAT("ELUTourneeNb",RIGHT(LEFT(C1664,LEN(C1664)-1),2))</f>
        <v>ELUTourneeNb38</v>
      </c>
      <c r="F1664" t="s">
        <v>17</v>
      </c>
      <c r="G1664">
        <f t="shared" si="409"/>
        <v>0</v>
      </c>
      <c r="J1664" t="s">
        <v>145</v>
      </c>
      <c r="K1664">
        <v>50</v>
      </c>
      <c r="M1664" t="s">
        <v>269</v>
      </c>
    </row>
    <row r="1665" spans="1:13" outlineLevel="1" x14ac:dyDescent="0.25">
      <c r="A1665" t="s">
        <v>266</v>
      </c>
      <c r="B1665" t="s">
        <v>424</v>
      </c>
      <c r="C1665" t="str">
        <f>_xlfn.CONCAT("Taux de chargement moyen des véhicules pour les tournées depuis le ou les ELU"," (",'Remplissage - Sit. Expost'!$B$403,")")</f>
        <v>Taux de chargement moyen des véhicules pour les tournées depuis le ou les ELU (Catégorie 39)</v>
      </c>
      <c r="E1665" t="str">
        <f t="shared" ref="E1665" si="458">_xlfn.CONCAT("ELUTourneeTC",RIGHT(LEFT(C1665,LEN(C1665)-1),2))</f>
        <v>ELUTourneeTC39</v>
      </c>
      <c r="F1665" t="s">
        <v>17</v>
      </c>
      <c r="G1665">
        <f t="shared" si="409"/>
        <v>0</v>
      </c>
      <c r="H1665" s="18"/>
      <c r="J1665" t="s">
        <v>70</v>
      </c>
      <c r="K1665" s="7">
        <v>0.6</v>
      </c>
      <c r="M1665" t="s">
        <v>269</v>
      </c>
    </row>
    <row r="1666" spans="1:13" outlineLevel="1" x14ac:dyDescent="0.25">
      <c r="A1666" t="s">
        <v>266</v>
      </c>
      <c r="B1666" t="s">
        <v>424</v>
      </c>
      <c r="C1666" t="str">
        <f>_xlfn.CONCAT("Distance moyenne d'une tournée"," (",'Remplissage - Sit. Expost'!$B$403,")")</f>
        <v>Distance moyenne d'une tournée (Catégorie 39)</v>
      </c>
      <c r="E1666" t="str">
        <f t="shared" ref="E1666" si="459">_xlfn.CONCAT("ELUTourneeDist",RIGHT(LEFT(C1666,LEN(C1666)-1),2))</f>
        <v>ELUTourneeDist39</v>
      </c>
      <c r="F1666" t="s">
        <v>17</v>
      </c>
      <c r="G1666">
        <f t="shared" si="409"/>
        <v>0</v>
      </c>
      <c r="J1666" t="s">
        <v>88</v>
      </c>
      <c r="K1666">
        <v>15</v>
      </c>
      <c r="M1666" t="s">
        <v>269</v>
      </c>
    </row>
    <row r="1667" spans="1:13" outlineLevel="1" x14ac:dyDescent="0.25">
      <c r="A1667" t="s">
        <v>266</v>
      </c>
      <c r="B1667" t="s">
        <v>424</v>
      </c>
      <c r="C1667" t="str">
        <f>_xlfn.CONCAT("Nombre annuel de tournées"," (",'Remplissage - Sit. Expost'!$B$403,")")</f>
        <v>Nombre annuel de tournées (Catégorie 39)</v>
      </c>
      <c r="E1667" t="str">
        <f t="shared" ref="E1667" si="460">_xlfn.CONCAT("ELUTourneeNb",RIGHT(LEFT(C1667,LEN(C1667)-1),2))</f>
        <v>ELUTourneeNb39</v>
      </c>
      <c r="F1667" t="s">
        <v>17</v>
      </c>
      <c r="G1667">
        <f t="shared" si="409"/>
        <v>0</v>
      </c>
      <c r="J1667" t="s">
        <v>145</v>
      </c>
      <c r="K1667">
        <v>50</v>
      </c>
      <c r="M1667" t="s">
        <v>269</v>
      </c>
    </row>
    <row r="1668" spans="1:13" outlineLevel="1" x14ac:dyDescent="0.25">
      <c r="A1668" t="s">
        <v>266</v>
      </c>
      <c r="B1668" t="s">
        <v>425</v>
      </c>
      <c r="C1668" t="str">
        <f>_xlfn.CONCAT("Taux de chargement moyen des véhicules pour les tournées depuis le ou les ELU"," (",'Remplissage - Sit. Expost'!$B$413,")")</f>
        <v>Taux de chargement moyen des véhicules pour les tournées depuis le ou les ELU (Catégorie 40)</v>
      </c>
      <c r="E1668" t="str">
        <f t="shared" ref="E1668" si="461">_xlfn.CONCAT("ELUTourneeTC",RIGHT(LEFT(C1668,LEN(C1668)-1),2))</f>
        <v>ELUTourneeTC40</v>
      </c>
      <c r="F1668" t="s">
        <v>17</v>
      </c>
      <c r="G1668">
        <f t="shared" si="409"/>
        <v>0</v>
      </c>
      <c r="H1668" s="18"/>
      <c r="J1668" t="s">
        <v>70</v>
      </c>
      <c r="K1668" s="7">
        <v>0.6</v>
      </c>
      <c r="M1668" t="s">
        <v>269</v>
      </c>
    </row>
    <row r="1669" spans="1:13" outlineLevel="1" x14ac:dyDescent="0.25">
      <c r="A1669" t="s">
        <v>266</v>
      </c>
      <c r="B1669" t="s">
        <v>425</v>
      </c>
      <c r="C1669" t="str">
        <f>_xlfn.CONCAT("Distance moyenne d'une tournée"," (",'Remplissage - Sit. Expost'!$B$413,")")</f>
        <v>Distance moyenne d'une tournée (Catégorie 40)</v>
      </c>
      <c r="E1669" t="str">
        <f t="shared" ref="E1669" si="462">_xlfn.CONCAT("ELUTourneeDist",RIGHT(LEFT(C1669,LEN(C1669)-1),2))</f>
        <v>ELUTourneeDist40</v>
      </c>
      <c r="F1669" t="s">
        <v>17</v>
      </c>
      <c r="G1669">
        <f t="shared" si="409"/>
        <v>0</v>
      </c>
      <c r="J1669" t="s">
        <v>88</v>
      </c>
      <c r="K1669">
        <v>15</v>
      </c>
      <c r="M1669" t="s">
        <v>269</v>
      </c>
    </row>
    <row r="1670" spans="1:13" outlineLevel="1" x14ac:dyDescent="0.25">
      <c r="A1670" t="s">
        <v>266</v>
      </c>
      <c r="B1670" t="s">
        <v>425</v>
      </c>
      <c r="C1670" t="str">
        <f>_xlfn.CONCAT("Nombre annuel de tournées"," (",'Remplissage - Sit. Expost'!$B$413,")")</f>
        <v>Nombre annuel de tournées (Catégorie 40)</v>
      </c>
      <c r="E1670" t="str">
        <f t="shared" ref="E1670" si="463">_xlfn.CONCAT("ELUTourneeNb",RIGHT(LEFT(C1670,LEN(C1670)-1),2))</f>
        <v>ELUTourneeNb40</v>
      </c>
      <c r="F1670" t="s">
        <v>17</v>
      </c>
      <c r="G1670">
        <f t="shared" si="409"/>
        <v>0</v>
      </c>
      <c r="J1670" t="s">
        <v>145</v>
      </c>
      <c r="K1670">
        <v>50</v>
      </c>
      <c r="M1670" t="s">
        <v>269</v>
      </c>
    </row>
    <row r="1671" spans="1:13" outlineLevel="1" x14ac:dyDescent="0.25">
      <c r="A1671" t="s">
        <v>266</v>
      </c>
      <c r="B1671" t="s">
        <v>426</v>
      </c>
      <c r="C1671" t="str">
        <f>_xlfn.CONCAT("Taux de chargement moyen des véhicules pour les tournées depuis le ou les ELU"," (",'Remplissage - Sit. Expost'!$B$423,")")</f>
        <v>Taux de chargement moyen des véhicules pour les tournées depuis le ou les ELU (Catégorie 41)</v>
      </c>
      <c r="E1671" t="str">
        <f t="shared" ref="E1671" si="464">_xlfn.CONCAT("ELUTourneeTC",RIGHT(LEFT(C1671,LEN(C1671)-1),2))</f>
        <v>ELUTourneeTC41</v>
      </c>
      <c r="F1671" t="s">
        <v>17</v>
      </c>
      <c r="G1671">
        <f t="shared" si="409"/>
        <v>0</v>
      </c>
      <c r="H1671" s="18"/>
      <c r="J1671" t="s">
        <v>70</v>
      </c>
      <c r="K1671" s="7">
        <v>0.6</v>
      </c>
      <c r="M1671" t="s">
        <v>269</v>
      </c>
    </row>
    <row r="1672" spans="1:13" outlineLevel="1" x14ac:dyDescent="0.25">
      <c r="A1672" t="s">
        <v>266</v>
      </c>
      <c r="B1672" t="s">
        <v>426</v>
      </c>
      <c r="C1672" t="str">
        <f>_xlfn.CONCAT("Distance moyenne d'une tournée"," (",'Remplissage - Sit. Expost'!$B$423,")")</f>
        <v>Distance moyenne d'une tournée (Catégorie 41)</v>
      </c>
      <c r="E1672" t="str">
        <f t="shared" ref="E1672" si="465">_xlfn.CONCAT("ELUTourneeDist",RIGHT(LEFT(C1672,LEN(C1672)-1),2))</f>
        <v>ELUTourneeDist41</v>
      </c>
      <c r="F1672" t="s">
        <v>17</v>
      </c>
      <c r="G1672">
        <f t="shared" si="409"/>
        <v>0</v>
      </c>
      <c r="J1672" t="s">
        <v>88</v>
      </c>
      <c r="K1672">
        <v>15</v>
      </c>
      <c r="M1672" t="s">
        <v>269</v>
      </c>
    </row>
    <row r="1673" spans="1:13" outlineLevel="1" x14ac:dyDescent="0.25">
      <c r="A1673" t="s">
        <v>266</v>
      </c>
      <c r="B1673" t="s">
        <v>426</v>
      </c>
      <c r="C1673" t="str">
        <f>_xlfn.CONCAT("Nombre annuel de tournées"," (",'Remplissage - Sit. Expost'!$B$423,")")</f>
        <v>Nombre annuel de tournées (Catégorie 41)</v>
      </c>
      <c r="E1673" t="str">
        <f t="shared" ref="E1673" si="466">_xlfn.CONCAT("ELUTourneeNb",RIGHT(LEFT(C1673,LEN(C1673)-1),2))</f>
        <v>ELUTourneeNb41</v>
      </c>
      <c r="F1673" t="s">
        <v>17</v>
      </c>
      <c r="G1673">
        <f t="shared" si="409"/>
        <v>0</v>
      </c>
      <c r="J1673" t="s">
        <v>145</v>
      </c>
      <c r="K1673">
        <v>50</v>
      </c>
      <c r="M1673" t="s">
        <v>269</v>
      </c>
    </row>
    <row r="1674" spans="1:13" outlineLevel="1" x14ac:dyDescent="0.25">
      <c r="A1674" t="s">
        <v>266</v>
      </c>
      <c r="B1674" t="s">
        <v>427</v>
      </c>
      <c r="C1674" t="str">
        <f>_xlfn.CONCAT("Taux de chargement moyen des véhicules pour les tournées depuis le ou les ELU"," (",'Remplissage - Sit. Expost'!$B$433,")")</f>
        <v>Taux de chargement moyen des véhicules pour les tournées depuis le ou les ELU (Catégorie 42)</v>
      </c>
      <c r="E1674" t="str">
        <f t="shared" ref="E1674" si="467">_xlfn.CONCAT("ELUTourneeTC",RIGHT(LEFT(C1674,LEN(C1674)-1),2))</f>
        <v>ELUTourneeTC42</v>
      </c>
      <c r="F1674" t="s">
        <v>17</v>
      </c>
      <c r="G1674">
        <f t="shared" si="409"/>
        <v>0</v>
      </c>
      <c r="H1674" s="18"/>
      <c r="J1674" t="s">
        <v>70</v>
      </c>
      <c r="K1674" s="7">
        <v>0.6</v>
      </c>
      <c r="M1674" t="s">
        <v>269</v>
      </c>
    </row>
    <row r="1675" spans="1:13" outlineLevel="1" x14ac:dyDescent="0.25">
      <c r="A1675" t="s">
        <v>266</v>
      </c>
      <c r="B1675" t="s">
        <v>427</v>
      </c>
      <c r="C1675" t="str">
        <f>_xlfn.CONCAT("Distance moyenne d'une tournée"," (",'Remplissage - Sit. Expost'!$B$433,")")</f>
        <v>Distance moyenne d'une tournée (Catégorie 42)</v>
      </c>
      <c r="E1675" t="str">
        <f t="shared" ref="E1675" si="468">_xlfn.CONCAT("ELUTourneeDist",RIGHT(LEFT(C1675,LEN(C1675)-1),2))</f>
        <v>ELUTourneeDist42</v>
      </c>
      <c r="F1675" t="s">
        <v>17</v>
      </c>
      <c r="G1675">
        <f t="shared" si="409"/>
        <v>0</v>
      </c>
      <c r="J1675" t="s">
        <v>88</v>
      </c>
      <c r="K1675">
        <v>15</v>
      </c>
      <c r="M1675" t="s">
        <v>269</v>
      </c>
    </row>
    <row r="1676" spans="1:13" outlineLevel="1" x14ac:dyDescent="0.25">
      <c r="A1676" t="s">
        <v>266</v>
      </c>
      <c r="B1676" t="s">
        <v>427</v>
      </c>
      <c r="C1676" t="str">
        <f>_xlfn.CONCAT("Nombre annuel de tournées"," (",'Remplissage - Sit. Expost'!$B$433,")")</f>
        <v>Nombre annuel de tournées (Catégorie 42)</v>
      </c>
      <c r="E1676" t="str">
        <f t="shared" ref="E1676" si="469">_xlfn.CONCAT("ELUTourneeNb",RIGHT(LEFT(C1676,LEN(C1676)-1),2))</f>
        <v>ELUTourneeNb42</v>
      </c>
      <c r="F1676" t="s">
        <v>17</v>
      </c>
      <c r="G1676">
        <f t="shared" si="409"/>
        <v>0</v>
      </c>
      <c r="J1676" t="s">
        <v>145</v>
      </c>
      <c r="K1676">
        <v>50</v>
      </c>
      <c r="M1676" t="s">
        <v>269</v>
      </c>
    </row>
    <row r="1677" spans="1:13" outlineLevel="1" x14ac:dyDescent="0.25">
      <c r="A1677" t="s">
        <v>266</v>
      </c>
      <c r="B1677" t="s">
        <v>428</v>
      </c>
      <c r="C1677" t="str">
        <f>_xlfn.CONCAT("Taux de chargement moyen des véhicules pour les tournées depuis le ou les ELU"," (",'Remplissage - Sit. Expost'!$B$443,")")</f>
        <v>Taux de chargement moyen des véhicules pour les tournées depuis le ou les ELU (Catégorie 43)</v>
      </c>
      <c r="E1677" t="str">
        <f t="shared" ref="E1677" si="470">_xlfn.CONCAT("ELUTourneeTC",RIGHT(LEFT(C1677,LEN(C1677)-1),2))</f>
        <v>ELUTourneeTC43</v>
      </c>
      <c r="F1677" t="s">
        <v>17</v>
      </c>
      <c r="G1677">
        <f t="shared" si="409"/>
        <v>0</v>
      </c>
      <c r="H1677" s="18"/>
      <c r="J1677" t="s">
        <v>70</v>
      </c>
      <c r="K1677" s="7">
        <v>0.6</v>
      </c>
      <c r="M1677" t="s">
        <v>269</v>
      </c>
    </row>
    <row r="1678" spans="1:13" outlineLevel="1" x14ac:dyDescent="0.25">
      <c r="A1678" t="s">
        <v>266</v>
      </c>
      <c r="B1678" t="s">
        <v>428</v>
      </c>
      <c r="C1678" t="str">
        <f>_xlfn.CONCAT("Distance moyenne d'une tournée"," (",'Remplissage - Sit. Expost'!$B$443,")")</f>
        <v>Distance moyenne d'une tournée (Catégorie 43)</v>
      </c>
      <c r="E1678" t="str">
        <f t="shared" ref="E1678" si="471">_xlfn.CONCAT("ELUTourneeDist",RIGHT(LEFT(C1678,LEN(C1678)-1),2))</f>
        <v>ELUTourneeDist43</v>
      </c>
      <c r="F1678" t="s">
        <v>17</v>
      </c>
      <c r="G1678">
        <f t="shared" si="409"/>
        <v>0</v>
      </c>
      <c r="J1678" t="s">
        <v>88</v>
      </c>
      <c r="K1678">
        <v>15</v>
      </c>
      <c r="M1678" t="s">
        <v>269</v>
      </c>
    </row>
    <row r="1679" spans="1:13" outlineLevel="1" x14ac:dyDescent="0.25">
      <c r="A1679" t="s">
        <v>266</v>
      </c>
      <c r="B1679" t="s">
        <v>428</v>
      </c>
      <c r="C1679" t="str">
        <f>_xlfn.CONCAT("Nombre annuel de tournées"," (",'Remplissage - Sit. Expost'!$B$443,")")</f>
        <v>Nombre annuel de tournées (Catégorie 43)</v>
      </c>
      <c r="E1679" t="str">
        <f t="shared" ref="E1679" si="472">_xlfn.CONCAT("ELUTourneeNb",RIGHT(LEFT(C1679,LEN(C1679)-1),2))</f>
        <v>ELUTourneeNb43</v>
      </c>
      <c r="F1679" t="s">
        <v>17</v>
      </c>
      <c r="G1679">
        <f t="shared" si="409"/>
        <v>0</v>
      </c>
      <c r="J1679" t="s">
        <v>145</v>
      </c>
      <c r="K1679">
        <v>50</v>
      </c>
      <c r="M1679" t="s">
        <v>269</v>
      </c>
    </row>
    <row r="1680" spans="1:13" outlineLevel="1" x14ac:dyDescent="0.25">
      <c r="A1680" t="s">
        <v>266</v>
      </c>
      <c r="B1680" t="s">
        <v>429</v>
      </c>
      <c r="C1680" t="str">
        <f>_xlfn.CONCAT("Taux de chargement moyen des véhicules pour les tournées depuis le ou les ELU"," (",'Remplissage - Sit. Expost'!$B$453,")")</f>
        <v>Taux de chargement moyen des véhicules pour les tournées depuis le ou les ELU (Catégorie 44)</v>
      </c>
      <c r="E1680" t="str">
        <f t="shared" ref="E1680" si="473">_xlfn.CONCAT("ELUTourneeTC",RIGHT(LEFT(C1680,LEN(C1680)-1),2))</f>
        <v>ELUTourneeTC44</v>
      </c>
      <c r="F1680" t="s">
        <v>17</v>
      </c>
      <c r="G1680">
        <f t="shared" ref="G1680:G1685" si="474">IF(ISNUMBER(SEARCH($B1680,$H$1546)),1,0)</f>
        <v>1</v>
      </c>
      <c r="H1680" s="18"/>
      <c r="J1680" t="s">
        <v>70</v>
      </c>
      <c r="K1680" s="7">
        <v>0.6</v>
      </c>
      <c r="M1680" t="s">
        <v>269</v>
      </c>
    </row>
    <row r="1681" spans="1:13" outlineLevel="1" x14ac:dyDescent="0.25">
      <c r="A1681" t="s">
        <v>266</v>
      </c>
      <c r="B1681" t="s">
        <v>429</v>
      </c>
      <c r="C1681" t="str">
        <f>_xlfn.CONCAT("Distance moyenne d'une tournée"," (",'Remplissage - Sit. Expost'!$B$453,")")</f>
        <v>Distance moyenne d'une tournée (Catégorie 44)</v>
      </c>
      <c r="E1681" t="str">
        <f t="shared" ref="E1681" si="475">_xlfn.CONCAT("ELUTourneeDist",RIGHT(LEFT(C1681,LEN(C1681)-1),2))</f>
        <v>ELUTourneeDist44</v>
      </c>
      <c r="F1681" t="s">
        <v>17</v>
      </c>
      <c r="G1681">
        <f t="shared" si="474"/>
        <v>1</v>
      </c>
      <c r="J1681" t="s">
        <v>88</v>
      </c>
      <c r="K1681">
        <v>15</v>
      </c>
      <c r="M1681" t="s">
        <v>269</v>
      </c>
    </row>
    <row r="1682" spans="1:13" outlineLevel="1" x14ac:dyDescent="0.25">
      <c r="A1682" t="s">
        <v>266</v>
      </c>
      <c r="B1682" t="s">
        <v>429</v>
      </c>
      <c r="C1682" t="str">
        <f>_xlfn.CONCAT("Nombre annuel de tournées"," (",'Remplissage - Sit. Expost'!$B$453,")")</f>
        <v>Nombre annuel de tournées (Catégorie 44)</v>
      </c>
      <c r="E1682" t="str">
        <f t="shared" ref="E1682" si="476">_xlfn.CONCAT("ELUTourneeNb",RIGHT(LEFT(C1682,LEN(C1682)-1),2))</f>
        <v>ELUTourneeNb44</v>
      </c>
      <c r="F1682" t="s">
        <v>17</v>
      </c>
      <c r="G1682">
        <f t="shared" si="474"/>
        <v>1</v>
      </c>
      <c r="J1682" t="s">
        <v>145</v>
      </c>
      <c r="K1682">
        <v>50</v>
      </c>
      <c r="M1682" t="s">
        <v>269</v>
      </c>
    </row>
    <row r="1683" spans="1:13" outlineLevel="1" x14ac:dyDescent="0.25">
      <c r="A1683" t="s">
        <v>266</v>
      </c>
      <c r="B1683" t="s">
        <v>387</v>
      </c>
      <c r="C1683" t="str">
        <f>_xlfn.CONCAT("Taux de chargement moyen des véhicules pour les tournées depuis le ou les ELU"," (",'Remplissage - Sit. Expost'!$B$463,")")</f>
        <v>Taux de chargement moyen des véhicules pour les tournées depuis le ou les ELU (Catégorie 45)</v>
      </c>
      <c r="E1683" t="str">
        <f t="shared" ref="E1683" si="477">_xlfn.CONCAT("ELUTourneeTC",RIGHT(LEFT(C1683,LEN(C1683)-1),2))</f>
        <v>ELUTourneeTC45</v>
      </c>
      <c r="F1683" t="s">
        <v>17</v>
      </c>
      <c r="G1683">
        <f t="shared" si="474"/>
        <v>0</v>
      </c>
      <c r="H1683" s="18"/>
      <c r="J1683" t="s">
        <v>70</v>
      </c>
      <c r="K1683" s="7">
        <v>0.6</v>
      </c>
      <c r="M1683" t="s">
        <v>269</v>
      </c>
    </row>
    <row r="1684" spans="1:13" outlineLevel="1" x14ac:dyDescent="0.25">
      <c r="A1684" t="s">
        <v>266</v>
      </c>
      <c r="B1684" t="s">
        <v>387</v>
      </c>
      <c r="C1684" t="str">
        <f>_xlfn.CONCAT("Distance moyenne d'une tournée"," (",'Remplissage - Sit. Expost'!$B$463,")")</f>
        <v>Distance moyenne d'une tournée (Catégorie 45)</v>
      </c>
      <c r="E1684" t="str">
        <f t="shared" ref="E1684" si="478">_xlfn.CONCAT("ELUTourneeDist",RIGHT(LEFT(C1684,LEN(C1684)-1),2))</f>
        <v>ELUTourneeDist45</v>
      </c>
      <c r="F1684" t="s">
        <v>17</v>
      </c>
      <c r="G1684">
        <f t="shared" si="474"/>
        <v>0</v>
      </c>
      <c r="J1684" t="s">
        <v>88</v>
      </c>
      <c r="K1684">
        <v>15</v>
      </c>
      <c r="M1684" t="s">
        <v>269</v>
      </c>
    </row>
    <row r="1685" spans="1:13" outlineLevel="1" x14ac:dyDescent="0.25">
      <c r="A1685" t="s">
        <v>266</v>
      </c>
      <c r="B1685" t="s">
        <v>387</v>
      </c>
      <c r="C1685" t="str">
        <f>_xlfn.CONCAT("Nombre annuel de tournées"," (",'Remplissage - Sit. Expost'!$B$463,")")</f>
        <v>Nombre annuel de tournées (Catégorie 45)</v>
      </c>
      <c r="E1685" t="str">
        <f t="shared" ref="E1685" si="479">_xlfn.CONCAT("ELUTourneeNb",RIGHT(LEFT(C1685,LEN(C1685)-1),2))</f>
        <v>ELUTourneeNb45</v>
      </c>
      <c r="F1685" t="s">
        <v>17</v>
      </c>
      <c r="G1685">
        <f t="shared" si="474"/>
        <v>0</v>
      </c>
      <c r="J1685" t="s">
        <v>145</v>
      </c>
      <c r="K1685">
        <v>50</v>
      </c>
      <c r="M1685" t="s">
        <v>269</v>
      </c>
    </row>
    <row r="1686" spans="1:13" outlineLevel="1" x14ac:dyDescent="0.25">
      <c r="A1686" t="s">
        <v>266</v>
      </c>
      <c r="B1686" t="s">
        <v>495</v>
      </c>
      <c r="C1686" t="s">
        <v>499</v>
      </c>
      <c r="E1686" t="s">
        <v>498</v>
      </c>
      <c r="F1686" t="s">
        <v>17</v>
      </c>
      <c r="G1686">
        <f>IF(ISNUMBER(SEARCH('Remplissage - Sit. Expost'!$H$127,$H$2234)),1,0)</f>
        <v>1</v>
      </c>
      <c r="H1686" s="18"/>
      <c r="J1686" t="s">
        <v>70</v>
      </c>
      <c r="K1686" s="7">
        <v>0.6</v>
      </c>
      <c r="M1686" t="s">
        <v>269</v>
      </c>
    </row>
    <row r="1687" spans="1:13" outlineLevel="1" x14ac:dyDescent="0.25">
      <c r="A1687" t="s">
        <v>266</v>
      </c>
      <c r="B1687" t="s">
        <v>495</v>
      </c>
      <c r="C1687" t="s">
        <v>497</v>
      </c>
      <c r="E1687" t="s">
        <v>496</v>
      </c>
      <c r="F1687" t="s">
        <v>17</v>
      </c>
      <c r="G1687">
        <f>(IF(ISNUMBER(SEARCH('Remplissage - Sit. Expost'!$H$127,$H$2234)),1,0))*(IF(ISNUMBER(SEARCH("La distance totale parcourue",#REF!)),1,0))</f>
        <v>0</v>
      </c>
      <c r="J1687" t="s">
        <v>88</v>
      </c>
      <c r="K1687">
        <v>50</v>
      </c>
      <c r="M1687" t="s">
        <v>269</v>
      </c>
    </row>
    <row r="1688" spans="1:13" outlineLevel="1" x14ac:dyDescent="0.25">
      <c r="A1688" t="s">
        <v>266</v>
      </c>
      <c r="B1688" t="s">
        <v>495</v>
      </c>
      <c r="C1688" t="s">
        <v>494</v>
      </c>
      <c r="E1688" t="s">
        <v>493</v>
      </c>
      <c r="F1688" t="s">
        <v>17</v>
      </c>
      <c r="G1688">
        <f>(IF(ISNUMBER(SEARCH('Remplissage - Sit. Expost'!$H$127,$H$2234)),1,0))*(IF(ISNUMBER(SEARCH("La distance moyenne d'un trajet et le nombre de trajets",#REF!)),1,0))</f>
        <v>0</v>
      </c>
      <c r="J1688" t="s">
        <v>145</v>
      </c>
      <c r="K1688">
        <v>100</v>
      </c>
      <c r="M1688" t="s">
        <v>269</v>
      </c>
    </row>
    <row r="1689" spans="1:13" x14ac:dyDescent="0.25">
      <c r="A1689" t="s">
        <v>284</v>
      </c>
      <c r="C1689" t="s">
        <v>285</v>
      </c>
      <c r="E1689" t="s">
        <v>286</v>
      </c>
      <c r="F1689" t="s">
        <v>60</v>
      </c>
      <c r="G1689">
        <f>IF(OR(ISNUMBER(SEARCH("C4",$H$18)),ISNUMBER(SEARCH("C4",$H$17))),1,0)</f>
        <v>1</v>
      </c>
      <c r="H1689" t="s">
        <v>433</v>
      </c>
      <c r="I1689" t="e">
        <f>_xlfn.CONCAT('Remplissage - Sit. Expost'!$H$45,",",'Remplissage - Sit. Expost'!$H$54,",",'Remplissage - Sit. Expost'!$H$63,",",'Remplissage - Sit. Expost'!#REF!,",",'Remplissage - Sit. Expost'!$H$82,",",'Remplissage - Sit. Expost'!$H$91,",",'Remplissage - Sit. Expost'!$H$100,",",'Remplissage - Sit. Expost'!$H$109,",",'Remplissage - Sit. Expost'!$H$118,",",'Remplissage - Sit. Expost'!$H$127)</f>
        <v>#REF!</v>
      </c>
      <c r="M1689" t="s">
        <v>288</v>
      </c>
    </row>
    <row r="1690" spans="1:13" x14ac:dyDescent="0.25">
      <c r="A1690" t="s">
        <v>284</v>
      </c>
      <c r="C1690" t="s">
        <v>492</v>
      </c>
      <c r="E1690" t="s">
        <v>290</v>
      </c>
      <c r="F1690" t="s">
        <v>36</v>
      </c>
      <c r="G1690">
        <f>IF(OR(ISNUMBER(SEARCH("C3",$H$18)),ISNUMBER(SEARCH("C3",$H$17))),1,0)</f>
        <v>1</v>
      </c>
      <c r="H1690" t="s">
        <v>291</v>
      </c>
      <c r="I1690" t="s">
        <v>243</v>
      </c>
      <c r="M1690" t="s">
        <v>288</v>
      </c>
    </row>
    <row r="1691" spans="1:13" x14ac:dyDescent="0.25">
      <c r="A1691" t="s">
        <v>284</v>
      </c>
      <c r="C1691" t="s">
        <v>240</v>
      </c>
      <c r="E1691" t="s">
        <v>292</v>
      </c>
      <c r="F1691" t="s">
        <v>36</v>
      </c>
      <c r="G1691">
        <f>IF(OR(ISNUMBER(SEARCH("C4",$H$18)),ISNUMBER(SEARCH("C4",$H$17))),1,0)</f>
        <v>1</v>
      </c>
      <c r="H1691" t="s">
        <v>273</v>
      </c>
      <c r="I1691" t="s">
        <v>274</v>
      </c>
      <c r="M1691" t="s">
        <v>288</v>
      </c>
    </row>
    <row r="1692" spans="1:13" x14ac:dyDescent="0.25">
      <c r="A1692" t="s">
        <v>284</v>
      </c>
      <c r="C1692" t="s">
        <v>275</v>
      </c>
      <c r="E1692" t="s">
        <v>293</v>
      </c>
      <c r="F1692" t="s">
        <v>17</v>
      </c>
      <c r="G1692">
        <f>IF($H$1405="Proposer un ordre de grandeur commun à toutes les catégories de véhicules",1,0)</f>
        <v>1</v>
      </c>
      <c r="H1692">
        <v>70</v>
      </c>
      <c r="J1692" t="s">
        <v>88</v>
      </c>
      <c r="M1692" t="s">
        <v>288</v>
      </c>
    </row>
    <row r="1693" spans="1:13" x14ac:dyDescent="0.25">
      <c r="A1693" t="s">
        <v>284</v>
      </c>
      <c r="C1693" t="s">
        <v>294</v>
      </c>
      <c r="E1693" t="s">
        <v>295</v>
      </c>
      <c r="F1693" t="s">
        <v>17</v>
      </c>
      <c r="G1693">
        <f>IF($H$1405="Proposer un ordre de grandeur commun à toutes les catégories de véhicules",1,0)</f>
        <v>1</v>
      </c>
      <c r="H1693" s="18">
        <v>0.2</v>
      </c>
      <c r="J1693" t="s">
        <v>70</v>
      </c>
      <c r="M1693" t="s">
        <v>288</v>
      </c>
    </row>
    <row r="1694" spans="1:13" x14ac:dyDescent="0.25">
      <c r="A1694" t="s">
        <v>284</v>
      </c>
      <c r="C1694" t="s">
        <v>279</v>
      </c>
      <c r="E1694" t="s">
        <v>296</v>
      </c>
      <c r="F1694" t="s">
        <v>17</v>
      </c>
      <c r="G1694">
        <f>IF($H$1405="Proposer un ordre de grandeur commun à toutes les catégories de véhicules",1,0)</f>
        <v>1</v>
      </c>
      <c r="H1694">
        <v>8</v>
      </c>
      <c r="J1694" t="s">
        <v>148</v>
      </c>
      <c r="M1694" t="s">
        <v>288</v>
      </c>
    </row>
    <row r="1695" spans="1:13" x14ac:dyDescent="0.25">
      <c r="A1695" t="s">
        <v>284</v>
      </c>
      <c r="C1695" t="s">
        <v>281</v>
      </c>
      <c r="E1695" t="s">
        <v>297</v>
      </c>
      <c r="F1695" t="s">
        <v>17</v>
      </c>
      <c r="G1695">
        <f>IF($H$1405="Proposer un ordre de grandeur commun à toutes les catégories de véhicules",1,0)</f>
        <v>1</v>
      </c>
      <c r="H1695">
        <v>60</v>
      </c>
      <c r="J1695" t="s">
        <v>283</v>
      </c>
      <c r="M1695" t="s">
        <v>288</v>
      </c>
    </row>
    <row r="1696" spans="1:13" x14ac:dyDescent="0.25">
      <c r="A1696" t="s">
        <v>284</v>
      </c>
      <c r="C1696" t="s">
        <v>491</v>
      </c>
      <c r="E1696" t="s">
        <v>490</v>
      </c>
      <c r="F1696" t="s">
        <v>17</v>
      </c>
      <c r="G1696">
        <f>IF($H$1405="Proposer un ordre de grandeur commun à toutes les catégories de véhicules",1,0)</f>
        <v>1</v>
      </c>
      <c r="H1696" s="3">
        <v>0.4</v>
      </c>
      <c r="J1696" t="s">
        <v>70</v>
      </c>
      <c r="M1696" t="s">
        <v>288</v>
      </c>
    </row>
    <row r="1697" spans="1:13" x14ac:dyDescent="0.25">
      <c r="A1697" t="s">
        <v>284</v>
      </c>
      <c r="B1697">
        <f>'Remplissage - Sit. Expost'!$H$45</f>
        <v>0</v>
      </c>
      <c r="C1697" t="s">
        <v>1772</v>
      </c>
      <c r="E1697" t="str">
        <f>_xlfn.CONCAT("LivrNuitTourneeDist",RIGHT(LEFT(C1697,LEN(C1697)-1),1))</f>
        <v>LivrNuitTourneeDist1</v>
      </c>
      <c r="F1697" t="s">
        <v>17</v>
      </c>
      <c r="G1697">
        <f>IF($H$1690="Par catégorie de véhicule sélectionnée (meilleure précision)",1,0)*IF(ISNUMBER(SEARCH(B1697,$H$1689)),1,0)</f>
        <v>0</v>
      </c>
      <c r="J1697" t="s">
        <v>88</v>
      </c>
      <c r="M1697" t="s">
        <v>288</v>
      </c>
    </row>
    <row r="1698" spans="1:13" x14ac:dyDescent="0.25">
      <c r="A1698" t="s">
        <v>284</v>
      </c>
      <c r="B1698">
        <f>'Remplissage - Sit. Expost'!$H$45</f>
        <v>0</v>
      </c>
      <c r="C1698" t="s">
        <v>1773</v>
      </c>
      <c r="E1698" t="str">
        <f>_xlfn.CONCAT("LivrNuitTourneeTC",RIGHT(LEFT(C1698,LEN(C1698)-1),1))</f>
        <v>LivrNuitTourneeTC1</v>
      </c>
      <c r="F1698" t="s">
        <v>17</v>
      </c>
      <c r="G1698">
        <f>IF($H$1690="Par catégorie de véhicule sélectionnée (meilleure précision)",1,0)*IF(ISNUMBER(SEARCH(B1698,$H$1689)),1,0)</f>
        <v>0</v>
      </c>
      <c r="H1698" s="3"/>
      <c r="J1698" t="s">
        <v>70</v>
      </c>
      <c r="M1698" t="s">
        <v>288</v>
      </c>
    </row>
    <row r="1699" spans="1:13" x14ac:dyDescent="0.25">
      <c r="A1699" t="s">
        <v>284</v>
      </c>
      <c r="B1699">
        <f>'Remplissage - Sit. Expost'!$H$45</f>
        <v>0</v>
      </c>
      <c r="C1699" t="s">
        <v>1774</v>
      </c>
      <c r="E1699" t="str">
        <f>_xlfn.CONCAT("LivrNuitTourneeMasse",RIGHT(LEFT(C1699,LEN(C1699)-1),1))</f>
        <v>LivrNuitTourneeMasse1</v>
      </c>
      <c r="F1699" t="s">
        <v>17</v>
      </c>
      <c r="G1699">
        <f>IF($H$1690="Proposer un ordre de grandeur commun à toutes les catégories de véhicules",1,0)*IF(ISNUMBER(SEARCH(B1699,$H$1689)),1,0)</f>
        <v>0</v>
      </c>
      <c r="J1699" t="s">
        <v>148</v>
      </c>
      <c r="M1699" t="s">
        <v>288</v>
      </c>
    </row>
    <row r="1700" spans="1:13" x14ac:dyDescent="0.25">
      <c r="A1700" t="s">
        <v>284</v>
      </c>
      <c r="B1700">
        <f>'Remplissage - Sit. Expost'!$H$45</f>
        <v>0</v>
      </c>
      <c r="C1700" t="s">
        <v>1775</v>
      </c>
      <c r="E1700" t="str">
        <f>_xlfn.CONCAT("LivrNuitTourneeNb",RIGHT(LEFT(C1700,LEN(C1700)-1),1))</f>
        <v>LivrNuitTourneeNb1</v>
      </c>
      <c r="F1700" t="s">
        <v>17</v>
      </c>
      <c r="G1700">
        <f>IF($H$1690="Proposer un ordre de grandeur commun à toutes les catégories de véhicules",1,0)*IF(ISNUMBER(SEARCH(B1700,$H$1689)),1,0)</f>
        <v>0</v>
      </c>
      <c r="J1700" t="s">
        <v>283</v>
      </c>
      <c r="M1700" t="s">
        <v>288</v>
      </c>
    </row>
    <row r="1701" spans="1:13" x14ac:dyDescent="0.25">
      <c r="A1701" t="s">
        <v>284</v>
      </c>
      <c r="B1701">
        <f>'Remplissage - Sit. Expost'!$H$45</f>
        <v>0</v>
      </c>
      <c r="C1701" t="s">
        <v>1776</v>
      </c>
      <c r="E1701" t="str">
        <f>_xlfn.CONCAT("LivrNuitTourneePassNuit",RIGHT(LEFT(C1701,LEN(C1701)-1),1))</f>
        <v>LivrNuitTourneePassNuit1</v>
      </c>
      <c r="F1701" t="s">
        <v>17</v>
      </c>
      <c r="G1701">
        <f>IF($H$1690="Par catégorie de véhicule sélectionnée (meilleure précision)",1,0)*IF(ISNUMBER(SEARCH(B1701,$H$1689)),1,0)</f>
        <v>0</v>
      </c>
      <c r="H1701" s="3"/>
      <c r="J1701" t="s">
        <v>70</v>
      </c>
      <c r="M1701" t="s">
        <v>288</v>
      </c>
    </row>
    <row r="1702" spans="1:13" outlineLevel="1" x14ac:dyDescent="0.25">
      <c r="A1702" t="s">
        <v>284</v>
      </c>
      <c r="B1702">
        <f>'Remplissage - Sit. Expost'!$H$54</f>
        <v>0</v>
      </c>
      <c r="C1702" t="s">
        <v>1777</v>
      </c>
      <c r="E1702" t="str">
        <f>_xlfn.CONCAT("LivrNuitTourneeDist",RIGHT(LEFT(C1702,LEN(C1702)-1),1))</f>
        <v>LivrNuitTourneeDist2</v>
      </c>
      <c r="F1702" t="s">
        <v>17</v>
      </c>
      <c r="G1702">
        <f>IF($H$1690="Par catégorie de véhicule sélectionnée (meilleure précision)",1,0)*IF(ISNUMBER(SEARCH(B1702,$H$1689)),1,0)</f>
        <v>0</v>
      </c>
      <c r="H1702">
        <v>40</v>
      </c>
      <c r="J1702" t="s">
        <v>88</v>
      </c>
      <c r="M1702" t="s">
        <v>288</v>
      </c>
    </row>
    <row r="1703" spans="1:13" outlineLevel="1" x14ac:dyDescent="0.25">
      <c r="A1703" t="s">
        <v>284</v>
      </c>
      <c r="B1703">
        <f>'Remplissage - Sit. Expost'!$H$54</f>
        <v>0</v>
      </c>
      <c r="C1703" t="s">
        <v>1778</v>
      </c>
      <c r="E1703" t="str">
        <f>_xlfn.CONCAT("LivrNuitTourneeTC",RIGHT(LEFT(C1703,LEN(C1703)-1),1))</f>
        <v>LivrNuitTourneeTC2</v>
      </c>
      <c r="F1703" t="s">
        <v>17</v>
      </c>
      <c r="G1703">
        <f>IF($H$1690="Proposer un ordre de grandeur commun à toutes les catégories de véhicules",1,0)*IF(ISNUMBER(SEARCH(B1703,$H$1689)),1,0)</f>
        <v>0</v>
      </c>
      <c r="H1703" s="3">
        <v>0.6</v>
      </c>
      <c r="J1703" t="s">
        <v>70</v>
      </c>
      <c r="M1703" t="s">
        <v>288</v>
      </c>
    </row>
    <row r="1704" spans="1:13" outlineLevel="1" x14ac:dyDescent="0.25">
      <c r="A1704" t="s">
        <v>284</v>
      </c>
      <c r="B1704">
        <f>'Remplissage - Sit. Expost'!$H$54</f>
        <v>0</v>
      </c>
      <c r="C1704" t="s">
        <v>1779</v>
      </c>
      <c r="E1704" t="str">
        <f>_xlfn.CONCAT("LivrNuitTourneeMasse",RIGHT(LEFT(C1704,LEN(C1704)-1),1))</f>
        <v>LivrNuitTourneeMasse2</v>
      </c>
      <c r="F1704" t="s">
        <v>17</v>
      </c>
      <c r="G1704">
        <f>IF($H$1690="Proposer un ordre de grandeur commun à toutes les catégories de véhicules",1,0)*IF(ISNUMBER(SEARCH(B1704,$H$1689)),1,0)</f>
        <v>0</v>
      </c>
      <c r="H1704">
        <v>40</v>
      </c>
      <c r="J1704" t="s">
        <v>148</v>
      </c>
      <c r="M1704" t="s">
        <v>288</v>
      </c>
    </row>
    <row r="1705" spans="1:13" outlineLevel="1" x14ac:dyDescent="0.25">
      <c r="A1705" t="s">
        <v>284</v>
      </c>
      <c r="B1705">
        <f>'Remplissage - Sit. Expost'!$H$54</f>
        <v>0</v>
      </c>
      <c r="C1705" t="s">
        <v>1780</v>
      </c>
      <c r="E1705" t="str">
        <f>_xlfn.CONCAT("LivrNuitTourneeNb",RIGHT(LEFT(C1705,LEN(C1705)-1),1))</f>
        <v>LivrNuitTourneeNb2</v>
      </c>
      <c r="F1705" t="s">
        <v>17</v>
      </c>
      <c r="G1705">
        <f>IF($H$1690="Proposer un ordre de grandeur commun à toutes les catégories de véhicules",1,0)*IF(ISNUMBER(SEARCH(B1705,$H$1689)),1,0)</f>
        <v>0</v>
      </c>
      <c r="H1705">
        <v>200</v>
      </c>
      <c r="J1705" t="s">
        <v>283</v>
      </c>
      <c r="M1705" t="s">
        <v>288</v>
      </c>
    </row>
    <row r="1706" spans="1:13" outlineLevel="1" x14ac:dyDescent="0.25">
      <c r="A1706" t="s">
        <v>284</v>
      </c>
      <c r="B1706">
        <f>'Remplissage - Sit. Expost'!$H$54</f>
        <v>0</v>
      </c>
      <c r="C1706" t="s">
        <v>1781</v>
      </c>
      <c r="E1706" t="str">
        <f>_xlfn.CONCAT("LivrNuitTourneePassNuit",RIGHT(LEFT(C1706,LEN(C1706)-1),1))</f>
        <v>LivrNuitTourneePassNuit2</v>
      </c>
      <c r="F1706" t="s">
        <v>17</v>
      </c>
      <c r="G1706">
        <f>IF($H$1690="Par catégorie de véhicule sélectionnée (meilleure précision)",1,0)*IF(ISNUMBER(SEARCH(B1706,$H$1689)),1,0)</f>
        <v>0</v>
      </c>
      <c r="H1706" s="3">
        <v>0.5</v>
      </c>
      <c r="J1706" t="s">
        <v>70</v>
      </c>
      <c r="M1706" t="s">
        <v>288</v>
      </c>
    </row>
    <row r="1707" spans="1:13" outlineLevel="1" x14ac:dyDescent="0.25">
      <c r="A1707" t="s">
        <v>284</v>
      </c>
      <c r="B1707">
        <f>'Remplissage - Sit. Expost'!$H$63</f>
        <v>0</v>
      </c>
      <c r="C1707" t="s">
        <v>1782</v>
      </c>
      <c r="E1707" t="str">
        <f>_xlfn.CONCAT("LivrNuitTourneeDist",RIGHT(LEFT(C1707,LEN(C1707)-1),1))</f>
        <v>LivrNuitTourneeDist3</v>
      </c>
      <c r="F1707" t="s">
        <v>17</v>
      </c>
      <c r="G1707">
        <f>IF($H$1690="Par catégorie de véhicule sélectionnée (meilleure précision)",1,0)*IF(ISNUMBER(SEARCH(B1707,$H$1689)),1,0)</f>
        <v>0</v>
      </c>
      <c r="J1707" t="s">
        <v>88</v>
      </c>
      <c r="M1707" t="s">
        <v>288</v>
      </c>
    </row>
    <row r="1708" spans="1:13" outlineLevel="1" x14ac:dyDescent="0.25">
      <c r="A1708" t="s">
        <v>284</v>
      </c>
      <c r="B1708">
        <f>'Remplissage - Sit. Expost'!$H$63</f>
        <v>0</v>
      </c>
      <c r="C1708" t="s">
        <v>1783</v>
      </c>
      <c r="E1708" t="str">
        <f>_xlfn.CONCAT("LivrNuitTourneeTC",RIGHT(LEFT(C1708,LEN(C1708)-1),1))</f>
        <v>LivrNuitTourneeTC3</v>
      </c>
      <c r="F1708" t="s">
        <v>17</v>
      </c>
      <c r="G1708">
        <f>IF($H$1690="Proposer un ordre de grandeur commun à toutes les catégories de véhicules",1,0)*IF(ISNUMBER(SEARCH(B1708,$H$1689)),1,0)</f>
        <v>0</v>
      </c>
      <c r="H1708" s="3"/>
      <c r="J1708" t="s">
        <v>70</v>
      </c>
      <c r="M1708" t="s">
        <v>288</v>
      </c>
    </row>
    <row r="1709" spans="1:13" outlineLevel="1" x14ac:dyDescent="0.25">
      <c r="A1709" t="s">
        <v>284</v>
      </c>
      <c r="B1709">
        <f>'Remplissage - Sit. Expost'!$H$63</f>
        <v>0</v>
      </c>
      <c r="C1709" t="s">
        <v>1784</v>
      </c>
      <c r="E1709" t="str">
        <f>_xlfn.CONCAT("LivrNuitTourneeMasse",RIGHT(LEFT(C1709,LEN(C1709)-1),1))</f>
        <v>LivrNuitTourneeMasse3</v>
      </c>
      <c r="F1709" t="s">
        <v>17</v>
      </c>
      <c r="G1709">
        <f>IF($H$1690="Proposer un ordre de grandeur commun à toutes les catégories de véhicules",1,0)*IF(ISNUMBER(SEARCH(B1709,$H$1689)),1,0)</f>
        <v>0</v>
      </c>
      <c r="J1709" t="s">
        <v>148</v>
      </c>
      <c r="M1709" t="s">
        <v>288</v>
      </c>
    </row>
    <row r="1710" spans="1:13" outlineLevel="1" x14ac:dyDescent="0.25">
      <c r="A1710" t="s">
        <v>284</v>
      </c>
      <c r="B1710">
        <f>'Remplissage - Sit. Expost'!$H$63</f>
        <v>0</v>
      </c>
      <c r="C1710" t="s">
        <v>1785</v>
      </c>
      <c r="E1710" t="str">
        <f>_xlfn.CONCAT("LivrNuitTourneeNb",RIGHT(LEFT(C1710,LEN(C1710)-1),1))</f>
        <v>LivrNuitTourneeNb3</v>
      </c>
      <c r="F1710" t="s">
        <v>17</v>
      </c>
      <c r="G1710">
        <f>IF($H$1690="Proposer un ordre de grandeur commun à toutes les catégories de véhicules",1,0)*IF(ISNUMBER(SEARCH(B1710,$H$1689)),1,0)</f>
        <v>0</v>
      </c>
      <c r="J1710" t="s">
        <v>283</v>
      </c>
      <c r="M1710" t="s">
        <v>288</v>
      </c>
    </row>
    <row r="1711" spans="1:13" outlineLevel="1" x14ac:dyDescent="0.25">
      <c r="A1711" t="s">
        <v>284</v>
      </c>
      <c r="B1711">
        <f>'Remplissage - Sit. Expost'!$H$63</f>
        <v>0</v>
      </c>
      <c r="C1711" t="s">
        <v>1786</v>
      </c>
      <c r="E1711" t="str">
        <f>_xlfn.CONCAT("LivrNuitTourneePassNuit",RIGHT(LEFT(C1711,LEN(C1711)-1),1))</f>
        <v>LivrNuitTourneePassNuit3</v>
      </c>
      <c r="F1711" t="s">
        <v>17</v>
      </c>
      <c r="G1711">
        <f>IF($H$1690="Par catégorie de véhicule sélectionnée (meilleure précision)",1,0)*IF(ISNUMBER(SEARCH(B1711,$H$1689)),1,0)</f>
        <v>0</v>
      </c>
      <c r="H1711" s="3"/>
      <c r="J1711" t="s">
        <v>70</v>
      </c>
      <c r="M1711" t="s">
        <v>288</v>
      </c>
    </row>
    <row r="1712" spans="1:13" outlineLevel="1" x14ac:dyDescent="0.25">
      <c r="A1712" t="s">
        <v>284</v>
      </c>
      <c r="B1712" t="e">
        <f>'Remplissage - Sit. Expost'!#REF!</f>
        <v>#REF!</v>
      </c>
      <c r="C1712" t="s">
        <v>1787</v>
      </c>
      <c r="E1712" t="str">
        <f>_xlfn.CONCAT("LivrNuitTourneeDist",RIGHT(LEFT(C1712,LEN(C1712)-1),1))</f>
        <v>LivrNuitTourneeDist4</v>
      </c>
      <c r="F1712" t="s">
        <v>17</v>
      </c>
      <c r="G1712">
        <f>IF($H$1690="Par catégorie de véhicule sélectionnée (meilleure précision)",1,0)*IF(ISNUMBER(SEARCH(B1712,$H$1689)),1,0)</f>
        <v>0</v>
      </c>
      <c r="J1712" t="s">
        <v>88</v>
      </c>
      <c r="M1712" t="s">
        <v>288</v>
      </c>
    </row>
    <row r="1713" spans="1:13" outlineLevel="1" x14ac:dyDescent="0.25">
      <c r="A1713" t="s">
        <v>284</v>
      </c>
      <c r="B1713" t="e">
        <f>'Remplissage - Sit. Expost'!#REF!</f>
        <v>#REF!</v>
      </c>
      <c r="C1713" t="s">
        <v>1788</v>
      </c>
      <c r="E1713" t="str">
        <f>_xlfn.CONCAT("LivrNuitTourneeTC",RIGHT(LEFT(C1713,LEN(C1713)-1),1))</f>
        <v>LivrNuitTourneeTC4</v>
      </c>
      <c r="F1713" t="s">
        <v>17</v>
      </c>
      <c r="G1713">
        <f>IF($H$1690="Proposer un ordre de grandeur commun à toutes les catégories de véhicules",1,0)*IF(ISNUMBER(SEARCH(B1713,$H$1689)),1,0)</f>
        <v>0</v>
      </c>
      <c r="H1713" s="3"/>
      <c r="J1713" t="s">
        <v>70</v>
      </c>
      <c r="M1713" t="s">
        <v>288</v>
      </c>
    </row>
    <row r="1714" spans="1:13" outlineLevel="1" x14ac:dyDescent="0.25">
      <c r="A1714" t="s">
        <v>284</v>
      </c>
      <c r="B1714" t="e">
        <f>'Remplissage - Sit. Expost'!#REF!</f>
        <v>#REF!</v>
      </c>
      <c r="C1714" t="s">
        <v>1789</v>
      </c>
      <c r="E1714" t="str">
        <f>_xlfn.CONCAT("LivrNuitTourneeMasse",RIGHT(LEFT(C1714,LEN(C1714)-1),1))</f>
        <v>LivrNuitTourneeMasse4</v>
      </c>
      <c r="F1714" t="s">
        <v>17</v>
      </c>
      <c r="G1714">
        <f>IF($H$1690="Proposer un ordre de grandeur commun à toutes les catégories de véhicules",1,0)*IF(ISNUMBER(SEARCH(B1714,$H$1689)),1,0)</f>
        <v>0</v>
      </c>
      <c r="J1714" t="s">
        <v>148</v>
      </c>
      <c r="M1714" t="s">
        <v>288</v>
      </c>
    </row>
    <row r="1715" spans="1:13" outlineLevel="1" x14ac:dyDescent="0.25">
      <c r="A1715" t="s">
        <v>284</v>
      </c>
      <c r="B1715" t="e">
        <f>'Remplissage - Sit. Expost'!#REF!</f>
        <v>#REF!</v>
      </c>
      <c r="C1715" t="s">
        <v>1790</v>
      </c>
      <c r="E1715" t="str">
        <f>_xlfn.CONCAT("LivrNuitTourneeNb",RIGHT(LEFT(C1715,LEN(C1715)-1),1))</f>
        <v>LivrNuitTourneeNb4</v>
      </c>
      <c r="F1715" t="s">
        <v>17</v>
      </c>
      <c r="G1715">
        <f>IF($H$1690="Proposer un ordre de grandeur commun à toutes les catégories de véhicules",1,0)*IF(ISNUMBER(SEARCH(B1715,$H$1689)),1,0)</f>
        <v>0</v>
      </c>
      <c r="J1715" t="s">
        <v>283</v>
      </c>
      <c r="M1715" t="s">
        <v>288</v>
      </c>
    </row>
    <row r="1716" spans="1:13" outlineLevel="1" x14ac:dyDescent="0.25">
      <c r="A1716" t="s">
        <v>284</v>
      </c>
      <c r="B1716" t="e">
        <f>'Remplissage - Sit. Expost'!#REF!</f>
        <v>#REF!</v>
      </c>
      <c r="C1716" t="s">
        <v>1791</v>
      </c>
      <c r="E1716" t="str">
        <f>_xlfn.CONCAT("LivrNuitTourneePassNuit",RIGHT(LEFT(C1716,LEN(C1716)-1),1))</f>
        <v>LivrNuitTourneePassNuit4</v>
      </c>
      <c r="F1716" t="s">
        <v>17</v>
      </c>
      <c r="G1716">
        <f>IF($H$1690="Par catégorie de véhicule sélectionnée (meilleure précision)",1,0)*IF(ISNUMBER(SEARCH(B1716,$H$1689)),1,0)</f>
        <v>0</v>
      </c>
      <c r="H1716" s="3"/>
      <c r="J1716" t="s">
        <v>70</v>
      </c>
      <c r="M1716" t="s">
        <v>288</v>
      </c>
    </row>
    <row r="1717" spans="1:13" outlineLevel="1" x14ac:dyDescent="0.25">
      <c r="A1717" t="s">
        <v>284</v>
      </c>
      <c r="B1717">
        <f>'Remplissage - Sit. Expost'!$H$82</f>
        <v>0</v>
      </c>
      <c r="C1717" t="s">
        <v>1792</v>
      </c>
      <c r="E1717" t="str">
        <f>_xlfn.CONCAT("LivrNuitTourneeDist",RIGHT(LEFT(C1717,LEN(C1717)-1),1))</f>
        <v>LivrNuitTourneeDist5</v>
      </c>
      <c r="F1717" t="s">
        <v>17</v>
      </c>
      <c r="G1717">
        <f>IF($H$1690="Par catégorie de véhicule sélectionnée (meilleure précision)",1,0)*IF(ISNUMBER(SEARCH(B1717,$H$1689)),1,0)</f>
        <v>0</v>
      </c>
      <c r="J1717" t="s">
        <v>88</v>
      </c>
      <c r="M1717" t="s">
        <v>288</v>
      </c>
    </row>
    <row r="1718" spans="1:13" outlineLevel="1" x14ac:dyDescent="0.25">
      <c r="A1718" t="s">
        <v>284</v>
      </c>
      <c r="B1718">
        <f>'Remplissage - Sit. Expost'!$H$82</f>
        <v>0</v>
      </c>
      <c r="C1718" t="s">
        <v>1793</v>
      </c>
      <c r="E1718" t="str">
        <f>_xlfn.CONCAT("LivrNuitTourneeTC",RIGHT(LEFT(C1718,LEN(C1718)-1),1))</f>
        <v>LivrNuitTourneeTC5</v>
      </c>
      <c r="F1718" t="s">
        <v>17</v>
      </c>
      <c r="G1718">
        <f>IF($H$1690="Proposer un ordre de grandeur commun à toutes les catégories de véhicules",1,0)*IF(ISNUMBER(SEARCH(B1718,$H$1689)),1,0)</f>
        <v>0</v>
      </c>
      <c r="H1718" s="3"/>
      <c r="J1718" t="s">
        <v>70</v>
      </c>
      <c r="M1718" t="s">
        <v>288</v>
      </c>
    </row>
    <row r="1719" spans="1:13" outlineLevel="1" x14ac:dyDescent="0.25">
      <c r="A1719" t="s">
        <v>284</v>
      </c>
      <c r="B1719">
        <f>'Remplissage - Sit. Expost'!$H$82</f>
        <v>0</v>
      </c>
      <c r="C1719" t="s">
        <v>1794</v>
      </c>
      <c r="E1719" t="str">
        <f>_xlfn.CONCAT("LivrNuitTourneeMasse",RIGHT(LEFT(C1719,LEN(C1719)-1),1))</f>
        <v>LivrNuitTourneeMasse5</v>
      </c>
      <c r="F1719" t="s">
        <v>17</v>
      </c>
      <c r="G1719">
        <f>IF($H$1690="Proposer un ordre de grandeur commun à toutes les catégories de véhicules",1,0)*IF(ISNUMBER(SEARCH(B1719,$H$1689)),1,0)</f>
        <v>0</v>
      </c>
      <c r="J1719" t="s">
        <v>148</v>
      </c>
      <c r="M1719" t="s">
        <v>288</v>
      </c>
    </row>
    <row r="1720" spans="1:13" outlineLevel="1" x14ac:dyDescent="0.25">
      <c r="A1720" t="s">
        <v>284</v>
      </c>
      <c r="B1720">
        <f>'Remplissage - Sit. Expost'!$H$82</f>
        <v>0</v>
      </c>
      <c r="C1720" t="s">
        <v>1795</v>
      </c>
      <c r="E1720" t="str">
        <f>_xlfn.CONCAT("LivrNuitTourneeNb",RIGHT(LEFT(C1720,LEN(C1720)-1),1))</f>
        <v>LivrNuitTourneeNb5</v>
      </c>
      <c r="F1720" t="s">
        <v>17</v>
      </c>
      <c r="G1720">
        <f>IF($H$1690="Proposer un ordre de grandeur commun à toutes les catégories de véhicules",1,0)*IF(ISNUMBER(SEARCH(B1720,$H$1689)),1,0)</f>
        <v>0</v>
      </c>
      <c r="J1720" t="s">
        <v>283</v>
      </c>
      <c r="M1720" t="s">
        <v>288</v>
      </c>
    </row>
    <row r="1721" spans="1:13" outlineLevel="1" x14ac:dyDescent="0.25">
      <c r="A1721" t="s">
        <v>284</v>
      </c>
      <c r="B1721">
        <f>'Remplissage - Sit. Expost'!$H$82</f>
        <v>0</v>
      </c>
      <c r="C1721" t="s">
        <v>1796</v>
      </c>
      <c r="E1721" t="str">
        <f>_xlfn.CONCAT("LivrNuitTourneePassNuit",RIGHT(LEFT(C1721,LEN(C1721)-1),1))</f>
        <v>LivrNuitTourneePassNuit5</v>
      </c>
      <c r="F1721" t="s">
        <v>17</v>
      </c>
      <c r="G1721">
        <f>IF($H$1690="Par catégorie de véhicule sélectionnée (meilleure précision)",1,0)*IF(ISNUMBER(SEARCH(B1721,$H$1689)),1,0)</f>
        <v>0</v>
      </c>
      <c r="H1721" s="3"/>
      <c r="J1721" t="s">
        <v>70</v>
      </c>
      <c r="M1721" t="s">
        <v>288</v>
      </c>
    </row>
    <row r="1722" spans="1:13" outlineLevel="1" x14ac:dyDescent="0.25">
      <c r="A1722" t="s">
        <v>284</v>
      </c>
      <c r="B1722">
        <f>'Remplissage - Sit. Expost'!$H$91</f>
        <v>0</v>
      </c>
      <c r="C1722" t="s">
        <v>1797</v>
      </c>
      <c r="E1722" t="str">
        <f>_xlfn.CONCAT("LivrNuitTourneeDist",RIGHT(LEFT(C1722,LEN(C1722)-1),1))</f>
        <v>LivrNuitTourneeDist6</v>
      </c>
      <c r="F1722" t="s">
        <v>17</v>
      </c>
      <c r="G1722">
        <f>IF($H$1690="Par catégorie de véhicule sélectionnée (meilleure précision)",1,0)*IF(ISNUMBER(SEARCH(B1722,$H$1689)),1,0)</f>
        <v>0</v>
      </c>
      <c r="J1722" t="s">
        <v>88</v>
      </c>
      <c r="M1722" t="s">
        <v>288</v>
      </c>
    </row>
    <row r="1723" spans="1:13" outlineLevel="1" x14ac:dyDescent="0.25">
      <c r="A1723" t="s">
        <v>284</v>
      </c>
      <c r="B1723">
        <f>'Remplissage - Sit. Expost'!$H$91</f>
        <v>0</v>
      </c>
      <c r="C1723" t="s">
        <v>1798</v>
      </c>
      <c r="E1723" t="str">
        <f>_xlfn.CONCAT("LivrNuitTourneeTC",RIGHT(LEFT(C1723,LEN(C1723)-1),1))</f>
        <v>LivrNuitTourneeTC6</v>
      </c>
      <c r="F1723" t="s">
        <v>17</v>
      </c>
      <c r="G1723">
        <f>IF($H$1690="Proposer un ordre de grandeur commun à toutes les catégories de véhicules",1,0)*IF(ISNUMBER(SEARCH(B1723,$H$1689)),1,0)</f>
        <v>0</v>
      </c>
      <c r="H1723" s="3"/>
      <c r="J1723" t="s">
        <v>70</v>
      </c>
      <c r="M1723" t="s">
        <v>288</v>
      </c>
    </row>
    <row r="1724" spans="1:13" outlineLevel="1" x14ac:dyDescent="0.25">
      <c r="A1724" t="s">
        <v>284</v>
      </c>
      <c r="B1724">
        <f>'Remplissage - Sit. Expost'!$H$91</f>
        <v>0</v>
      </c>
      <c r="C1724" t="s">
        <v>1799</v>
      </c>
      <c r="E1724" t="str">
        <f>_xlfn.CONCAT("LivrNuitTourneeMasse",RIGHT(LEFT(C1724,LEN(C1724)-1),1))</f>
        <v>LivrNuitTourneeMasse6</v>
      </c>
      <c r="F1724" t="s">
        <v>17</v>
      </c>
      <c r="G1724">
        <f>IF($H$1690="Proposer un ordre de grandeur commun à toutes les catégories de véhicules",1,0)*IF(ISNUMBER(SEARCH(B1724,$H$1689)),1,0)</f>
        <v>0</v>
      </c>
      <c r="J1724" t="s">
        <v>148</v>
      </c>
      <c r="M1724" t="s">
        <v>288</v>
      </c>
    </row>
    <row r="1725" spans="1:13" outlineLevel="1" x14ac:dyDescent="0.25">
      <c r="A1725" t="s">
        <v>284</v>
      </c>
      <c r="B1725">
        <f>'Remplissage - Sit. Expost'!$H$91</f>
        <v>0</v>
      </c>
      <c r="C1725" t="s">
        <v>1800</v>
      </c>
      <c r="E1725" t="str">
        <f>_xlfn.CONCAT("LivrNuitTourneeNb",RIGHT(LEFT(C1725,LEN(C1725)-1),1))</f>
        <v>LivrNuitTourneeNb6</v>
      </c>
      <c r="F1725" t="s">
        <v>17</v>
      </c>
      <c r="G1725">
        <f>IF($H$1690="Proposer un ordre de grandeur commun à toutes les catégories de véhicules",1,0)*IF(ISNUMBER(SEARCH(B1725,$H$1689)),1,0)</f>
        <v>0</v>
      </c>
      <c r="J1725" t="s">
        <v>283</v>
      </c>
      <c r="M1725" t="s">
        <v>288</v>
      </c>
    </row>
    <row r="1726" spans="1:13" outlineLevel="1" x14ac:dyDescent="0.25">
      <c r="A1726" t="s">
        <v>284</v>
      </c>
      <c r="B1726">
        <f>'Remplissage - Sit. Expost'!$H$91</f>
        <v>0</v>
      </c>
      <c r="C1726" t="s">
        <v>1801</v>
      </c>
      <c r="E1726" t="str">
        <f>_xlfn.CONCAT("LivrNuitTourneePassNuit",RIGHT(LEFT(C1726,LEN(C1726)-1),1))</f>
        <v>LivrNuitTourneePassNuit6</v>
      </c>
      <c r="F1726" t="s">
        <v>17</v>
      </c>
      <c r="G1726">
        <f>IF($H$1690="Par catégorie de véhicule sélectionnée (meilleure précision)",1,0)*IF(ISNUMBER(SEARCH(B1726,$H$1689)),1,0)</f>
        <v>0</v>
      </c>
      <c r="H1726" s="3"/>
      <c r="J1726" t="s">
        <v>70</v>
      </c>
      <c r="M1726" t="s">
        <v>288</v>
      </c>
    </row>
    <row r="1727" spans="1:13" outlineLevel="1" x14ac:dyDescent="0.25">
      <c r="A1727" t="s">
        <v>284</v>
      </c>
      <c r="B1727">
        <f>'Remplissage - Sit. Expost'!$H$100</f>
        <v>0</v>
      </c>
      <c r="C1727" t="s">
        <v>1802</v>
      </c>
      <c r="E1727" t="str">
        <f>_xlfn.CONCAT("LivrNuitTourneeDist",RIGHT(LEFT(C1727,LEN(C1727)-1),1))</f>
        <v>LivrNuitTourneeDist7</v>
      </c>
      <c r="F1727" t="s">
        <v>17</v>
      </c>
      <c r="G1727">
        <f>IF($H$1690="Par catégorie de véhicule sélectionnée (meilleure précision)",1,0)*IF(ISNUMBER(SEARCH(B1727,$H$1689)),1,0)</f>
        <v>0</v>
      </c>
      <c r="J1727" t="s">
        <v>88</v>
      </c>
      <c r="M1727" t="s">
        <v>288</v>
      </c>
    </row>
    <row r="1728" spans="1:13" outlineLevel="1" x14ac:dyDescent="0.25">
      <c r="A1728" t="s">
        <v>284</v>
      </c>
      <c r="B1728">
        <f>'Remplissage - Sit. Expost'!$H$100</f>
        <v>0</v>
      </c>
      <c r="C1728" t="s">
        <v>1803</v>
      </c>
      <c r="E1728" t="str">
        <f>_xlfn.CONCAT("LivrNuitTourneeTC",RIGHT(LEFT(C1728,LEN(C1728)-1),1))</f>
        <v>LivrNuitTourneeTC7</v>
      </c>
      <c r="F1728" t="s">
        <v>17</v>
      </c>
      <c r="G1728">
        <f>IF($H$1690="Proposer un ordre de grandeur commun à toutes les catégories de véhicules",1,0)*IF(ISNUMBER(SEARCH(B1728,$H$1689)),1,0)</f>
        <v>0</v>
      </c>
      <c r="H1728" s="3"/>
      <c r="J1728" t="s">
        <v>70</v>
      </c>
      <c r="M1728" t="s">
        <v>288</v>
      </c>
    </row>
    <row r="1729" spans="1:13" outlineLevel="1" x14ac:dyDescent="0.25">
      <c r="A1729" t="s">
        <v>284</v>
      </c>
      <c r="B1729">
        <f>'Remplissage - Sit. Expost'!$H$100</f>
        <v>0</v>
      </c>
      <c r="C1729" t="s">
        <v>1804</v>
      </c>
      <c r="E1729" t="str">
        <f>_xlfn.CONCAT("LivrNuitTourneeMasse",RIGHT(LEFT(C1729,LEN(C1729)-1),1))</f>
        <v>LivrNuitTourneeMasse7</v>
      </c>
      <c r="F1729" t="s">
        <v>17</v>
      </c>
      <c r="G1729">
        <f>IF($H$1690="Proposer un ordre de grandeur commun à toutes les catégories de véhicules",1,0)*IF(ISNUMBER(SEARCH(B1729,$H$1689)),1,0)</f>
        <v>0</v>
      </c>
      <c r="J1729" t="s">
        <v>148</v>
      </c>
      <c r="M1729" t="s">
        <v>288</v>
      </c>
    </row>
    <row r="1730" spans="1:13" outlineLevel="1" x14ac:dyDescent="0.25">
      <c r="A1730" t="s">
        <v>284</v>
      </c>
      <c r="B1730">
        <f>'Remplissage - Sit. Expost'!$H$100</f>
        <v>0</v>
      </c>
      <c r="C1730" t="s">
        <v>1805</v>
      </c>
      <c r="E1730" t="str">
        <f>_xlfn.CONCAT("LivrNuitTourneeNb",RIGHT(LEFT(C1730,LEN(C1730)-1),1))</f>
        <v>LivrNuitTourneeNb7</v>
      </c>
      <c r="F1730" t="s">
        <v>17</v>
      </c>
      <c r="G1730">
        <f>IF($H$1690="Proposer un ordre de grandeur commun à toutes les catégories de véhicules",1,0)*IF(ISNUMBER(SEARCH(B1730,$H$1689)),1,0)</f>
        <v>0</v>
      </c>
      <c r="J1730" t="s">
        <v>283</v>
      </c>
      <c r="M1730" t="s">
        <v>288</v>
      </c>
    </row>
    <row r="1731" spans="1:13" outlineLevel="1" x14ac:dyDescent="0.25">
      <c r="A1731" t="s">
        <v>284</v>
      </c>
      <c r="B1731">
        <f>'Remplissage - Sit. Expost'!$H$100</f>
        <v>0</v>
      </c>
      <c r="C1731" t="s">
        <v>1806</v>
      </c>
      <c r="E1731" t="str">
        <f>_xlfn.CONCAT("LivrNuitTourneePassNuit",RIGHT(LEFT(C1731,LEN(C1731)-1),1))</f>
        <v>LivrNuitTourneePassNuit7</v>
      </c>
      <c r="F1731" t="s">
        <v>17</v>
      </c>
      <c r="G1731">
        <f>IF($H$1690="Par catégorie de véhicule sélectionnée (meilleure précision)",1,0)*IF(ISNUMBER(SEARCH(B1731,$H$1689)),1,0)</f>
        <v>0</v>
      </c>
      <c r="H1731" s="3"/>
      <c r="J1731" t="s">
        <v>70</v>
      </c>
      <c r="M1731" t="s">
        <v>288</v>
      </c>
    </row>
    <row r="1732" spans="1:13" outlineLevel="1" x14ac:dyDescent="0.25">
      <c r="A1732" t="s">
        <v>284</v>
      </c>
      <c r="B1732">
        <f>'Remplissage - Sit. Expost'!$H$109</f>
        <v>0</v>
      </c>
      <c r="C1732" t="s">
        <v>1807</v>
      </c>
      <c r="E1732" t="str">
        <f>_xlfn.CONCAT("LivrNuitTourneeDist",RIGHT(LEFT(C1732,LEN(C1732)-1),1))</f>
        <v>LivrNuitTourneeDist8</v>
      </c>
      <c r="F1732" t="s">
        <v>17</v>
      </c>
      <c r="G1732">
        <f>IF($H$1690="Par catégorie de véhicule sélectionnée (meilleure précision)",1,0)*IF(ISNUMBER(SEARCH(B1732,$H$1689)),1,0)</f>
        <v>0</v>
      </c>
      <c r="J1732" t="s">
        <v>88</v>
      </c>
      <c r="M1732" t="s">
        <v>288</v>
      </c>
    </row>
    <row r="1733" spans="1:13" outlineLevel="1" x14ac:dyDescent="0.25">
      <c r="A1733" t="s">
        <v>284</v>
      </c>
      <c r="B1733">
        <f>'Remplissage - Sit. Expost'!$H$109</f>
        <v>0</v>
      </c>
      <c r="C1733" t="s">
        <v>1808</v>
      </c>
      <c r="E1733" t="str">
        <f>_xlfn.CONCAT("LivrNuitTourneeTC",RIGHT(LEFT(C1733,LEN(C1733)-1),1))</f>
        <v>LivrNuitTourneeTC8</v>
      </c>
      <c r="F1733" t="s">
        <v>17</v>
      </c>
      <c r="G1733">
        <f>IF($H$1690="Proposer un ordre de grandeur commun à toutes les catégories de véhicules",1,0)*IF(ISNUMBER(SEARCH(B1733,$H$1689)),1,0)</f>
        <v>0</v>
      </c>
      <c r="H1733" s="3"/>
      <c r="J1733" t="s">
        <v>70</v>
      </c>
      <c r="M1733" t="s">
        <v>288</v>
      </c>
    </row>
    <row r="1734" spans="1:13" outlineLevel="1" x14ac:dyDescent="0.25">
      <c r="A1734" t="s">
        <v>284</v>
      </c>
      <c r="B1734">
        <f>'Remplissage - Sit. Expost'!$H$109</f>
        <v>0</v>
      </c>
      <c r="C1734" t="s">
        <v>1809</v>
      </c>
      <c r="E1734" t="str">
        <f>_xlfn.CONCAT("LivrNuitTourneeMasse",RIGHT(LEFT(C1734,LEN(C1734)-1),1))</f>
        <v>LivrNuitTourneeMasse8</v>
      </c>
      <c r="F1734" t="s">
        <v>17</v>
      </c>
      <c r="G1734">
        <f>IF($H$1690="Proposer un ordre de grandeur commun à toutes les catégories de véhicules",1,0)*IF(ISNUMBER(SEARCH(B1734,$H$1689)),1,0)</f>
        <v>0</v>
      </c>
      <c r="J1734" t="s">
        <v>148</v>
      </c>
      <c r="M1734" t="s">
        <v>288</v>
      </c>
    </row>
    <row r="1735" spans="1:13" outlineLevel="1" x14ac:dyDescent="0.25">
      <c r="A1735" t="s">
        <v>284</v>
      </c>
      <c r="B1735">
        <f>'Remplissage - Sit. Expost'!$H$109</f>
        <v>0</v>
      </c>
      <c r="C1735" t="s">
        <v>1810</v>
      </c>
      <c r="E1735" t="str">
        <f>_xlfn.CONCAT("LivrNuitTourneeNb",RIGHT(LEFT(C1735,LEN(C1735)-1),1))</f>
        <v>LivrNuitTourneeNb8</v>
      </c>
      <c r="F1735" t="s">
        <v>17</v>
      </c>
      <c r="G1735">
        <f>IF($H$1690="Proposer un ordre de grandeur commun à toutes les catégories de véhicules",1,0)*IF(ISNUMBER(SEARCH(B1735,$H$1689)),1,0)</f>
        <v>0</v>
      </c>
      <c r="J1735" t="s">
        <v>283</v>
      </c>
      <c r="M1735" t="s">
        <v>288</v>
      </c>
    </row>
    <row r="1736" spans="1:13" outlineLevel="1" x14ac:dyDescent="0.25">
      <c r="A1736" t="s">
        <v>284</v>
      </c>
      <c r="B1736">
        <f>'Remplissage - Sit. Expost'!$H$109</f>
        <v>0</v>
      </c>
      <c r="C1736" t="s">
        <v>1811</v>
      </c>
      <c r="E1736" t="str">
        <f>_xlfn.CONCAT("LivrNuitTourneePassNuit",RIGHT(LEFT(C1736,LEN(C1736)-1),1))</f>
        <v>LivrNuitTourneePassNuit8</v>
      </c>
      <c r="F1736" t="s">
        <v>17</v>
      </c>
      <c r="G1736">
        <f>IF($H$1690="Par catégorie de véhicule sélectionnée (meilleure précision)",1,0)*IF(ISNUMBER(SEARCH(B1736,$H$1689)),1,0)</f>
        <v>0</v>
      </c>
      <c r="H1736" s="3"/>
      <c r="J1736" t="s">
        <v>70</v>
      </c>
      <c r="M1736" t="s">
        <v>288</v>
      </c>
    </row>
    <row r="1737" spans="1:13" outlineLevel="1" x14ac:dyDescent="0.25">
      <c r="A1737" t="s">
        <v>284</v>
      </c>
      <c r="B1737">
        <f>'Remplissage - Sit. Expost'!$H$118</f>
        <v>0</v>
      </c>
      <c r="C1737" t="s">
        <v>1812</v>
      </c>
      <c r="E1737" t="str">
        <f>_xlfn.CONCAT("LivrNuitTourneeDist",RIGHT(LEFT(C1737,LEN(C1737)-1),1))</f>
        <v>LivrNuitTourneeDist9</v>
      </c>
      <c r="F1737" t="s">
        <v>17</v>
      </c>
      <c r="G1737">
        <f>IF($H$1690="Par catégorie de véhicule sélectionnée (meilleure précision)",1,0)*IF(ISNUMBER(SEARCH(B1737,$H$1689)),1,0)</f>
        <v>0</v>
      </c>
      <c r="J1737" t="s">
        <v>88</v>
      </c>
      <c r="M1737" t="s">
        <v>288</v>
      </c>
    </row>
    <row r="1738" spans="1:13" outlineLevel="1" x14ac:dyDescent="0.25">
      <c r="A1738" t="s">
        <v>284</v>
      </c>
      <c r="B1738">
        <f>'Remplissage - Sit. Expost'!$H$118</f>
        <v>0</v>
      </c>
      <c r="C1738" t="s">
        <v>1813</v>
      </c>
      <c r="E1738" t="str">
        <f>_xlfn.CONCAT("LivrNuitTourneeTC",RIGHT(LEFT(C1738,LEN(C1738)-1),1))</f>
        <v>LivrNuitTourneeTC9</v>
      </c>
      <c r="F1738" t="s">
        <v>17</v>
      </c>
      <c r="G1738">
        <f>IF($H$1690="Proposer un ordre de grandeur commun à toutes les catégories de véhicules",1,0)*IF(ISNUMBER(SEARCH(B1738,$H$1689)),1,0)</f>
        <v>0</v>
      </c>
      <c r="H1738" s="3"/>
      <c r="J1738" t="s">
        <v>70</v>
      </c>
      <c r="M1738" t="s">
        <v>288</v>
      </c>
    </row>
    <row r="1739" spans="1:13" outlineLevel="1" x14ac:dyDescent="0.25">
      <c r="A1739" t="s">
        <v>284</v>
      </c>
      <c r="B1739">
        <f>'Remplissage - Sit. Expost'!$H$118</f>
        <v>0</v>
      </c>
      <c r="C1739" t="s">
        <v>1814</v>
      </c>
      <c r="E1739" t="str">
        <f>_xlfn.CONCAT("LivrNuitTourneeMasse",RIGHT(LEFT(C1739,LEN(C1739)-1),1))</f>
        <v>LivrNuitTourneeMasse9</v>
      </c>
      <c r="F1739" t="s">
        <v>17</v>
      </c>
      <c r="G1739">
        <f>IF($H$1690="Proposer un ordre de grandeur commun à toutes les catégories de véhicules",1,0)*IF(ISNUMBER(SEARCH(B1739,$H$1689)),1,0)</f>
        <v>0</v>
      </c>
      <c r="J1739" t="s">
        <v>148</v>
      </c>
      <c r="M1739" t="s">
        <v>288</v>
      </c>
    </row>
    <row r="1740" spans="1:13" outlineLevel="1" x14ac:dyDescent="0.25">
      <c r="A1740" t="s">
        <v>284</v>
      </c>
      <c r="B1740">
        <f>'Remplissage - Sit. Expost'!$H$118</f>
        <v>0</v>
      </c>
      <c r="C1740" t="s">
        <v>1815</v>
      </c>
      <c r="E1740" t="str">
        <f>_xlfn.CONCAT("LivrNuitTourneeNb",RIGHT(LEFT(C1740,LEN(C1740)-1),1))</f>
        <v>LivrNuitTourneeNb9</v>
      </c>
      <c r="F1740" t="s">
        <v>17</v>
      </c>
      <c r="G1740">
        <f>IF($H$1690="Proposer un ordre de grandeur commun à toutes les catégories de véhicules",1,0)*IF(ISNUMBER(SEARCH(B1740,$H$1689)),1,0)</f>
        <v>0</v>
      </c>
      <c r="J1740" t="s">
        <v>283</v>
      </c>
      <c r="M1740" t="s">
        <v>288</v>
      </c>
    </row>
    <row r="1741" spans="1:13" outlineLevel="1" x14ac:dyDescent="0.25">
      <c r="A1741" t="s">
        <v>284</v>
      </c>
      <c r="B1741">
        <f>'Remplissage - Sit. Expost'!$H$118</f>
        <v>0</v>
      </c>
      <c r="C1741" t="s">
        <v>1816</v>
      </c>
      <c r="E1741" t="str">
        <f>_xlfn.CONCAT("LivrNuitTourneePassNuit",RIGHT(LEFT(C1741,LEN(C1741)-1),1))</f>
        <v>LivrNuitTourneePassNuit9</v>
      </c>
      <c r="F1741" t="s">
        <v>17</v>
      </c>
      <c r="G1741">
        <f>IF($H$1690="Par catégorie de véhicule sélectionnée (meilleure précision)",1,0)*IF(ISNUMBER(SEARCH(B1741,$H$1689)),1,0)</f>
        <v>0</v>
      </c>
      <c r="H1741" s="3"/>
      <c r="J1741" t="s">
        <v>70</v>
      </c>
      <c r="M1741" t="s">
        <v>288</v>
      </c>
    </row>
    <row r="1742" spans="1:13" outlineLevel="1" x14ac:dyDescent="0.25">
      <c r="A1742" t="s">
        <v>284</v>
      </c>
      <c r="B1742">
        <f>'Remplissage - Sit. Expost'!$H$127</f>
        <v>0</v>
      </c>
      <c r="C1742" t="s">
        <v>1817</v>
      </c>
      <c r="E1742" t="str">
        <f>_xlfn.CONCAT("LivrNuitTourneeDist",RIGHT(LEFT(C1742,LEN(C1742)-1),2))</f>
        <v>LivrNuitTourneeDist10</v>
      </c>
      <c r="F1742" t="s">
        <v>17</v>
      </c>
      <c r="G1742">
        <f>IF($H$1690="Par catégorie de véhicule sélectionnée (meilleure précision)",1,0)*IF(ISNUMBER(SEARCH(B1742,$H$1689)),1,0)</f>
        <v>0</v>
      </c>
      <c r="J1742" t="s">
        <v>88</v>
      </c>
      <c r="M1742" t="s">
        <v>288</v>
      </c>
    </row>
    <row r="1743" spans="1:13" outlineLevel="1" x14ac:dyDescent="0.25">
      <c r="A1743" t="s">
        <v>284</v>
      </c>
      <c r="B1743">
        <f>'Remplissage - Sit. Expost'!$H$127</f>
        <v>0</v>
      </c>
      <c r="C1743" t="s">
        <v>1818</v>
      </c>
      <c r="E1743" t="str">
        <f>_xlfn.CONCAT("LivrNuitTourneeTC",RIGHT(LEFT(C1743,LEN(C1743)-1),2))</f>
        <v>LivrNuitTourneeTC10</v>
      </c>
      <c r="F1743" t="s">
        <v>17</v>
      </c>
      <c r="G1743">
        <f>IF($H$1690="Proposer un ordre de grandeur commun à toutes les catégories de véhicules",1,0)*IF(ISNUMBER(SEARCH(B1743,$H$1689)),1,0)</f>
        <v>0</v>
      </c>
      <c r="H1743" s="3"/>
      <c r="J1743" t="s">
        <v>70</v>
      </c>
      <c r="M1743" t="s">
        <v>288</v>
      </c>
    </row>
    <row r="1744" spans="1:13" outlineLevel="1" x14ac:dyDescent="0.25">
      <c r="A1744" t="s">
        <v>284</v>
      </c>
      <c r="B1744">
        <f>'Remplissage - Sit. Expost'!$H$127</f>
        <v>0</v>
      </c>
      <c r="C1744" t="s">
        <v>1819</v>
      </c>
      <c r="E1744" t="str">
        <f>_xlfn.CONCAT("LivrNuitTourneeMasse",RIGHT(LEFT(C1744,LEN(C1744)-1),2))</f>
        <v>LivrNuitTourneeMasse10</v>
      </c>
      <c r="F1744" t="s">
        <v>17</v>
      </c>
      <c r="G1744">
        <f>IF($H$1690="Proposer un ordre de grandeur commun à toutes les catégories de véhicules",1,0)*IF(ISNUMBER(SEARCH(B1744,$H$1689)),1,0)</f>
        <v>0</v>
      </c>
      <c r="J1744" t="s">
        <v>148</v>
      </c>
      <c r="M1744" t="s">
        <v>288</v>
      </c>
    </row>
    <row r="1745" spans="1:16" outlineLevel="1" x14ac:dyDescent="0.25">
      <c r="A1745" t="s">
        <v>284</v>
      </c>
      <c r="B1745">
        <f>'Remplissage - Sit. Expost'!$H$127</f>
        <v>0</v>
      </c>
      <c r="C1745" t="s">
        <v>1820</v>
      </c>
      <c r="E1745" t="str">
        <f>_xlfn.CONCAT("LivrNuitTourneeNb",RIGHT(LEFT(C1745,LEN(C1745)-1),2))</f>
        <v>LivrNuitTourneeNb10</v>
      </c>
      <c r="F1745" t="s">
        <v>17</v>
      </c>
      <c r="G1745">
        <f>IF($H$1690="Proposer un ordre de grandeur commun à toutes les catégories de véhicules",1,0)*IF(ISNUMBER(SEARCH(B1745,$H$1689)),1,0)</f>
        <v>0</v>
      </c>
      <c r="J1745" t="s">
        <v>283</v>
      </c>
      <c r="M1745" t="s">
        <v>288</v>
      </c>
    </row>
    <row r="1746" spans="1:16" outlineLevel="1" x14ac:dyDescent="0.25">
      <c r="A1746" t="s">
        <v>284</v>
      </c>
      <c r="B1746">
        <f>'Remplissage - Sit. Expost'!$H$127</f>
        <v>0</v>
      </c>
      <c r="C1746" t="s">
        <v>1821</v>
      </c>
      <c r="E1746" t="str">
        <f>_xlfn.CONCAT("LivrNuitTourneePassNuit",RIGHT(LEFT(C1746,LEN(C1746)-1),2))</f>
        <v>LivrNuitTourneePassNuit10</v>
      </c>
      <c r="F1746" t="s">
        <v>17</v>
      </c>
      <c r="G1746">
        <f>IF($H$1690="Par catégorie de véhicule sélectionnée (meilleure précision)",1,0)*IF(ISNUMBER(SEARCH(B1746,$H$1689)),1,0)</f>
        <v>0</v>
      </c>
      <c r="H1746" s="3"/>
      <c r="J1746" t="s">
        <v>70</v>
      </c>
      <c r="M1746" t="s">
        <v>288</v>
      </c>
    </row>
    <row r="1747" spans="1:16" outlineLevel="1" x14ac:dyDescent="0.25">
      <c r="A1747" t="s">
        <v>284</v>
      </c>
      <c r="B1747">
        <v>0</v>
      </c>
      <c r="C1747" t="str">
        <f>_xlfn.CONCAT("Distance moyenne d'une tournée (Catégorie " &amp; $O1747 &amp; ")")</f>
        <v>Distance moyenne d'une tournée (Catégorie 1)</v>
      </c>
      <c r="E1747" t="str">
        <f>"LivrNuitTourneeDist" &amp; $O1747</f>
        <v>LivrNuitTourneeDist1</v>
      </c>
      <c r="F1747" t="s">
        <v>17</v>
      </c>
      <c r="G1747">
        <f t="shared" ref="G1747:G1810" si="480">IF($H$774="Par catégorie de véhicule sélectionnée (meilleure précision)",1,0)*IF(ISNUMBER(SEARCH(B1747,$H$732)),1,0)</f>
        <v>0</v>
      </c>
      <c r="H1747">
        <v>584.89153886557597</v>
      </c>
      <c r="J1747" t="s">
        <v>88</v>
      </c>
      <c r="M1747" t="s">
        <v>288</v>
      </c>
      <c r="O1747">
        <f>O1746+1</f>
        <v>1</v>
      </c>
      <c r="P1747" s="31" t="s">
        <v>527</v>
      </c>
    </row>
    <row r="1748" spans="1:16" outlineLevel="1" x14ac:dyDescent="0.25">
      <c r="A1748" t="s">
        <v>284</v>
      </c>
      <c r="B1748">
        <v>0</v>
      </c>
      <c r="C1748" t="str">
        <f>_xlfn.CONCAT("Taux de chargement moyen pour une tournée (Catégorie " &amp; $O1748 &amp; ")")</f>
        <v>Taux de chargement moyen pour une tournée (Catégorie 1)</v>
      </c>
      <c r="E1748" t="str">
        <f>"LivrNuitTourneeTC" &amp; $O1748</f>
        <v>LivrNuitTourneeTC1</v>
      </c>
      <c r="F1748" t="s">
        <v>17</v>
      </c>
      <c r="G1748">
        <f t="shared" si="480"/>
        <v>0</v>
      </c>
      <c r="H1748" s="3">
        <v>598.18148505239196</v>
      </c>
      <c r="J1748" t="s">
        <v>70</v>
      </c>
      <c r="M1748" t="s">
        <v>288</v>
      </c>
      <c r="O1748">
        <f>O1747</f>
        <v>1</v>
      </c>
      <c r="P1748" s="31" t="s">
        <v>527</v>
      </c>
    </row>
    <row r="1749" spans="1:16" outlineLevel="1" x14ac:dyDescent="0.25">
      <c r="A1749" t="s">
        <v>284</v>
      </c>
      <c r="B1749">
        <v>0</v>
      </c>
      <c r="C1749" t="str">
        <f>_xlfn.CONCAT("Masse moyenne transportée sur une tournée (Catégorie " &amp; $O1749 &amp; ")")</f>
        <v>Masse moyenne transportée sur une tournée (Catégorie 1)</v>
      </c>
      <c r="E1749" t="str">
        <f>"LivrNuitTourneeMasse" &amp; $O1749</f>
        <v>LivrNuitTourneeMasse1</v>
      </c>
      <c r="F1749" t="s">
        <v>17</v>
      </c>
      <c r="G1749">
        <f t="shared" si="480"/>
        <v>0</v>
      </c>
      <c r="H1749">
        <v>611.47143123920796</v>
      </c>
      <c r="J1749" t="s">
        <v>148</v>
      </c>
      <c r="M1749" t="s">
        <v>288</v>
      </c>
      <c r="O1749">
        <f>O1748</f>
        <v>1</v>
      </c>
      <c r="P1749" s="31" t="s">
        <v>527</v>
      </c>
    </row>
    <row r="1750" spans="1:16" outlineLevel="1" x14ac:dyDescent="0.25">
      <c r="A1750" t="s">
        <v>284</v>
      </c>
      <c r="B1750">
        <v>0</v>
      </c>
      <c r="C1750" t="str">
        <f>_xlfn.CONCAT("Ordre de grandeur du nombre annuel de tournées (Catégorie " &amp; $O1750 &amp; ")")</f>
        <v>Ordre de grandeur du nombre annuel de tournées (Catégorie 1)</v>
      </c>
      <c r="E1750" t="str">
        <f>"LivrNuitTourneeNb" &amp; $O1750</f>
        <v>LivrNuitTourneeNb1</v>
      </c>
      <c r="F1750" t="s">
        <v>17</v>
      </c>
      <c r="G1750">
        <f t="shared" si="480"/>
        <v>0</v>
      </c>
      <c r="H1750">
        <v>624.76137742602396</v>
      </c>
      <c r="J1750" t="s">
        <v>283</v>
      </c>
      <c r="M1750" t="s">
        <v>288</v>
      </c>
      <c r="O1750">
        <f>O1749</f>
        <v>1</v>
      </c>
      <c r="P1750" s="31" t="s">
        <v>527</v>
      </c>
    </row>
    <row r="1751" spans="1:16" outlineLevel="1" x14ac:dyDescent="0.25">
      <c r="A1751" t="s">
        <v>284</v>
      </c>
      <c r="B1751">
        <v>0</v>
      </c>
      <c r="C1751" t="str">
        <f>_xlfn.CONCAT("% de livraisons déjà en horaire décalé (Catégorie " &amp; $O1751 &amp; ")")</f>
        <v>% de livraisons déjà en horaire décalé (Catégorie 1)</v>
      </c>
      <c r="E1751" t="str">
        <f>"LivrNuitInitDecal" &amp; $O1751</f>
        <v>LivrNuitInitDecal1</v>
      </c>
      <c r="F1751" t="s">
        <v>17</v>
      </c>
      <c r="G1751">
        <f t="shared" si="480"/>
        <v>0</v>
      </c>
      <c r="H1751" s="18">
        <v>638.05132361283995</v>
      </c>
      <c r="J1751" t="s">
        <v>70</v>
      </c>
      <c r="M1751" t="s">
        <v>288</v>
      </c>
      <c r="O1751">
        <f>O1750</f>
        <v>1</v>
      </c>
      <c r="P1751" s="31" t="s">
        <v>527</v>
      </c>
    </row>
    <row r="1752" spans="1:16" outlineLevel="1" x14ac:dyDescent="0.25">
      <c r="A1752" t="s">
        <v>284</v>
      </c>
      <c r="B1752">
        <v>0</v>
      </c>
      <c r="C1752" t="str">
        <f t="shared" ref="C1752" si="481">_xlfn.CONCAT("Distance moyenne d'une tournée (Catégorie " &amp; $O1752 &amp; ")")</f>
        <v>Distance moyenne d'une tournée (Catégorie 2)</v>
      </c>
      <c r="E1752" t="str">
        <f t="shared" ref="E1752" si="482">"LivrNuitTourneeDist" &amp; $O1752</f>
        <v>LivrNuitTourneeDist2</v>
      </c>
      <c r="F1752" t="s">
        <v>17</v>
      </c>
      <c r="G1752">
        <f t="shared" si="480"/>
        <v>0</v>
      </c>
      <c r="H1752">
        <v>651.34126979965595</v>
      </c>
      <c r="J1752" t="s">
        <v>88</v>
      </c>
      <c r="M1752" t="s">
        <v>288</v>
      </c>
      <c r="O1752">
        <f t="shared" ref="O1752" si="483">O1751+1</f>
        <v>2</v>
      </c>
      <c r="P1752" s="31" t="s">
        <v>527</v>
      </c>
    </row>
    <row r="1753" spans="1:16" outlineLevel="1" x14ac:dyDescent="0.25">
      <c r="A1753" t="s">
        <v>284</v>
      </c>
      <c r="B1753">
        <v>0</v>
      </c>
      <c r="C1753" t="str">
        <f t="shared" ref="C1753" si="484">_xlfn.CONCAT("Taux de chargement moyen pour une tournée (Catégorie " &amp; $O1753 &amp; ")")</f>
        <v>Taux de chargement moyen pour une tournée (Catégorie 2)</v>
      </c>
      <c r="E1753" t="str">
        <f t="shared" ref="E1753" si="485">"LivrNuitTourneeTC" &amp; $O1753</f>
        <v>LivrNuitTourneeTC2</v>
      </c>
      <c r="F1753" t="s">
        <v>17</v>
      </c>
      <c r="G1753">
        <f t="shared" si="480"/>
        <v>0</v>
      </c>
      <c r="H1753" s="3">
        <v>664.63121598647194</v>
      </c>
      <c r="J1753" t="s">
        <v>70</v>
      </c>
      <c r="M1753" t="s">
        <v>288</v>
      </c>
      <c r="O1753">
        <f t="shared" ref="O1753:O1756" si="486">O1752</f>
        <v>2</v>
      </c>
      <c r="P1753" s="31" t="s">
        <v>527</v>
      </c>
    </row>
    <row r="1754" spans="1:16" outlineLevel="1" x14ac:dyDescent="0.25">
      <c r="A1754" t="s">
        <v>284</v>
      </c>
      <c r="B1754">
        <v>0</v>
      </c>
      <c r="C1754" t="str">
        <f t="shared" ref="C1754" si="487">_xlfn.CONCAT("Masse moyenne transportée sur une tournée (Catégorie " &amp; $O1754 &amp; ")")</f>
        <v>Masse moyenne transportée sur une tournée (Catégorie 2)</v>
      </c>
      <c r="E1754" t="str">
        <f t="shared" ref="E1754" si="488">"LivrNuitTourneeMasse" &amp; $O1754</f>
        <v>LivrNuitTourneeMasse2</v>
      </c>
      <c r="F1754" t="s">
        <v>17</v>
      </c>
      <c r="G1754">
        <f t="shared" si="480"/>
        <v>0</v>
      </c>
      <c r="H1754">
        <v>677.92116217328805</v>
      </c>
      <c r="J1754" t="s">
        <v>148</v>
      </c>
      <c r="M1754" t="s">
        <v>288</v>
      </c>
      <c r="O1754">
        <f t="shared" si="486"/>
        <v>2</v>
      </c>
      <c r="P1754" s="31" t="s">
        <v>527</v>
      </c>
    </row>
    <row r="1755" spans="1:16" outlineLevel="1" x14ac:dyDescent="0.25">
      <c r="A1755" t="s">
        <v>284</v>
      </c>
      <c r="B1755">
        <v>0</v>
      </c>
      <c r="C1755" t="str">
        <f t="shared" ref="C1755" si="489">_xlfn.CONCAT("Ordre de grandeur du nombre annuel de tournées (Catégorie " &amp; $O1755 &amp; ")")</f>
        <v>Ordre de grandeur du nombre annuel de tournées (Catégorie 2)</v>
      </c>
      <c r="E1755" t="str">
        <f t="shared" ref="E1755" si="490">"LivrNuitTourneeNb" &amp; $O1755</f>
        <v>LivrNuitTourneeNb2</v>
      </c>
      <c r="F1755" t="s">
        <v>17</v>
      </c>
      <c r="G1755">
        <f t="shared" si="480"/>
        <v>0</v>
      </c>
      <c r="H1755">
        <v>691.21110836010405</v>
      </c>
      <c r="J1755" t="s">
        <v>283</v>
      </c>
      <c r="M1755" t="s">
        <v>288</v>
      </c>
      <c r="O1755">
        <f t="shared" si="486"/>
        <v>2</v>
      </c>
      <c r="P1755" s="31" t="s">
        <v>527</v>
      </c>
    </row>
    <row r="1756" spans="1:16" outlineLevel="1" x14ac:dyDescent="0.25">
      <c r="A1756" t="s">
        <v>284</v>
      </c>
      <c r="B1756">
        <v>0</v>
      </c>
      <c r="C1756" t="str">
        <f t="shared" ref="C1756" si="491">_xlfn.CONCAT("% de livraisons déjà en horaire décalé (Catégorie " &amp; $O1756 &amp; ")")</f>
        <v>% de livraisons déjà en horaire décalé (Catégorie 2)</v>
      </c>
      <c r="E1756" t="str">
        <f t="shared" ref="E1756" si="492">"LivrNuitInitDecal" &amp; $O1756</f>
        <v>LivrNuitInitDecal2</v>
      </c>
      <c r="F1756" t="s">
        <v>17</v>
      </c>
      <c r="G1756">
        <f t="shared" si="480"/>
        <v>0</v>
      </c>
      <c r="H1756" s="18">
        <v>704.50105454692005</v>
      </c>
      <c r="J1756" t="s">
        <v>70</v>
      </c>
      <c r="M1756" t="s">
        <v>288</v>
      </c>
      <c r="O1756">
        <f t="shared" si="486"/>
        <v>2</v>
      </c>
      <c r="P1756" s="31" t="s">
        <v>527</v>
      </c>
    </row>
    <row r="1757" spans="1:16" outlineLevel="1" x14ac:dyDescent="0.25">
      <c r="A1757" t="s">
        <v>284</v>
      </c>
      <c r="B1757">
        <v>0</v>
      </c>
      <c r="C1757" t="str">
        <f t="shared" ref="C1757" si="493">_xlfn.CONCAT("Distance moyenne d'une tournée (Catégorie " &amp; $O1757 &amp; ")")</f>
        <v>Distance moyenne d'une tournée (Catégorie 3)</v>
      </c>
      <c r="E1757" t="str">
        <f t="shared" ref="E1757" si="494">"LivrNuitTourneeDist" &amp; $O1757</f>
        <v>LivrNuitTourneeDist3</v>
      </c>
      <c r="F1757" t="s">
        <v>17</v>
      </c>
      <c r="G1757">
        <f t="shared" si="480"/>
        <v>0</v>
      </c>
      <c r="H1757">
        <v>717.79100073373604</v>
      </c>
      <c r="J1757" t="s">
        <v>88</v>
      </c>
      <c r="M1757" t="s">
        <v>288</v>
      </c>
      <c r="O1757">
        <f t="shared" ref="O1757" si="495">O1756+1</f>
        <v>3</v>
      </c>
      <c r="P1757" s="31" t="s">
        <v>527</v>
      </c>
    </row>
    <row r="1758" spans="1:16" outlineLevel="1" x14ac:dyDescent="0.25">
      <c r="A1758" t="s">
        <v>284</v>
      </c>
      <c r="B1758">
        <v>0</v>
      </c>
      <c r="C1758" t="str">
        <f t="shared" ref="C1758" si="496">_xlfn.CONCAT("Taux de chargement moyen pour une tournée (Catégorie " &amp; $O1758 &amp; ")")</f>
        <v>Taux de chargement moyen pour une tournée (Catégorie 3)</v>
      </c>
      <c r="E1758" t="str">
        <f t="shared" ref="E1758" si="497">"LivrNuitTourneeTC" &amp; $O1758</f>
        <v>LivrNuitTourneeTC3</v>
      </c>
      <c r="F1758" t="s">
        <v>17</v>
      </c>
      <c r="G1758">
        <f t="shared" si="480"/>
        <v>0</v>
      </c>
      <c r="H1758" s="3">
        <v>731.08094692055204</v>
      </c>
      <c r="J1758" t="s">
        <v>70</v>
      </c>
      <c r="M1758" t="s">
        <v>288</v>
      </c>
      <c r="O1758">
        <f t="shared" ref="O1758:O1761" si="498">O1757</f>
        <v>3</v>
      </c>
      <c r="P1758" s="31" t="s">
        <v>527</v>
      </c>
    </row>
    <row r="1759" spans="1:16" outlineLevel="1" x14ac:dyDescent="0.25">
      <c r="A1759" t="s">
        <v>284</v>
      </c>
      <c r="B1759">
        <v>0</v>
      </c>
      <c r="C1759" t="str">
        <f t="shared" ref="C1759" si="499">_xlfn.CONCAT("Masse moyenne transportée sur une tournée (Catégorie " &amp; $O1759 &amp; ")")</f>
        <v>Masse moyenne transportée sur une tournée (Catégorie 3)</v>
      </c>
      <c r="E1759" t="str">
        <f t="shared" ref="E1759" si="500">"LivrNuitTourneeMasse" &amp; $O1759</f>
        <v>LivrNuitTourneeMasse3</v>
      </c>
      <c r="F1759" t="s">
        <v>17</v>
      </c>
      <c r="G1759">
        <f t="shared" si="480"/>
        <v>0</v>
      </c>
      <c r="H1759">
        <v>744.37089310736803</v>
      </c>
      <c r="J1759" t="s">
        <v>148</v>
      </c>
      <c r="M1759" t="s">
        <v>288</v>
      </c>
      <c r="O1759">
        <f t="shared" si="498"/>
        <v>3</v>
      </c>
      <c r="P1759" s="31" t="s">
        <v>527</v>
      </c>
    </row>
    <row r="1760" spans="1:16" outlineLevel="1" x14ac:dyDescent="0.25">
      <c r="A1760" t="s">
        <v>284</v>
      </c>
      <c r="B1760">
        <v>0</v>
      </c>
      <c r="C1760" t="str">
        <f t="shared" ref="C1760" si="501">_xlfn.CONCAT("Ordre de grandeur du nombre annuel de tournées (Catégorie " &amp; $O1760 &amp; ")")</f>
        <v>Ordre de grandeur du nombre annuel de tournées (Catégorie 3)</v>
      </c>
      <c r="E1760" t="str">
        <f t="shared" ref="E1760" si="502">"LivrNuitTourneeNb" &amp; $O1760</f>
        <v>LivrNuitTourneeNb3</v>
      </c>
      <c r="F1760" t="s">
        <v>17</v>
      </c>
      <c r="G1760">
        <f t="shared" si="480"/>
        <v>0</v>
      </c>
      <c r="H1760">
        <v>757.66083929418403</v>
      </c>
      <c r="J1760" t="s">
        <v>283</v>
      </c>
      <c r="M1760" t="s">
        <v>288</v>
      </c>
      <c r="O1760">
        <f t="shared" si="498"/>
        <v>3</v>
      </c>
      <c r="P1760" s="31" t="s">
        <v>527</v>
      </c>
    </row>
    <row r="1761" spans="1:16" outlineLevel="1" x14ac:dyDescent="0.25">
      <c r="A1761" t="s">
        <v>284</v>
      </c>
      <c r="B1761">
        <v>0</v>
      </c>
      <c r="C1761" t="str">
        <f t="shared" ref="C1761" si="503">_xlfn.CONCAT("% de livraisons déjà en horaire décalé (Catégorie " &amp; $O1761 &amp; ")")</f>
        <v>% de livraisons déjà en horaire décalé (Catégorie 3)</v>
      </c>
      <c r="E1761" t="str">
        <f t="shared" ref="E1761" si="504">"LivrNuitInitDecal" &amp; $O1761</f>
        <v>LivrNuitInitDecal3</v>
      </c>
      <c r="F1761" t="s">
        <v>17</v>
      </c>
      <c r="G1761">
        <f t="shared" si="480"/>
        <v>0</v>
      </c>
      <c r="H1761" s="18">
        <v>770.95078548100003</v>
      </c>
      <c r="J1761" t="s">
        <v>70</v>
      </c>
      <c r="M1761" t="s">
        <v>288</v>
      </c>
      <c r="O1761">
        <f t="shared" si="498"/>
        <v>3</v>
      </c>
      <c r="P1761" s="31" t="s">
        <v>527</v>
      </c>
    </row>
    <row r="1762" spans="1:16" outlineLevel="1" x14ac:dyDescent="0.25">
      <c r="A1762" t="s">
        <v>284</v>
      </c>
      <c r="B1762">
        <v>0</v>
      </c>
      <c r="C1762" t="str">
        <f t="shared" ref="C1762" si="505">_xlfn.CONCAT("Distance moyenne d'une tournée (Catégorie " &amp; $O1762 &amp; ")")</f>
        <v>Distance moyenne d'une tournée (Catégorie 4)</v>
      </c>
      <c r="E1762" t="str">
        <f t="shared" ref="E1762" si="506">"LivrNuitTourneeDist" &amp; $O1762</f>
        <v>LivrNuitTourneeDist4</v>
      </c>
      <c r="F1762" t="s">
        <v>17</v>
      </c>
      <c r="G1762">
        <f t="shared" si="480"/>
        <v>0</v>
      </c>
      <c r="H1762">
        <v>784.24073166781602</v>
      </c>
      <c r="J1762" t="s">
        <v>88</v>
      </c>
      <c r="M1762" t="s">
        <v>288</v>
      </c>
      <c r="O1762">
        <f t="shared" ref="O1762" si="507">O1761+1</f>
        <v>4</v>
      </c>
      <c r="P1762" s="31" t="s">
        <v>527</v>
      </c>
    </row>
    <row r="1763" spans="1:16" outlineLevel="1" x14ac:dyDescent="0.25">
      <c r="A1763" t="s">
        <v>284</v>
      </c>
      <c r="B1763">
        <v>0</v>
      </c>
      <c r="C1763" t="str">
        <f t="shared" ref="C1763" si="508">_xlfn.CONCAT("Taux de chargement moyen pour une tournée (Catégorie " &amp; $O1763 &amp; ")")</f>
        <v>Taux de chargement moyen pour une tournée (Catégorie 4)</v>
      </c>
      <c r="E1763" t="str">
        <f t="shared" ref="E1763" si="509">"LivrNuitTourneeTC" &amp; $O1763</f>
        <v>LivrNuitTourneeTC4</v>
      </c>
      <c r="F1763" t="s">
        <v>17</v>
      </c>
      <c r="G1763">
        <f t="shared" si="480"/>
        <v>0</v>
      </c>
      <c r="H1763" s="3">
        <v>797.53067785463304</v>
      </c>
      <c r="J1763" t="s">
        <v>70</v>
      </c>
      <c r="M1763" t="s">
        <v>288</v>
      </c>
      <c r="O1763">
        <f t="shared" ref="O1763:O1766" si="510">O1762</f>
        <v>4</v>
      </c>
      <c r="P1763" s="31" t="s">
        <v>527</v>
      </c>
    </row>
    <row r="1764" spans="1:16" outlineLevel="1" x14ac:dyDescent="0.25">
      <c r="A1764" t="s">
        <v>284</v>
      </c>
      <c r="B1764">
        <v>0</v>
      </c>
      <c r="C1764" t="str">
        <f t="shared" ref="C1764" si="511">_xlfn.CONCAT("Masse moyenne transportée sur une tournée (Catégorie " &amp; $O1764 &amp; ")")</f>
        <v>Masse moyenne transportée sur une tournée (Catégorie 4)</v>
      </c>
      <c r="E1764" t="str">
        <f t="shared" ref="E1764" si="512">"LivrNuitTourneeMasse" &amp; $O1764</f>
        <v>LivrNuitTourneeMasse4</v>
      </c>
      <c r="F1764" t="s">
        <v>17</v>
      </c>
      <c r="G1764">
        <f t="shared" si="480"/>
        <v>0</v>
      </c>
      <c r="H1764">
        <v>810.82062404144904</v>
      </c>
      <c r="J1764" t="s">
        <v>148</v>
      </c>
      <c r="M1764" t="s">
        <v>288</v>
      </c>
      <c r="O1764">
        <f t="shared" si="510"/>
        <v>4</v>
      </c>
      <c r="P1764" s="31" t="s">
        <v>527</v>
      </c>
    </row>
    <row r="1765" spans="1:16" outlineLevel="1" x14ac:dyDescent="0.25">
      <c r="A1765" t="s">
        <v>284</v>
      </c>
      <c r="B1765">
        <v>0</v>
      </c>
      <c r="C1765" t="str">
        <f t="shared" ref="C1765" si="513">_xlfn.CONCAT("Ordre de grandeur du nombre annuel de tournées (Catégorie " &amp; $O1765 &amp; ")")</f>
        <v>Ordre de grandeur du nombre annuel de tournées (Catégorie 4)</v>
      </c>
      <c r="E1765" t="str">
        <f t="shared" ref="E1765" si="514">"LivrNuitTourneeNb" &amp; $O1765</f>
        <v>LivrNuitTourneeNb4</v>
      </c>
      <c r="F1765" t="s">
        <v>17</v>
      </c>
      <c r="G1765">
        <f t="shared" si="480"/>
        <v>0</v>
      </c>
      <c r="H1765">
        <v>824.11057022826503</v>
      </c>
      <c r="J1765" t="s">
        <v>283</v>
      </c>
      <c r="M1765" t="s">
        <v>288</v>
      </c>
      <c r="O1765">
        <f>O1764</f>
        <v>4</v>
      </c>
      <c r="P1765" s="31" t="s">
        <v>527</v>
      </c>
    </row>
    <row r="1766" spans="1:16" outlineLevel="1" x14ac:dyDescent="0.25">
      <c r="A1766" t="s">
        <v>284</v>
      </c>
      <c r="B1766">
        <v>0</v>
      </c>
      <c r="C1766" t="str">
        <f t="shared" ref="C1766" si="515">_xlfn.CONCAT("% de livraisons déjà en horaire décalé (Catégorie " &amp; $O1766 &amp; ")")</f>
        <v>% de livraisons déjà en horaire décalé (Catégorie 4)</v>
      </c>
      <c r="E1766" t="str">
        <f t="shared" ref="E1766" si="516">"LivrNuitInitDecal" &amp; $O1766</f>
        <v>LivrNuitInitDecal4</v>
      </c>
      <c r="F1766" t="s">
        <v>17</v>
      </c>
      <c r="G1766">
        <f t="shared" si="480"/>
        <v>0</v>
      </c>
      <c r="H1766" s="18">
        <v>837.40051641508103</v>
      </c>
      <c r="J1766" t="s">
        <v>70</v>
      </c>
      <c r="M1766" t="s">
        <v>288</v>
      </c>
      <c r="O1766">
        <f t="shared" si="510"/>
        <v>4</v>
      </c>
      <c r="P1766" s="31" t="s">
        <v>527</v>
      </c>
    </row>
    <row r="1767" spans="1:16" outlineLevel="1" x14ac:dyDescent="0.25">
      <c r="A1767" t="s">
        <v>284</v>
      </c>
      <c r="B1767">
        <v>0</v>
      </c>
      <c r="C1767" t="str">
        <f t="shared" ref="C1767" si="517">_xlfn.CONCAT("Distance moyenne d'une tournée (Catégorie " &amp; $O1767 &amp; ")")</f>
        <v>Distance moyenne d'une tournée (Catégorie 5)</v>
      </c>
      <c r="E1767" t="str">
        <f t="shared" ref="E1767" si="518">"LivrNuitTourneeDist" &amp; $O1767</f>
        <v>LivrNuitTourneeDist5</v>
      </c>
      <c r="F1767" t="s">
        <v>17</v>
      </c>
      <c r="G1767">
        <f t="shared" si="480"/>
        <v>0</v>
      </c>
      <c r="H1767">
        <v>850.69046260189702</v>
      </c>
      <c r="J1767" t="s">
        <v>88</v>
      </c>
      <c r="M1767" t="s">
        <v>288</v>
      </c>
      <c r="O1767">
        <f t="shared" ref="O1767" si="519">O1766+1</f>
        <v>5</v>
      </c>
      <c r="P1767" s="31" t="s">
        <v>527</v>
      </c>
    </row>
    <row r="1768" spans="1:16" outlineLevel="1" x14ac:dyDescent="0.25">
      <c r="A1768" t="s">
        <v>284</v>
      </c>
      <c r="B1768">
        <v>0</v>
      </c>
      <c r="C1768" t="str">
        <f t="shared" ref="C1768" si="520">_xlfn.CONCAT("Taux de chargement moyen pour une tournée (Catégorie " &amp; $O1768 &amp; ")")</f>
        <v>Taux de chargement moyen pour une tournée (Catégorie 5)</v>
      </c>
      <c r="E1768" t="str">
        <f t="shared" ref="E1768" si="521">"LivrNuitTourneeTC" &amp; $O1768</f>
        <v>LivrNuitTourneeTC5</v>
      </c>
      <c r="F1768" t="s">
        <v>17</v>
      </c>
      <c r="G1768">
        <f t="shared" si="480"/>
        <v>0</v>
      </c>
      <c r="H1768" s="3">
        <v>863.98040878871302</v>
      </c>
      <c r="J1768" t="s">
        <v>70</v>
      </c>
      <c r="M1768" t="s">
        <v>288</v>
      </c>
      <c r="O1768">
        <f t="shared" ref="O1768:O1771" si="522">O1767</f>
        <v>5</v>
      </c>
      <c r="P1768" s="31" t="s">
        <v>527</v>
      </c>
    </row>
    <row r="1769" spans="1:16" outlineLevel="1" x14ac:dyDescent="0.25">
      <c r="A1769" t="s">
        <v>284</v>
      </c>
      <c r="B1769">
        <v>0</v>
      </c>
      <c r="C1769" t="str">
        <f t="shared" ref="C1769" si="523">_xlfn.CONCAT("Masse moyenne transportée sur une tournée (Catégorie " &amp; $O1769 &amp; ")")</f>
        <v>Masse moyenne transportée sur une tournée (Catégorie 5)</v>
      </c>
      <c r="E1769" t="str">
        <f t="shared" ref="E1769" si="524">"LivrNuitTourneeMasse" &amp; $O1769</f>
        <v>LivrNuitTourneeMasse5</v>
      </c>
      <c r="F1769" t="s">
        <v>17</v>
      </c>
      <c r="G1769">
        <f t="shared" si="480"/>
        <v>0</v>
      </c>
      <c r="H1769">
        <v>877.27035497552902</v>
      </c>
      <c r="J1769" t="s">
        <v>148</v>
      </c>
      <c r="M1769" t="s">
        <v>288</v>
      </c>
      <c r="O1769">
        <f t="shared" si="522"/>
        <v>5</v>
      </c>
      <c r="P1769" s="31" t="s">
        <v>527</v>
      </c>
    </row>
    <row r="1770" spans="1:16" outlineLevel="1" x14ac:dyDescent="0.25">
      <c r="A1770" t="s">
        <v>284</v>
      </c>
      <c r="B1770">
        <v>0</v>
      </c>
      <c r="C1770" t="str">
        <f t="shared" ref="C1770" si="525">_xlfn.CONCAT("Ordre de grandeur du nombre annuel de tournées (Catégorie " &amp; $O1770 &amp; ")")</f>
        <v>Ordre de grandeur du nombre annuel de tournées (Catégorie 5)</v>
      </c>
      <c r="E1770" t="str">
        <f t="shared" ref="E1770" si="526">"LivrNuitTourneeNb" &amp; $O1770</f>
        <v>LivrNuitTourneeNb5</v>
      </c>
      <c r="F1770" t="s">
        <v>17</v>
      </c>
      <c r="G1770">
        <f t="shared" si="480"/>
        <v>0</v>
      </c>
      <c r="H1770">
        <v>890.56030116234501</v>
      </c>
      <c r="J1770" t="s">
        <v>283</v>
      </c>
      <c r="M1770" t="s">
        <v>288</v>
      </c>
      <c r="O1770">
        <f t="shared" si="522"/>
        <v>5</v>
      </c>
      <c r="P1770" s="31" t="s">
        <v>527</v>
      </c>
    </row>
    <row r="1771" spans="1:16" outlineLevel="1" x14ac:dyDescent="0.25">
      <c r="A1771" t="s">
        <v>284</v>
      </c>
      <c r="B1771">
        <v>0</v>
      </c>
      <c r="C1771" t="str">
        <f t="shared" ref="C1771" si="527">_xlfn.CONCAT("% de livraisons déjà en horaire décalé (Catégorie " &amp; $O1771 &amp; ")")</f>
        <v>% de livraisons déjà en horaire décalé (Catégorie 5)</v>
      </c>
      <c r="E1771" t="str">
        <f t="shared" ref="E1771" si="528">"LivrNuitInitDecal" &amp; $O1771</f>
        <v>LivrNuitInitDecal5</v>
      </c>
      <c r="F1771" t="s">
        <v>17</v>
      </c>
      <c r="G1771">
        <f t="shared" si="480"/>
        <v>0</v>
      </c>
      <c r="H1771" s="18">
        <v>903.85024734916101</v>
      </c>
      <c r="J1771" t="s">
        <v>70</v>
      </c>
      <c r="M1771" t="s">
        <v>288</v>
      </c>
      <c r="O1771">
        <f t="shared" si="522"/>
        <v>5</v>
      </c>
      <c r="P1771" s="31" t="s">
        <v>527</v>
      </c>
    </row>
    <row r="1772" spans="1:16" outlineLevel="1" x14ac:dyDescent="0.25">
      <c r="A1772" t="s">
        <v>284</v>
      </c>
      <c r="B1772">
        <v>0</v>
      </c>
      <c r="C1772" t="str">
        <f t="shared" ref="C1772" si="529">_xlfn.CONCAT("Distance moyenne d'une tournée (Catégorie " &amp; $O1772 &amp; ")")</f>
        <v>Distance moyenne d'une tournée (Catégorie 6)</v>
      </c>
      <c r="E1772" t="str">
        <f t="shared" ref="E1772" si="530">"LivrNuitTourneeDist" &amp; $O1772</f>
        <v>LivrNuitTourneeDist6</v>
      </c>
      <c r="F1772" t="s">
        <v>17</v>
      </c>
      <c r="G1772">
        <f t="shared" si="480"/>
        <v>0</v>
      </c>
      <c r="H1772">
        <v>917.14019353597701</v>
      </c>
      <c r="J1772" t="s">
        <v>88</v>
      </c>
      <c r="M1772" t="s">
        <v>288</v>
      </c>
      <c r="O1772">
        <f t="shared" ref="O1772" si="531">O1771+1</f>
        <v>6</v>
      </c>
      <c r="P1772" s="31" t="s">
        <v>527</v>
      </c>
    </row>
    <row r="1773" spans="1:16" outlineLevel="1" x14ac:dyDescent="0.25">
      <c r="A1773" t="s">
        <v>284</v>
      </c>
      <c r="B1773">
        <v>0</v>
      </c>
      <c r="C1773" t="str">
        <f t="shared" ref="C1773" si="532">_xlfn.CONCAT("Taux de chargement moyen pour une tournée (Catégorie " &amp; $O1773 &amp; ")")</f>
        <v>Taux de chargement moyen pour une tournée (Catégorie 6)</v>
      </c>
      <c r="E1773" t="str">
        <f t="shared" ref="E1773" si="533">"LivrNuitTourneeTC" &amp; $O1773</f>
        <v>LivrNuitTourneeTC6</v>
      </c>
      <c r="F1773" t="s">
        <v>17</v>
      </c>
      <c r="G1773">
        <f t="shared" si="480"/>
        <v>0</v>
      </c>
      <c r="H1773" s="3">
        <v>930.430139722793</v>
      </c>
      <c r="J1773" t="s">
        <v>70</v>
      </c>
      <c r="M1773" t="s">
        <v>288</v>
      </c>
      <c r="O1773">
        <f t="shared" ref="O1773" si="534">O1772</f>
        <v>6</v>
      </c>
      <c r="P1773" s="31" t="s">
        <v>527</v>
      </c>
    </row>
    <row r="1774" spans="1:16" outlineLevel="1" x14ac:dyDescent="0.25">
      <c r="A1774" t="s">
        <v>284</v>
      </c>
      <c r="B1774">
        <v>0</v>
      </c>
      <c r="C1774" t="str">
        <f>_xlfn.CONCAT("Distance moyenne d'une tournée (Catégorie " &amp; $O1774 &amp; ")")</f>
        <v>Distance moyenne d'une tournée (Catégorie 7)</v>
      </c>
      <c r="E1774" t="str">
        <f>"LivrNuitTourneeDist" &amp; $O1774</f>
        <v>LivrNuitTourneeDist7</v>
      </c>
      <c r="F1774" t="s">
        <v>17</v>
      </c>
      <c r="G1774">
        <f t="shared" si="480"/>
        <v>0</v>
      </c>
      <c r="H1774">
        <v>942.23522353722899</v>
      </c>
      <c r="J1774" t="s">
        <v>88</v>
      </c>
      <c r="M1774" t="s">
        <v>288</v>
      </c>
      <c r="O1774">
        <f>O1773+1</f>
        <v>7</v>
      </c>
      <c r="P1774" s="31" t="s">
        <v>527</v>
      </c>
    </row>
    <row r="1775" spans="1:16" outlineLevel="1" x14ac:dyDescent="0.25">
      <c r="A1775" t="s">
        <v>284</v>
      </c>
      <c r="B1775">
        <v>0</v>
      </c>
      <c r="C1775" t="str">
        <f>_xlfn.CONCAT("Taux de chargement moyen pour une tournée (Catégorie " &amp; $O1775 &amp; ")")</f>
        <v>Taux de chargement moyen pour une tournée (Catégorie 7)</v>
      </c>
      <c r="E1775" t="str">
        <f>"LivrNuitTourneeTC" &amp; $O1775</f>
        <v>LivrNuitTourneeTC7</v>
      </c>
      <c r="F1775" t="s">
        <v>17</v>
      </c>
      <c r="G1775">
        <f t="shared" si="480"/>
        <v>0</v>
      </c>
      <c r="H1775" s="3">
        <v>955.25866481423895</v>
      </c>
      <c r="J1775" t="s">
        <v>70</v>
      </c>
      <c r="M1775" t="s">
        <v>288</v>
      </c>
      <c r="O1775">
        <f>O1774</f>
        <v>7</v>
      </c>
      <c r="P1775" s="31" t="s">
        <v>527</v>
      </c>
    </row>
    <row r="1776" spans="1:16" outlineLevel="1" x14ac:dyDescent="0.25">
      <c r="A1776" t="s">
        <v>284</v>
      </c>
      <c r="B1776">
        <v>0</v>
      </c>
      <c r="C1776" t="str">
        <f>_xlfn.CONCAT("Masse moyenne transportée sur une tournée (Catégorie " &amp; $O1776 &amp; ")")</f>
        <v>Masse moyenne transportée sur une tournée (Catégorie 7)</v>
      </c>
      <c r="E1776" t="str">
        <f>"LivrNuitTourneeMasse" &amp; $O1776</f>
        <v>LivrNuitTourneeMasse7</v>
      </c>
      <c r="F1776" t="s">
        <v>17</v>
      </c>
      <c r="G1776">
        <f t="shared" si="480"/>
        <v>0</v>
      </c>
      <c r="H1776">
        <v>968.28210609124699</v>
      </c>
      <c r="J1776" t="s">
        <v>148</v>
      </c>
      <c r="M1776" t="s">
        <v>288</v>
      </c>
      <c r="O1776">
        <f>O1775</f>
        <v>7</v>
      </c>
      <c r="P1776" s="31" t="s">
        <v>527</v>
      </c>
    </row>
    <row r="1777" spans="1:16" outlineLevel="1" x14ac:dyDescent="0.25">
      <c r="A1777" t="s">
        <v>284</v>
      </c>
      <c r="B1777">
        <v>0</v>
      </c>
      <c r="C1777" t="str">
        <f>_xlfn.CONCAT("Ordre de grandeur du nombre annuel de tournées (Catégorie " &amp; $O1777 &amp; ")")</f>
        <v>Ordre de grandeur du nombre annuel de tournées (Catégorie 7)</v>
      </c>
      <c r="E1777" t="str">
        <f>"LivrNuitTourneeNb" &amp; $O1777</f>
        <v>LivrNuitTourneeNb7</v>
      </c>
      <c r="F1777" t="s">
        <v>17</v>
      </c>
      <c r="G1777">
        <f t="shared" si="480"/>
        <v>0</v>
      </c>
      <c r="H1777">
        <v>981.30554736825604</v>
      </c>
      <c r="J1777" t="s">
        <v>283</v>
      </c>
      <c r="M1777" t="s">
        <v>288</v>
      </c>
      <c r="O1777">
        <f>O1776</f>
        <v>7</v>
      </c>
      <c r="P1777" s="31" t="s">
        <v>527</v>
      </c>
    </row>
    <row r="1778" spans="1:16" outlineLevel="1" x14ac:dyDescent="0.25">
      <c r="A1778" t="s">
        <v>284</v>
      </c>
      <c r="B1778">
        <v>0</v>
      </c>
      <c r="C1778" t="str">
        <f>_xlfn.CONCAT("% de livraisons déjà en horaire décalé (Catégorie " &amp; $O1778 &amp; ")")</f>
        <v>% de livraisons déjà en horaire décalé (Catégorie 7)</v>
      </c>
      <c r="E1778" t="str">
        <f>"LivrNuitInitDecal" &amp; $O1778</f>
        <v>LivrNuitInitDecal7</v>
      </c>
      <c r="F1778" t="s">
        <v>17</v>
      </c>
      <c r="G1778">
        <f t="shared" si="480"/>
        <v>0</v>
      </c>
      <c r="H1778" s="18">
        <v>994.32898864526601</v>
      </c>
      <c r="J1778" t="s">
        <v>70</v>
      </c>
      <c r="M1778" t="s">
        <v>288</v>
      </c>
      <c r="O1778">
        <f>O1777</f>
        <v>7</v>
      </c>
      <c r="P1778" s="31" t="s">
        <v>527</v>
      </c>
    </row>
    <row r="1779" spans="1:16" outlineLevel="1" x14ac:dyDescent="0.25">
      <c r="A1779" t="s">
        <v>284</v>
      </c>
      <c r="B1779">
        <v>0</v>
      </c>
      <c r="C1779" t="str">
        <f t="shared" ref="C1779" si="535">_xlfn.CONCAT("Distance moyenne d'une tournée (Catégorie " &amp; $O1779 &amp; ")")</f>
        <v>Distance moyenne d'une tournée (Catégorie 8)</v>
      </c>
      <c r="E1779" t="str">
        <f t="shared" ref="E1779" si="536">"LivrNuitTourneeDist" &amp; $O1779</f>
        <v>LivrNuitTourneeDist8</v>
      </c>
      <c r="F1779" t="s">
        <v>17</v>
      </c>
      <c r="G1779">
        <f t="shared" si="480"/>
        <v>0</v>
      </c>
      <c r="H1779">
        <v>1007.35242992228</v>
      </c>
      <c r="J1779" t="s">
        <v>88</v>
      </c>
      <c r="M1779" t="s">
        <v>288</v>
      </c>
      <c r="O1779">
        <f t="shared" ref="O1779" si="537">O1778+1</f>
        <v>8</v>
      </c>
      <c r="P1779" s="31" t="s">
        <v>527</v>
      </c>
    </row>
    <row r="1780" spans="1:16" outlineLevel="1" x14ac:dyDescent="0.25">
      <c r="A1780" t="s">
        <v>284</v>
      </c>
      <c r="B1780">
        <v>0</v>
      </c>
      <c r="C1780" t="str">
        <f t="shared" ref="C1780" si="538">_xlfn.CONCAT("Taux de chargement moyen pour une tournée (Catégorie " &amp; $O1780 &amp; ")")</f>
        <v>Taux de chargement moyen pour une tournée (Catégorie 8)</v>
      </c>
      <c r="E1780" t="str">
        <f t="shared" ref="E1780" si="539">"LivrNuitTourneeTC" &amp; $O1780</f>
        <v>LivrNuitTourneeTC8</v>
      </c>
      <c r="F1780" t="s">
        <v>17</v>
      </c>
      <c r="G1780">
        <f t="shared" si="480"/>
        <v>0</v>
      </c>
      <c r="H1780" s="3">
        <v>1020.37587119928</v>
      </c>
      <c r="J1780" t="s">
        <v>70</v>
      </c>
      <c r="M1780" t="s">
        <v>288</v>
      </c>
      <c r="O1780">
        <f t="shared" ref="O1780:O1783" si="540">O1779</f>
        <v>8</v>
      </c>
      <c r="P1780" s="31" t="s">
        <v>527</v>
      </c>
    </row>
    <row r="1781" spans="1:16" outlineLevel="1" x14ac:dyDescent="0.25">
      <c r="A1781" t="s">
        <v>284</v>
      </c>
      <c r="B1781">
        <v>0</v>
      </c>
      <c r="C1781" t="str">
        <f t="shared" ref="C1781" si="541">_xlfn.CONCAT("Masse moyenne transportée sur une tournée (Catégorie " &amp; $O1781 &amp; ")")</f>
        <v>Masse moyenne transportée sur une tournée (Catégorie 8)</v>
      </c>
      <c r="E1781" t="str">
        <f t="shared" ref="E1781" si="542">"LivrNuitTourneeMasse" &amp; $O1781</f>
        <v>LivrNuitTourneeMasse8</v>
      </c>
      <c r="F1781" t="s">
        <v>17</v>
      </c>
      <c r="G1781">
        <f t="shared" si="480"/>
        <v>0</v>
      </c>
      <c r="H1781">
        <v>1033.3993124762901</v>
      </c>
      <c r="J1781" t="s">
        <v>148</v>
      </c>
      <c r="M1781" t="s">
        <v>288</v>
      </c>
      <c r="O1781">
        <f t="shared" si="540"/>
        <v>8</v>
      </c>
      <c r="P1781" s="31" t="s">
        <v>527</v>
      </c>
    </row>
    <row r="1782" spans="1:16" outlineLevel="1" x14ac:dyDescent="0.25">
      <c r="A1782" t="s">
        <v>284</v>
      </c>
      <c r="B1782">
        <v>0</v>
      </c>
      <c r="C1782" t="str">
        <f t="shared" ref="C1782" si="543">_xlfn.CONCAT("Ordre de grandeur du nombre annuel de tournées (Catégorie " &amp; $O1782 &amp; ")")</f>
        <v>Ordre de grandeur du nombre annuel de tournées (Catégorie 8)</v>
      </c>
      <c r="E1782" t="str">
        <f t="shared" ref="E1782" si="544">"LivrNuitTourneeNb" &amp; $O1782</f>
        <v>LivrNuitTourneeNb8</v>
      </c>
      <c r="F1782" t="s">
        <v>17</v>
      </c>
      <c r="G1782">
        <f t="shared" si="480"/>
        <v>0</v>
      </c>
      <c r="H1782">
        <v>1046.4227537533</v>
      </c>
      <c r="J1782" t="s">
        <v>283</v>
      </c>
      <c r="M1782" t="s">
        <v>288</v>
      </c>
      <c r="O1782">
        <f t="shared" si="540"/>
        <v>8</v>
      </c>
      <c r="P1782" s="31" t="s">
        <v>527</v>
      </c>
    </row>
    <row r="1783" spans="1:16" outlineLevel="1" x14ac:dyDescent="0.25">
      <c r="A1783" t="s">
        <v>284</v>
      </c>
      <c r="B1783">
        <v>0</v>
      </c>
      <c r="C1783" t="str">
        <f t="shared" ref="C1783" si="545">_xlfn.CONCAT("% de livraisons déjà en horaire décalé (Catégorie " &amp; $O1783 &amp; ")")</f>
        <v>% de livraisons déjà en horaire décalé (Catégorie 8)</v>
      </c>
      <c r="E1783" t="str">
        <f t="shared" ref="E1783" si="546">"LivrNuitInitDecal" &amp; $O1783</f>
        <v>LivrNuitInitDecal8</v>
      </c>
      <c r="F1783" t="s">
        <v>17</v>
      </c>
      <c r="G1783">
        <f t="shared" si="480"/>
        <v>0</v>
      </c>
      <c r="H1783" s="18">
        <v>1059.44619503031</v>
      </c>
      <c r="J1783" t="s">
        <v>70</v>
      </c>
      <c r="M1783" t="s">
        <v>288</v>
      </c>
      <c r="O1783">
        <f t="shared" si="540"/>
        <v>8</v>
      </c>
      <c r="P1783" s="31" t="s">
        <v>527</v>
      </c>
    </row>
    <row r="1784" spans="1:16" outlineLevel="1" x14ac:dyDescent="0.25">
      <c r="A1784" t="s">
        <v>284</v>
      </c>
      <c r="B1784">
        <v>0</v>
      </c>
      <c r="C1784" t="str">
        <f t="shared" ref="C1784" si="547">_xlfn.CONCAT("Distance moyenne d'une tournée (Catégorie " &amp; $O1784 &amp; ")")</f>
        <v>Distance moyenne d'une tournée (Catégorie 9)</v>
      </c>
      <c r="E1784" t="str">
        <f t="shared" ref="E1784" si="548">"LivrNuitTourneeDist" &amp; $O1784</f>
        <v>LivrNuitTourneeDist9</v>
      </c>
      <c r="F1784" t="s">
        <v>17</v>
      </c>
      <c r="G1784">
        <f t="shared" si="480"/>
        <v>0</v>
      </c>
      <c r="H1784">
        <v>1072.4696363073199</v>
      </c>
      <c r="J1784" t="s">
        <v>88</v>
      </c>
      <c r="M1784" t="s">
        <v>288</v>
      </c>
      <c r="O1784">
        <f t="shared" ref="O1784" si="549">O1783+1</f>
        <v>9</v>
      </c>
      <c r="P1784" s="31" t="s">
        <v>527</v>
      </c>
    </row>
    <row r="1785" spans="1:16" outlineLevel="1" x14ac:dyDescent="0.25">
      <c r="A1785" t="s">
        <v>284</v>
      </c>
      <c r="B1785">
        <v>0</v>
      </c>
      <c r="C1785" t="str">
        <f t="shared" ref="C1785" si="550">_xlfn.CONCAT("Taux de chargement moyen pour une tournée (Catégorie " &amp; $O1785 &amp; ")")</f>
        <v>Taux de chargement moyen pour une tournée (Catégorie 9)</v>
      </c>
      <c r="E1785" t="str">
        <f t="shared" ref="E1785" si="551">"LivrNuitTourneeTC" &amp; $O1785</f>
        <v>LivrNuitTourneeTC9</v>
      </c>
      <c r="F1785" t="s">
        <v>17</v>
      </c>
      <c r="G1785">
        <f t="shared" si="480"/>
        <v>0</v>
      </c>
      <c r="H1785" s="3">
        <v>1085.49307758433</v>
      </c>
      <c r="J1785" t="s">
        <v>70</v>
      </c>
      <c r="M1785" t="s">
        <v>288</v>
      </c>
      <c r="O1785">
        <f t="shared" ref="O1785:O1788" si="552">O1784</f>
        <v>9</v>
      </c>
      <c r="P1785" s="31" t="s">
        <v>527</v>
      </c>
    </row>
    <row r="1786" spans="1:16" outlineLevel="1" x14ac:dyDescent="0.25">
      <c r="A1786" t="s">
        <v>284</v>
      </c>
      <c r="B1786">
        <v>0</v>
      </c>
      <c r="C1786" t="str">
        <f t="shared" ref="C1786" si="553">_xlfn.CONCAT("Masse moyenne transportée sur une tournée (Catégorie " &amp; $O1786 &amp; ")")</f>
        <v>Masse moyenne transportée sur une tournée (Catégorie 9)</v>
      </c>
      <c r="E1786" t="str">
        <f t="shared" ref="E1786" si="554">"LivrNuitTourneeMasse" &amp; $O1786</f>
        <v>LivrNuitTourneeMasse9</v>
      </c>
      <c r="F1786" t="s">
        <v>17</v>
      </c>
      <c r="G1786">
        <f t="shared" si="480"/>
        <v>0</v>
      </c>
      <c r="H1786">
        <v>1098.51651886134</v>
      </c>
      <c r="J1786" t="s">
        <v>148</v>
      </c>
      <c r="M1786" t="s">
        <v>288</v>
      </c>
      <c r="O1786">
        <f t="shared" si="552"/>
        <v>9</v>
      </c>
      <c r="P1786" s="31" t="s">
        <v>527</v>
      </c>
    </row>
    <row r="1787" spans="1:16" outlineLevel="1" x14ac:dyDescent="0.25">
      <c r="A1787" t="s">
        <v>284</v>
      </c>
      <c r="B1787">
        <v>0</v>
      </c>
      <c r="C1787" t="str">
        <f t="shared" ref="C1787" si="555">_xlfn.CONCAT("Ordre de grandeur du nombre annuel de tournées (Catégorie " &amp; $O1787 &amp; ")")</f>
        <v>Ordre de grandeur du nombre annuel de tournées (Catégorie 9)</v>
      </c>
      <c r="E1787" t="str">
        <f t="shared" ref="E1787" si="556">"LivrNuitTourneeNb" &amp; $O1787</f>
        <v>LivrNuitTourneeNb9</v>
      </c>
      <c r="F1787" t="s">
        <v>17</v>
      </c>
      <c r="G1787">
        <f t="shared" si="480"/>
        <v>0</v>
      </c>
      <c r="H1787">
        <v>1111.5399601383499</v>
      </c>
      <c r="J1787" t="s">
        <v>283</v>
      </c>
      <c r="M1787" t="s">
        <v>288</v>
      </c>
      <c r="O1787">
        <f t="shared" si="552"/>
        <v>9</v>
      </c>
      <c r="P1787" s="31" t="s">
        <v>527</v>
      </c>
    </row>
    <row r="1788" spans="1:16" outlineLevel="1" x14ac:dyDescent="0.25">
      <c r="A1788" t="s">
        <v>284</v>
      </c>
      <c r="B1788">
        <v>0</v>
      </c>
      <c r="C1788" t="str">
        <f t="shared" ref="C1788" si="557">_xlfn.CONCAT("% de livraisons déjà en horaire décalé (Catégorie " &amp; $O1788 &amp; ")")</f>
        <v>% de livraisons déjà en horaire décalé (Catégorie 9)</v>
      </c>
      <c r="E1788" t="str">
        <f t="shared" ref="E1788" si="558">"LivrNuitInitDecal" &amp; $O1788</f>
        <v>LivrNuitInitDecal9</v>
      </c>
      <c r="F1788" t="s">
        <v>17</v>
      </c>
      <c r="G1788">
        <f t="shared" si="480"/>
        <v>0</v>
      </c>
      <c r="H1788" s="18">
        <v>1124.56340141536</v>
      </c>
      <c r="J1788" t="s">
        <v>70</v>
      </c>
      <c r="M1788" t="s">
        <v>288</v>
      </c>
      <c r="O1788">
        <f t="shared" si="552"/>
        <v>9</v>
      </c>
      <c r="P1788" s="31" t="s">
        <v>527</v>
      </c>
    </row>
    <row r="1789" spans="1:16" outlineLevel="1" x14ac:dyDescent="0.25">
      <c r="A1789" t="s">
        <v>284</v>
      </c>
      <c r="B1789">
        <v>0</v>
      </c>
      <c r="C1789" t="str">
        <f t="shared" ref="C1789" si="559">_xlfn.CONCAT("Distance moyenne d'une tournée (Catégorie " &amp; $O1789 &amp; ")")</f>
        <v>Distance moyenne d'une tournée (Catégorie 10)</v>
      </c>
      <c r="E1789" t="str">
        <f t="shared" ref="E1789" si="560">"LivrNuitTourneeDist" &amp; $O1789</f>
        <v>LivrNuitTourneeDist10</v>
      </c>
      <c r="F1789" t="s">
        <v>17</v>
      </c>
      <c r="G1789">
        <f t="shared" si="480"/>
        <v>0</v>
      </c>
      <c r="H1789">
        <v>1137.5868426923701</v>
      </c>
      <c r="J1789" t="s">
        <v>88</v>
      </c>
      <c r="M1789" t="s">
        <v>288</v>
      </c>
      <c r="O1789">
        <f t="shared" ref="O1789" si="561">O1788+1</f>
        <v>10</v>
      </c>
      <c r="P1789" s="31" t="s">
        <v>527</v>
      </c>
    </row>
    <row r="1790" spans="1:16" outlineLevel="1" x14ac:dyDescent="0.25">
      <c r="A1790" t="s">
        <v>284</v>
      </c>
      <c r="B1790">
        <v>0</v>
      </c>
      <c r="C1790" t="str">
        <f t="shared" ref="C1790" si="562">_xlfn.CONCAT("Taux de chargement moyen pour une tournée (Catégorie " &amp; $O1790 &amp; ")")</f>
        <v>Taux de chargement moyen pour une tournée (Catégorie 10)</v>
      </c>
      <c r="E1790" t="str">
        <f t="shared" ref="E1790" si="563">"LivrNuitTourneeTC" &amp; $O1790</f>
        <v>LivrNuitTourneeTC10</v>
      </c>
      <c r="F1790" t="s">
        <v>17</v>
      </c>
      <c r="G1790">
        <f t="shared" si="480"/>
        <v>0</v>
      </c>
      <c r="H1790" s="3">
        <v>1150.6102839693799</v>
      </c>
      <c r="J1790" t="s">
        <v>70</v>
      </c>
      <c r="M1790" t="s">
        <v>288</v>
      </c>
      <c r="O1790">
        <f t="shared" ref="O1790:O1793" si="564">O1789</f>
        <v>10</v>
      </c>
      <c r="P1790" s="31" t="s">
        <v>527</v>
      </c>
    </row>
    <row r="1791" spans="1:16" outlineLevel="1" x14ac:dyDescent="0.25">
      <c r="A1791" t="s">
        <v>284</v>
      </c>
      <c r="B1791">
        <v>0</v>
      </c>
      <c r="C1791" t="str">
        <f t="shared" ref="C1791" si="565">_xlfn.CONCAT("Masse moyenne transportée sur une tournée (Catégorie " &amp; $O1791 &amp; ")")</f>
        <v>Masse moyenne transportée sur une tournée (Catégorie 10)</v>
      </c>
      <c r="E1791" t="str">
        <f t="shared" ref="E1791" si="566">"LivrNuitTourneeMasse" &amp; $O1791</f>
        <v>LivrNuitTourneeMasse10</v>
      </c>
      <c r="F1791" t="s">
        <v>17</v>
      </c>
      <c r="G1791">
        <f t="shared" si="480"/>
        <v>0</v>
      </c>
      <c r="H1791">
        <v>1163.63372524639</v>
      </c>
      <c r="J1791" t="s">
        <v>148</v>
      </c>
      <c r="M1791" t="s">
        <v>288</v>
      </c>
      <c r="O1791">
        <f t="shared" si="564"/>
        <v>10</v>
      </c>
      <c r="P1791" s="31" t="s">
        <v>527</v>
      </c>
    </row>
    <row r="1792" spans="1:16" outlineLevel="1" x14ac:dyDescent="0.25">
      <c r="A1792" t="s">
        <v>284</v>
      </c>
      <c r="B1792">
        <v>0</v>
      </c>
      <c r="C1792" t="str">
        <f t="shared" ref="C1792" si="567">_xlfn.CONCAT("Ordre de grandeur du nombre annuel de tournées (Catégorie " &amp; $O1792 &amp; ")")</f>
        <v>Ordre de grandeur du nombre annuel de tournées (Catégorie 10)</v>
      </c>
      <c r="E1792" t="str">
        <f t="shared" ref="E1792" si="568">"LivrNuitTourneeNb" &amp; $O1792</f>
        <v>LivrNuitTourneeNb10</v>
      </c>
      <c r="F1792" t="s">
        <v>17</v>
      </c>
      <c r="G1792">
        <f t="shared" si="480"/>
        <v>0</v>
      </c>
      <c r="H1792">
        <v>1176.6571665234001</v>
      </c>
      <c r="J1792" t="s">
        <v>283</v>
      </c>
      <c r="M1792" t="s">
        <v>288</v>
      </c>
      <c r="O1792">
        <f t="shared" si="564"/>
        <v>10</v>
      </c>
      <c r="P1792" s="31" t="s">
        <v>527</v>
      </c>
    </row>
    <row r="1793" spans="1:16" outlineLevel="1" x14ac:dyDescent="0.25">
      <c r="A1793" t="s">
        <v>284</v>
      </c>
      <c r="B1793">
        <v>0</v>
      </c>
      <c r="C1793" t="str">
        <f t="shared" ref="C1793" si="569">_xlfn.CONCAT("% de livraisons déjà en horaire décalé (Catégorie " &amp; $O1793 &amp; ")")</f>
        <v>% de livraisons déjà en horaire décalé (Catégorie 10)</v>
      </c>
      <c r="E1793" t="str">
        <f t="shared" ref="E1793" si="570">"LivrNuitInitDecal" &amp; $O1793</f>
        <v>LivrNuitInitDecal10</v>
      </c>
      <c r="F1793" t="s">
        <v>17</v>
      </c>
      <c r="G1793">
        <f t="shared" si="480"/>
        <v>0</v>
      </c>
      <c r="H1793" s="18">
        <v>1189.6806078004099</v>
      </c>
      <c r="J1793" t="s">
        <v>70</v>
      </c>
      <c r="M1793" t="s">
        <v>288</v>
      </c>
      <c r="O1793">
        <f t="shared" si="564"/>
        <v>10</v>
      </c>
      <c r="P1793" s="31" t="s">
        <v>527</v>
      </c>
    </row>
    <row r="1794" spans="1:16" outlineLevel="1" x14ac:dyDescent="0.25">
      <c r="A1794" t="s">
        <v>284</v>
      </c>
      <c r="B1794">
        <v>0</v>
      </c>
      <c r="C1794" t="str">
        <f t="shared" ref="C1794:C1809" si="571">_xlfn.CONCAT("Distance moyenne d'une tournée (Catégorie " &amp; $O1794 &amp; ")")</f>
        <v>Distance moyenne d'une tournée (Catégorie 11)</v>
      </c>
      <c r="E1794" t="str">
        <f t="shared" ref="E1794:E1809" si="572">"LivrNuitTourneeDist" &amp; $O1794</f>
        <v>LivrNuitTourneeDist11</v>
      </c>
      <c r="F1794" t="s">
        <v>17</v>
      </c>
      <c r="G1794">
        <f t="shared" si="480"/>
        <v>0</v>
      </c>
      <c r="H1794">
        <v>1202.70404907742</v>
      </c>
      <c r="J1794" t="s">
        <v>88</v>
      </c>
      <c r="M1794" t="s">
        <v>288</v>
      </c>
      <c r="O1794">
        <f t="shared" ref="O1794" si="573">O1793+1</f>
        <v>11</v>
      </c>
      <c r="P1794" s="31" t="s">
        <v>527</v>
      </c>
    </row>
    <row r="1795" spans="1:16" outlineLevel="1" x14ac:dyDescent="0.25">
      <c r="A1795" t="s">
        <v>284</v>
      </c>
      <c r="B1795">
        <v>0</v>
      </c>
      <c r="C1795" t="str">
        <f t="shared" ref="C1795:C1810" si="574">_xlfn.CONCAT("Taux de chargement moyen pour une tournée (Catégorie " &amp; $O1795 &amp; ")")</f>
        <v>Taux de chargement moyen pour une tournée (Catégorie 11)</v>
      </c>
      <c r="E1795" t="str">
        <f t="shared" ref="E1795:E1810" si="575">"LivrNuitTourneeTC" &amp; $O1795</f>
        <v>LivrNuitTourneeTC11</v>
      </c>
      <c r="F1795" t="s">
        <v>17</v>
      </c>
      <c r="G1795">
        <f t="shared" si="480"/>
        <v>0</v>
      </c>
      <c r="H1795" s="3">
        <v>1215.7274903544301</v>
      </c>
      <c r="J1795" t="s">
        <v>70</v>
      </c>
      <c r="M1795" t="s">
        <v>288</v>
      </c>
      <c r="O1795">
        <f t="shared" ref="O1795:O1798" si="576">O1794</f>
        <v>11</v>
      </c>
      <c r="P1795" s="31" t="s">
        <v>527</v>
      </c>
    </row>
    <row r="1796" spans="1:16" outlineLevel="1" x14ac:dyDescent="0.25">
      <c r="A1796" t="s">
        <v>284</v>
      </c>
      <c r="B1796">
        <v>0</v>
      </c>
      <c r="C1796" t="str">
        <f t="shared" ref="C1796:C1811" si="577">_xlfn.CONCAT("Masse moyenne transportée sur une tournée (Catégorie " &amp; $O1796 &amp; ")")</f>
        <v>Masse moyenne transportée sur une tournée (Catégorie 11)</v>
      </c>
      <c r="E1796" t="str">
        <f t="shared" ref="E1796:E1811" si="578">"LivrNuitTourneeMasse" &amp; $O1796</f>
        <v>LivrNuitTourneeMasse11</v>
      </c>
      <c r="F1796" t="s">
        <v>17</v>
      </c>
      <c r="G1796">
        <f t="shared" si="480"/>
        <v>0</v>
      </c>
      <c r="H1796">
        <v>1228.7509316314399</v>
      </c>
      <c r="J1796" t="s">
        <v>148</v>
      </c>
      <c r="M1796" t="s">
        <v>288</v>
      </c>
      <c r="O1796">
        <f t="shared" si="576"/>
        <v>11</v>
      </c>
      <c r="P1796" s="31" t="s">
        <v>527</v>
      </c>
    </row>
    <row r="1797" spans="1:16" outlineLevel="1" x14ac:dyDescent="0.25">
      <c r="A1797" t="s">
        <v>284</v>
      </c>
      <c r="B1797">
        <v>0</v>
      </c>
      <c r="C1797" t="str">
        <f t="shared" ref="C1797:C1812" si="579">_xlfn.CONCAT("Ordre de grandeur du nombre annuel de tournées (Catégorie " &amp; $O1797 &amp; ")")</f>
        <v>Ordre de grandeur du nombre annuel de tournées (Catégorie 11)</v>
      </c>
      <c r="E1797" t="str">
        <f t="shared" ref="E1797:E1812" si="580">"LivrNuitTourneeNb" &amp; $O1797</f>
        <v>LivrNuitTourneeNb11</v>
      </c>
      <c r="F1797" t="s">
        <v>17</v>
      </c>
      <c r="G1797">
        <f t="shared" si="480"/>
        <v>0</v>
      </c>
      <c r="H1797">
        <v>1241.77437290844</v>
      </c>
      <c r="J1797" t="s">
        <v>283</v>
      </c>
      <c r="M1797" t="s">
        <v>288</v>
      </c>
      <c r="O1797">
        <f t="shared" si="576"/>
        <v>11</v>
      </c>
      <c r="P1797" s="31" t="s">
        <v>527</v>
      </c>
    </row>
    <row r="1798" spans="1:16" outlineLevel="1" x14ac:dyDescent="0.25">
      <c r="A1798" t="s">
        <v>284</v>
      </c>
      <c r="B1798">
        <v>0</v>
      </c>
      <c r="C1798" t="str">
        <f t="shared" ref="C1798:C1813" si="581">_xlfn.CONCAT("% de livraisons déjà en horaire décalé (Catégorie " &amp; $O1798 &amp; ")")</f>
        <v>% de livraisons déjà en horaire décalé (Catégorie 11)</v>
      </c>
      <c r="E1798" t="str">
        <f t="shared" ref="E1798:E1813" si="582">"LivrNuitInitDecal" &amp; $O1798</f>
        <v>LivrNuitInitDecal11</v>
      </c>
      <c r="F1798" t="s">
        <v>17</v>
      </c>
      <c r="G1798">
        <f t="shared" si="480"/>
        <v>0</v>
      </c>
      <c r="H1798" s="18">
        <v>1254.7978141854501</v>
      </c>
      <c r="J1798" t="s">
        <v>70</v>
      </c>
      <c r="M1798" t="s">
        <v>288</v>
      </c>
      <c r="O1798">
        <f t="shared" si="576"/>
        <v>11</v>
      </c>
      <c r="P1798" s="31" t="s">
        <v>527</v>
      </c>
    </row>
    <row r="1799" spans="1:16" outlineLevel="1" x14ac:dyDescent="0.25">
      <c r="A1799" t="s">
        <v>284</v>
      </c>
      <c r="B1799">
        <v>0</v>
      </c>
      <c r="C1799" t="str">
        <f t="shared" ref="C1799" si="583">_xlfn.CONCAT("Distance moyenne d'une tournée (Catégorie " &amp; $O1799 &amp; ")")</f>
        <v>Distance moyenne d'une tournée (Catégorie 12)</v>
      </c>
      <c r="E1799" t="str">
        <f t="shared" ref="E1799" si="584">"LivrNuitTourneeDist" &amp; $O1799</f>
        <v>LivrNuitTourneeDist12</v>
      </c>
      <c r="F1799" t="s">
        <v>17</v>
      </c>
      <c r="G1799">
        <f t="shared" si="480"/>
        <v>0</v>
      </c>
      <c r="H1799">
        <v>1267.8212554624599</v>
      </c>
      <c r="J1799" t="s">
        <v>88</v>
      </c>
      <c r="M1799" t="s">
        <v>288</v>
      </c>
      <c r="O1799">
        <f t="shared" ref="O1799" si="585">O1798+1</f>
        <v>12</v>
      </c>
      <c r="P1799" s="31" t="s">
        <v>527</v>
      </c>
    </row>
    <row r="1800" spans="1:16" outlineLevel="1" x14ac:dyDescent="0.25">
      <c r="A1800" t="s">
        <v>284</v>
      </c>
      <c r="B1800">
        <v>0</v>
      </c>
      <c r="C1800" t="str">
        <f t="shared" ref="C1800" si="586">_xlfn.CONCAT("Taux de chargement moyen pour une tournée (Catégorie " &amp; $O1800 &amp; ")")</f>
        <v>Taux de chargement moyen pour une tournée (Catégorie 12)</v>
      </c>
      <c r="E1800" t="str">
        <f t="shared" ref="E1800" si="587">"LivrNuitTourneeTC" &amp; $O1800</f>
        <v>LivrNuitTourneeTC12</v>
      </c>
      <c r="F1800" t="s">
        <v>17</v>
      </c>
      <c r="G1800">
        <f t="shared" si="480"/>
        <v>0</v>
      </c>
      <c r="H1800" s="3">
        <v>1280.84469673947</v>
      </c>
      <c r="J1800" t="s">
        <v>70</v>
      </c>
      <c r="M1800" t="s">
        <v>288</v>
      </c>
      <c r="O1800">
        <f t="shared" ref="O1800:O1803" si="588">O1799</f>
        <v>12</v>
      </c>
      <c r="P1800" s="31" t="s">
        <v>527</v>
      </c>
    </row>
    <row r="1801" spans="1:16" outlineLevel="1" x14ac:dyDescent="0.25">
      <c r="A1801" t="s">
        <v>284</v>
      </c>
      <c r="B1801">
        <v>0</v>
      </c>
      <c r="C1801" t="str">
        <f t="shared" ref="C1801" si="589">_xlfn.CONCAT("Masse moyenne transportée sur une tournée (Catégorie " &amp; $O1801 &amp; ")")</f>
        <v>Masse moyenne transportée sur une tournée (Catégorie 12)</v>
      </c>
      <c r="E1801" t="str">
        <f t="shared" ref="E1801" si="590">"LivrNuitTourneeMasse" &amp; $O1801</f>
        <v>LivrNuitTourneeMasse12</v>
      </c>
      <c r="F1801" t="s">
        <v>17</v>
      </c>
      <c r="G1801">
        <f t="shared" si="480"/>
        <v>0</v>
      </c>
      <c r="H1801">
        <v>1293.8681380164801</v>
      </c>
      <c r="J1801" t="s">
        <v>148</v>
      </c>
      <c r="M1801" t="s">
        <v>288</v>
      </c>
      <c r="O1801">
        <f t="shared" si="588"/>
        <v>12</v>
      </c>
      <c r="P1801" s="31" t="s">
        <v>527</v>
      </c>
    </row>
    <row r="1802" spans="1:16" outlineLevel="1" x14ac:dyDescent="0.25">
      <c r="A1802" t="s">
        <v>284</v>
      </c>
      <c r="B1802">
        <v>0</v>
      </c>
      <c r="C1802" t="str">
        <f t="shared" ref="C1802" si="591">_xlfn.CONCAT("Ordre de grandeur du nombre annuel de tournées (Catégorie " &amp; $O1802 &amp; ")")</f>
        <v>Ordre de grandeur du nombre annuel de tournées (Catégorie 12)</v>
      </c>
      <c r="E1802" t="str">
        <f t="shared" ref="E1802" si="592">"LivrNuitTourneeNb" &amp; $O1802</f>
        <v>LivrNuitTourneeNb12</v>
      </c>
      <c r="F1802" t="s">
        <v>17</v>
      </c>
      <c r="G1802">
        <f t="shared" si="480"/>
        <v>0</v>
      </c>
      <c r="H1802">
        <v>1306.8915792934899</v>
      </c>
      <c r="J1802" t="s">
        <v>283</v>
      </c>
      <c r="M1802" t="s">
        <v>288</v>
      </c>
      <c r="O1802">
        <f t="shared" si="588"/>
        <v>12</v>
      </c>
      <c r="P1802" s="31" t="s">
        <v>527</v>
      </c>
    </row>
    <row r="1803" spans="1:16" outlineLevel="1" x14ac:dyDescent="0.25">
      <c r="A1803" t="s">
        <v>284</v>
      </c>
      <c r="B1803">
        <v>0</v>
      </c>
      <c r="C1803" t="str">
        <f t="shared" ref="C1803" si="593">_xlfn.CONCAT("% de livraisons déjà en horaire décalé (Catégorie " &amp; $O1803 &amp; ")")</f>
        <v>% de livraisons déjà en horaire décalé (Catégorie 12)</v>
      </c>
      <c r="E1803" t="str">
        <f t="shared" ref="E1803" si="594">"LivrNuitInitDecal" &amp; $O1803</f>
        <v>LivrNuitInitDecal12</v>
      </c>
      <c r="F1803" t="s">
        <v>17</v>
      </c>
      <c r="G1803">
        <f t="shared" si="480"/>
        <v>0</v>
      </c>
      <c r="H1803" s="18">
        <v>1319.9150205705</v>
      </c>
      <c r="J1803" t="s">
        <v>70</v>
      </c>
      <c r="M1803" t="s">
        <v>288</v>
      </c>
      <c r="O1803">
        <f t="shared" si="588"/>
        <v>12</v>
      </c>
      <c r="P1803" s="31" t="s">
        <v>527</v>
      </c>
    </row>
    <row r="1804" spans="1:16" outlineLevel="1" x14ac:dyDescent="0.25">
      <c r="A1804" t="s">
        <v>284</v>
      </c>
      <c r="B1804">
        <v>0</v>
      </c>
      <c r="C1804" t="str">
        <f t="shared" ref="C1804" si="595">_xlfn.CONCAT("Distance moyenne d'une tournée (Catégorie " &amp; $O1804 &amp; ")")</f>
        <v>Distance moyenne d'une tournée (Catégorie 13)</v>
      </c>
      <c r="E1804" t="str">
        <f t="shared" ref="E1804" si="596">"LivrNuitTourneeDist" &amp; $O1804</f>
        <v>LivrNuitTourneeDist13</v>
      </c>
      <c r="F1804" t="s">
        <v>17</v>
      </c>
      <c r="G1804">
        <f t="shared" si="480"/>
        <v>0</v>
      </c>
      <c r="H1804">
        <v>1332.9384618475101</v>
      </c>
      <c r="J1804" t="s">
        <v>88</v>
      </c>
      <c r="M1804" t="s">
        <v>288</v>
      </c>
      <c r="O1804">
        <f t="shared" ref="O1804" si="597">O1803+1</f>
        <v>13</v>
      </c>
      <c r="P1804" s="31" t="s">
        <v>527</v>
      </c>
    </row>
    <row r="1805" spans="1:16" outlineLevel="1" x14ac:dyDescent="0.25">
      <c r="A1805" t="s">
        <v>284</v>
      </c>
      <c r="B1805">
        <v>0</v>
      </c>
      <c r="C1805" t="str">
        <f t="shared" ref="C1805" si="598">_xlfn.CONCAT("Taux de chargement moyen pour une tournée (Catégorie " &amp; $O1805 &amp; ")")</f>
        <v>Taux de chargement moyen pour une tournée (Catégorie 13)</v>
      </c>
      <c r="E1805" t="str">
        <f t="shared" ref="E1805" si="599">"LivrNuitTourneeTC" &amp; $O1805</f>
        <v>LivrNuitTourneeTC13</v>
      </c>
      <c r="F1805" t="s">
        <v>17</v>
      </c>
      <c r="G1805">
        <f t="shared" si="480"/>
        <v>0</v>
      </c>
      <c r="H1805" s="3">
        <v>1345.9619031245199</v>
      </c>
      <c r="J1805" t="s">
        <v>70</v>
      </c>
      <c r="M1805" t="s">
        <v>288</v>
      </c>
      <c r="O1805">
        <f t="shared" ref="O1805:O1808" si="600">O1804</f>
        <v>13</v>
      </c>
      <c r="P1805" s="31" t="s">
        <v>527</v>
      </c>
    </row>
    <row r="1806" spans="1:16" outlineLevel="1" x14ac:dyDescent="0.25">
      <c r="A1806" t="s">
        <v>284</v>
      </c>
      <c r="B1806">
        <v>0</v>
      </c>
      <c r="C1806" t="str">
        <f t="shared" ref="C1806" si="601">_xlfn.CONCAT("Masse moyenne transportée sur une tournée (Catégorie " &amp; $O1806 &amp; ")")</f>
        <v>Masse moyenne transportée sur une tournée (Catégorie 13)</v>
      </c>
      <c r="E1806" t="str">
        <f t="shared" ref="E1806" si="602">"LivrNuitTourneeMasse" &amp; $O1806</f>
        <v>LivrNuitTourneeMasse13</v>
      </c>
      <c r="F1806" t="s">
        <v>17</v>
      </c>
      <c r="G1806">
        <f t="shared" si="480"/>
        <v>0</v>
      </c>
      <c r="H1806">
        <v>1358.98534440153</v>
      </c>
      <c r="J1806" t="s">
        <v>148</v>
      </c>
      <c r="M1806" t="s">
        <v>288</v>
      </c>
      <c r="O1806">
        <f t="shared" si="600"/>
        <v>13</v>
      </c>
      <c r="P1806" s="31" t="s">
        <v>527</v>
      </c>
    </row>
    <row r="1807" spans="1:16" outlineLevel="1" x14ac:dyDescent="0.25">
      <c r="A1807" t="s">
        <v>284</v>
      </c>
      <c r="B1807">
        <v>0</v>
      </c>
      <c r="C1807" t="str">
        <f t="shared" ref="C1807" si="603">_xlfn.CONCAT("Ordre de grandeur du nombre annuel de tournées (Catégorie " &amp; $O1807 &amp; ")")</f>
        <v>Ordre de grandeur du nombre annuel de tournées (Catégorie 13)</v>
      </c>
      <c r="E1807" t="str">
        <f t="shared" ref="E1807" si="604">"LivrNuitTourneeNb" &amp; $O1807</f>
        <v>LivrNuitTourneeNb13</v>
      </c>
      <c r="F1807" t="s">
        <v>17</v>
      </c>
      <c r="G1807">
        <f t="shared" si="480"/>
        <v>0</v>
      </c>
      <c r="H1807">
        <v>1372.0087856785401</v>
      </c>
      <c r="J1807" t="s">
        <v>283</v>
      </c>
      <c r="M1807" t="s">
        <v>288</v>
      </c>
      <c r="O1807">
        <f t="shared" si="600"/>
        <v>13</v>
      </c>
      <c r="P1807" s="31" t="s">
        <v>527</v>
      </c>
    </row>
    <row r="1808" spans="1:16" outlineLevel="1" x14ac:dyDescent="0.25">
      <c r="A1808" t="s">
        <v>284</v>
      </c>
      <c r="B1808">
        <v>0</v>
      </c>
      <c r="C1808" t="str">
        <f t="shared" ref="C1808" si="605">_xlfn.CONCAT("% de livraisons déjà en horaire décalé (Catégorie " &amp; $O1808 &amp; ")")</f>
        <v>% de livraisons déjà en horaire décalé (Catégorie 13)</v>
      </c>
      <c r="E1808" t="str">
        <f t="shared" ref="E1808" si="606">"LivrNuitInitDecal" &amp; $O1808</f>
        <v>LivrNuitInitDecal13</v>
      </c>
      <c r="F1808" t="s">
        <v>17</v>
      </c>
      <c r="G1808">
        <f t="shared" si="480"/>
        <v>0</v>
      </c>
      <c r="H1808" s="18">
        <v>1385.03222695555</v>
      </c>
      <c r="J1808" t="s">
        <v>70</v>
      </c>
      <c r="M1808" t="s">
        <v>288</v>
      </c>
      <c r="O1808">
        <f t="shared" si="600"/>
        <v>13</v>
      </c>
      <c r="P1808" s="31" t="s">
        <v>527</v>
      </c>
    </row>
    <row r="1809" spans="1:16" outlineLevel="1" x14ac:dyDescent="0.25">
      <c r="A1809" t="s">
        <v>284</v>
      </c>
      <c r="B1809">
        <v>0</v>
      </c>
      <c r="C1809" t="str">
        <f t="shared" si="571"/>
        <v>Distance moyenne d'une tournée (Catégorie 14)</v>
      </c>
      <c r="E1809" t="str">
        <f t="shared" si="572"/>
        <v>LivrNuitTourneeDist14</v>
      </c>
      <c r="F1809" t="s">
        <v>17</v>
      </c>
      <c r="G1809">
        <f t="shared" si="480"/>
        <v>0</v>
      </c>
      <c r="H1809">
        <v>1398.05566823256</v>
      </c>
      <c r="J1809" t="s">
        <v>88</v>
      </c>
      <c r="M1809" t="s">
        <v>288</v>
      </c>
      <c r="O1809">
        <f t="shared" ref="O1809" si="607">O1808+1</f>
        <v>14</v>
      </c>
      <c r="P1809" s="31" t="s">
        <v>527</v>
      </c>
    </row>
    <row r="1810" spans="1:16" outlineLevel="1" x14ac:dyDescent="0.25">
      <c r="A1810" t="s">
        <v>284</v>
      </c>
      <c r="B1810">
        <v>0</v>
      </c>
      <c r="C1810" t="str">
        <f t="shared" si="574"/>
        <v>Taux de chargement moyen pour une tournée (Catégorie 14)</v>
      </c>
      <c r="E1810" t="str">
        <f t="shared" si="575"/>
        <v>LivrNuitTourneeTC14</v>
      </c>
      <c r="F1810" t="s">
        <v>17</v>
      </c>
      <c r="G1810">
        <f t="shared" si="480"/>
        <v>0</v>
      </c>
      <c r="H1810" s="3">
        <v>1411.0791095095699</v>
      </c>
      <c r="J1810" t="s">
        <v>70</v>
      </c>
      <c r="M1810" t="s">
        <v>288</v>
      </c>
      <c r="O1810">
        <f t="shared" ref="O1810:O1813" si="608">O1809</f>
        <v>14</v>
      </c>
      <c r="P1810" s="31" t="s">
        <v>527</v>
      </c>
    </row>
    <row r="1811" spans="1:16" outlineLevel="1" x14ac:dyDescent="0.25">
      <c r="A1811" t="s">
        <v>284</v>
      </c>
      <c r="B1811">
        <v>0</v>
      </c>
      <c r="C1811" t="str">
        <f t="shared" si="577"/>
        <v>Masse moyenne transportée sur une tournée (Catégorie 14)</v>
      </c>
      <c r="E1811" t="str">
        <f t="shared" si="578"/>
        <v>LivrNuitTourneeMasse14</v>
      </c>
      <c r="F1811" t="s">
        <v>17</v>
      </c>
      <c r="G1811">
        <f t="shared" ref="G1811:G1874" si="609">IF($H$774="Par catégorie de véhicule sélectionnée (meilleure précision)",1,0)*IF(ISNUMBER(SEARCH(B1811,$H$732)),1,0)</f>
        <v>0</v>
      </c>
      <c r="H1811">
        <v>1424.10255078658</v>
      </c>
      <c r="J1811" t="s">
        <v>148</v>
      </c>
      <c r="M1811" t="s">
        <v>288</v>
      </c>
      <c r="O1811">
        <f t="shared" si="608"/>
        <v>14</v>
      </c>
      <c r="P1811" s="31" t="s">
        <v>527</v>
      </c>
    </row>
    <row r="1812" spans="1:16" outlineLevel="1" x14ac:dyDescent="0.25">
      <c r="A1812" t="s">
        <v>284</v>
      </c>
      <c r="B1812">
        <v>0</v>
      </c>
      <c r="C1812" t="str">
        <f t="shared" si="579"/>
        <v>Ordre de grandeur du nombre annuel de tournées (Catégorie 14)</v>
      </c>
      <c r="E1812" t="str">
        <f t="shared" si="580"/>
        <v>LivrNuitTourneeNb14</v>
      </c>
      <c r="F1812" t="s">
        <v>17</v>
      </c>
      <c r="G1812">
        <f t="shared" si="609"/>
        <v>0</v>
      </c>
      <c r="H1812">
        <v>1437.12599206359</v>
      </c>
      <c r="J1812" t="s">
        <v>283</v>
      </c>
      <c r="M1812" t="s">
        <v>288</v>
      </c>
      <c r="O1812">
        <f t="shared" si="608"/>
        <v>14</v>
      </c>
      <c r="P1812" s="31" t="s">
        <v>527</v>
      </c>
    </row>
    <row r="1813" spans="1:16" outlineLevel="1" x14ac:dyDescent="0.25">
      <c r="A1813" t="s">
        <v>284</v>
      </c>
      <c r="B1813">
        <v>0</v>
      </c>
      <c r="C1813" t="str">
        <f t="shared" si="581"/>
        <v>% de livraisons déjà en horaire décalé (Catégorie 14)</v>
      </c>
      <c r="E1813" t="str">
        <f t="shared" si="582"/>
        <v>LivrNuitInitDecal14</v>
      </c>
      <c r="F1813" t="s">
        <v>17</v>
      </c>
      <c r="G1813">
        <f t="shared" si="609"/>
        <v>0</v>
      </c>
      <c r="H1813" s="18">
        <v>1450.1494333405999</v>
      </c>
      <c r="J1813" t="s">
        <v>70</v>
      </c>
      <c r="M1813" t="s">
        <v>288</v>
      </c>
      <c r="O1813">
        <f t="shared" si="608"/>
        <v>14</v>
      </c>
      <c r="P1813" s="31" t="s">
        <v>527</v>
      </c>
    </row>
    <row r="1814" spans="1:16" outlineLevel="1" x14ac:dyDescent="0.25">
      <c r="A1814" t="s">
        <v>284</v>
      </c>
      <c r="B1814">
        <v>0</v>
      </c>
      <c r="C1814" t="str">
        <f t="shared" ref="C1814:C1874" si="610">_xlfn.CONCAT("Distance moyenne d'une tournée (Catégorie " &amp; $O1814 &amp; ")")</f>
        <v>Distance moyenne d'une tournée (Catégorie 15)</v>
      </c>
      <c r="E1814" t="str">
        <f t="shared" ref="E1814:E1874" si="611">"LivrNuitTourneeDist" &amp; $O1814</f>
        <v>LivrNuitTourneeDist15</v>
      </c>
      <c r="F1814" t="s">
        <v>17</v>
      </c>
      <c r="G1814">
        <f t="shared" si="609"/>
        <v>0</v>
      </c>
      <c r="H1814">
        <v>1463.17287461761</v>
      </c>
      <c r="J1814" t="s">
        <v>88</v>
      </c>
      <c r="M1814" t="s">
        <v>288</v>
      </c>
      <c r="O1814">
        <f t="shared" ref="O1814" si="612">O1813+1</f>
        <v>15</v>
      </c>
      <c r="P1814" s="31" t="s">
        <v>527</v>
      </c>
    </row>
    <row r="1815" spans="1:16" outlineLevel="1" x14ac:dyDescent="0.25">
      <c r="A1815" t="s">
        <v>284</v>
      </c>
      <c r="B1815">
        <v>0</v>
      </c>
      <c r="C1815" t="str">
        <f t="shared" ref="C1815:C1875" si="613">_xlfn.CONCAT("Taux de chargement moyen pour une tournée (Catégorie " &amp; $O1815 &amp; ")")</f>
        <v>Taux de chargement moyen pour une tournée (Catégorie 15)</v>
      </c>
      <c r="E1815" t="str">
        <f t="shared" ref="E1815:E1875" si="614">"LivrNuitTourneeTC" &amp; $O1815</f>
        <v>LivrNuitTourneeTC15</v>
      </c>
      <c r="F1815" t="s">
        <v>17</v>
      </c>
      <c r="G1815">
        <f t="shared" si="609"/>
        <v>0</v>
      </c>
      <c r="H1815" s="3">
        <v>1476.1963158946201</v>
      </c>
      <c r="J1815" t="s">
        <v>70</v>
      </c>
      <c r="M1815" t="s">
        <v>288</v>
      </c>
      <c r="O1815">
        <f t="shared" ref="O1815:O1818" si="615">O1814</f>
        <v>15</v>
      </c>
      <c r="P1815" s="31" t="s">
        <v>527</v>
      </c>
    </row>
    <row r="1816" spans="1:16" outlineLevel="1" x14ac:dyDescent="0.25">
      <c r="A1816" t="s">
        <v>284</v>
      </c>
      <c r="B1816">
        <v>0</v>
      </c>
      <c r="C1816" t="str">
        <f t="shared" ref="C1816:C1876" si="616">_xlfn.CONCAT("Masse moyenne transportée sur une tournée (Catégorie " &amp; $O1816 &amp; ")")</f>
        <v>Masse moyenne transportée sur une tournée (Catégorie 15)</v>
      </c>
      <c r="E1816" t="str">
        <f t="shared" ref="E1816:E1876" si="617">"LivrNuitTourneeMasse" &amp; $O1816</f>
        <v>LivrNuitTourneeMasse15</v>
      </c>
      <c r="F1816" t="s">
        <v>17</v>
      </c>
      <c r="G1816">
        <f t="shared" si="609"/>
        <v>0</v>
      </c>
      <c r="H1816">
        <v>1489.2197571716299</v>
      </c>
      <c r="J1816" t="s">
        <v>148</v>
      </c>
      <c r="M1816" t="s">
        <v>288</v>
      </c>
      <c r="O1816">
        <f t="shared" si="615"/>
        <v>15</v>
      </c>
      <c r="P1816" s="31" t="s">
        <v>527</v>
      </c>
    </row>
    <row r="1817" spans="1:16" outlineLevel="1" x14ac:dyDescent="0.25">
      <c r="A1817" t="s">
        <v>284</v>
      </c>
      <c r="B1817">
        <v>0</v>
      </c>
      <c r="C1817" t="str">
        <f t="shared" ref="C1817:C1877" si="618">_xlfn.CONCAT("Ordre de grandeur du nombre annuel de tournées (Catégorie " &amp; $O1817 &amp; ")")</f>
        <v>Ordre de grandeur du nombre annuel de tournées (Catégorie 15)</v>
      </c>
      <c r="E1817" t="str">
        <f t="shared" ref="E1817:E1877" si="619">"LivrNuitTourneeNb" &amp; $O1817</f>
        <v>LivrNuitTourneeNb15</v>
      </c>
      <c r="F1817" t="s">
        <v>17</v>
      </c>
      <c r="G1817">
        <f t="shared" si="609"/>
        <v>0</v>
      </c>
      <c r="H1817">
        <v>1502.24319844864</v>
      </c>
      <c r="J1817" t="s">
        <v>283</v>
      </c>
      <c r="M1817" t="s">
        <v>288</v>
      </c>
      <c r="O1817">
        <f t="shared" si="615"/>
        <v>15</v>
      </c>
      <c r="P1817" s="31" t="s">
        <v>527</v>
      </c>
    </row>
    <row r="1818" spans="1:16" outlineLevel="1" x14ac:dyDescent="0.25">
      <c r="A1818" t="s">
        <v>284</v>
      </c>
      <c r="B1818">
        <v>0</v>
      </c>
      <c r="C1818" t="str">
        <f t="shared" ref="C1818:C1878" si="620">_xlfn.CONCAT("% de livraisons déjà en horaire décalé (Catégorie " &amp; $O1818 &amp; ")")</f>
        <v>% de livraisons déjà en horaire décalé (Catégorie 15)</v>
      </c>
      <c r="E1818" t="str">
        <f t="shared" ref="E1818:E1878" si="621">"LivrNuitInitDecal" &amp; $O1818</f>
        <v>LivrNuitInitDecal15</v>
      </c>
      <c r="F1818" t="s">
        <v>17</v>
      </c>
      <c r="G1818">
        <f t="shared" si="609"/>
        <v>0</v>
      </c>
      <c r="H1818" s="18">
        <v>1515.2666397256501</v>
      </c>
      <c r="J1818" t="s">
        <v>70</v>
      </c>
      <c r="M1818" t="s">
        <v>288</v>
      </c>
      <c r="O1818">
        <f t="shared" si="615"/>
        <v>15</v>
      </c>
      <c r="P1818" s="31" t="s">
        <v>527</v>
      </c>
    </row>
    <row r="1819" spans="1:16" outlineLevel="1" x14ac:dyDescent="0.25">
      <c r="A1819" t="s">
        <v>284</v>
      </c>
      <c r="B1819">
        <v>0</v>
      </c>
      <c r="C1819" t="str">
        <f t="shared" si="610"/>
        <v>Distance moyenne d'une tournée (Catégorie 16)</v>
      </c>
      <c r="E1819" t="str">
        <f t="shared" si="611"/>
        <v>LivrNuitTourneeDist16</v>
      </c>
      <c r="F1819" t="s">
        <v>17</v>
      </c>
      <c r="G1819">
        <f t="shared" si="609"/>
        <v>0</v>
      </c>
      <c r="H1819">
        <v>1528.2900810026599</v>
      </c>
      <c r="J1819" t="s">
        <v>88</v>
      </c>
      <c r="M1819" t="s">
        <v>288</v>
      </c>
      <c r="O1819">
        <f t="shared" ref="O1819" si="622">O1818+1</f>
        <v>16</v>
      </c>
      <c r="P1819" s="31" t="s">
        <v>527</v>
      </c>
    </row>
    <row r="1820" spans="1:16" outlineLevel="1" x14ac:dyDescent="0.25">
      <c r="A1820" t="s">
        <v>284</v>
      </c>
      <c r="B1820">
        <v>0</v>
      </c>
      <c r="C1820" t="str">
        <f t="shared" si="613"/>
        <v>Taux de chargement moyen pour une tournée (Catégorie 16)</v>
      </c>
      <c r="E1820" t="str">
        <f t="shared" si="614"/>
        <v>LivrNuitTourneeTC16</v>
      </c>
      <c r="F1820" t="s">
        <v>17</v>
      </c>
      <c r="G1820">
        <f t="shared" si="609"/>
        <v>0</v>
      </c>
      <c r="H1820" s="3">
        <v>1541.31352227967</v>
      </c>
      <c r="J1820" t="s">
        <v>70</v>
      </c>
      <c r="M1820" t="s">
        <v>288</v>
      </c>
      <c r="O1820">
        <f t="shared" ref="O1820:O1823" si="623">O1819</f>
        <v>16</v>
      </c>
      <c r="P1820" s="31" t="s">
        <v>527</v>
      </c>
    </row>
    <row r="1821" spans="1:16" outlineLevel="1" x14ac:dyDescent="0.25">
      <c r="A1821" t="s">
        <v>284</v>
      </c>
      <c r="B1821">
        <v>0</v>
      </c>
      <c r="C1821" t="str">
        <f t="shared" si="616"/>
        <v>Masse moyenne transportée sur une tournée (Catégorie 16)</v>
      </c>
      <c r="E1821" t="str">
        <f t="shared" si="617"/>
        <v>LivrNuitTourneeMasse16</v>
      </c>
      <c r="F1821" t="s">
        <v>17</v>
      </c>
      <c r="G1821">
        <f t="shared" si="609"/>
        <v>0</v>
      </c>
      <c r="H1821">
        <v>1554.3369635566801</v>
      </c>
      <c r="J1821" t="s">
        <v>148</v>
      </c>
      <c r="M1821" t="s">
        <v>288</v>
      </c>
      <c r="O1821">
        <f t="shared" si="623"/>
        <v>16</v>
      </c>
      <c r="P1821" s="31" t="s">
        <v>527</v>
      </c>
    </row>
    <row r="1822" spans="1:16" outlineLevel="1" x14ac:dyDescent="0.25">
      <c r="A1822" t="s">
        <v>284</v>
      </c>
      <c r="B1822">
        <v>0</v>
      </c>
      <c r="C1822" t="str">
        <f t="shared" si="618"/>
        <v>Ordre de grandeur du nombre annuel de tournées (Catégorie 16)</v>
      </c>
      <c r="E1822" t="str">
        <f t="shared" si="619"/>
        <v>LivrNuitTourneeNb16</v>
      </c>
      <c r="F1822" t="s">
        <v>17</v>
      </c>
      <c r="G1822">
        <f t="shared" si="609"/>
        <v>0</v>
      </c>
      <c r="H1822">
        <v>1567.3604048336899</v>
      </c>
      <c r="J1822" t="s">
        <v>283</v>
      </c>
      <c r="M1822" t="s">
        <v>288</v>
      </c>
      <c r="O1822">
        <f t="shared" si="623"/>
        <v>16</v>
      </c>
      <c r="P1822" s="31" t="s">
        <v>527</v>
      </c>
    </row>
    <row r="1823" spans="1:16" outlineLevel="1" x14ac:dyDescent="0.25">
      <c r="A1823" t="s">
        <v>284</v>
      </c>
      <c r="B1823">
        <v>0</v>
      </c>
      <c r="C1823" t="str">
        <f t="shared" si="620"/>
        <v>% de livraisons déjà en horaire décalé (Catégorie 16)</v>
      </c>
      <c r="E1823" t="str">
        <f t="shared" si="621"/>
        <v>LivrNuitInitDecal16</v>
      </c>
      <c r="F1823" t="s">
        <v>17</v>
      </c>
      <c r="G1823">
        <f t="shared" si="609"/>
        <v>0</v>
      </c>
      <c r="H1823" s="18">
        <v>1580.3838461107</v>
      </c>
      <c r="J1823" t="s">
        <v>70</v>
      </c>
      <c r="M1823" t="s">
        <v>288</v>
      </c>
      <c r="O1823">
        <f t="shared" si="623"/>
        <v>16</v>
      </c>
      <c r="P1823" s="31" t="s">
        <v>527</v>
      </c>
    </row>
    <row r="1824" spans="1:16" outlineLevel="1" x14ac:dyDescent="0.25">
      <c r="A1824" t="s">
        <v>284</v>
      </c>
      <c r="B1824">
        <v>0</v>
      </c>
      <c r="C1824" t="str">
        <f t="shared" si="610"/>
        <v>Distance moyenne d'une tournée (Catégorie 17)</v>
      </c>
      <c r="E1824" t="str">
        <f t="shared" si="611"/>
        <v>LivrNuitTourneeDist17</v>
      </c>
      <c r="F1824" t="s">
        <v>17</v>
      </c>
      <c r="G1824">
        <f t="shared" si="609"/>
        <v>0</v>
      </c>
      <c r="H1824">
        <v>1593.4072873877101</v>
      </c>
      <c r="J1824" t="s">
        <v>88</v>
      </c>
      <c r="M1824" t="s">
        <v>288</v>
      </c>
      <c r="O1824">
        <f t="shared" ref="O1824" si="624">O1823+1</f>
        <v>17</v>
      </c>
      <c r="P1824" s="31" t="s">
        <v>527</v>
      </c>
    </row>
    <row r="1825" spans="1:16" outlineLevel="1" x14ac:dyDescent="0.25">
      <c r="A1825" t="s">
        <v>284</v>
      </c>
      <c r="B1825">
        <v>0</v>
      </c>
      <c r="C1825" t="str">
        <f t="shared" si="613"/>
        <v>Taux de chargement moyen pour une tournée (Catégorie 17)</v>
      </c>
      <c r="E1825" t="str">
        <f t="shared" si="614"/>
        <v>LivrNuitTourneeTC17</v>
      </c>
      <c r="F1825" t="s">
        <v>17</v>
      </c>
      <c r="G1825">
        <f t="shared" si="609"/>
        <v>0</v>
      </c>
      <c r="H1825" s="3">
        <v>1606.4307286647199</v>
      </c>
      <c r="J1825" t="s">
        <v>70</v>
      </c>
      <c r="M1825" t="s">
        <v>288</v>
      </c>
      <c r="O1825">
        <f t="shared" ref="O1825:O1828" si="625">O1824</f>
        <v>17</v>
      </c>
      <c r="P1825" s="31" t="s">
        <v>527</v>
      </c>
    </row>
    <row r="1826" spans="1:16" outlineLevel="1" x14ac:dyDescent="0.25">
      <c r="A1826" t="s">
        <v>284</v>
      </c>
      <c r="B1826">
        <v>0</v>
      </c>
      <c r="C1826" t="str">
        <f t="shared" si="616"/>
        <v>Masse moyenne transportée sur une tournée (Catégorie 17)</v>
      </c>
      <c r="E1826" t="str">
        <f t="shared" si="617"/>
        <v>LivrNuitTourneeMasse17</v>
      </c>
      <c r="F1826" t="s">
        <v>17</v>
      </c>
      <c r="G1826">
        <f t="shared" si="609"/>
        <v>0</v>
      </c>
      <c r="H1826">
        <v>1619.45416994173</v>
      </c>
      <c r="J1826" t="s">
        <v>148</v>
      </c>
      <c r="M1826" t="s">
        <v>288</v>
      </c>
      <c r="O1826">
        <f t="shared" si="625"/>
        <v>17</v>
      </c>
      <c r="P1826" s="31" t="s">
        <v>527</v>
      </c>
    </row>
    <row r="1827" spans="1:16" outlineLevel="1" x14ac:dyDescent="0.25">
      <c r="A1827" t="s">
        <v>284</v>
      </c>
      <c r="B1827">
        <v>0</v>
      </c>
      <c r="C1827" t="str">
        <f t="shared" si="618"/>
        <v>Ordre de grandeur du nombre annuel de tournées (Catégorie 17)</v>
      </c>
      <c r="E1827" t="str">
        <f t="shared" si="619"/>
        <v>LivrNuitTourneeNb17</v>
      </c>
      <c r="F1827" t="s">
        <v>17</v>
      </c>
      <c r="G1827">
        <f t="shared" si="609"/>
        <v>0</v>
      </c>
      <c r="H1827">
        <v>1632.4776112187401</v>
      </c>
      <c r="J1827" t="s">
        <v>283</v>
      </c>
      <c r="M1827" t="s">
        <v>288</v>
      </c>
      <c r="O1827">
        <f t="shared" si="625"/>
        <v>17</v>
      </c>
      <c r="P1827" s="31" t="s">
        <v>527</v>
      </c>
    </row>
    <row r="1828" spans="1:16" outlineLevel="1" x14ac:dyDescent="0.25">
      <c r="A1828" t="s">
        <v>284</v>
      </c>
      <c r="B1828">
        <v>0</v>
      </c>
      <c r="C1828" t="str">
        <f t="shared" si="620"/>
        <v>% de livraisons déjà en horaire décalé (Catégorie 17)</v>
      </c>
      <c r="E1828" t="str">
        <f t="shared" si="621"/>
        <v>LivrNuitInitDecal17</v>
      </c>
      <c r="F1828" t="s">
        <v>17</v>
      </c>
      <c r="G1828">
        <f t="shared" si="609"/>
        <v>0</v>
      </c>
      <c r="H1828" s="18">
        <v>1645.5010524957499</v>
      </c>
      <c r="J1828" t="s">
        <v>70</v>
      </c>
      <c r="M1828" t="s">
        <v>288</v>
      </c>
      <c r="O1828">
        <f t="shared" si="625"/>
        <v>17</v>
      </c>
      <c r="P1828" s="31" t="s">
        <v>527</v>
      </c>
    </row>
    <row r="1829" spans="1:16" outlineLevel="1" x14ac:dyDescent="0.25">
      <c r="A1829" t="s">
        <v>284</v>
      </c>
      <c r="B1829">
        <v>0</v>
      </c>
      <c r="C1829" t="str">
        <f t="shared" si="610"/>
        <v>Distance moyenne d'une tournée (Catégorie 18)</v>
      </c>
      <c r="E1829" t="str">
        <f t="shared" si="611"/>
        <v>LivrNuitTourneeDist18</v>
      </c>
      <c r="F1829" t="s">
        <v>17</v>
      </c>
      <c r="G1829">
        <f t="shared" si="609"/>
        <v>0</v>
      </c>
      <c r="H1829">
        <v>1658.52449377276</v>
      </c>
      <c r="J1829" t="s">
        <v>88</v>
      </c>
      <c r="M1829" t="s">
        <v>288</v>
      </c>
      <c r="O1829">
        <f t="shared" ref="O1829" si="626">O1828+1</f>
        <v>18</v>
      </c>
      <c r="P1829" s="31" t="s">
        <v>527</v>
      </c>
    </row>
    <row r="1830" spans="1:16" outlineLevel="1" x14ac:dyDescent="0.25">
      <c r="A1830" t="s">
        <v>284</v>
      </c>
      <c r="B1830">
        <v>0</v>
      </c>
      <c r="C1830" t="str">
        <f t="shared" si="613"/>
        <v>Taux de chargement moyen pour une tournée (Catégorie 18)</v>
      </c>
      <c r="E1830" t="str">
        <f t="shared" si="614"/>
        <v>LivrNuitTourneeTC18</v>
      </c>
      <c r="F1830" t="s">
        <v>17</v>
      </c>
      <c r="G1830">
        <f t="shared" si="609"/>
        <v>0</v>
      </c>
      <c r="H1830" s="3">
        <v>1671.5479350497701</v>
      </c>
      <c r="J1830" t="s">
        <v>70</v>
      </c>
      <c r="M1830" t="s">
        <v>288</v>
      </c>
      <c r="O1830">
        <f t="shared" ref="O1830:O1833" si="627">O1829</f>
        <v>18</v>
      </c>
      <c r="P1830" s="31" t="s">
        <v>527</v>
      </c>
    </row>
    <row r="1831" spans="1:16" outlineLevel="1" x14ac:dyDescent="0.25">
      <c r="A1831" t="s">
        <v>284</v>
      </c>
      <c r="B1831">
        <v>0</v>
      </c>
      <c r="C1831" t="str">
        <f t="shared" si="616"/>
        <v>Masse moyenne transportée sur une tournée (Catégorie 18)</v>
      </c>
      <c r="E1831" t="str">
        <f t="shared" si="617"/>
        <v>LivrNuitTourneeMasse18</v>
      </c>
      <c r="F1831" t="s">
        <v>17</v>
      </c>
      <c r="G1831">
        <f t="shared" si="609"/>
        <v>0</v>
      </c>
      <c r="H1831">
        <v>1684.57137632678</v>
      </c>
      <c r="J1831" t="s">
        <v>148</v>
      </c>
      <c r="M1831" t="s">
        <v>288</v>
      </c>
      <c r="O1831">
        <f t="shared" si="627"/>
        <v>18</v>
      </c>
      <c r="P1831" s="31" t="s">
        <v>527</v>
      </c>
    </row>
    <row r="1832" spans="1:16" outlineLevel="1" x14ac:dyDescent="0.25">
      <c r="A1832" t="s">
        <v>284</v>
      </c>
      <c r="B1832">
        <v>0</v>
      </c>
      <c r="C1832" t="str">
        <f t="shared" si="618"/>
        <v>Ordre de grandeur du nombre annuel de tournées (Catégorie 18)</v>
      </c>
      <c r="E1832" t="str">
        <f t="shared" si="619"/>
        <v>LivrNuitTourneeNb18</v>
      </c>
      <c r="F1832" t="s">
        <v>17</v>
      </c>
      <c r="G1832">
        <f t="shared" si="609"/>
        <v>0</v>
      </c>
      <c r="H1832">
        <v>1697.59481760379</v>
      </c>
      <c r="J1832" t="s">
        <v>283</v>
      </c>
      <c r="M1832" t="s">
        <v>288</v>
      </c>
      <c r="O1832">
        <f t="shared" si="627"/>
        <v>18</v>
      </c>
      <c r="P1832" s="31" t="s">
        <v>527</v>
      </c>
    </row>
    <row r="1833" spans="1:16" outlineLevel="1" x14ac:dyDescent="0.25">
      <c r="A1833" t="s">
        <v>284</v>
      </c>
      <c r="B1833">
        <v>0</v>
      </c>
      <c r="C1833" t="str">
        <f t="shared" si="620"/>
        <v>% de livraisons déjà en horaire décalé (Catégorie 18)</v>
      </c>
      <c r="E1833" t="str">
        <f t="shared" si="621"/>
        <v>LivrNuitInitDecal18</v>
      </c>
      <c r="F1833" t="s">
        <v>17</v>
      </c>
      <c r="G1833">
        <f t="shared" si="609"/>
        <v>0</v>
      </c>
      <c r="H1833" s="18">
        <v>1710.6182588808001</v>
      </c>
      <c r="J1833" t="s">
        <v>70</v>
      </c>
      <c r="M1833" t="s">
        <v>288</v>
      </c>
      <c r="O1833">
        <f t="shared" si="627"/>
        <v>18</v>
      </c>
      <c r="P1833" s="31" t="s">
        <v>527</v>
      </c>
    </row>
    <row r="1834" spans="1:16" outlineLevel="1" x14ac:dyDescent="0.25">
      <c r="A1834" t="s">
        <v>284</v>
      </c>
      <c r="B1834">
        <v>0</v>
      </c>
      <c r="C1834" t="str">
        <f t="shared" si="610"/>
        <v>Distance moyenne d'une tournée (Catégorie 19)</v>
      </c>
      <c r="E1834" t="str">
        <f t="shared" si="611"/>
        <v>LivrNuitTourneeDist19</v>
      </c>
      <c r="F1834" t="s">
        <v>17</v>
      </c>
      <c r="G1834">
        <f t="shared" si="609"/>
        <v>0</v>
      </c>
      <c r="H1834">
        <v>1723.64170015781</v>
      </c>
      <c r="J1834" t="s">
        <v>88</v>
      </c>
      <c r="M1834" t="s">
        <v>288</v>
      </c>
      <c r="O1834">
        <f t="shared" ref="O1834" si="628">O1833+1</f>
        <v>19</v>
      </c>
      <c r="P1834" s="31" t="s">
        <v>527</v>
      </c>
    </row>
    <row r="1835" spans="1:16" outlineLevel="1" x14ac:dyDescent="0.25">
      <c r="A1835" t="s">
        <v>284</v>
      </c>
      <c r="B1835">
        <v>0</v>
      </c>
      <c r="C1835" t="str">
        <f t="shared" si="613"/>
        <v>Taux de chargement moyen pour une tournée (Catégorie 19)</v>
      </c>
      <c r="E1835" t="str">
        <f t="shared" si="614"/>
        <v>LivrNuitTourneeTC19</v>
      </c>
      <c r="F1835" t="s">
        <v>17</v>
      </c>
      <c r="G1835">
        <f t="shared" si="609"/>
        <v>0</v>
      </c>
      <c r="H1835" s="3">
        <v>1736.66514143482</v>
      </c>
      <c r="J1835" t="s">
        <v>70</v>
      </c>
      <c r="M1835" t="s">
        <v>288</v>
      </c>
      <c r="O1835">
        <f t="shared" ref="O1835:O1838" si="629">O1834</f>
        <v>19</v>
      </c>
      <c r="P1835" s="31" t="s">
        <v>527</v>
      </c>
    </row>
    <row r="1836" spans="1:16" outlineLevel="1" x14ac:dyDescent="0.25">
      <c r="A1836" t="s">
        <v>284</v>
      </c>
      <c r="B1836">
        <v>0</v>
      </c>
      <c r="C1836" t="str">
        <f t="shared" si="616"/>
        <v>Masse moyenne transportée sur une tournée (Catégorie 19)</v>
      </c>
      <c r="E1836" t="str">
        <f t="shared" si="617"/>
        <v>LivrNuitTourneeMasse19</v>
      </c>
      <c r="F1836" t="s">
        <v>17</v>
      </c>
      <c r="G1836">
        <f t="shared" si="609"/>
        <v>0</v>
      </c>
      <c r="H1836">
        <v>1749.6885827118299</v>
      </c>
      <c r="J1836" t="s">
        <v>148</v>
      </c>
      <c r="M1836" t="s">
        <v>288</v>
      </c>
      <c r="O1836">
        <f t="shared" si="629"/>
        <v>19</v>
      </c>
      <c r="P1836" s="31" t="s">
        <v>527</v>
      </c>
    </row>
    <row r="1837" spans="1:16" outlineLevel="1" x14ac:dyDescent="0.25">
      <c r="A1837" t="s">
        <v>284</v>
      </c>
      <c r="B1837">
        <v>0</v>
      </c>
      <c r="C1837" t="str">
        <f t="shared" si="618"/>
        <v>Ordre de grandeur du nombre annuel de tournées (Catégorie 19)</v>
      </c>
      <c r="E1837" t="str">
        <f t="shared" si="619"/>
        <v>LivrNuitTourneeNb19</v>
      </c>
      <c r="F1837" t="s">
        <v>17</v>
      </c>
      <c r="G1837">
        <f t="shared" si="609"/>
        <v>0</v>
      </c>
      <c r="H1837">
        <v>1762.71202398884</v>
      </c>
      <c r="J1837" t="s">
        <v>283</v>
      </c>
      <c r="M1837" t="s">
        <v>288</v>
      </c>
      <c r="O1837">
        <f t="shared" si="629"/>
        <v>19</v>
      </c>
      <c r="P1837" s="31" t="s">
        <v>527</v>
      </c>
    </row>
    <row r="1838" spans="1:16" outlineLevel="1" x14ac:dyDescent="0.25">
      <c r="A1838" t="s">
        <v>284</v>
      </c>
      <c r="B1838">
        <v>0</v>
      </c>
      <c r="C1838" t="str">
        <f t="shared" si="620"/>
        <v>% de livraisons déjà en horaire décalé (Catégorie 19)</v>
      </c>
      <c r="E1838" t="str">
        <f t="shared" si="621"/>
        <v>LivrNuitInitDecal19</v>
      </c>
      <c r="F1838" t="s">
        <v>17</v>
      </c>
      <c r="G1838">
        <f t="shared" si="609"/>
        <v>0</v>
      </c>
      <c r="H1838" s="18">
        <v>1775.7354652658501</v>
      </c>
      <c r="J1838" t="s">
        <v>70</v>
      </c>
      <c r="M1838" t="s">
        <v>288</v>
      </c>
      <c r="O1838">
        <f t="shared" si="629"/>
        <v>19</v>
      </c>
      <c r="P1838" s="31" t="s">
        <v>527</v>
      </c>
    </row>
    <row r="1839" spans="1:16" outlineLevel="1" x14ac:dyDescent="0.25">
      <c r="A1839" t="s">
        <v>284</v>
      </c>
      <c r="B1839">
        <v>0</v>
      </c>
      <c r="C1839" t="str">
        <f t="shared" si="610"/>
        <v>Distance moyenne d'une tournée (Catégorie 20)</v>
      </c>
      <c r="E1839" t="str">
        <f t="shared" si="611"/>
        <v>LivrNuitTourneeDist20</v>
      </c>
      <c r="F1839" t="s">
        <v>17</v>
      </c>
      <c r="G1839">
        <f t="shared" si="609"/>
        <v>0</v>
      </c>
      <c r="H1839">
        <v>1788.7589065428599</v>
      </c>
      <c r="J1839" t="s">
        <v>88</v>
      </c>
      <c r="M1839" t="s">
        <v>288</v>
      </c>
      <c r="O1839">
        <f t="shared" ref="O1839" si="630">O1838+1</f>
        <v>20</v>
      </c>
      <c r="P1839" s="31" t="s">
        <v>527</v>
      </c>
    </row>
    <row r="1840" spans="1:16" outlineLevel="1" x14ac:dyDescent="0.25">
      <c r="A1840" t="s">
        <v>284</v>
      </c>
      <c r="B1840">
        <v>0</v>
      </c>
      <c r="C1840" t="str">
        <f t="shared" si="613"/>
        <v>Taux de chargement moyen pour une tournée (Catégorie 20)</v>
      </c>
      <c r="E1840" t="str">
        <f t="shared" si="614"/>
        <v>LivrNuitTourneeTC20</v>
      </c>
      <c r="F1840" t="s">
        <v>17</v>
      </c>
      <c r="G1840">
        <f t="shared" si="609"/>
        <v>0</v>
      </c>
      <c r="H1840" s="3">
        <v>1801.78234781986</v>
      </c>
      <c r="J1840" t="s">
        <v>70</v>
      </c>
      <c r="M1840" t="s">
        <v>288</v>
      </c>
      <c r="O1840">
        <f t="shared" ref="O1840:O1843" si="631">O1839</f>
        <v>20</v>
      </c>
      <c r="P1840" s="31" t="s">
        <v>527</v>
      </c>
    </row>
    <row r="1841" spans="1:16" outlineLevel="1" x14ac:dyDescent="0.25">
      <c r="A1841" t="s">
        <v>284</v>
      </c>
      <c r="B1841">
        <v>0</v>
      </c>
      <c r="C1841" t="str">
        <f t="shared" si="616"/>
        <v>Masse moyenne transportée sur une tournée (Catégorie 20)</v>
      </c>
      <c r="E1841" t="str">
        <f t="shared" si="617"/>
        <v>LivrNuitTourneeMasse20</v>
      </c>
      <c r="F1841" t="s">
        <v>17</v>
      </c>
      <c r="G1841">
        <f t="shared" si="609"/>
        <v>0</v>
      </c>
      <c r="H1841">
        <v>1814.8057890968801</v>
      </c>
      <c r="J1841" t="s">
        <v>148</v>
      </c>
      <c r="M1841" t="s">
        <v>288</v>
      </c>
      <c r="O1841">
        <f t="shared" si="631"/>
        <v>20</v>
      </c>
      <c r="P1841" s="31" t="s">
        <v>527</v>
      </c>
    </row>
    <row r="1842" spans="1:16" outlineLevel="1" x14ac:dyDescent="0.25">
      <c r="A1842" t="s">
        <v>284</v>
      </c>
      <c r="B1842">
        <v>0</v>
      </c>
      <c r="C1842" t="str">
        <f t="shared" si="618"/>
        <v>Ordre de grandeur du nombre annuel de tournées (Catégorie 20)</v>
      </c>
      <c r="E1842" t="str">
        <f t="shared" si="619"/>
        <v>LivrNuitTourneeNb20</v>
      </c>
      <c r="F1842" t="s">
        <v>17</v>
      </c>
      <c r="G1842">
        <f t="shared" si="609"/>
        <v>0</v>
      </c>
      <c r="H1842">
        <v>1827.8292303738799</v>
      </c>
      <c r="J1842" t="s">
        <v>283</v>
      </c>
      <c r="M1842" t="s">
        <v>288</v>
      </c>
      <c r="O1842">
        <f t="shared" si="631"/>
        <v>20</v>
      </c>
      <c r="P1842" s="31" t="s">
        <v>527</v>
      </c>
    </row>
    <row r="1843" spans="1:16" outlineLevel="1" x14ac:dyDescent="0.25">
      <c r="A1843" t="s">
        <v>284</v>
      </c>
      <c r="B1843">
        <v>0</v>
      </c>
      <c r="C1843" t="str">
        <f t="shared" si="620"/>
        <v>% de livraisons déjà en horaire décalé (Catégorie 20)</v>
      </c>
      <c r="E1843" t="str">
        <f t="shared" si="621"/>
        <v>LivrNuitInitDecal20</v>
      </c>
      <c r="F1843" t="s">
        <v>17</v>
      </c>
      <c r="G1843">
        <f t="shared" si="609"/>
        <v>0</v>
      </c>
      <c r="H1843" s="18">
        <v>1840.85267165089</v>
      </c>
      <c r="J1843" t="s">
        <v>70</v>
      </c>
      <c r="M1843" t="s">
        <v>288</v>
      </c>
      <c r="O1843">
        <f t="shared" si="631"/>
        <v>20</v>
      </c>
      <c r="P1843" s="31" t="s">
        <v>527</v>
      </c>
    </row>
    <row r="1844" spans="1:16" outlineLevel="1" x14ac:dyDescent="0.25">
      <c r="A1844" t="s">
        <v>284</v>
      </c>
      <c r="B1844">
        <v>0</v>
      </c>
      <c r="C1844" t="str">
        <f t="shared" si="610"/>
        <v>Distance moyenne d'une tournée (Catégorie 21)</v>
      </c>
      <c r="E1844" t="str">
        <f t="shared" si="611"/>
        <v>LivrNuitTourneeDist21</v>
      </c>
      <c r="F1844" t="s">
        <v>17</v>
      </c>
      <c r="G1844">
        <f t="shared" si="609"/>
        <v>0</v>
      </c>
      <c r="H1844">
        <v>1853.8761129279101</v>
      </c>
      <c r="J1844" t="s">
        <v>88</v>
      </c>
      <c r="M1844" t="s">
        <v>288</v>
      </c>
      <c r="O1844">
        <f t="shared" ref="O1844" si="632">O1843+1</f>
        <v>21</v>
      </c>
      <c r="P1844" s="31" t="s">
        <v>527</v>
      </c>
    </row>
    <row r="1845" spans="1:16" outlineLevel="1" x14ac:dyDescent="0.25">
      <c r="A1845" t="s">
        <v>284</v>
      </c>
      <c r="B1845">
        <v>0</v>
      </c>
      <c r="C1845" t="str">
        <f t="shared" si="613"/>
        <v>Taux de chargement moyen pour une tournée (Catégorie 21)</v>
      </c>
      <c r="E1845" t="str">
        <f t="shared" si="614"/>
        <v>LivrNuitTourneeTC21</v>
      </c>
      <c r="F1845" t="s">
        <v>17</v>
      </c>
      <c r="G1845">
        <f t="shared" si="609"/>
        <v>0</v>
      </c>
      <c r="H1845" s="3">
        <v>1866.8995542049199</v>
      </c>
      <c r="J1845" t="s">
        <v>70</v>
      </c>
      <c r="M1845" t="s">
        <v>288</v>
      </c>
      <c r="O1845">
        <f t="shared" ref="O1845:O1848" si="633">O1844</f>
        <v>21</v>
      </c>
      <c r="P1845" s="31" t="s">
        <v>527</v>
      </c>
    </row>
    <row r="1846" spans="1:16" outlineLevel="1" x14ac:dyDescent="0.25">
      <c r="A1846" t="s">
        <v>284</v>
      </c>
      <c r="B1846">
        <v>0</v>
      </c>
      <c r="C1846" t="str">
        <f t="shared" si="616"/>
        <v>Masse moyenne transportée sur une tournée (Catégorie 21)</v>
      </c>
      <c r="E1846" t="str">
        <f t="shared" si="617"/>
        <v>LivrNuitTourneeMasse21</v>
      </c>
      <c r="F1846" t="s">
        <v>17</v>
      </c>
      <c r="G1846">
        <f t="shared" si="609"/>
        <v>0</v>
      </c>
      <c r="H1846">
        <v>1879.92299548192</v>
      </c>
      <c r="J1846" t="s">
        <v>148</v>
      </c>
      <c r="M1846" t="s">
        <v>288</v>
      </c>
      <c r="O1846">
        <f t="shared" si="633"/>
        <v>21</v>
      </c>
      <c r="P1846" s="31" t="s">
        <v>527</v>
      </c>
    </row>
    <row r="1847" spans="1:16" outlineLevel="1" x14ac:dyDescent="0.25">
      <c r="A1847" t="s">
        <v>284</v>
      </c>
      <c r="B1847">
        <v>0</v>
      </c>
      <c r="C1847" t="str">
        <f t="shared" si="618"/>
        <v>Ordre de grandeur du nombre annuel de tournées (Catégorie 21)</v>
      </c>
      <c r="E1847" t="str">
        <f t="shared" si="619"/>
        <v>LivrNuitTourneeNb21</v>
      </c>
      <c r="F1847" t="s">
        <v>17</v>
      </c>
      <c r="G1847">
        <f t="shared" si="609"/>
        <v>0</v>
      </c>
      <c r="H1847">
        <v>1892.9464367589301</v>
      </c>
      <c r="J1847" t="s">
        <v>283</v>
      </c>
      <c r="M1847" t="s">
        <v>288</v>
      </c>
      <c r="O1847">
        <f t="shared" si="633"/>
        <v>21</v>
      </c>
      <c r="P1847" s="31" t="s">
        <v>527</v>
      </c>
    </row>
    <row r="1848" spans="1:16" outlineLevel="1" x14ac:dyDescent="0.25">
      <c r="A1848" t="s">
        <v>284</v>
      </c>
      <c r="B1848">
        <v>0</v>
      </c>
      <c r="C1848" t="str">
        <f t="shared" si="620"/>
        <v>% de livraisons déjà en horaire décalé (Catégorie 21)</v>
      </c>
      <c r="E1848" t="str">
        <f t="shared" si="621"/>
        <v>LivrNuitInitDecal21</v>
      </c>
      <c r="F1848" t="s">
        <v>17</v>
      </c>
      <c r="G1848">
        <f t="shared" si="609"/>
        <v>0</v>
      </c>
      <c r="H1848" s="18">
        <v>1905.9698780359399</v>
      </c>
      <c r="J1848" t="s">
        <v>70</v>
      </c>
      <c r="M1848" t="s">
        <v>288</v>
      </c>
      <c r="O1848">
        <f t="shared" si="633"/>
        <v>21</v>
      </c>
      <c r="P1848" s="31" t="s">
        <v>527</v>
      </c>
    </row>
    <row r="1849" spans="1:16" outlineLevel="1" x14ac:dyDescent="0.25">
      <c r="A1849" t="s">
        <v>284</v>
      </c>
      <c r="B1849">
        <v>0</v>
      </c>
      <c r="C1849" t="str">
        <f t="shared" si="610"/>
        <v>Distance moyenne d'une tournée (Catégorie 22)</v>
      </c>
      <c r="E1849" t="str">
        <f t="shared" si="611"/>
        <v>LivrNuitTourneeDist22</v>
      </c>
      <c r="F1849" t="s">
        <v>17</v>
      </c>
      <c r="G1849">
        <f t="shared" si="609"/>
        <v>0</v>
      </c>
      <c r="H1849">
        <v>1918.99331931295</v>
      </c>
      <c r="J1849" t="s">
        <v>88</v>
      </c>
      <c r="M1849" t="s">
        <v>288</v>
      </c>
      <c r="O1849">
        <f t="shared" ref="O1849" si="634">O1848+1</f>
        <v>22</v>
      </c>
      <c r="P1849" s="31" t="s">
        <v>527</v>
      </c>
    </row>
    <row r="1850" spans="1:16" outlineLevel="1" x14ac:dyDescent="0.25">
      <c r="A1850" t="s">
        <v>284</v>
      </c>
      <c r="B1850">
        <v>0</v>
      </c>
      <c r="C1850" t="str">
        <f t="shared" si="613"/>
        <v>Taux de chargement moyen pour une tournée (Catégorie 22)</v>
      </c>
      <c r="E1850" t="str">
        <f t="shared" si="614"/>
        <v>LivrNuitTourneeTC22</v>
      </c>
      <c r="F1850" t="s">
        <v>17</v>
      </c>
      <c r="G1850">
        <f t="shared" si="609"/>
        <v>0</v>
      </c>
      <c r="H1850" s="3">
        <v>1932.0167605899601</v>
      </c>
      <c r="J1850" t="s">
        <v>70</v>
      </c>
      <c r="M1850" t="s">
        <v>288</v>
      </c>
      <c r="O1850">
        <f t="shared" ref="O1850:O1853" si="635">O1849</f>
        <v>22</v>
      </c>
      <c r="P1850" s="31" t="s">
        <v>527</v>
      </c>
    </row>
    <row r="1851" spans="1:16" outlineLevel="1" x14ac:dyDescent="0.25">
      <c r="A1851" t="s">
        <v>284</v>
      </c>
      <c r="B1851">
        <v>0</v>
      </c>
      <c r="C1851" t="str">
        <f t="shared" si="616"/>
        <v>Masse moyenne transportée sur une tournée (Catégorie 22)</v>
      </c>
      <c r="E1851" t="str">
        <f t="shared" si="617"/>
        <v>LivrNuitTourneeMasse22</v>
      </c>
      <c r="F1851" t="s">
        <v>17</v>
      </c>
      <c r="G1851">
        <f t="shared" si="609"/>
        <v>0</v>
      </c>
      <c r="H1851">
        <v>1945.0402018669699</v>
      </c>
      <c r="J1851" t="s">
        <v>148</v>
      </c>
      <c r="M1851" t="s">
        <v>288</v>
      </c>
      <c r="O1851">
        <f t="shared" si="635"/>
        <v>22</v>
      </c>
      <c r="P1851" s="31" t="s">
        <v>527</v>
      </c>
    </row>
    <row r="1852" spans="1:16" outlineLevel="1" x14ac:dyDescent="0.25">
      <c r="A1852" t="s">
        <v>284</v>
      </c>
      <c r="B1852">
        <v>0</v>
      </c>
      <c r="C1852" t="str">
        <f t="shared" si="618"/>
        <v>Ordre de grandeur du nombre annuel de tournées (Catégorie 22)</v>
      </c>
      <c r="E1852" t="str">
        <f t="shared" si="619"/>
        <v>LivrNuitTourneeNb22</v>
      </c>
      <c r="F1852" t="s">
        <v>17</v>
      </c>
      <c r="G1852">
        <f t="shared" si="609"/>
        <v>0</v>
      </c>
      <c r="H1852">
        <v>1958.06364314398</v>
      </c>
      <c r="J1852" t="s">
        <v>283</v>
      </c>
      <c r="M1852" t="s">
        <v>288</v>
      </c>
      <c r="O1852">
        <f t="shared" si="635"/>
        <v>22</v>
      </c>
      <c r="P1852" s="31" t="s">
        <v>527</v>
      </c>
    </row>
    <row r="1853" spans="1:16" outlineLevel="1" x14ac:dyDescent="0.25">
      <c r="A1853" t="s">
        <v>284</v>
      </c>
      <c r="B1853">
        <v>0</v>
      </c>
      <c r="C1853" t="str">
        <f t="shared" si="620"/>
        <v>% de livraisons déjà en horaire décalé (Catégorie 22)</v>
      </c>
      <c r="E1853" t="str">
        <f t="shared" si="621"/>
        <v>LivrNuitInitDecal22</v>
      </c>
      <c r="F1853" t="s">
        <v>17</v>
      </c>
      <c r="G1853">
        <f t="shared" si="609"/>
        <v>0</v>
      </c>
      <c r="H1853" s="18">
        <v>1971.0870844209901</v>
      </c>
      <c r="J1853" t="s">
        <v>70</v>
      </c>
      <c r="M1853" t="s">
        <v>288</v>
      </c>
      <c r="O1853">
        <f t="shared" si="635"/>
        <v>22</v>
      </c>
      <c r="P1853" s="31" t="s">
        <v>527</v>
      </c>
    </row>
    <row r="1854" spans="1:16" outlineLevel="1" x14ac:dyDescent="0.25">
      <c r="A1854" t="s">
        <v>284</v>
      </c>
      <c r="B1854">
        <v>0</v>
      </c>
      <c r="C1854" t="str">
        <f t="shared" si="610"/>
        <v>Distance moyenne d'une tournée (Catégorie 23)</v>
      </c>
      <c r="E1854" t="str">
        <f t="shared" si="611"/>
        <v>LivrNuitTourneeDist23</v>
      </c>
      <c r="F1854" t="s">
        <v>17</v>
      </c>
      <c r="G1854">
        <f t="shared" si="609"/>
        <v>0</v>
      </c>
      <c r="H1854">
        <v>1984.1105256979999</v>
      </c>
      <c r="J1854" t="s">
        <v>88</v>
      </c>
      <c r="M1854" t="s">
        <v>288</v>
      </c>
      <c r="O1854">
        <f t="shared" ref="O1854" si="636">O1853+1</f>
        <v>23</v>
      </c>
      <c r="P1854" s="31" t="s">
        <v>527</v>
      </c>
    </row>
    <row r="1855" spans="1:16" outlineLevel="1" x14ac:dyDescent="0.25">
      <c r="A1855" t="s">
        <v>284</v>
      </c>
      <c r="B1855">
        <v>0</v>
      </c>
      <c r="C1855" t="str">
        <f t="shared" si="613"/>
        <v>Taux de chargement moyen pour une tournée (Catégorie 23)</v>
      </c>
      <c r="E1855" t="str">
        <f t="shared" si="614"/>
        <v>LivrNuitTourneeTC23</v>
      </c>
      <c r="F1855" t="s">
        <v>17</v>
      </c>
      <c r="G1855">
        <f t="shared" si="609"/>
        <v>0</v>
      </c>
      <c r="H1855" s="3">
        <v>1997.13396697501</v>
      </c>
      <c r="J1855" t="s">
        <v>70</v>
      </c>
      <c r="M1855" t="s">
        <v>288</v>
      </c>
      <c r="O1855">
        <f t="shared" ref="O1855:O1858" si="637">O1854</f>
        <v>23</v>
      </c>
      <c r="P1855" s="31" t="s">
        <v>527</v>
      </c>
    </row>
    <row r="1856" spans="1:16" outlineLevel="1" x14ac:dyDescent="0.25">
      <c r="A1856" t="s">
        <v>284</v>
      </c>
      <c r="B1856">
        <v>0</v>
      </c>
      <c r="C1856" t="str">
        <f t="shared" si="616"/>
        <v>Masse moyenne transportée sur une tournée (Catégorie 23)</v>
      </c>
      <c r="E1856" t="str">
        <f t="shared" si="617"/>
        <v>LivrNuitTourneeMasse23</v>
      </c>
      <c r="F1856" t="s">
        <v>17</v>
      </c>
      <c r="G1856">
        <f t="shared" si="609"/>
        <v>0</v>
      </c>
      <c r="H1856">
        <v>2010.1574082520201</v>
      </c>
      <c r="J1856" t="s">
        <v>148</v>
      </c>
      <c r="M1856" t="s">
        <v>288</v>
      </c>
      <c r="O1856">
        <f t="shared" si="637"/>
        <v>23</v>
      </c>
      <c r="P1856" s="31" t="s">
        <v>527</v>
      </c>
    </row>
    <row r="1857" spans="1:16" outlineLevel="1" x14ac:dyDescent="0.25">
      <c r="A1857" t="s">
        <v>284</v>
      </c>
      <c r="B1857">
        <v>0</v>
      </c>
      <c r="C1857" t="str">
        <f t="shared" si="618"/>
        <v>Ordre de grandeur du nombre annuel de tournées (Catégorie 23)</v>
      </c>
      <c r="E1857" t="str">
        <f t="shared" si="619"/>
        <v>LivrNuitTourneeNb23</v>
      </c>
      <c r="F1857" t="s">
        <v>17</v>
      </c>
      <c r="G1857">
        <f t="shared" si="609"/>
        <v>0</v>
      </c>
      <c r="H1857">
        <v>2023.18084952903</v>
      </c>
      <c r="J1857" t="s">
        <v>283</v>
      </c>
      <c r="M1857" t="s">
        <v>288</v>
      </c>
      <c r="O1857">
        <f t="shared" si="637"/>
        <v>23</v>
      </c>
      <c r="P1857" s="31" t="s">
        <v>527</v>
      </c>
    </row>
    <row r="1858" spans="1:16" outlineLevel="1" x14ac:dyDescent="0.25">
      <c r="A1858" t="s">
        <v>284</v>
      </c>
      <c r="B1858">
        <v>0</v>
      </c>
      <c r="C1858" t="str">
        <f t="shared" si="620"/>
        <v>% de livraisons déjà en horaire décalé (Catégorie 23)</v>
      </c>
      <c r="E1858" t="str">
        <f t="shared" si="621"/>
        <v>LivrNuitInitDecal23</v>
      </c>
      <c r="F1858" t="s">
        <v>17</v>
      </c>
      <c r="G1858">
        <f t="shared" si="609"/>
        <v>0</v>
      </c>
      <c r="H1858" s="18">
        <v>2036.20429080604</v>
      </c>
      <c r="J1858" t="s">
        <v>70</v>
      </c>
      <c r="M1858" t="s">
        <v>288</v>
      </c>
      <c r="O1858">
        <f t="shared" si="637"/>
        <v>23</v>
      </c>
      <c r="P1858" s="31" t="s">
        <v>527</v>
      </c>
    </row>
    <row r="1859" spans="1:16" outlineLevel="1" x14ac:dyDescent="0.25">
      <c r="A1859" t="s">
        <v>284</v>
      </c>
      <c r="B1859">
        <v>0</v>
      </c>
      <c r="C1859" t="str">
        <f t="shared" si="610"/>
        <v>Distance moyenne d'une tournée (Catégorie 24)</v>
      </c>
      <c r="E1859" t="str">
        <f t="shared" si="611"/>
        <v>LivrNuitTourneeDist24</v>
      </c>
      <c r="F1859" t="s">
        <v>17</v>
      </c>
      <c r="G1859">
        <f t="shared" si="609"/>
        <v>0</v>
      </c>
      <c r="H1859">
        <v>2049.2277320830499</v>
      </c>
      <c r="J1859" t="s">
        <v>88</v>
      </c>
      <c r="M1859" t="s">
        <v>288</v>
      </c>
      <c r="O1859">
        <f t="shared" ref="O1859" si="638">O1858+1</f>
        <v>24</v>
      </c>
      <c r="P1859" s="31" t="s">
        <v>527</v>
      </c>
    </row>
    <row r="1860" spans="1:16" outlineLevel="1" x14ac:dyDescent="0.25">
      <c r="A1860" t="s">
        <v>284</v>
      </c>
      <c r="B1860">
        <v>0</v>
      </c>
      <c r="C1860" t="str">
        <f t="shared" si="613"/>
        <v>Taux de chargement moyen pour une tournée (Catégorie 24)</v>
      </c>
      <c r="E1860" t="str">
        <f t="shared" si="614"/>
        <v>LivrNuitTourneeTC24</v>
      </c>
      <c r="F1860" t="s">
        <v>17</v>
      </c>
      <c r="G1860">
        <f t="shared" si="609"/>
        <v>0</v>
      </c>
      <c r="H1860" s="3">
        <v>2062.25117336006</v>
      </c>
      <c r="J1860" t="s">
        <v>70</v>
      </c>
      <c r="M1860" t="s">
        <v>288</v>
      </c>
      <c r="O1860">
        <f t="shared" ref="O1860:O1863" si="639">O1859</f>
        <v>24</v>
      </c>
      <c r="P1860" s="31" t="s">
        <v>527</v>
      </c>
    </row>
    <row r="1861" spans="1:16" outlineLevel="1" x14ac:dyDescent="0.25">
      <c r="A1861" t="s">
        <v>284</v>
      </c>
      <c r="B1861">
        <v>0</v>
      </c>
      <c r="C1861" t="str">
        <f t="shared" si="616"/>
        <v>Masse moyenne transportée sur une tournée (Catégorie 24)</v>
      </c>
      <c r="E1861" t="str">
        <f t="shared" si="617"/>
        <v>LivrNuitTourneeMasse24</v>
      </c>
      <c r="F1861" t="s">
        <v>17</v>
      </c>
      <c r="G1861">
        <f t="shared" si="609"/>
        <v>0</v>
      </c>
      <c r="H1861">
        <v>2075.27461463707</v>
      </c>
      <c r="J1861" t="s">
        <v>148</v>
      </c>
      <c r="M1861" t="s">
        <v>288</v>
      </c>
      <c r="O1861">
        <f t="shared" si="639"/>
        <v>24</v>
      </c>
      <c r="P1861" s="31" t="s">
        <v>527</v>
      </c>
    </row>
    <row r="1862" spans="1:16" outlineLevel="1" x14ac:dyDescent="0.25">
      <c r="A1862" t="s">
        <v>284</v>
      </c>
      <c r="B1862">
        <v>0</v>
      </c>
      <c r="C1862" t="str">
        <f t="shared" si="618"/>
        <v>Ordre de grandeur du nombre annuel de tournées (Catégorie 24)</v>
      </c>
      <c r="E1862" t="str">
        <f t="shared" si="619"/>
        <v>LivrNuitTourneeNb24</v>
      </c>
      <c r="F1862" t="s">
        <v>17</v>
      </c>
      <c r="G1862">
        <f t="shared" si="609"/>
        <v>0</v>
      </c>
      <c r="H1862">
        <v>2088.2980559140801</v>
      </c>
      <c r="J1862" t="s">
        <v>283</v>
      </c>
      <c r="M1862" t="s">
        <v>288</v>
      </c>
      <c r="O1862">
        <f t="shared" si="639"/>
        <v>24</v>
      </c>
      <c r="P1862" s="31" t="s">
        <v>527</v>
      </c>
    </row>
    <row r="1863" spans="1:16" outlineLevel="1" x14ac:dyDescent="0.25">
      <c r="A1863" t="s">
        <v>284</v>
      </c>
      <c r="B1863">
        <v>0</v>
      </c>
      <c r="C1863" t="str">
        <f t="shared" si="620"/>
        <v>% de livraisons déjà en horaire décalé (Catégorie 24)</v>
      </c>
      <c r="E1863" t="str">
        <f t="shared" si="621"/>
        <v>LivrNuitInitDecal24</v>
      </c>
      <c r="F1863" t="s">
        <v>17</v>
      </c>
      <c r="G1863">
        <f t="shared" si="609"/>
        <v>0</v>
      </c>
      <c r="H1863" s="18">
        <v>2101.3214971910902</v>
      </c>
      <c r="J1863" t="s">
        <v>70</v>
      </c>
      <c r="M1863" t="s">
        <v>288</v>
      </c>
      <c r="O1863">
        <f t="shared" si="639"/>
        <v>24</v>
      </c>
      <c r="P1863" s="31" t="s">
        <v>527</v>
      </c>
    </row>
    <row r="1864" spans="1:16" outlineLevel="1" x14ac:dyDescent="0.25">
      <c r="A1864" t="s">
        <v>284</v>
      </c>
      <c r="B1864">
        <v>0</v>
      </c>
      <c r="C1864" t="str">
        <f t="shared" si="610"/>
        <v>Distance moyenne d'une tournée (Catégorie 25)</v>
      </c>
      <c r="E1864" t="str">
        <f t="shared" si="611"/>
        <v>LivrNuitTourneeDist25</v>
      </c>
      <c r="F1864" t="s">
        <v>17</v>
      </c>
      <c r="G1864">
        <f t="shared" si="609"/>
        <v>0</v>
      </c>
      <c r="H1864">
        <v>2114.3449384680998</v>
      </c>
      <c r="J1864" t="s">
        <v>88</v>
      </c>
      <c r="M1864" t="s">
        <v>288</v>
      </c>
      <c r="O1864">
        <f t="shared" ref="O1864" si="640">O1863+1</f>
        <v>25</v>
      </c>
      <c r="P1864" s="31" t="s">
        <v>527</v>
      </c>
    </row>
    <row r="1865" spans="1:16" outlineLevel="1" x14ac:dyDescent="0.25">
      <c r="A1865" t="s">
        <v>284</v>
      </c>
      <c r="B1865">
        <v>0</v>
      </c>
      <c r="C1865" t="str">
        <f t="shared" si="613"/>
        <v>Taux de chargement moyen pour une tournée (Catégorie 25)</v>
      </c>
      <c r="E1865" t="str">
        <f t="shared" si="614"/>
        <v>LivrNuitTourneeTC25</v>
      </c>
      <c r="F1865" t="s">
        <v>17</v>
      </c>
      <c r="G1865">
        <f t="shared" si="609"/>
        <v>0</v>
      </c>
      <c r="H1865" s="3">
        <v>2127.3683797451099</v>
      </c>
      <c r="J1865" t="s">
        <v>70</v>
      </c>
      <c r="M1865" t="s">
        <v>288</v>
      </c>
      <c r="O1865">
        <f t="shared" ref="O1865:O1868" si="641">O1864</f>
        <v>25</v>
      </c>
      <c r="P1865" s="31" t="s">
        <v>527</v>
      </c>
    </row>
    <row r="1866" spans="1:16" outlineLevel="1" x14ac:dyDescent="0.25">
      <c r="A1866" t="s">
        <v>284</v>
      </c>
      <c r="B1866">
        <v>0</v>
      </c>
      <c r="C1866" t="str">
        <f t="shared" si="616"/>
        <v>Masse moyenne transportée sur une tournée (Catégorie 25)</v>
      </c>
      <c r="E1866" t="str">
        <f t="shared" si="617"/>
        <v>LivrNuitTourneeMasse25</v>
      </c>
      <c r="F1866" t="s">
        <v>17</v>
      </c>
      <c r="G1866">
        <f t="shared" si="609"/>
        <v>0</v>
      </c>
      <c r="H1866">
        <v>2140.39182102212</v>
      </c>
      <c r="J1866" t="s">
        <v>148</v>
      </c>
      <c r="M1866" t="s">
        <v>288</v>
      </c>
      <c r="O1866">
        <f t="shared" si="641"/>
        <v>25</v>
      </c>
      <c r="P1866" s="31" t="s">
        <v>527</v>
      </c>
    </row>
    <row r="1867" spans="1:16" outlineLevel="1" x14ac:dyDescent="0.25">
      <c r="A1867" t="s">
        <v>284</v>
      </c>
      <c r="B1867">
        <v>0</v>
      </c>
      <c r="C1867" t="str">
        <f t="shared" si="618"/>
        <v>Ordre de grandeur du nombre annuel de tournées (Catégorie 25)</v>
      </c>
      <c r="E1867" t="str">
        <f t="shared" si="619"/>
        <v>LivrNuitTourneeNb25</v>
      </c>
      <c r="F1867" t="s">
        <v>17</v>
      </c>
      <c r="G1867">
        <f t="shared" si="609"/>
        <v>0</v>
      </c>
      <c r="H1867">
        <v>2153.4152622991301</v>
      </c>
      <c r="J1867" t="s">
        <v>283</v>
      </c>
      <c r="M1867" t="s">
        <v>288</v>
      </c>
      <c r="O1867">
        <f t="shared" si="641"/>
        <v>25</v>
      </c>
      <c r="P1867" s="31" t="s">
        <v>527</v>
      </c>
    </row>
    <row r="1868" spans="1:16" outlineLevel="1" x14ac:dyDescent="0.25">
      <c r="A1868" t="s">
        <v>284</v>
      </c>
      <c r="B1868">
        <v>0</v>
      </c>
      <c r="C1868" t="str">
        <f t="shared" si="620"/>
        <v>% de livraisons déjà en horaire décalé (Catégorie 25)</v>
      </c>
      <c r="E1868" t="str">
        <f t="shared" si="621"/>
        <v>LivrNuitInitDecal25</v>
      </c>
      <c r="F1868" t="s">
        <v>17</v>
      </c>
      <c r="G1868">
        <f t="shared" si="609"/>
        <v>0</v>
      </c>
      <c r="H1868" s="18">
        <v>2166.4387035761401</v>
      </c>
      <c r="J1868" t="s">
        <v>70</v>
      </c>
      <c r="M1868" t="s">
        <v>288</v>
      </c>
      <c r="O1868">
        <f t="shared" si="641"/>
        <v>25</v>
      </c>
      <c r="P1868" s="31" t="s">
        <v>527</v>
      </c>
    </row>
    <row r="1869" spans="1:16" outlineLevel="1" x14ac:dyDescent="0.25">
      <c r="A1869" t="s">
        <v>284</v>
      </c>
      <c r="B1869">
        <v>0</v>
      </c>
      <c r="C1869" t="str">
        <f t="shared" si="610"/>
        <v>Distance moyenne d'une tournée (Catégorie 26)</v>
      </c>
      <c r="E1869" t="str">
        <f t="shared" si="611"/>
        <v>LivrNuitTourneeDist26</v>
      </c>
      <c r="F1869" t="s">
        <v>17</v>
      </c>
      <c r="G1869">
        <f t="shared" si="609"/>
        <v>0</v>
      </c>
      <c r="H1869">
        <v>2179.4621448531502</v>
      </c>
      <c r="J1869" t="s">
        <v>88</v>
      </c>
      <c r="M1869" t="s">
        <v>288</v>
      </c>
      <c r="O1869">
        <f t="shared" ref="O1869" si="642">O1868+1</f>
        <v>26</v>
      </c>
      <c r="P1869" s="31" t="s">
        <v>527</v>
      </c>
    </row>
    <row r="1870" spans="1:16" outlineLevel="1" x14ac:dyDescent="0.25">
      <c r="A1870" t="s">
        <v>284</v>
      </c>
      <c r="B1870">
        <v>0</v>
      </c>
      <c r="C1870" t="str">
        <f t="shared" si="613"/>
        <v>Taux de chargement moyen pour une tournée (Catégorie 26)</v>
      </c>
      <c r="E1870" t="str">
        <f t="shared" si="614"/>
        <v>LivrNuitTourneeTC26</v>
      </c>
      <c r="F1870" t="s">
        <v>17</v>
      </c>
      <c r="G1870">
        <f t="shared" si="609"/>
        <v>0</v>
      </c>
      <c r="H1870" s="3">
        <v>2192.4855861301598</v>
      </c>
      <c r="J1870" t="s">
        <v>70</v>
      </c>
      <c r="M1870" t="s">
        <v>288</v>
      </c>
      <c r="O1870">
        <f t="shared" ref="O1870:O1873" si="643">O1869</f>
        <v>26</v>
      </c>
      <c r="P1870" s="31" t="s">
        <v>527</v>
      </c>
    </row>
    <row r="1871" spans="1:16" outlineLevel="1" x14ac:dyDescent="0.25">
      <c r="A1871" t="s">
        <v>284</v>
      </c>
      <c r="B1871">
        <v>0</v>
      </c>
      <c r="C1871" t="str">
        <f t="shared" si="616"/>
        <v>Masse moyenne transportée sur une tournée (Catégorie 26)</v>
      </c>
      <c r="E1871" t="str">
        <f t="shared" si="617"/>
        <v>LivrNuitTourneeMasse26</v>
      </c>
      <c r="F1871" t="s">
        <v>17</v>
      </c>
      <c r="G1871">
        <f t="shared" si="609"/>
        <v>0</v>
      </c>
      <c r="H1871">
        <v>2205.5090274071699</v>
      </c>
      <c r="J1871" t="s">
        <v>148</v>
      </c>
      <c r="M1871" t="s">
        <v>288</v>
      </c>
      <c r="O1871">
        <f t="shared" si="643"/>
        <v>26</v>
      </c>
      <c r="P1871" s="31" t="s">
        <v>527</v>
      </c>
    </row>
    <row r="1872" spans="1:16" outlineLevel="1" x14ac:dyDescent="0.25">
      <c r="A1872" t="s">
        <v>284</v>
      </c>
      <c r="B1872">
        <v>0</v>
      </c>
      <c r="C1872" t="str">
        <f t="shared" si="618"/>
        <v>Ordre de grandeur du nombre annuel de tournées (Catégorie 26)</v>
      </c>
      <c r="E1872" t="str">
        <f t="shared" si="619"/>
        <v>LivrNuitTourneeNb26</v>
      </c>
      <c r="F1872" t="s">
        <v>17</v>
      </c>
      <c r="G1872">
        <f t="shared" si="609"/>
        <v>0</v>
      </c>
      <c r="H1872">
        <v>2218.53246868418</v>
      </c>
      <c r="J1872" t="s">
        <v>283</v>
      </c>
      <c r="M1872" t="s">
        <v>288</v>
      </c>
      <c r="O1872">
        <f t="shared" si="643"/>
        <v>26</v>
      </c>
      <c r="P1872" s="31" t="s">
        <v>527</v>
      </c>
    </row>
    <row r="1873" spans="1:16" outlineLevel="1" x14ac:dyDescent="0.25">
      <c r="A1873" t="s">
        <v>284</v>
      </c>
      <c r="B1873">
        <v>0</v>
      </c>
      <c r="C1873" t="str">
        <f t="shared" si="620"/>
        <v>% de livraisons déjà en horaire décalé (Catégorie 26)</v>
      </c>
      <c r="E1873" t="str">
        <f t="shared" si="621"/>
        <v>LivrNuitInitDecal26</v>
      </c>
      <c r="F1873" t="s">
        <v>17</v>
      </c>
      <c r="G1873">
        <f t="shared" si="609"/>
        <v>0</v>
      </c>
      <c r="H1873" s="18">
        <v>2231.5559099611901</v>
      </c>
      <c r="J1873" t="s">
        <v>70</v>
      </c>
      <c r="M1873" t="s">
        <v>288</v>
      </c>
      <c r="O1873">
        <f t="shared" si="643"/>
        <v>26</v>
      </c>
      <c r="P1873" s="31" t="s">
        <v>527</v>
      </c>
    </row>
    <row r="1874" spans="1:16" outlineLevel="1" x14ac:dyDescent="0.25">
      <c r="A1874" t="s">
        <v>284</v>
      </c>
      <c r="B1874">
        <v>0</v>
      </c>
      <c r="C1874" t="str">
        <f t="shared" si="610"/>
        <v>Distance moyenne d'une tournée (Catégorie 27)</v>
      </c>
      <c r="E1874" t="str">
        <f t="shared" si="611"/>
        <v>LivrNuitTourneeDist27</v>
      </c>
      <c r="F1874" t="s">
        <v>17</v>
      </c>
      <c r="G1874">
        <f t="shared" si="609"/>
        <v>0</v>
      </c>
      <c r="H1874">
        <v>2244.5793512382002</v>
      </c>
      <c r="J1874" t="s">
        <v>88</v>
      </c>
      <c r="M1874" t="s">
        <v>288</v>
      </c>
      <c r="O1874">
        <f t="shared" ref="O1874" si="644">O1873+1</f>
        <v>27</v>
      </c>
      <c r="P1874" s="31" t="s">
        <v>527</v>
      </c>
    </row>
    <row r="1875" spans="1:16" outlineLevel="1" x14ac:dyDescent="0.25">
      <c r="A1875" t="s">
        <v>284</v>
      </c>
      <c r="B1875">
        <v>0</v>
      </c>
      <c r="C1875" t="str">
        <f t="shared" si="613"/>
        <v>Taux de chargement moyen pour une tournée (Catégorie 27)</v>
      </c>
      <c r="E1875" t="str">
        <f t="shared" si="614"/>
        <v>LivrNuitTourneeTC27</v>
      </c>
      <c r="F1875" t="s">
        <v>17</v>
      </c>
      <c r="G1875">
        <f t="shared" ref="G1875:G1918" si="645">IF($H$774="Par catégorie de véhicule sélectionnée (meilleure précision)",1,0)*IF(ISNUMBER(SEARCH(B1875,$H$732)),1,0)</f>
        <v>0</v>
      </c>
      <c r="H1875" s="3">
        <v>2257.6027925152098</v>
      </c>
      <c r="J1875" t="s">
        <v>70</v>
      </c>
      <c r="M1875" t="s">
        <v>288</v>
      </c>
      <c r="O1875">
        <f t="shared" ref="O1875:O1878" si="646">O1874</f>
        <v>27</v>
      </c>
      <c r="P1875" s="31" t="s">
        <v>527</v>
      </c>
    </row>
    <row r="1876" spans="1:16" outlineLevel="1" x14ac:dyDescent="0.25">
      <c r="A1876" t="s">
        <v>284</v>
      </c>
      <c r="B1876">
        <v>0</v>
      </c>
      <c r="C1876" t="str">
        <f t="shared" si="616"/>
        <v>Masse moyenne transportée sur une tournée (Catégorie 27)</v>
      </c>
      <c r="E1876" t="str">
        <f t="shared" si="617"/>
        <v>LivrNuitTourneeMasse27</v>
      </c>
      <c r="F1876" t="s">
        <v>17</v>
      </c>
      <c r="G1876">
        <f t="shared" si="645"/>
        <v>0</v>
      </c>
      <c r="H1876">
        <v>2270.6262337922199</v>
      </c>
      <c r="J1876" t="s">
        <v>148</v>
      </c>
      <c r="M1876" t="s">
        <v>288</v>
      </c>
      <c r="O1876">
        <f t="shared" si="646"/>
        <v>27</v>
      </c>
      <c r="P1876" s="31" t="s">
        <v>527</v>
      </c>
    </row>
    <row r="1877" spans="1:16" outlineLevel="1" x14ac:dyDescent="0.25">
      <c r="A1877" t="s">
        <v>284</v>
      </c>
      <c r="B1877">
        <v>0</v>
      </c>
      <c r="C1877" t="str">
        <f t="shared" si="618"/>
        <v>Ordre de grandeur du nombre annuel de tournées (Catégorie 27)</v>
      </c>
      <c r="E1877" t="str">
        <f t="shared" si="619"/>
        <v>LivrNuitTourneeNb27</v>
      </c>
      <c r="F1877" t="s">
        <v>17</v>
      </c>
      <c r="G1877">
        <f t="shared" si="645"/>
        <v>0</v>
      </c>
      <c r="H1877">
        <v>2283.6496750692299</v>
      </c>
      <c r="J1877" t="s">
        <v>283</v>
      </c>
      <c r="M1877" t="s">
        <v>288</v>
      </c>
      <c r="O1877">
        <f t="shared" si="646"/>
        <v>27</v>
      </c>
      <c r="P1877" s="31" t="s">
        <v>527</v>
      </c>
    </row>
    <row r="1878" spans="1:16" outlineLevel="1" x14ac:dyDescent="0.25">
      <c r="A1878" t="s">
        <v>284</v>
      </c>
      <c r="B1878">
        <v>0</v>
      </c>
      <c r="C1878" t="str">
        <f t="shared" si="620"/>
        <v>% de livraisons déjà en horaire décalé (Catégorie 27)</v>
      </c>
      <c r="E1878" t="str">
        <f t="shared" si="621"/>
        <v>LivrNuitInitDecal27</v>
      </c>
      <c r="F1878" t="s">
        <v>17</v>
      </c>
      <c r="G1878">
        <f t="shared" si="645"/>
        <v>0</v>
      </c>
      <c r="H1878" s="18">
        <v>2296.67311634624</v>
      </c>
      <c r="J1878" t="s">
        <v>70</v>
      </c>
      <c r="M1878" t="s">
        <v>288</v>
      </c>
      <c r="O1878">
        <f t="shared" si="646"/>
        <v>27</v>
      </c>
      <c r="P1878" s="31" t="s">
        <v>527</v>
      </c>
    </row>
    <row r="1879" spans="1:16" outlineLevel="1" x14ac:dyDescent="0.25">
      <c r="A1879" t="s">
        <v>284</v>
      </c>
      <c r="B1879">
        <v>0</v>
      </c>
      <c r="C1879" t="str">
        <f t="shared" ref="C1879:C1914" si="647">_xlfn.CONCAT("Distance moyenne d'une tournée (Catégorie " &amp; $O1879 &amp; ")")</f>
        <v>Distance moyenne d'une tournée (Catégorie 28)</v>
      </c>
      <c r="E1879" t="str">
        <f t="shared" ref="E1879:E1914" si="648">"LivrNuitTourneeDist" &amp; $O1879</f>
        <v>LivrNuitTourneeDist28</v>
      </c>
      <c r="F1879" t="s">
        <v>17</v>
      </c>
      <c r="G1879">
        <f t="shared" si="645"/>
        <v>0</v>
      </c>
      <c r="H1879">
        <v>2309.6965576232501</v>
      </c>
      <c r="J1879" t="s">
        <v>88</v>
      </c>
      <c r="M1879" t="s">
        <v>288</v>
      </c>
      <c r="O1879">
        <f t="shared" ref="O1879" si="649">O1878+1</f>
        <v>28</v>
      </c>
      <c r="P1879" s="31" t="s">
        <v>527</v>
      </c>
    </row>
    <row r="1880" spans="1:16" outlineLevel="1" x14ac:dyDescent="0.25">
      <c r="A1880" t="s">
        <v>284</v>
      </c>
      <c r="B1880">
        <v>0</v>
      </c>
      <c r="C1880" t="str">
        <f t="shared" ref="C1880:C1915" si="650">_xlfn.CONCAT("Taux de chargement moyen pour une tournée (Catégorie " &amp; $O1880 &amp; ")")</f>
        <v>Taux de chargement moyen pour une tournée (Catégorie 28)</v>
      </c>
      <c r="E1880" t="str">
        <f t="shared" ref="E1880:E1915" si="651">"LivrNuitTourneeTC" &amp; $O1880</f>
        <v>LivrNuitTourneeTC28</v>
      </c>
      <c r="F1880" t="s">
        <v>17</v>
      </c>
      <c r="G1880">
        <f t="shared" si="645"/>
        <v>0</v>
      </c>
      <c r="H1880" s="3">
        <v>2322.7199989002602</v>
      </c>
      <c r="J1880" t="s">
        <v>70</v>
      </c>
      <c r="M1880" t="s">
        <v>288</v>
      </c>
      <c r="O1880">
        <f t="shared" ref="O1880:O1883" si="652">O1879</f>
        <v>28</v>
      </c>
      <c r="P1880" s="31" t="s">
        <v>527</v>
      </c>
    </row>
    <row r="1881" spans="1:16" outlineLevel="1" x14ac:dyDescent="0.25">
      <c r="A1881" t="s">
        <v>284</v>
      </c>
      <c r="B1881">
        <v>0</v>
      </c>
      <c r="C1881" t="str">
        <f t="shared" ref="C1881:C1916" si="653">_xlfn.CONCAT("Masse moyenne transportée sur une tournée (Catégorie " &amp; $O1881 &amp; ")")</f>
        <v>Masse moyenne transportée sur une tournée (Catégorie 28)</v>
      </c>
      <c r="E1881" t="str">
        <f t="shared" ref="E1881:E1916" si="654">"LivrNuitTourneeMasse" &amp; $O1881</f>
        <v>LivrNuitTourneeMasse28</v>
      </c>
      <c r="F1881" t="s">
        <v>17</v>
      </c>
      <c r="G1881">
        <f t="shared" si="645"/>
        <v>0</v>
      </c>
      <c r="H1881">
        <v>2335.7434401772698</v>
      </c>
      <c r="J1881" t="s">
        <v>148</v>
      </c>
      <c r="M1881" t="s">
        <v>288</v>
      </c>
      <c r="O1881">
        <f t="shared" si="652"/>
        <v>28</v>
      </c>
      <c r="P1881" s="31" t="s">
        <v>527</v>
      </c>
    </row>
    <row r="1882" spans="1:16" outlineLevel="1" x14ac:dyDescent="0.25">
      <c r="A1882" t="s">
        <v>284</v>
      </c>
      <c r="B1882">
        <v>0</v>
      </c>
      <c r="C1882" t="str">
        <f t="shared" ref="C1882:C1917" si="655">_xlfn.CONCAT("Ordre de grandeur du nombre annuel de tournées (Catégorie " &amp; $O1882 &amp; ")")</f>
        <v>Ordre de grandeur du nombre annuel de tournées (Catégorie 28)</v>
      </c>
      <c r="E1882" t="str">
        <f t="shared" ref="E1882:E1917" si="656">"LivrNuitTourneeNb" &amp; $O1882</f>
        <v>LivrNuitTourneeNb28</v>
      </c>
      <c r="F1882" t="s">
        <v>17</v>
      </c>
      <c r="G1882">
        <f t="shared" si="645"/>
        <v>0</v>
      </c>
      <c r="H1882">
        <v>2348.7668814542799</v>
      </c>
      <c r="J1882" t="s">
        <v>283</v>
      </c>
      <c r="M1882" t="s">
        <v>288</v>
      </c>
      <c r="O1882">
        <f t="shared" si="652"/>
        <v>28</v>
      </c>
      <c r="P1882" s="31" t="s">
        <v>527</v>
      </c>
    </row>
    <row r="1883" spans="1:16" outlineLevel="1" x14ac:dyDescent="0.25">
      <c r="A1883" t="s">
        <v>284</v>
      </c>
      <c r="B1883">
        <v>0</v>
      </c>
      <c r="C1883" t="str">
        <f t="shared" ref="C1883:C1918" si="657">_xlfn.CONCAT("% de livraisons déjà en horaire décalé (Catégorie " &amp; $O1883 &amp; ")")</f>
        <v>% de livraisons déjà en horaire décalé (Catégorie 28)</v>
      </c>
      <c r="E1883" t="str">
        <f t="shared" ref="E1883:E1918" si="658">"LivrNuitInitDecal" &amp; $O1883</f>
        <v>LivrNuitInitDecal28</v>
      </c>
      <c r="F1883" t="s">
        <v>17</v>
      </c>
      <c r="G1883">
        <f t="shared" si="645"/>
        <v>0</v>
      </c>
      <c r="H1883" s="18">
        <v>2361.79032273129</v>
      </c>
      <c r="J1883" t="s">
        <v>70</v>
      </c>
      <c r="M1883" t="s">
        <v>288</v>
      </c>
      <c r="O1883">
        <f t="shared" si="652"/>
        <v>28</v>
      </c>
      <c r="P1883" s="31" t="s">
        <v>527</v>
      </c>
    </row>
    <row r="1884" spans="1:16" outlineLevel="1" x14ac:dyDescent="0.25">
      <c r="A1884" t="s">
        <v>284</v>
      </c>
      <c r="B1884">
        <v>0</v>
      </c>
      <c r="C1884" t="str">
        <f t="shared" si="647"/>
        <v>Distance moyenne d'une tournée (Catégorie 29)</v>
      </c>
      <c r="E1884" t="str">
        <f t="shared" si="648"/>
        <v>LivrNuitTourneeDist29</v>
      </c>
      <c r="F1884" t="s">
        <v>17</v>
      </c>
      <c r="G1884">
        <f t="shared" si="645"/>
        <v>0</v>
      </c>
      <c r="H1884">
        <v>2374.8137640083</v>
      </c>
      <c r="J1884" t="s">
        <v>88</v>
      </c>
      <c r="M1884" t="s">
        <v>288</v>
      </c>
      <c r="O1884">
        <f t="shared" ref="O1884" si="659">O1883+1</f>
        <v>29</v>
      </c>
      <c r="P1884" s="31" t="s">
        <v>527</v>
      </c>
    </row>
    <row r="1885" spans="1:16" outlineLevel="1" x14ac:dyDescent="0.25">
      <c r="A1885" t="s">
        <v>284</v>
      </c>
      <c r="B1885">
        <v>0</v>
      </c>
      <c r="C1885" t="str">
        <f t="shared" si="650"/>
        <v>Taux de chargement moyen pour une tournée (Catégorie 29)</v>
      </c>
      <c r="E1885" t="str">
        <f t="shared" si="651"/>
        <v>LivrNuitTourneeTC29</v>
      </c>
      <c r="F1885" t="s">
        <v>17</v>
      </c>
      <c r="G1885">
        <f t="shared" si="645"/>
        <v>0</v>
      </c>
      <c r="H1885" s="3">
        <v>2387.8372052853101</v>
      </c>
      <c r="J1885" t="s">
        <v>70</v>
      </c>
      <c r="M1885" t="s">
        <v>288</v>
      </c>
      <c r="O1885">
        <f t="shared" ref="O1885:O1888" si="660">O1884</f>
        <v>29</v>
      </c>
      <c r="P1885" s="31" t="s">
        <v>527</v>
      </c>
    </row>
    <row r="1886" spans="1:16" outlineLevel="1" x14ac:dyDescent="0.25">
      <c r="A1886" t="s">
        <v>284</v>
      </c>
      <c r="B1886">
        <v>0</v>
      </c>
      <c r="C1886" t="str">
        <f t="shared" si="653"/>
        <v>Masse moyenne transportée sur une tournée (Catégorie 29)</v>
      </c>
      <c r="E1886" t="str">
        <f t="shared" si="654"/>
        <v>LivrNuitTourneeMasse29</v>
      </c>
      <c r="F1886" t="s">
        <v>17</v>
      </c>
      <c r="G1886">
        <f t="shared" si="645"/>
        <v>0</v>
      </c>
      <c r="H1886">
        <v>2400.8606465623202</v>
      </c>
      <c r="J1886" t="s">
        <v>148</v>
      </c>
      <c r="M1886" t="s">
        <v>288</v>
      </c>
      <c r="O1886">
        <f t="shared" si="660"/>
        <v>29</v>
      </c>
      <c r="P1886" s="31" t="s">
        <v>527</v>
      </c>
    </row>
    <row r="1887" spans="1:16" outlineLevel="1" x14ac:dyDescent="0.25">
      <c r="A1887" t="s">
        <v>284</v>
      </c>
      <c r="B1887">
        <v>0</v>
      </c>
      <c r="C1887" t="str">
        <f t="shared" si="655"/>
        <v>Ordre de grandeur du nombre annuel de tournées (Catégorie 29)</v>
      </c>
      <c r="E1887" t="str">
        <f t="shared" si="656"/>
        <v>LivrNuitTourneeNb29</v>
      </c>
      <c r="F1887" t="s">
        <v>17</v>
      </c>
      <c r="G1887">
        <f t="shared" si="645"/>
        <v>0</v>
      </c>
      <c r="H1887">
        <v>2413.8840878393298</v>
      </c>
      <c r="J1887" t="s">
        <v>283</v>
      </c>
      <c r="M1887" t="s">
        <v>288</v>
      </c>
      <c r="O1887">
        <f t="shared" si="660"/>
        <v>29</v>
      </c>
      <c r="P1887" s="31" t="s">
        <v>527</v>
      </c>
    </row>
    <row r="1888" spans="1:16" outlineLevel="1" x14ac:dyDescent="0.25">
      <c r="A1888" t="s">
        <v>284</v>
      </c>
      <c r="B1888">
        <v>0</v>
      </c>
      <c r="C1888" t="str">
        <f t="shared" si="657"/>
        <v>% de livraisons déjà en horaire décalé (Catégorie 29)</v>
      </c>
      <c r="E1888" t="str">
        <f t="shared" si="658"/>
        <v>LivrNuitInitDecal29</v>
      </c>
      <c r="F1888" t="s">
        <v>17</v>
      </c>
      <c r="G1888">
        <f t="shared" si="645"/>
        <v>0</v>
      </c>
      <c r="H1888" s="18">
        <v>2426.9075291163399</v>
      </c>
      <c r="J1888" t="s">
        <v>70</v>
      </c>
      <c r="M1888" t="s">
        <v>288</v>
      </c>
      <c r="O1888">
        <f t="shared" si="660"/>
        <v>29</v>
      </c>
      <c r="P1888" s="31" t="s">
        <v>527</v>
      </c>
    </row>
    <row r="1889" spans="1:16" outlineLevel="1" x14ac:dyDescent="0.25">
      <c r="A1889" t="s">
        <v>284</v>
      </c>
      <c r="B1889">
        <v>0</v>
      </c>
      <c r="C1889" t="str">
        <f t="shared" si="647"/>
        <v>Distance moyenne d'une tournée (Catégorie 30)</v>
      </c>
      <c r="E1889" t="str">
        <f t="shared" si="648"/>
        <v>LivrNuitTourneeDist30</v>
      </c>
      <c r="F1889" t="s">
        <v>17</v>
      </c>
      <c r="G1889">
        <f t="shared" si="645"/>
        <v>0</v>
      </c>
      <c r="H1889">
        <v>2439.93097039335</v>
      </c>
      <c r="J1889" t="s">
        <v>88</v>
      </c>
      <c r="M1889" t="s">
        <v>288</v>
      </c>
      <c r="O1889">
        <f t="shared" ref="O1889" si="661">O1888+1</f>
        <v>30</v>
      </c>
      <c r="P1889" s="31" t="s">
        <v>527</v>
      </c>
    </row>
    <row r="1890" spans="1:16" outlineLevel="1" x14ac:dyDescent="0.25">
      <c r="A1890" t="s">
        <v>284</v>
      </c>
      <c r="B1890">
        <v>0</v>
      </c>
      <c r="C1890" t="str">
        <f t="shared" si="650"/>
        <v>Taux de chargement moyen pour une tournée (Catégorie 30)</v>
      </c>
      <c r="E1890" t="str">
        <f t="shared" si="651"/>
        <v>LivrNuitTourneeTC30</v>
      </c>
      <c r="F1890" t="s">
        <v>17</v>
      </c>
      <c r="G1890">
        <f t="shared" si="645"/>
        <v>0</v>
      </c>
      <c r="H1890" s="3">
        <v>2452.9544116703601</v>
      </c>
      <c r="J1890" t="s">
        <v>70</v>
      </c>
      <c r="M1890" t="s">
        <v>288</v>
      </c>
      <c r="O1890">
        <f t="shared" ref="O1890:O1893" si="662">O1889</f>
        <v>30</v>
      </c>
      <c r="P1890" s="31" t="s">
        <v>527</v>
      </c>
    </row>
    <row r="1891" spans="1:16" outlineLevel="1" x14ac:dyDescent="0.25">
      <c r="A1891" t="s">
        <v>284</v>
      </c>
      <c r="B1891">
        <v>0</v>
      </c>
      <c r="C1891" t="str">
        <f t="shared" si="653"/>
        <v>Masse moyenne transportée sur une tournée (Catégorie 30)</v>
      </c>
      <c r="E1891" t="str">
        <f t="shared" si="654"/>
        <v>LivrNuitTourneeMasse30</v>
      </c>
      <c r="F1891" t="s">
        <v>17</v>
      </c>
      <c r="G1891">
        <f t="shared" si="645"/>
        <v>0</v>
      </c>
      <c r="H1891">
        <v>2465.9778529473701</v>
      </c>
      <c r="J1891" t="s">
        <v>148</v>
      </c>
      <c r="M1891" t="s">
        <v>288</v>
      </c>
      <c r="O1891">
        <f t="shared" si="662"/>
        <v>30</v>
      </c>
      <c r="P1891" s="31" t="s">
        <v>527</v>
      </c>
    </row>
    <row r="1892" spans="1:16" outlineLevel="1" x14ac:dyDescent="0.25">
      <c r="A1892" t="s">
        <v>284</v>
      </c>
      <c r="B1892">
        <v>0</v>
      </c>
      <c r="C1892" t="str">
        <f t="shared" si="655"/>
        <v>Ordre de grandeur du nombre annuel de tournées (Catégorie 30)</v>
      </c>
      <c r="E1892" t="str">
        <f t="shared" si="656"/>
        <v>LivrNuitTourneeNb30</v>
      </c>
      <c r="F1892" t="s">
        <v>17</v>
      </c>
      <c r="G1892">
        <f t="shared" si="645"/>
        <v>0</v>
      </c>
      <c r="H1892">
        <v>2479.0012942243802</v>
      </c>
      <c r="J1892" t="s">
        <v>283</v>
      </c>
      <c r="M1892" t="s">
        <v>288</v>
      </c>
      <c r="O1892">
        <f t="shared" si="662"/>
        <v>30</v>
      </c>
      <c r="P1892" s="31" t="s">
        <v>527</v>
      </c>
    </row>
    <row r="1893" spans="1:16" outlineLevel="1" x14ac:dyDescent="0.25">
      <c r="A1893" t="s">
        <v>284</v>
      </c>
      <c r="B1893">
        <v>0</v>
      </c>
      <c r="C1893" t="str">
        <f t="shared" si="657"/>
        <v>% de livraisons déjà en horaire décalé (Catégorie 30)</v>
      </c>
      <c r="E1893" t="str">
        <f t="shared" si="658"/>
        <v>LivrNuitInitDecal30</v>
      </c>
      <c r="F1893" t="s">
        <v>17</v>
      </c>
      <c r="G1893">
        <f t="shared" si="645"/>
        <v>0</v>
      </c>
      <c r="H1893" s="18">
        <v>2492.0247355013898</v>
      </c>
      <c r="J1893" t="s">
        <v>70</v>
      </c>
      <c r="M1893" t="s">
        <v>288</v>
      </c>
      <c r="O1893">
        <f t="shared" si="662"/>
        <v>30</v>
      </c>
      <c r="P1893" s="31" t="s">
        <v>527</v>
      </c>
    </row>
    <row r="1894" spans="1:16" outlineLevel="1" x14ac:dyDescent="0.25">
      <c r="A1894" t="s">
        <v>284</v>
      </c>
      <c r="B1894">
        <v>0</v>
      </c>
      <c r="C1894" t="str">
        <f t="shared" si="647"/>
        <v>Distance moyenne d'une tournée (Catégorie 31)</v>
      </c>
      <c r="E1894" t="str">
        <f t="shared" si="648"/>
        <v>LivrNuitTourneeDist31</v>
      </c>
      <c r="F1894" t="s">
        <v>17</v>
      </c>
      <c r="G1894">
        <f t="shared" si="645"/>
        <v>0</v>
      </c>
      <c r="H1894">
        <v>2505.0481767783999</v>
      </c>
      <c r="J1894" t="s">
        <v>88</v>
      </c>
      <c r="M1894" t="s">
        <v>288</v>
      </c>
      <c r="O1894">
        <f t="shared" ref="O1894" si="663">O1893+1</f>
        <v>31</v>
      </c>
      <c r="P1894" s="31" t="s">
        <v>527</v>
      </c>
    </row>
    <row r="1895" spans="1:16" outlineLevel="1" x14ac:dyDescent="0.25">
      <c r="A1895" t="s">
        <v>284</v>
      </c>
      <c r="B1895">
        <v>0</v>
      </c>
      <c r="C1895" t="str">
        <f t="shared" si="650"/>
        <v>Taux de chargement moyen pour une tournée (Catégorie 31)</v>
      </c>
      <c r="E1895" t="str">
        <f t="shared" si="651"/>
        <v>LivrNuitTourneeTC31</v>
      </c>
      <c r="F1895" t="s">
        <v>17</v>
      </c>
      <c r="G1895">
        <f t="shared" si="645"/>
        <v>0</v>
      </c>
      <c r="H1895" s="3">
        <v>2518.07161805541</v>
      </c>
      <c r="J1895" t="s">
        <v>70</v>
      </c>
      <c r="M1895" t="s">
        <v>288</v>
      </c>
      <c r="O1895">
        <f t="shared" ref="O1895:O1898" si="664">O1894</f>
        <v>31</v>
      </c>
      <c r="P1895" s="31" t="s">
        <v>527</v>
      </c>
    </row>
    <row r="1896" spans="1:16" outlineLevel="1" x14ac:dyDescent="0.25">
      <c r="A1896" t="s">
        <v>284</v>
      </c>
      <c r="B1896">
        <v>0</v>
      </c>
      <c r="C1896" t="str">
        <f t="shared" si="653"/>
        <v>Masse moyenne transportée sur une tournée (Catégorie 31)</v>
      </c>
      <c r="E1896" t="str">
        <f t="shared" si="654"/>
        <v>LivrNuitTourneeMasse31</v>
      </c>
      <c r="F1896" t="s">
        <v>17</v>
      </c>
      <c r="G1896">
        <f t="shared" si="645"/>
        <v>0</v>
      </c>
      <c r="H1896">
        <v>2531.0950593324201</v>
      </c>
      <c r="J1896" t="s">
        <v>148</v>
      </c>
      <c r="M1896" t="s">
        <v>288</v>
      </c>
      <c r="O1896">
        <f t="shared" si="664"/>
        <v>31</v>
      </c>
      <c r="P1896" s="31" t="s">
        <v>527</v>
      </c>
    </row>
    <row r="1897" spans="1:16" outlineLevel="1" x14ac:dyDescent="0.25">
      <c r="A1897" t="s">
        <v>284</v>
      </c>
      <c r="B1897">
        <v>0</v>
      </c>
      <c r="C1897" t="str">
        <f t="shared" si="655"/>
        <v>Ordre de grandeur du nombre annuel de tournées (Catégorie 31)</v>
      </c>
      <c r="E1897" t="str">
        <f t="shared" si="656"/>
        <v>LivrNuitTourneeNb31</v>
      </c>
      <c r="F1897" t="s">
        <v>17</v>
      </c>
      <c r="G1897">
        <f t="shared" si="645"/>
        <v>0</v>
      </c>
      <c r="H1897">
        <v>2544.1185006094302</v>
      </c>
      <c r="J1897" t="s">
        <v>283</v>
      </c>
      <c r="M1897" t="s">
        <v>288</v>
      </c>
      <c r="O1897">
        <f t="shared" si="664"/>
        <v>31</v>
      </c>
      <c r="P1897" s="31" t="s">
        <v>527</v>
      </c>
    </row>
    <row r="1898" spans="1:16" outlineLevel="1" x14ac:dyDescent="0.25">
      <c r="A1898" t="s">
        <v>284</v>
      </c>
      <c r="B1898">
        <v>0</v>
      </c>
      <c r="C1898" t="str">
        <f t="shared" si="657"/>
        <v>% de livraisons déjà en horaire décalé (Catégorie 31)</v>
      </c>
      <c r="E1898" t="str">
        <f t="shared" si="658"/>
        <v>LivrNuitInitDecal31</v>
      </c>
      <c r="F1898" t="s">
        <v>17</v>
      </c>
      <c r="G1898">
        <f t="shared" si="645"/>
        <v>0</v>
      </c>
      <c r="H1898" s="18">
        <v>2557.1419418864398</v>
      </c>
      <c r="J1898" t="s">
        <v>70</v>
      </c>
      <c r="M1898" t="s">
        <v>288</v>
      </c>
      <c r="O1898">
        <f t="shared" si="664"/>
        <v>31</v>
      </c>
      <c r="P1898" s="31" t="s">
        <v>527</v>
      </c>
    </row>
    <row r="1899" spans="1:16" outlineLevel="1" x14ac:dyDescent="0.25">
      <c r="A1899" t="s">
        <v>284</v>
      </c>
      <c r="B1899">
        <v>0</v>
      </c>
      <c r="C1899" t="str">
        <f t="shared" si="647"/>
        <v>Distance moyenne d'une tournée (Catégorie 32)</v>
      </c>
      <c r="E1899" t="str">
        <f t="shared" si="648"/>
        <v>LivrNuitTourneeDist32</v>
      </c>
      <c r="F1899" t="s">
        <v>17</v>
      </c>
      <c r="G1899">
        <f t="shared" si="645"/>
        <v>0</v>
      </c>
      <c r="H1899">
        <v>2570.1653831634499</v>
      </c>
      <c r="J1899" t="s">
        <v>88</v>
      </c>
      <c r="M1899" t="s">
        <v>288</v>
      </c>
      <c r="O1899">
        <f t="shared" ref="O1899" si="665">O1898+1</f>
        <v>32</v>
      </c>
      <c r="P1899" s="31" t="s">
        <v>527</v>
      </c>
    </row>
    <row r="1900" spans="1:16" outlineLevel="1" x14ac:dyDescent="0.25">
      <c r="A1900" t="s">
        <v>284</v>
      </c>
      <c r="B1900">
        <v>0</v>
      </c>
      <c r="C1900" t="str">
        <f t="shared" si="650"/>
        <v>Taux de chargement moyen pour une tournée (Catégorie 32)</v>
      </c>
      <c r="E1900" t="str">
        <f t="shared" si="651"/>
        <v>LivrNuitTourneeTC32</v>
      </c>
      <c r="F1900" t="s">
        <v>17</v>
      </c>
      <c r="G1900">
        <f t="shared" si="645"/>
        <v>0</v>
      </c>
      <c r="H1900" s="3">
        <v>2583.1888244404599</v>
      </c>
      <c r="J1900" t="s">
        <v>70</v>
      </c>
      <c r="M1900" t="s">
        <v>288</v>
      </c>
      <c r="O1900">
        <f t="shared" ref="O1900:O1903" si="666">O1899</f>
        <v>32</v>
      </c>
      <c r="P1900" s="31" t="s">
        <v>527</v>
      </c>
    </row>
    <row r="1901" spans="1:16" outlineLevel="1" x14ac:dyDescent="0.25">
      <c r="A1901" t="s">
        <v>284</v>
      </c>
      <c r="B1901">
        <v>0</v>
      </c>
      <c r="C1901" t="str">
        <f t="shared" si="653"/>
        <v>Masse moyenne transportée sur une tournée (Catégorie 32)</v>
      </c>
      <c r="E1901" t="str">
        <f t="shared" si="654"/>
        <v>LivrNuitTourneeMasse32</v>
      </c>
      <c r="F1901" t="s">
        <v>17</v>
      </c>
      <c r="G1901">
        <f t="shared" si="645"/>
        <v>0</v>
      </c>
      <c r="H1901">
        <v>2596.21226571747</v>
      </c>
      <c r="J1901" t="s">
        <v>148</v>
      </c>
      <c r="M1901" t="s">
        <v>288</v>
      </c>
      <c r="O1901">
        <f t="shared" si="666"/>
        <v>32</v>
      </c>
      <c r="P1901" s="31" t="s">
        <v>527</v>
      </c>
    </row>
    <row r="1902" spans="1:16" outlineLevel="1" x14ac:dyDescent="0.25">
      <c r="A1902" t="s">
        <v>284</v>
      </c>
      <c r="B1902">
        <v>0</v>
      </c>
      <c r="C1902" t="str">
        <f t="shared" si="655"/>
        <v>Ordre de grandeur du nombre annuel de tournées (Catégorie 32)</v>
      </c>
      <c r="E1902" t="str">
        <f t="shared" si="656"/>
        <v>LivrNuitTourneeNb32</v>
      </c>
      <c r="F1902" t="s">
        <v>17</v>
      </c>
      <c r="G1902">
        <f t="shared" si="645"/>
        <v>0</v>
      </c>
      <c r="H1902">
        <v>2609.2357069944801</v>
      </c>
      <c r="J1902" t="s">
        <v>283</v>
      </c>
      <c r="M1902" t="s">
        <v>288</v>
      </c>
      <c r="O1902">
        <f t="shared" si="666"/>
        <v>32</v>
      </c>
      <c r="P1902" s="31" t="s">
        <v>527</v>
      </c>
    </row>
    <row r="1903" spans="1:16" outlineLevel="1" x14ac:dyDescent="0.25">
      <c r="A1903" t="s">
        <v>284</v>
      </c>
      <c r="B1903">
        <v>0</v>
      </c>
      <c r="C1903" t="str">
        <f t="shared" si="657"/>
        <v>% de livraisons déjà en horaire décalé (Catégorie 32)</v>
      </c>
      <c r="E1903" t="str">
        <f t="shared" si="658"/>
        <v>LivrNuitInitDecal32</v>
      </c>
      <c r="F1903" t="s">
        <v>17</v>
      </c>
      <c r="G1903">
        <f t="shared" si="645"/>
        <v>0</v>
      </c>
      <c r="H1903" s="18">
        <v>2622.2591482714902</v>
      </c>
      <c r="J1903" t="s">
        <v>70</v>
      </c>
      <c r="M1903" t="s">
        <v>288</v>
      </c>
      <c r="O1903">
        <f t="shared" si="666"/>
        <v>32</v>
      </c>
      <c r="P1903" s="31" t="s">
        <v>527</v>
      </c>
    </row>
    <row r="1904" spans="1:16" outlineLevel="1" x14ac:dyDescent="0.25">
      <c r="A1904" t="s">
        <v>284</v>
      </c>
      <c r="B1904">
        <v>0</v>
      </c>
      <c r="C1904" t="str">
        <f t="shared" si="647"/>
        <v>Distance moyenne d'une tournée (Catégorie 33)</v>
      </c>
      <c r="E1904" t="str">
        <f t="shared" si="648"/>
        <v>LivrNuitTourneeDist33</v>
      </c>
      <c r="F1904" t="s">
        <v>17</v>
      </c>
      <c r="G1904">
        <f t="shared" si="645"/>
        <v>0</v>
      </c>
      <c r="H1904">
        <v>2635.2825895484998</v>
      </c>
      <c r="J1904" t="s">
        <v>88</v>
      </c>
      <c r="M1904" t="s">
        <v>288</v>
      </c>
      <c r="O1904">
        <f t="shared" ref="O1904" si="667">O1903+1</f>
        <v>33</v>
      </c>
      <c r="P1904" s="31" t="s">
        <v>527</v>
      </c>
    </row>
    <row r="1905" spans="1:16" outlineLevel="1" x14ac:dyDescent="0.25">
      <c r="A1905" t="s">
        <v>284</v>
      </c>
      <c r="B1905">
        <v>0</v>
      </c>
      <c r="C1905" t="str">
        <f t="shared" si="650"/>
        <v>Taux de chargement moyen pour une tournée (Catégorie 33)</v>
      </c>
      <c r="E1905" t="str">
        <f t="shared" si="651"/>
        <v>LivrNuitTourneeTC33</v>
      </c>
      <c r="F1905" t="s">
        <v>17</v>
      </c>
      <c r="G1905">
        <f t="shared" si="645"/>
        <v>0</v>
      </c>
      <c r="H1905" s="3">
        <v>2648.3060308255099</v>
      </c>
      <c r="J1905" t="s">
        <v>70</v>
      </c>
      <c r="M1905" t="s">
        <v>288</v>
      </c>
      <c r="O1905">
        <f t="shared" ref="O1905:O1908" si="668">O1904</f>
        <v>33</v>
      </c>
      <c r="P1905" s="31" t="s">
        <v>527</v>
      </c>
    </row>
    <row r="1906" spans="1:16" outlineLevel="1" x14ac:dyDescent="0.25">
      <c r="A1906" t="s">
        <v>284</v>
      </c>
      <c r="B1906">
        <v>0</v>
      </c>
      <c r="C1906" t="str">
        <f t="shared" si="653"/>
        <v>Masse moyenne transportée sur une tournée (Catégorie 33)</v>
      </c>
      <c r="E1906" t="str">
        <f t="shared" si="654"/>
        <v>LivrNuitTourneeMasse33</v>
      </c>
      <c r="F1906" t="s">
        <v>17</v>
      </c>
      <c r="G1906">
        <f t="shared" si="645"/>
        <v>0</v>
      </c>
      <c r="H1906">
        <v>2661.32947210252</v>
      </c>
      <c r="J1906" t="s">
        <v>148</v>
      </c>
      <c r="M1906" t="s">
        <v>288</v>
      </c>
      <c r="O1906">
        <f t="shared" si="668"/>
        <v>33</v>
      </c>
      <c r="P1906" s="31" t="s">
        <v>527</v>
      </c>
    </row>
    <row r="1907" spans="1:16" outlineLevel="1" x14ac:dyDescent="0.25">
      <c r="A1907" t="s">
        <v>284</v>
      </c>
      <c r="B1907">
        <v>0</v>
      </c>
      <c r="C1907" t="str">
        <f t="shared" si="655"/>
        <v>Ordre de grandeur du nombre annuel de tournées (Catégorie 33)</v>
      </c>
      <c r="E1907" t="str">
        <f t="shared" si="656"/>
        <v>LivrNuitTourneeNb33</v>
      </c>
      <c r="F1907" t="s">
        <v>17</v>
      </c>
      <c r="G1907">
        <f t="shared" si="645"/>
        <v>0</v>
      </c>
      <c r="H1907">
        <v>2674.35291337953</v>
      </c>
      <c r="J1907" t="s">
        <v>283</v>
      </c>
      <c r="M1907" t="s">
        <v>288</v>
      </c>
      <c r="O1907">
        <f t="shared" si="668"/>
        <v>33</v>
      </c>
      <c r="P1907" s="31" t="s">
        <v>527</v>
      </c>
    </row>
    <row r="1908" spans="1:16" outlineLevel="1" x14ac:dyDescent="0.25">
      <c r="A1908" t="s">
        <v>284</v>
      </c>
      <c r="B1908">
        <v>0</v>
      </c>
      <c r="C1908" t="str">
        <f t="shared" si="657"/>
        <v>% de livraisons déjà en horaire décalé (Catégorie 33)</v>
      </c>
      <c r="E1908" t="str">
        <f t="shared" si="658"/>
        <v>LivrNuitInitDecal33</v>
      </c>
      <c r="F1908" t="s">
        <v>17</v>
      </c>
      <c r="G1908">
        <f t="shared" si="645"/>
        <v>0</v>
      </c>
      <c r="H1908" s="18">
        <v>2687.3763546565401</v>
      </c>
      <c r="J1908" t="s">
        <v>70</v>
      </c>
      <c r="M1908" t="s">
        <v>288</v>
      </c>
      <c r="O1908">
        <f t="shared" si="668"/>
        <v>33</v>
      </c>
      <c r="P1908" s="31" t="s">
        <v>527</v>
      </c>
    </row>
    <row r="1909" spans="1:16" outlineLevel="1" x14ac:dyDescent="0.25">
      <c r="A1909" t="s">
        <v>284</v>
      </c>
      <c r="B1909">
        <v>0</v>
      </c>
      <c r="C1909" t="str">
        <f t="shared" si="647"/>
        <v>Distance moyenne d'une tournée (Catégorie 34)</v>
      </c>
      <c r="E1909" t="str">
        <f t="shared" si="648"/>
        <v>LivrNuitTourneeDist34</v>
      </c>
      <c r="F1909" t="s">
        <v>17</v>
      </c>
      <c r="G1909">
        <f t="shared" si="645"/>
        <v>0</v>
      </c>
      <c r="H1909">
        <v>2700.3997959335502</v>
      </c>
      <c r="J1909" t="s">
        <v>88</v>
      </c>
      <c r="M1909" t="s">
        <v>288</v>
      </c>
      <c r="O1909">
        <f t="shared" ref="O1909" si="669">O1908+1</f>
        <v>34</v>
      </c>
      <c r="P1909" s="31" t="s">
        <v>527</v>
      </c>
    </row>
    <row r="1910" spans="1:16" outlineLevel="1" x14ac:dyDescent="0.25">
      <c r="A1910" t="s">
        <v>284</v>
      </c>
      <c r="B1910">
        <v>0</v>
      </c>
      <c r="C1910" t="str">
        <f t="shared" si="650"/>
        <v>Taux de chargement moyen pour une tournée (Catégorie 34)</v>
      </c>
      <c r="E1910" t="str">
        <f t="shared" si="651"/>
        <v>LivrNuitTourneeTC34</v>
      </c>
      <c r="F1910" t="s">
        <v>17</v>
      </c>
      <c r="G1910">
        <f t="shared" si="645"/>
        <v>0</v>
      </c>
      <c r="H1910" s="3">
        <v>2713.4232372105598</v>
      </c>
      <c r="J1910" t="s">
        <v>70</v>
      </c>
      <c r="M1910" t="s">
        <v>288</v>
      </c>
      <c r="O1910">
        <f t="shared" ref="O1910:O1913" si="670">O1909</f>
        <v>34</v>
      </c>
      <c r="P1910" s="31" t="s">
        <v>527</v>
      </c>
    </row>
    <row r="1911" spans="1:16" outlineLevel="1" x14ac:dyDescent="0.25">
      <c r="A1911" t="s">
        <v>284</v>
      </c>
      <c r="B1911">
        <v>0</v>
      </c>
      <c r="C1911" t="str">
        <f t="shared" si="653"/>
        <v>Masse moyenne transportée sur une tournée (Catégorie 34)</v>
      </c>
      <c r="E1911" t="str">
        <f t="shared" si="654"/>
        <v>LivrNuitTourneeMasse34</v>
      </c>
      <c r="F1911" t="s">
        <v>17</v>
      </c>
      <c r="G1911">
        <f t="shared" si="645"/>
        <v>0</v>
      </c>
      <c r="H1911">
        <v>2726.4466784875599</v>
      </c>
      <c r="J1911" t="s">
        <v>148</v>
      </c>
      <c r="M1911" t="s">
        <v>288</v>
      </c>
      <c r="O1911">
        <f t="shared" si="670"/>
        <v>34</v>
      </c>
      <c r="P1911" s="31" t="s">
        <v>527</v>
      </c>
    </row>
    <row r="1912" spans="1:16" outlineLevel="1" x14ac:dyDescent="0.25">
      <c r="A1912" t="s">
        <v>284</v>
      </c>
      <c r="B1912">
        <v>0</v>
      </c>
      <c r="C1912" t="str">
        <f t="shared" si="655"/>
        <v>Ordre de grandeur du nombre annuel de tournées (Catégorie 34)</v>
      </c>
      <c r="E1912" t="str">
        <f t="shared" si="656"/>
        <v>LivrNuitTourneeNb34</v>
      </c>
      <c r="F1912" t="s">
        <v>17</v>
      </c>
      <c r="G1912">
        <f t="shared" si="645"/>
        <v>0</v>
      </c>
      <c r="H1912">
        <v>2739.47011976457</v>
      </c>
      <c r="J1912" t="s">
        <v>283</v>
      </c>
      <c r="M1912" t="s">
        <v>288</v>
      </c>
      <c r="O1912">
        <f t="shared" si="670"/>
        <v>34</v>
      </c>
      <c r="P1912" s="31" t="s">
        <v>527</v>
      </c>
    </row>
    <row r="1913" spans="1:16" outlineLevel="1" x14ac:dyDescent="0.25">
      <c r="A1913" t="s">
        <v>284</v>
      </c>
      <c r="B1913">
        <v>0</v>
      </c>
      <c r="C1913" t="str">
        <f t="shared" si="657"/>
        <v>% de livraisons déjà en horaire décalé (Catégorie 34)</v>
      </c>
      <c r="E1913" t="str">
        <f t="shared" si="658"/>
        <v>LivrNuitInitDecal34</v>
      </c>
      <c r="F1913" t="s">
        <v>17</v>
      </c>
      <c r="G1913">
        <f t="shared" si="645"/>
        <v>0</v>
      </c>
      <c r="H1913" s="18">
        <v>2752.4935610415801</v>
      </c>
      <c r="J1913" t="s">
        <v>70</v>
      </c>
      <c r="M1913" t="s">
        <v>288</v>
      </c>
      <c r="O1913">
        <f t="shared" si="670"/>
        <v>34</v>
      </c>
      <c r="P1913" s="31" t="s">
        <v>527</v>
      </c>
    </row>
    <row r="1914" spans="1:16" outlineLevel="1" x14ac:dyDescent="0.25">
      <c r="A1914" t="s">
        <v>284</v>
      </c>
      <c r="B1914">
        <v>0</v>
      </c>
      <c r="C1914" t="str">
        <f t="shared" si="647"/>
        <v>Distance moyenne d'une tournée (Catégorie 35)</v>
      </c>
      <c r="E1914" t="str">
        <f t="shared" si="648"/>
        <v>LivrNuitTourneeDist35</v>
      </c>
      <c r="F1914" t="s">
        <v>17</v>
      </c>
      <c r="G1914">
        <f t="shared" si="645"/>
        <v>0</v>
      </c>
      <c r="H1914">
        <v>2765.5170023185901</v>
      </c>
      <c r="J1914" t="s">
        <v>88</v>
      </c>
      <c r="M1914" t="s">
        <v>288</v>
      </c>
      <c r="O1914">
        <f t="shared" ref="O1914" si="671">O1913+1</f>
        <v>35</v>
      </c>
      <c r="P1914" s="31" t="s">
        <v>527</v>
      </c>
    </row>
    <row r="1915" spans="1:16" outlineLevel="1" x14ac:dyDescent="0.25">
      <c r="A1915" t="s">
        <v>284</v>
      </c>
      <c r="B1915">
        <v>0</v>
      </c>
      <c r="C1915" t="str">
        <f t="shared" si="650"/>
        <v>Taux de chargement moyen pour une tournée (Catégorie 35)</v>
      </c>
      <c r="E1915" t="str">
        <f t="shared" si="651"/>
        <v>LivrNuitTourneeTC35</v>
      </c>
      <c r="F1915" t="s">
        <v>17</v>
      </c>
      <c r="G1915">
        <f t="shared" si="645"/>
        <v>0</v>
      </c>
      <c r="H1915" s="3">
        <v>2778.5404435956002</v>
      </c>
      <c r="J1915" t="s">
        <v>70</v>
      </c>
      <c r="M1915" t="s">
        <v>288</v>
      </c>
      <c r="O1915">
        <f t="shared" ref="O1915:O1918" si="672">O1914</f>
        <v>35</v>
      </c>
      <c r="P1915" s="31" t="s">
        <v>527</v>
      </c>
    </row>
    <row r="1916" spans="1:16" outlineLevel="1" x14ac:dyDescent="0.25">
      <c r="A1916" t="s">
        <v>284</v>
      </c>
      <c r="B1916">
        <v>0</v>
      </c>
      <c r="C1916" t="str">
        <f t="shared" si="653"/>
        <v>Masse moyenne transportée sur une tournée (Catégorie 35)</v>
      </c>
      <c r="E1916" t="str">
        <f t="shared" si="654"/>
        <v>LivrNuitTourneeMasse35</v>
      </c>
      <c r="F1916" t="s">
        <v>17</v>
      </c>
      <c r="G1916">
        <f t="shared" si="645"/>
        <v>0</v>
      </c>
      <c r="H1916">
        <v>2791.5638848726098</v>
      </c>
      <c r="J1916" t="s">
        <v>148</v>
      </c>
      <c r="M1916" t="s">
        <v>288</v>
      </c>
      <c r="O1916">
        <f t="shared" si="672"/>
        <v>35</v>
      </c>
      <c r="P1916" s="31" t="s">
        <v>527</v>
      </c>
    </row>
    <row r="1917" spans="1:16" outlineLevel="1" x14ac:dyDescent="0.25">
      <c r="A1917" t="s">
        <v>284</v>
      </c>
      <c r="B1917">
        <v>0</v>
      </c>
      <c r="C1917" t="str">
        <f t="shared" si="655"/>
        <v>Ordre de grandeur du nombre annuel de tournées (Catégorie 35)</v>
      </c>
      <c r="E1917" t="str">
        <f t="shared" si="656"/>
        <v>LivrNuitTourneeNb35</v>
      </c>
      <c r="F1917" t="s">
        <v>17</v>
      </c>
      <c r="G1917">
        <f t="shared" si="645"/>
        <v>0</v>
      </c>
      <c r="H1917">
        <v>2804.5873261496199</v>
      </c>
      <c r="J1917" t="s">
        <v>283</v>
      </c>
      <c r="M1917" t="s">
        <v>288</v>
      </c>
      <c r="O1917">
        <f t="shared" si="672"/>
        <v>35</v>
      </c>
      <c r="P1917" s="31" t="s">
        <v>527</v>
      </c>
    </row>
    <row r="1918" spans="1:16" outlineLevel="1" x14ac:dyDescent="0.25">
      <c r="A1918" t="s">
        <v>284</v>
      </c>
      <c r="B1918">
        <v>0</v>
      </c>
      <c r="C1918" t="str">
        <f t="shared" si="657"/>
        <v>% de livraisons déjà en horaire décalé (Catégorie 35)</v>
      </c>
      <c r="E1918" t="str">
        <f t="shared" si="658"/>
        <v>LivrNuitInitDecal35</v>
      </c>
      <c r="F1918" t="s">
        <v>17</v>
      </c>
      <c r="G1918">
        <f t="shared" si="645"/>
        <v>0</v>
      </c>
      <c r="H1918" s="18">
        <v>2817.61076742663</v>
      </c>
      <c r="J1918" t="s">
        <v>70</v>
      </c>
      <c r="M1918" t="s">
        <v>288</v>
      </c>
      <c r="O1918">
        <f t="shared" si="672"/>
        <v>35</v>
      </c>
      <c r="P1918" s="31" t="s">
        <v>527</v>
      </c>
    </row>
    <row r="1919" spans="1:16" x14ac:dyDescent="0.25">
      <c r="A1919" t="s">
        <v>432</v>
      </c>
      <c r="C1919" t="s">
        <v>489</v>
      </c>
      <c r="E1919" t="s">
        <v>488</v>
      </c>
      <c r="F1919" t="s">
        <v>60</v>
      </c>
      <c r="G1919">
        <f>IF(OR(ISNUMBER(SEARCH("C6",$H$18)),ISNUMBER(SEARCH("C6",$H$17))),1,0)</f>
        <v>1</v>
      </c>
      <c r="H1919" t="s">
        <v>487</v>
      </c>
      <c r="I1919" t="s">
        <v>487</v>
      </c>
      <c r="M1919" t="s">
        <v>431</v>
      </c>
    </row>
    <row r="1920" spans="1:16" x14ac:dyDescent="0.25">
      <c r="A1920" t="s">
        <v>432</v>
      </c>
      <c r="C1920" t="s">
        <v>486</v>
      </c>
      <c r="E1920" t="s">
        <v>485</v>
      </c>
      <c r="F1920" t="s">
        <v>36</v>
      </c>
      <c r="G1920">
        <f>IF(OR(ISNUMBER(SEARCH("C6",$H$18)),ISNUMBER(SEARCH("C6",$H$17))),1,0)</f>
        <v>1</v>
      </c>
      <c r="H1920" t="s">
        <v>477</v>
      </c>
      <c r="I1920" t="s">
        <v>484</v>
      </c>
      <c r="M1920" t="s">
        <v>431</v>
      </c>
    </row>
    <row r="1921" spans="1:13" x14ac:dyDescent="0.25">
      <c r="A1921" t="s">
        <v>432</v>
      </c>
      <c r="C1921" t="s">
        <v>483</v>
      </c>
      <c r="E1921" t="s">
        <v>482</v>
      </c>
      <c r="F1921" t="s">
        <v>36</v>
      </c>
      <c r="G1921">
        <f>IF(OR(ISNUMBER(SEARCH("C6",$H$18)),ISNUMBER(SEARCH("C6",$H$17))),1,0)</f>
        <v>1</v>
      </c>
      <c r="H1921" t="s">
        <v>481</v>
      </c>
      <c r="I1921" t="s">
        <v>480</v>
      </c>
      <c r="M1921" t="s">
        <v>431</v>
      </c>
    </row>
    <row r="1922" spans="1:13" x14ac:dyDescent="0.25">
      <c r="A1922" t="s">
        <v>432</v>
      </c>
      <c r="B1922" t="s">
        <v>479</v>
      </c>
      <c r="C1922" t="s">
        <v>477</v>
      </c>
      <c r="E1922" t="str">
        <f>_xlfn.CONCAT("FretTCDist",LEFT(B1922,3))</f>
        <v>FretTCDistBus</v>
      </c>
      <c r="F1922" t="s">
        <v>17</v>
      </c>
      <c r="G1922">
        <f>IF(ISNUMBER(SEARCH("Distance parcourue annuellement",$H$1920)),1,0)*IF(ISNUMBER(SEARCH(B1922,$H$1919)),1,0)</f>
        <v>1</v>
      </c>
      <c r="J1922" t="s">
        <v>88</v>
      </c>
      <c r="K1922" s="21" t="s">
        <v>187</v>
      </c>
      <c r="M1922" t="s">
        <v>431</v>
      </c>
    </row>
    <row r="1923" spans="1:13" x14ac:dyDescent="0.25">
      <c r="A1923" t="s">
        <v>432</v>
      </c>
      <c r="B1923" t="s">
        <v>479</v>
      </c>
      <c r="C1923" t="s">
        <v>476</v>
      </c>
      <c r="E1923" t="str">
        <f>_xlfn.CONCAT("FretTCLignes",LEFT(B1923,3))</f>
        <v>FretTCLignesBus</v>
      </c>
      <c r="F1923" t="s">
        <v>17</v>
      </c>
      <c r="G1923">
        <f>IF(ISNUMBER(SEARCH("km de lignes concernées",$H$1920)),1,0)*IF(ISNUMBER(SEARCH(B1923,$H$1919)),1,0)</f>
        <v>0</v>
      </c>
      <c r="H1923">
        <v>20</v>
      </c>
      <c r="J1923" t="s">
        <v>88</v>
      </c>
      <c r="K1923" s="21" t="s">
        <v>187</v>
      </c>
      <c r="M1923" t="s">
        <v>431</v>
      </c>
    </row>
    <row r="1924" spans="1:13" x14ac:dyDescent="0.25">
      <c r="A1924" t="s">
        <v>432</v>
      </c>
      <c r="B1924" t="s">
        <v>479</v>
      </c>
      <c r="C1924" t="s">
        <v>475</v>
      </c>
      <c r="E1924" t="str">
        <f>_xlfn.CONCAT("FretTCEmportTot",LEFT(B1924,3))</f>
        <v>FretTCEmportTotBus</v>
      </c>
      <c r="F1924" t="s">
        <v>17</v>
      </c>
      <c r="G1924">
        <f>IF(ISNUMBER(SEARCH(B1924,$H$1919)),1,0)*IF(ISNUMBER(SEARCH("Masse totale transportée sur l'année",$H$1921)),1,0)</f>
        <v>1</v>
      </c>
      <c r="J1924" t="s">
        <v>148</v>
      </c>
      <c r="K1924" s="21" t="s">
        <v>187</v>
      </c>
      <c r="M1924" t="s">
        <v>431</v>
      </c>
    </row>
    <row r="1925" spans="1:13" x14ac:dyDescent="0.25">
      <c r="A1925" t="s">
        <v>432</v>
      </c>
      <c r="B1925" t="s">
        <v>479</v>
      </c>
      <c r="C1925" t="s">
        <v>474</v>
      </c>
      <c r="E1925" t="str">
        <f>_xlfn.CONCAT("FretTCEmport",LEFT(B1925,3))</f>
        <v>FretTCEmportBus</v>
      </c>
      <c r="F1925" t="s">
        <v>17</v>
      </c>
      <c r="G1925">
        <f>IF(ISNUMBER(SEARCH(B1925,$H$1919)),1,0)*IF(ISNUMBER(SEARCH("Masse moyenne d'emport",$H$1921)),1,0)</f>
        <v>0</v>
      </c>
      <c r="H1925">
        <v>0.5</v>
      </c>
      <c r="J1925" t="s">
        <v>148</v>
      </c>
      <c r="K1925" s="22" t="e">
        <f>#REF!</f>
        <v>#REF!</v>
      </c>
      <c r="M1925" t="s">
        <v>431</v>
      </c>
    </row>
    <row r="1926" spans="1:13" x14ac:dyDescent="0.25">
      <c r="A1926" t="s">
        <v>432</v>
      </c>
      <c r="B1926" t="s">
        <v>479</v>
      </c>
      <c r="C1926" t="s">
        <v>472</v>
      </c>
      <c r="E1926" t="str">
        <f>_xlfn.CONCAT("FretTCRecours",LEFT(B1926,3))</f>
        <v>FretTCRecoursBus</v>
      </c>
      <c r="F1926" t="s">
        <v>17</v>
      </c>
      <c r="G1926">
        <f>IF(OR(ISNUMBER(SEARCH("Nombre annuel de recours au service",$H$1921)),ISNUMBER(SEARCH("Nombre annuel de recours au service",$H$1920))),1,0)*IF(ISNUMBER(SEARCH(B1926,$H$1919)),1,0)</f>
        <v>0</v>
      </c>
      <c r="H1926">
        <v>9</v>
      </c>
      <c r="J1926" t="s">
        <v>470</v>
      </c>
      <c r="K1926" s="21" t="s">
        <v>187</v>
      </c>
      <c r="M1926" t="s">
        <v>431</v>
      </c>
    </row>
    <row r="1927" spans="1:13" x14ac:dyDescent="0.25">
      <c r="A1927" t="s">
        <v>432</v>
      </c>
      <c r="B1927" t="s">
        <v>478</v>
      </c>
      <c r="C1927" t="s">
        <v>477</v>
      </c>
      <c r="D1927" t="s">
        <v>471</v>
      </c>
      <c r="E1927" t="str">
        <f>_xlfn.CONCAT("FretTCDist",LEFT(B1927,4))</f>
        <v>FretTCDistTram</v>
      </c>
      <c r="F1927" t="s">
        <v>17</v>
      </c>
      <c r="G1927">
        <f>IF(ISNUMBER(SEARCH("Distance parcourue annuellement",$H$1920)),1,0)*IF(ISNUMBER(SEARCH(B1927,$H$1919)),1,0)</f>
        <v>1</v>
      </c>
      <c r="J1927" t="s">
        <v>88</v>
      </c>
      <c r="K1927" s="21" t="s">
        <v>187</v>
      </c>
      <c r="M1927" t="s">
        <v>431</v>
      </c>
    </row>
    <row r="1928" spans="1:13" x14ac:dyDescent="0.25">
      <c r="A1928" t="s">
        <v>432</v>
      </c>
      <c r="B1928" t="s">
        <v>478</v>
      </c>
      <c r="C1928" t="s">
        <v>476</v>
      </c>
      <c r="D1928" t="s">
        <v>471</v>
      </c>
      <c r="E1928" t="str">
        <f>_xlfn.CONCAT("FretTCLignes",LEFT(B1928,4))</f>
        <v>FretTCLignesTram</v>
      </c>
      <c r="F1928" t="s">
        <v>17</v>
      </c>
      <c r="G1928">
        <f>IF(ISNUMBER(SEARCH("km de lignes concernées",$H$1920)),1,0)*IF(ISNUMBER(SEARCH(B1928,$H$1919)),1,0)</f>
        <v>0</v>
      </c>
      <c r="H1928">
        <v>30</v>
      </c>
      <c r="J1928" t="s">
        <v>88</v>
      </c>
      <c r="K1928" s="21" t="s">
        <v>187</v>
      </c>
      <c r="M1928" t="s">
        <v>431</v>
      </c>
    </row>
    <row r="1929" spans="1:13" x14ac:dyDescent="0.25">
      <c r="A1929" t="s">
        <v>432</v>
      </c>
      <c r="B1929" t="s">
        <v>478</v>
      </c>
      <c r="C1929" t="s">
        <v>475</v>
      </c>
      <c r="D1929" t="s">
        <v>471</v>
      </c>
      <c r="E1929" t="str">
        <f>_xlfn.CONCAT("FretTCEmportTot",LEFT(B1929,3))</f>
        <v>FretTCEmportTotTra</v>
      </c>
      <c r="F1929" t="s">
        <v>17</v>
      </c>
      <c r="G1929">
        <f>IF(ISNUMBER(SEARCH(B1929,$H$1919)),1,0)*IF(ISNUMBER(SEARCH("Masse totale transportée sur l'année",$H$1921)),1,0)</f>
        <v>1</v>
      </c>
      <c r="J1929" t="s">
        <v>148</v>
      </c>
      <c r="K1929" s="21" t="s">
        <v>187</v>
      </c>
      <c r="M1929" t="s">
        <v>431</v>
      </c>
    </row>
    <row r="1930" spans="1:13" x14ac:dyDescent="0.25">
      <c r="A1930" t="s">
        <v>432</v>
      </c>
      <c r="B1930" t="s">
        <v>478</v>
      </c>
      <c r="C1930" t="s">
        <v>474</v>
      </c>
      <c r="D1930" t="s">
        <v>471</v>
      </c>
      <c r="E1930" t="str">
        <f>_xlfn.CONCAT("FretTCEmport",LEFT(B1930,4))</f>
        <v>FretTCEmportTram</v>
      </c>
      <c r="F1930" t="s">
        <v>17</v>
      </c>
      <c r="G1930">
        <f>IF(ISNUMBER(SEARCH(B1930,$H$1919)),1,0)*IF(ISNUMBER(SEARCH("Masse moyenne d'emport",$H$1921)),1,0)</f>
        <v>0</v>
      </c>
      <c r="H1930">
        <v>2</v>
      </c>
      <c r="J1930" t="s">
        <v>148</v>
      </c>
      <c r="K1930" s="22" t="e">
        <f>#REF!</f>
        <v>#REF!</v>
      </c>
      <c r="M1930" t="s">
        <v>431</v>
      </c>
    </row>
    <row r="1931" spans="1:13" x14ac:dyDescent="0.25">
      <c r="A1931" t="s">
        <v>432</v>
      </c>
      <c r="B1931" t="s">
        <v>478</v>
      </c>
      <c r="C1931" t="s">
        <v>472</v>
      </c>
      <c r="D1931" t="s">
        <v>471</v>
      </c>
      <c r="E1931" t="str">
        <f>_xlfn.CONCAT("FretTCRecours",LEFT(B1931,4))</f>
        <v>FretTCRecoursTram</v>
      </c>
      <c r="F1931" t="s">
        <v>17</v>
      </c>
      <c r="G1931">
        <f>IF(OR(ISNUMBER(SEARCH("Nombre annuel de recours au service",$H$1921)),ISNUMBER(SEARCH("Nombre annuel de recours au service",$H$1920))),1,0)*IF(ISNUMBER(SEARCH(B1931,$H$1919)),1,0)</f>
        <v>0</v>
      </c>
      <c r="H1931">
        <v>15</v>
      </c>
      <c r="J1931" t="s">
        <v>470</v>
      </c>
      <c r="K1931" s="21" t="s">
        <v>187</v>
      </c>
      <c r="M1931" t="s">
        <v>431</v>
      </c>
    </row>
    <row r="1932" spans="1:13" x14ac:dyDescent="0.25">
      <c r="A1932" t="s">
        <v>432</v>
      </c>
      <c r="B1932" t="s">
        <v>473</v>
      </c>
      <c r="C1932" t="s">
        <v>477</v>
      </c>
      <c r="D1932" t="s">
        <v>471</v>
      </c>
      <c r="E1932" t="str">
        <f>_xlfn.CONCAT("FretTCDist",LEFT(B1932,5))</f>
        <v>FretTCDistMétro</v>
      </c>
      <c r="F1932" t="s">
        <v>17</v>
      </c>
      <c r="G1932">
        <f>IF(ISNUMBER(SEARCH("Distance parcourue annuellement",$H$1920)),1,0)*IF(ISNUMBER(SEARCH(B1932,$H$1919)),1,0)</f>
        <v>1</v>
      </c>
      <c r="H1932">
        <v>600</v>
      </c>
      <c r="J1932" t="s">
        <v>88</v>
      </c>
      <c r="K1932" s="21" t="s">
        <v>187</v>
      </c>
      <c r="M1932" t="s">
        <v>431</v>
      </c>
    </row>
    <row r="1933" spans="1:13" x14ac:dyDescent="0.25">
      <c r="A1933" t="s">
        <v>432</v>
      </c>
      <c r="B1933" t="s">
        <v>473</v>
      </c>
      <c r="C1933" t="s">
        <v>476</v>
      </c>
      <c r="D1933" t="s">
        <v>471</v>
      </c>
      <c r="E1933" t="str">
        <f>_xlfn.CONCAT("FretTCLignes",LEFT(B1933,5))</f>
        <v>FretTCLignesMétro</v>
      </c>
      <c r="F1933" t="s">
        <v>17</v>
      </c>
      <c r="G1933">
        <f>IF(ISNUMBER(SEARCH("km de lignes concernées",$H$1920)),1,0)*IF(ISNUMBER(SEARCH(B1933,$H$1919)),1,0)</f>
        <v>0</v>
      </c>
      <c r="H1933">
        <v>0</v>
      </c>
      <c r="J1933" t="s">
        <v>88</v>
      </c>
      <c r="K1933" s="21" t="s">
        <v>187</v>
      </c>
      <c r="M1933" t="s">
        <v>431</v>
      </c>
    </row>
    <row r="1934" spans="1:13" x14ac:dyDescent="0.25">
      <c r="A1934" t="s">
        <v>432</v>
      </c>
      <c r="B1934" t="s">
        <v>473</v>
      </c>
      <c r="C1934" t="s">
        <v>475</v>
      </c>
      <c r="D1934" t="s">
        <v>471</v>
      </c>
      <c r="E1934" t="str">
        <f>_xlfn.CONCAT("FretTCEmportTot",LEFT(B1934,5))</f>
        <v>FretTCEmportTotMétro</v>
      </c>
      <c r="F1934" t="s">
        <v>17</v>
      </c>
      <c r="G1934">
        <f>IF(ISNUMBER(SEARCH(B1934,$H$1919)),1,0)*IF(ISNUMBER(SEARCH("Masse totale transportée sur l'année",$H$1921)),1,0)</f>
        <v>1</v>
      </c>
      <c r="J1934" t="s">
        <v>148</v>
      </c>
      <c r="K1934" s="21" t="s">
        <v>187</v>
      </c>
      <c r="M1934" t="s">
        <v>431</v>
      </c>
    </row>
    <row r="1935" spans="1:13" x14ac:dyDescent="0.25">
      <c r="A1935" t="s">
        <v>432</v>
      </c>
      <c r="B1935" t="s">
        <v>473</v>
      </c>
      <c r="C1935" t="s">
        <v>474</v>
      </c>
      <c r="D1935" t="s">
        <v>471</v>
      </c>
      <c r="E1935" t="str">
        <f>_xlfn.CONCAT("FretTCEmport",LEFT(B1935,5))</f>
        <v>FretTCEmportMétro</v>
      </c>
      <c r="F1935" t="s">
        <v>17</v>
      </c>
      <c r="G1935">
        <f>IF(ISNUMBER(SEARCH(B1935,$H$1919)),1,0)*IF(ISNUMBER(SEARCH("Masse moyenne d'emport",$H$1921)),1,0)</f>
        <v>0</v>
      </c>
      <c r="H1935">
        <v>30</v>
      </c>
      <c r="J1935" t="s">
        <v>148</v>
      </c>
      <c r="K1935" s="22" t="e">
        <f>#REF!</f>
        <v>#REF!</v>
      </c>
      <c r="M1935" t="s">
        <v>431</v>
      </c>
    </row>
    <row r="1936" spans="1:13" x14ac:dyDescent="0.25">
      <c r="A1936" t="s">
        <v>432</v>
      </c>
      <c r="B1936" t="s">
        <v>473</v>
      </c>
      <c r="C1936" t="s">
        <v>472</v>
      </c>
      <c r="D1936" t="s">
        <v>471</v>
      </c>
      <c r="E1936" t="str">
        <f>_xlfn.CONCAT("FretTCRecours",LEFT(B1936,5))</f>
        <v>FretTCRecoursMétro</v>
      </c>
      <c r="F1936" t="s">
        <v>17</v>
      </c>
      <c r="G1936">
        <f>IF(OR(ISNUMBER(SEARCH("Nombre annuel de recours au service",$H$1921)),ISNUMBER(SEARCH("Nombre annuel de recours au service",$H$1920))),1,0)*IF(ISNUMBER(SEARCH(B1936,$H$1919)),1,0)</f>
        <v>0</v>
      </c>
      <c r="H1936">
        <v>3</v>
      </c>
      <c r="J1936" t="s">
        <v>470</v>
      </c>
      <c r="K1936" s="21" t="s">
        <v>187</v>
      </c>
      <c r="M1936" t="s">
        <v>431</v>
      </c>
    </row>
    <row r="1937" spans="1:13" x14ac:dyDescent="0.25">
      <c r="A1937" t="s">
        <v>300</v>
      </c>
      <c r="C1937" t="s">
        <v>301</v>
      </c>
      <c r="E1937" t="s">
        <v>302</v>
      </c>
      <c r="F1937" t="s">
        <v>17</v>
      </c>
      <c r="G1937">
        <f t="shared" ref="G1937:G1942" si="673">IF(OR(ISNUMBER(SEARCH("C7",$H$18)),ISNUMBER(SEARCH("C7",$H$17))),1,0)</f>
        <v>1</v>
      </c>
      <c r="H1937">
        <v>2000</v>
      </c>
      <c r="J1937" t="s">
        <v>226</v>
      </c>
      <c r="K1937">
        <v>10000</v>
      </c>
      <c r="M1937" t="s">
        <v>303</v>
      </c>
    </row>
    <row r="1938" spans="1:13" x14ac:dyDescent="0.25">
      <c r="A1938" t="s">
        <v>300</v>
      </c>
      <c r="C1938" t="s">
        <v>304</v>
      </c>
      <c r="E1938" t="s">
        <v>305</v>
      </c>
      <c r="F1938" t="s">
        <v>17</v>
      </c>
      <c r="G1938">
        <f t="shared" si="673"/>
        <v>1</v>
      </c>
      <c r="H1938">
        <v>2</v>
      </c>
      <c r="J1938" t="s">
        <v>306</v>
      </c>
      <c r="K1938" s="21" t="s">
        <v>187</v>
      </c>
      <c r="M1938" t="s">
        <v>303</v>
      </c>
    </row>
    <row r="1939" spans="1:13" x14ac:dyDescent="0.25">
      <c r="A1939" t="s">
        <v>300</v>
      </c>
      <c r="C1939" t="s">
        <v>307</v>
      </c>
      <c r="E1939" t="s">
        <v>308</v>
      </c>
      <c r="F1939" t="s">
        <v>17</v>
      </c>
      <c r="G1939">
        <f t="shared" si="673"/>
        <v>1</v>
      </c>
      <c r="H1939">
        <v>12</v>
      </c>
      <c r="J1939" t="s">
        <v>309</v>
      </c>
      <c r="K1939">
        <v>12</v>
      </c>
      <c r="M1939" t="s">
        <v>303</v>
      </c>
    </row>
    <row r="1940" spans="1:13" x14ac:dyDescent="0.25">
      <c r="A1940" t="s">
        <v>300</v>
      </c>
      <c r="C1940" t="s">
        <v>310</v>
      </c>
      <c r="E1940" t="s">
        <v>311</v>
      </c>
      <c r="F1940" t="s">
        <v>17</v>
      </c>
      <c r="G1940">
        <f t="shared" si="673"/>
        <v>1</v>
      </c>
      <c r="H1940">
        <v>70</v>
      </c>
      <c r="J1940" t="s">
        <v>226</v>
      </c>
      <c r="K1940">
        <v>70</v>
      </c>
      <c r="M1940" t="s">
        <v>303</v>
      </c>
    </row>
    <row r="1941" spans="1:13" x14ac:dyDescent="0.25">
      <c r="A1941" t="s">
        <v>300</v>
      </c>
      <c r="C1941" t="s">
        <v>312</v>
      </c>
      <c r="E1941" t="s">
        <v>313</v>
      </c>
      <c r="F1941" t="s">
        <v>17</v>
      </c>
      <c r="G1941">
        <f t="shared" si="673"/>
        <v>1</v>
      </c>
      <c r="H1941">
        <v>2</v>
      </c>
      <c r="J1941" t="s">
        <v>309</v>
      </c>
      <c r="K1941">
        <v>24</v>
      </c>
      <c r="M1941" t="s">
        <v>303</v>
      </c>
    </row>
    <row r="1942" spans="1:13" x14ac:dyDescent="0.25">
      <c r="A1942" t="s">
        <v>300</v>
      </c>
      <c r="C1942" t="s">
        <v>240</v>
      </c>
      <c r="E1942" t="s">
        <v>314</v>
      </c>
      <c r="F1942" t="s">
        <v>36</v>
      </c>
      <c r="G1942">
        <f t="shared" si="673"/>
        <v>1</v>
      </c>
      <c r="H1942" t="s">
        <v>315</v>
      </c>
      <c r="I1942" t="s">
        <v>316</v>
      </c>
      <c r="K1942" s="21" t="s">
        <v>187</v>
      </c>
      <c r="M1942" t="s">
        <v>303</v>
      </c>
    </row>
    <row r="1943" spans="1:13" x14ac:dyDescent="0.25">
      <c r="A1943" t="s">
        <v>300</v>
      </c>
      <c r="C1943" t="s">
        <v>317</v>
      </c>
      <c r="E1943" t="s">
        <v>318</v>
      </c>
      <c r="F1943" t="s">
        <v>17</v>
      </c>
      <c r="G1943">
        <f t="shared" ref="G1943:G1951" si="674">IF(ISNUMBER(SEARCH("Les consommations d'énergie des véhicules entrants et sortants du site",$H$1942)),1,0)</f>
        <v>0</v>
      </c>
      <c r="H1943">
        <v>250</v>
      </c>
      <c r="I1943" t="s">
        <v>319</v>
      </c>
      <c r="K1943">
        <v>500</v>
      </c>
      <c r="M1943" t="s">
        <v>303</v>
      </c>
    </row>
    <row r="1944" spans="1:13" x14ac:dyDescent="0.25">
      <c r="A1944" t="s">
        <v>300</v>
      </c>
      <c r="C1944" t="s">
        <v>320</v>
      </c>
      <c r="E1944" t="s">
        <v>321</v>
      </c>
      <c r="F1944" t="s">
        <v>17</v>
      </c>
      <c r="G1944">
        <f t="shared" si="674"/>
        <v>0</v>
      </c>
      <c r="H1944">
        <v>250</v>
      </c>
      <c r="I1944" t="s">
        <v>319</v>
      </c>
      <c r="K1944">
        <v>500</v>
      </c>
      <c r="M1944" t="s">
        <v>303</v>
      </c>
    </row>
    <row r="1945" spans="1:13" x14ac:dyDescent="0.25">
      <c r="A1945" t="s">
        <v>300</v>
      </c>
      <c r="C1945" t="s">
        <v>322</v>
      </c>
      <c r="E1945" t="s">
        <v>323</v>
      </c>
      <c r="F1945" t="s">
        <v>17</v>
      </c>
      <c r="G1945">
        <f t="shared" si="674"/>
        <v>0</v>
      </c>
      <c r="I1945" t="s">
        <v>319</v>
      </c>
      <c r="K1945">
        <v>500</v>
      </c>
      <c r="M1945" t="s">
        <v>303</v>
      </c>
    </row>
    <row r="1946" spans="1:13" x14ac:dyDescent="0.25">
      <c r="A1946" t="s">
        <v>300</v>
      </c>
      <c r="C1946" t="s">
        <v>324</v>
      </c>
      <c r="E1946" t="s">
        <v>325</v>
      </c>
      <c r="F1946" t="s">
        <v>17</v>
      </c>
      <c r="G1946">
        <f t="shared" si="674"/>
        <v>0</v>
      </c>
      <c r="I1946" t="s">
        <v>319</v>
      </c>
      <c r="K1946">
        <v>500</v>
      </c>
      <c r="M1946" t="s">
        <v>303</v>
      </c>
    </row>
    <row r="1947" spans="1:13" x14ac:dyDescent="0.25">
      <c r="A1947" t="s">
        <v>300</v>
      </c>
      <c r="C1947" t="s">
        <v>326</v>
      </c>
      <c r="E1947" t="s">
        <v>327</v>
      </c>
      <c r="F1947" t="s">
        <v>17</v>
      </c>
      <c r="G1947">
        <f t="shared" si="674"/>
        <v>0</v>
      </c>
      <c r="I1947" t="s">
        <v>319</v>
      </c>
      <c r="K1947">
        <v>500</v>
      </c>
      <c r="M1947" t="s">
        <v>303</v>
      </c>
    </row>
    <row r="1948" spans="1:13" x14ac:dyDescent="0.25">
      <c r="A1948" t="s">
        <v>300</v>
      </c>
      <c r="C1948" t="s">
        <v>328</v>
      </c>
      <c r="E1948" t="s">
        <v>329</v>
      </c>
      <c r="F1948" t="s">
        <v>17</v>
      </c>
      <c r="G1948">
        <f t="shared" si="674"/>
        <v>0</v>
      </c>
      <c r="I1948" t="s">
        <v>330</v>
      </c>
      <c r="K1948">
        <v>5000</v>
      </c>
      <c r="M1948" t="s">
        <v>303</v>
      </c>
    </row>
    <row r="1949" spans="1:13" x14ac:dyDescent="0.25">
      <c r="A1949" t="s">
        <v>300</v>
      </c>
      <c r="C1949" t="s">
        <v>331</v>
      </c>
      <c r="E1949" t="s">
        <v>332</v>
      </c>
      <c r="F1949" t="s">
        <v>17</v>
      </c>
      <c r="G1949">
        <f t="shared" si="674"/>
        <v>0</v>
      </c>
      <c r="I1949" t="s">
        <v>319</v>
      </c>
      <c r="K1949">
        <v>500</v>
      </c>
      <c r="M1949" t="s">
        <v>303</v>
      </c>
    </row>
    <row r="1950" spans="1:13" x14ac:dyDescent="0.25">
      <c r="A1950" t="s">
        <v>300</v>
      </c>
      <c r="C1950" t="s">
        <v>333</v>
      </c>
      <c r="E1950" t="s">
        <v>334</v>
      </c>
      <c r="F1950" t="s">
        <v>17</v>
      </c>
      <c r="G1950">
        <f t="shared" si="674"/>
        <v>0</v>
      </c>
      <c r="H1950">
        <v>600</v>
      </c>
      <c r="I1950" t="s">
        <v>330</v>
      </c>
      <c r="K1950">
        <v>5000</v>
      </c>
      <c r="M1950" t="s">
        <v>303</v>
      </c>
    </row>
    <row r="1951" spans="1:13" x14ac:dyDescent="0.25">
      <c r="A1951" t="s">
        <v>300</v>
      </c>
      <c r="C1951" t="s">
        <v>335</v>
      </c>
      <c r="E1951" t="s">
        <v>336</v>
      </c>
      <c r="F1951" t="s">
        <v>17</v>
      </c>
      <c r="G1951">
        <f t="shared" si="674"/>
        <v>0</v>
      </c>
      <c r="I1951" t="s">
        <v>330</v>
      </c>
      <c r="K1951">
        <v>5000</v>
      </c>
      <c r="M1951" t="s">
        <v>303</v>
      </c>
    </row>
    <row r="1952" spans="1:13" x14ac:dyDescent="0.25">
      <c r="A1952" t="s">
        <v>300</v>
      </c>
      <c r="B1952" t="s">
        <v>337</v>
      </c>
      <c r="C1952" t="s">
        <v>338</v>
      </c>
      <c r="E1952" t="s">
        <v>339</v>
      </c>
      <c r="F1952" t="s">
        <v>20</v>
      </c>
      <c r="G1952">
        <f>IF(OR(ISNUMBER(SEARCH("C7",$H$18)),ISNUMBER(SEARCH("C7",$H$17))),1,0)</f>
        <v>1</v>
      </c>
      <c r="I1952" t="s">
        <v>55</v>
      </c>
      <c r="K1952" t="s">
        <v>54</v>
      </c>
      <c r="M1952" t="s">
        <v>303</v>
      </c>
    </row>
    <row r="1953" spans="1:13" x14ac:dyDescent="0.25">
      <c r="A1953" t="s">
        <v>300</v>
      </c>
      <c r="B1953" t="s">
        <v>337</v>
      </c>
      <c r="C1953" t="s">
        <v>289</v>
      </c>
      <c r="E1953" t="s">
        <v>340</v>
      </c>
      <c r="F1953" t="s">
        <v>36</v>
      </c>
      <c r="G1953">
        <f>((IF(ISNUMBER(SEARCH("C4",$H$18)),1,0))*(IF($H$1742="Les consommations d'énergie des véhicules entrants et sortants du site (factures énergétiques des prestataires de transport)",1,0)))*(IF($H$1742="Les catégories de véhicules mobilisées avec les données d'activité (ordre de grandeur de la distance parcourue/taux de chargement moyen/etc.)",1,0))</f>
        <v>0</v>
      </c>
      <c r="H1953" t="s">
        <v>291</v>
      </c>
      <c r="I1953" s="2" t="s">
        <v>243</v>
      </c>
      <c r="M1953" t="s">
        <v>303</v>
      </c>
    </row>
    <row r="1954" spans="1:13" x14ac:dyDescent="0.25">
      <c r="A1954" t="s">
        <v>300</v>
      </c>
      <c r="B1954" t="s">
        <v>341</v>
      </c>
      <c r="C1954" t="s">
        <v>342</v>
      </c>
      <c r="E1954" t="s">
        <v>343</v>
      </c>
      <c r="F1954" t="s">
        <v>20</v>
      </c>
      <c r="G1954">
        <f>IF(ISBLANK($H$1952),0,1)</f>
        <v>0</v>
      </c>
      <c r="H1954" t="s">
        <v>430</v>
      </c>
      <c r="I1954" t="s">
        <v>383</v>
      </c>
      <c r="M1954" t="s">
        <v>303</v>
      </c>
    </row>
    <row r="1955" spans="1:13" x14ac:dyDescent="0.25">
      <c r="A1955" t="s">
        <v>300</v>
      </c>
      <c r="B1955" t="s">
        <v>341</v>
      </c>
      <c r="C1955" t="s">
        <v>344</v>
      </c>
      <c r="E1955" t="s">
        <v>345</v>
      </c>
      <c r="F1955" t="s">
        <v>17</v>
      </c>
      <c r="G1955">
        <f>IF(ISBLANK($H$1952),0,1)</f>
        <v>0</v>
      </c>
      <c r="H1955">
        <v>25</v>
      </c>
      <c r="J1955" t="s">
        <v>88</v>
      </c>
      <c r="K1955">
        <v>30</v>
      </c>
      <c r="M1955" t="s">
        <v>303</v>
      </c>
    </row>
    <row r="1956" spans="1:13" x14ac:dyDescent="0.25">
      <c r="A1956" t="s">
        <v>300</v>
      </c>
      <c r="B1956" t="s">
        <v>341</v>
      </c>
      <c r="C1956" t="s">
        <v>346</v>
      </c>
      <c r="E1956" t="s">
        <v>347</v>
      </c>
      <c r="F1956" t="s">
        <v>17</v>
      </c>
      <c r="G1956">
        <f>IF(ISBLANK($H$1952),0,1)</f>
        <v>0</v>
      </c>
      <c r="H1956" s="3"/>
      <c r="J1956" t="s">
        <v>70</v>
      </c>
      <c r="K1956" s="7">
        <v>0.33</v>
      </c>
      <c r="M1956" t="s">
        <v>303</v>
      </c>
    </row>
    <row r="1957" spans="1:13" x14ac:dyDescent="0.25">
      <c r="A1957" t="s">
        <v>300</v>
      </c>
      <c r="B1957" t="s">
        <v>341</v>
      </c>
      <c r="C1957" t="s">
        <v>348</v>
      </c>
      <c r="E1957" t="s">
        <v>349</v>
      </c>
      <c r="F1957" t="s">
        <v>17</v>
      </c>
      <c r="G1957">
        <f>IF(ISBLANK($H$1952),0,1)*IF(ISNUMBER(SEARCH("La distance totale parcourue",#REF!)),1,0)</f>
        <v>0</v>
      </c>
      <c r="J1957" t="s">
        <v>88</v>
      </c>
      <c r="K1957">
        <v>30</v>
      </c>
      <c r="M1957" t="s">
        <v>303</v>
      </c>
    </row>
    <row r="1958" spans="1:13" x14ac:dyDescent="0.25">
      <c r="A1958" t="s">
        <v>300</v>
      </c>
      <c r="B1958" t="s">
        <v>341</v>
      </c>
      <c r="C1958" t="s">
        <v>248</v>
      </c>
      <c r="E1958" t="s">
        <v>350</v>
      </c>
      <c r="F1958" t="s">
        <v>17</v>
      </c>
      <c r="G1958">
        <f>IF(ISBLANK($H$1952),0,1)*IF(ISNUMBER(SEARCH("La distance moyenne d'un trajet et le nombre de trajets",#REF!)),1,0)</f>
        <v>0</v>
      </c>
      <c r="J1958" t="s">
        <v>145</v>
      </c>
      <c r="K1958">
        <v>15</v>
      </c>
      <c r="M1958" t="s">
        <v>303</v>
      </c>
    </row>
    <row r="1959" spans="1:13" outlineLevel="1" x14ac:dyDescent="0.25">
      <c r="A1959" t="s">
        <v>300</v>
      </c>
      <c r="B1959" t="s">
        <v>382</v>
      </c>
      <c r="C1959" t="str">
        <f>_xlfn.CONCAT("Taux de chargement moyen des véhicules pour l'accès direct au(x) projet(s)"," (",'Remplissage - Sit. Expost'!$B$23,")")</f>
        <v>Taux de chargement moyen des véhicules pour l'accès direct au(x) projet(s) (Catégorie 1)</v>
      </c>
      <c r="E1959" t="str">
        <f>_xlfn.CONCAT("ProjImmoAccDirTC",RIGHT(LEFT(C1959,LEN(C1959)-1),1))</f>
        <v>ProjImmoAccDirTC1</v>
      </c>
      <c r="F1959" t="s">
        <v>17</v>
      </c>
      <c r="G1959">
        <f>IF(ISNUMBER(SEARCH($B1959,$H$1954)),1,0)</f>
        <v>1</v>
      </c>
      <c r="H1959" s="3">
        <v>0.3</v>
      </c>
      <c r="J1959" t="s">
        <v>70</v>
      </c>
      <c r="K1959" s="7">
        <v>0.33</v>
      </c>
      <c r="M1959" t="s">
        <v>303</v>
      </c>
    </row>
    <row r="1960" spans="1:13" outlineLevel="1" x14ac:dyDescent="0.25">
      <c r="A1960" t="s">
        <v>300</v>
      </c>
      <c r="B1960" t="s">
        <v>382</v>
      </c>
      <c r="C1960" t="str">
        <f>_xlfn.CONCAT("Distance parcourue associée"," (",'Remplissage - Sit. Expost'!$B$23,")")</f>
        <v>Distance parcourue associée (Catégorie 1)</v>
      </c>
      <c r="E1960" t="str">
        <f>_xlfn.CONCAT("ProjImmoAccDirDist",RIGHT(LEFT(C1960,LEN(C1960)-1),1))</f>
        <v>ProjImmoAccDirDist1</v>
      </c>
      <c r="F1960" t="s">
        <v>17</v>
      </c>
      <c r="G1960">
        <f t="shared" ref="G1960:G2023" si="675">IF(ISNUMBER(SEARCH($B1960,$H$1954)),1,0)</f>
        <v>1</v>
      </c>
      <c r="H1960">
        <v>20</v>
      </c>
      <c r="J1960" t="s">
        <v>88</v>
      </c>
      <c r="K1960">
        <v>30</v>
      </c>
      <c r="M1960" t="s">
        <v>303</v>
      </c>
    </row>
    <row r="1961" spans="1:13" outlineLevel="1" x14ac:dyDescent="0.25">
      <c r="A1961" t="s">
        <v>300</v>
      </c>
      <c r="B1961" t="s">
        <v>382</v>
      </c>
      <c r="C1961" t="str">
        <f>_xlfn.CONCAT("Nombre de trajets associés"," (",'Remplissage - Sit. Expost'!$B$23,")")</f>
        <v>Nombre de trajets associés (Catégorie 1)</v>
      </c>
      <c r="E1961" t="str">
        <f>_xlfn.CONCAT("ProjImmoAccDirNbTraj",RIGHT(LEFT(C1961,LEN(C1961)-1),1))</f>
        <v>ProjImmoAccDirNbTraj1</v>
      </c>
      <c r="F1961" t="s">
        <v>17</v>
      </c>
      <c r="G1961">
        <f t="shared" si="675"/>
        <v>1</v>
      </c>
      <c r="H1961">
        <v>5</v>
      </c>
      <c r="J1961" t="s">
        <v>145</v>
      </c>
      <c r="K1961">
        <v>15</v>
      </c>
      <c r="M1961" t="s">
        <v>303</v>
      </c>
    </row>
    <row r="1962" spans="1:13" outlineLevel="1" x14ac:dyDescent="0.25">
      <c r="A1962" t="s">
        <v>300</v>
      </c>
      <c r="B1962" t="s">
        <v>386</v>
      </c>
      <c r="C1962" t="str">
        <f>_xlfn.CONCAT("Taux de chargement moyen des véhicules pour l'accès direct au(x) projet(s)"," (",'Remplissage - Sit. Expost'!$B$33,")")</f>
        <v>Taux de chargement moyen des véhicules pour l'accès direct au(x) projet(s) (Catégorie 2)</v>
      </c>
      <c r="E1962" t="str">
        <f>_xlfn.CONCAT("ProjImmoAccDirTC",RIGHT(LEFT(C1962,LEN(C1962)-1),1))</f>
        <v>ProjImmoAccDirTC2</v>
      </c>
      <c r="F1962" t="s">
        <v>17</v>
      </c>
      <c r="G1962">
        <f t="shared" si="675"/>
        <v>0</v>
      </c>
      <c r="H1962" s="3">
        <v>0.3</v>
      </c>
      <c r="J1962" t="s">
        <v>70</v>
      </c>
      <c r="K1962" s="7">
        <v>0.33</v>
      </c>
      <c r="M1962" t="s">
        <v>303</v>
      </c>
    </row>
    <row r="1963" spans="1:13" outlineLevel="1" x14ac:dyDescent="0.25">
      <c r="A1963" t="s">
        <v>300</v>
      </c>
      <c r="B1963" t="s">
        <v>386</v>
      </c>
      <c r="C1963" t="str">
        <f>_xlfn.CONCAT("Distance parcourue associée"," (",'Remplissage - Sit. Expost'!$B$33,")")</f>
        <v>Distance parcourue associée (Catégorie 2)</v>
      </c>
      <c r="E1963" t="str">
        <f>_xlfn.CONCAT("ProjImmoAccDirDist",RIGHT(LEFT(C1963,LEN(C1963)-1),1))</f>
        <v>ProjImmoAccDirDist2</v>
      </c>
      <c r="F1963" t="s">
        <v>17</v>
      </c>
      <c r="G1963">
        <f t="shared" si="675"/>
        <v>0</v>
      </c>
      <c r="H1963">
        <v>20</v>
      </c>
      <c r="J1963" t="s">
        <v>88</v>
      </c>
      <c r="K1963">
        <v>30</v>
      </c>
      <c r="M1963" t="s">
        <v>303</v>
      </c>
    </row>
    <row r="1964" spans="1:13" outlineLevel="1" x14ac:dyDescent="0.25">
      <c r="A1964" t="s">
        <v>300</v>
      </c>
      <c r="B1964" t="s">
        <v>386</v>
      </c>
      <c r="C1964" t="str">
        <f>_xlfn.CONCAT("Nombre de trajets associés"," (",'Remplissage - Sit. Expost'!$B$33,")")</f>
        <v>Nombre de trajets associés (Catégorie 2)</v>
      </c>
      <c r="E1964" t="str">
        <f>_xlfn.CONCAT("ProjImmoAccDirNbTraj",RIGHT(LEFT(C1964,LEN(C1964)-1),1))</f>
        <v>ProjImmoAccDirNbTraj2</v>
      </c>
      <c r="F1964" t="s">
        <v>17</v>
      </c>
      <c r="G1964">
        <f t="shared" si="675"/>
        <v>0</v>
      </c>
      <c r="H1964">
        <v>5</v>
      </c>
      <c r="J1964" t="s">
        <v>145</v>
      </c>
      <c r="K1964">
        <v>15</v>
      </c>
      <c r="M1964" t="s">
        <v>303</v>
      </c>
    </row>
    <row r="1965" spans="1:13" outlineLevel="1" x14ac:dyDescent="0.25">
      <c r="A1965" t="s">
        <v>300</v>
      </c>
      <c r="B1965" t="s">
        <v>388</v>
      </c>
      <c r="C1965" t="str">
        <f>_xlfn.CONCAT("Taux de chargement moyen des véhicules pour l'accès direct au(x) projet(s)"," (",'Remplissage - Sit. Expost'!$B$43,")")</f>
        <v>Taux de chargement moyen des véhicules pour l'accès direct au(x) projet(s) (Catégorie 3)</v>
      </c>
      <c r="E1965" t="str">
        <f>_xlfn.CONCAT("ProjImmoAccDirTC",RIGHT(LEFT(C1965,LEN(C1965)-1),1))</f>
        <v>ProjImmoAccDirTC3</v>
      </c>
      <c r="F1965" t="s">
        <v>17</v>
      </c>
      <c r="G1965">
        <f t="shared" si="675"/>
        <v>1</v>
      </c>
      <c r="H1965" s="3">
        <v>0.3</v>
      </c>
      <c r="J1965" t="s">
        <v>70</v>
      </c>
      <c r="K1965" s="7">
        <v>0.33</v>
      </c>
      <c r="M1965" t="s">
        <v>303</v>
      </c>
    </row>
    <row r="1966" spans="1:13" outlineLevel="1" x14ac:dyDescent="0.25">
      <c r="A1966" t="s">
        <v>300</v>
      </c>
      <c r="B1966" t="s">
        <v>388</v>
      </c>
      <c r="C1966" t="str">
        <f>_xlfn.CONCAT("Distance parcourue associée"," (",'Remplissage - Sit. Expost'!$B$43,")")</f>
        <v>Distance parcourue associée (Catégorie 3)</v>
      </c>
      <c r="E1966" t="str">
        <f>_xlfn.CONCAT("ProjImmoAccDirDist",RIGHT(LEFT(C1966,LEN(C1966)-1),1))</f>
        <v>ProjImmoAccDirDist3</v>
      </c>
      <c r="F1966" t="s">
        <v>17</v>
      </c>
      <c r="G1966">
        <f t="shared" si="675"/>
        <v>1</v>
      </c>
      <c r="H1966">
        <v>20</v>
      </c>
      <c r="J1966" t="s">
        <v>88</v>
      </c>
      <c r="K1966">
        <v>30</v>
      </c>
      <c r="M1966" t="s">
        <v>303</v>
      </c>
    </row>
    <row r="1967" spans="1:13" outlineLevel="1" x14ac:dyDescent="0.25">
      <c r="A1967" t="s">
        <v>300</v>
      </c>
      <c r="B1967" t="s">
        <v>388</v>
      </c>
      <c r="C1967" t="str">
        <f>_xlfn.CONCAT("Nombre de trajets associés"," (",'Remplissage - Sit. Expost'!$B$43,")")</f>
        <v>Nombre de trajets associés (Catégorie 3)</v>
      </c>
      <c r="E1967" t="str">
        <f>_xlfn.CONCAT("ProjImmoAccDirNbTraj",RIGHT(LEFT(C1967,LEN(C1967)-1),1))</f>
        <v>ProjImmoAccDirNbTraj3</v>
      </c>
      <c r="F1967" t="s">
        <v>17</v>
      </c>
      <c r="G1967">
        <f t="shared" si="675"/>
        <v>1</v>
      </c>
      <c r="H1967">
        <v>5</v>
      </c>
      <c r="J1967" t="s">
        <v>145</v>
      </c>
      <c r="K1967">
        <v>15</v>
      </c>
      <c r="M1967" t="s">
        <v>303</v>
      </c>
    </row>
    <row r="1968" spans="1:13" outlineLevel="1" x14ac:dyDescent="0.25">
      <c r="A1968" t="s">
        <v>300</v>
      </c>
      <c r="B1968" t="s">
        <v>389</v>
      </c>
      <c r="C1968" t="str">
        <f>_xlfn.CONCAT("Taux de chargement moyen des véhicules pour l'accès direct au(x) projet(s)"," (",'Remplissage - Sit. Expost'!$B$53,")")</f>
        <v>Taux de chargement moyen des véhicules pour l'accès direct au(x) projet(s) (Catégorie 4)</v>
      </c>
      <c r="E1968" t="str">
        <f>_xlfn.CONCAT("ProjImmoAccDirTC",RIGHT(LEFT(C1968,LEN(C1968)-1),1))</f>
        <v>ProjImmoAccDirTC4</v>
      </c>
      <c r="F1968" t="s">
        <v>17</v>
      </c>
      <c r="G1968">
        <f t="shared" si="675"/>
        <v>0</v>
      </c>
      <c r="H1968" s="3"/>
      <c r="J1968" t="s">
        <v>70</v>
      </c>
      <c r="K1968" s="7">
        <v>0.33</v>
      </c>
      <c r="M1968" t="s">
        <v>303</v>
      </c>
    </row>
    <row r="1969" spans="1:13" outlineLevel="1" x14ac:dyDescent="0.25">
      <c r="A1969" t="s">
        <v>300</v>
      </c>
      <c r="B1969" t="s">
        <v>389</v>
      </c>
      <c r="C1969" t="str">
        <f>_xlfn.CONCAT("Distance parcourue associée"," (",'Remplissage - Sit. Expost'!$B$53,")")</f>
        <v>Distance parcourue associée (Catégorie 4)</v>
      </c>
      <c r="E1969" t="str">
        <f>_xlfn.CONCAT("ProjImmoAccDirDist",RIGHT(LEFT(C1969,LEN(C1969)-1),1))</f>
        <v>ProjImmoAccDirDist4</v>
      </c>
      <c r="F1969" t="s">
        <v>17</v>
      </c>
      <c r="G1969">
        <f t="shared" si="675"/>
        <v>0</v>
      </c>
      <c r="J1969" t="s">
        <v>88</v>
      </c>
      <c r="K1969">
        <v>30</v>
      </c>
      <c r="M1969" t="s">
        <v>303</v>
      </c>
    </row>
    <row r="1970" spans="1:13" outlineLevel="1" x14ac:dyDescent="0.25">
      <c r="A1970" t="s">
        <v>300</v>
      </c>
      <c r="B1970" t="s">
        <v>389</v>
      </c>
      <c r="C1970" t="str">
        <f>_xlfn.CONCAT("Nombre de trajets associés"," (",'Remplissage - Sit. Expost'!$B$53,")")</f>
        <v>Nombre de trajets associés (Catégorie 4)</v>
      </c>
      <c r="E1970" t="str">
        <f>_xlfn.CONCAT("ProjImmoAccDirNbTraj",RIGHT(LEFT(C1970,LEN(C1970)-1),1))</f>
        <v>ProjImmoAccDirNbTraj4</v>
      </c>
      <c r="F1970" t="s">
        <v>17</v>
      </c>
      <c r="G1970">
        <f t="shared" si="675"/>
        <v>0</v>
      </c>
      <c r="J1970" t="s">
        <v>145</v>
      </c>
      <c r="K1970">
        <v>15</v>
      </c>
      <c r="M1970" t="s">
        <v>303</v>
      </c>
    </row>
    <row r="1971" spans="1:13" outlineLevel="1" x14ac:dyDescent="0.25">
      <c r="A1971" t="s">
        <v>300</v>
      </c>
      <c r="B1971" t="s">
        <v>390</v>
      </c>
      <c r="C1971" t="str">
        <f>_xlfn.CONCAT("Taux de chargement moyen des véhicules pour l'accès direct au(x) projet(s)"," (",'Remplissage - Sit. Expost'!$B$63,")")</f>
        <v>Taux de chargement moyen des véhicules pour l'accès direct au(x) projet(s) (Catégorie 5)</v>
      </c>
      <c r="E1971" t="str">
        <f>_xlfn.CONCAT("ProjImmoAccDirTC",RIGHT(LEFT(C1971,LEN(C1971)-1),1))</f>
        <v>ProjImmoAccDirTC5</v>
      </c>
      <c r="F1971" t="s">
        <v>17</v>
      </c>
      <c r="G1971">
        <f t="shared" si="675"/>
        <v>0</v>
      </c>
      <c r="H1971" s="3"/>
      <c r="J1971" t="s">
        <v>70</v>
      </c>
      <c r="K1971" s="7">
        <v>0.33</v>
      </c>
      <c r="M1971" t="s">
        <v>303</v>
      </c>
    </row>
    <row r="1972" spans="1:13" outlineLevel="1" x14ac:dyDescent="0.25">
      <c r="A1972" t="s">
        <v>300</v>
      </c>
      <c r="B1972" t="s">
        <v>390</v>
      </c>
      <c r="C1972" t="str">
        <f>_xlfn.CONCAT("Distance parcourue associée"," (",'Remplissage - Sit. Expost'!$B$63,")")</f>
        <v>Distance parcourue associée (Catégorie 5)</v>
      </c>
      <c r="E1972" t="str">
        <f>_xlfn.CONCAT("ProjImmoAccDirDist",RIGHT(LEFT(C1972,LEN(C1972)-1),1))</f>
        <v>ProjImmoAccDirDist5</v>
      </c>
      <c r="F1972" t="s">
        <v>17</v>
      </c>
      <c r="G1972">
        <f t="shared" si="675"/>
        <v>0</v>
      </c>
      <c r="J1972" t="s">
        <v>88</v>
      </c>
      <c r="K1972">
        <v>30</v>
      </c>
      <c r="M1972" t="s">
        <v>303</v>
      </c>
    </row>
    <row r="1973" spans="1:13" outlineLevel="1" x14ac:dyDescent="0.25">
      <c r="A1973" t="s">
        <v>300</v>
      </c>
      <c r="B1973" t="s">
        <v>390</v>
      </c>
      <c r="C1973" t="str">
        <f>_xlfn.CONCAT("Nombre de trajets associés"," (",'Remplissage - Sit. Expost'!$B$63,")")</f>
        <v>Nombre de trajets associés (Catégorie 5)</v>
      </c>
      <c r="E1973" t="str">
        <f>_xlfn.CONCAT("ProjImmoAccDirNbTraj",RIGHT(LEFT(C1973,LEN(C1973)-1),1))</f>
        <v>ProjImmoAccDirNbTraj5</v>
      </c>
      <c r="F1973" t="s">
        <v>17</v>
      </c>
      <c r="G1973">
        <f t="shared" si="675"/>
        <v>0</v>
      </c>
      <c r="J1973" t="s">
        <v>145</v>
      </c>
      <c r="K1973">
        <v>15</v>
      </c>
      <c r="M1973" t="s">
        <v>303</v>
      </c>
    </row>
    <row r="1974" spans="1:13" outlineLevel="1" x14ac:dyDescent="0.25">
      <c r="A1974" t="s">
        <v>300</v>
      </c>
      <c r="B1974" t="s">
        <v>391</v>
      </c>
      <c r="C1974" t="str">
        <f>_xlfn.CONCAT("Taux de chargement moyen des véhicules pour l'accès direct au(x) projet(s)"," (",'Remplissage - Sit. Expost'!$B$73,")")</f>
        <v>Taux de chargement moyen des véhicules pour l'accès direct au(x) projet(s) (Catégorie 6)</v>
      </c>
      <c r="E1974" t="str">
        <f>_xlfn.CONCAT("ProjImmoAccDirTC",RIGHT(LEFT(C1974,LEN(C1974)-1),1))</f>
        <v>ProjImmoAccDirTC6</v>
      </c>
      <c r="F1974" t="s">
        <v>17</v>
      </c>
      <c r="G1974">
        <f t="shared" si="675"/>
        <v>0</v>
      </c>
      <c r="H1974" s="3"/>
      <c r="J1974" t="s">
        <v>70</v>
      </c>
      <c r="K1974" s="7">
        <v>0.33</v>
      </c>
      <c r="M1974" t="s">
        <v>303</v>
      </c>
    </row>
    <row r="1975" spans="1:13" outlineLevel="1" x14ac:dyDescent="0.25">
      <c r="A1975" t="s">
        <v>300</v>
      </c>
      <c r="B1975" t="s">
        <v>391</v>
      </c>
      <c r="C1975" t="str">
        <f>_xlfn.CONCAT("Distance parcourue associée"," (",'Remplissage - Sit. Expost'!$B$73,")")</f>
        <v>Distance parcourue associée (Catégorie 6)</v>
      </c>
      <c r="E1975" t="str">
        <f>_xlfn.CONCAT("ProjImmoAccDirDist",RIGHT(LEFT(C1975,LEN(C1975)-1),1))</f>
        <v>ProjImmoAccDirDist6</v>
      </c>
      <c r="F1975" t="s">
        <v>17</v>
      </c>
      <c r="G1975">
        <f t="shared" si="675"/>
        <v>0</v>
      </c>
      <c r="J1975" t="s">
        <v>88</v>
      </c>
      <c r="K1975">
        <v>30</v>
      </c>
      <c r="M1975" t="s">
        <v>303</v>
      </c>
    </row>
    <row r="1976" spans="1:13" outlineLevel="1" x14ac:dyDescent="0.25">
      <c r="A1976" t="s">
        <v>300</v>
      </c>
      <c r="B1976" t="s">
        <v>391</v>
      </c>
      <c r="C1976" t="str">
        <f>_xlfn.CONCAT("Nombre de trajets associés"," (",'Remplissage - Sit. Expost'!$B$73,")")</f>
        <v>Nombre de trajets associés (Catégorie 6)</v>
      </c>
      <c r="E1976" t="str">
        <f>_xlfn.CONCAT("ProjImmoAccDirNbTraj",RIGHT(LEFT(C1976,LEN(C1976)-1),1))</f>
        <v>ProjImmoAccDirNbTraj6</v>
      </c>
      <c r="F1976" t="s">
        <v>17</v>
      </c>
      <c r="G1976">
        <f t="shared" si="675"/>
        <v>0</v>
      </c>
      <c r="J1976" t="s">
        <v>145</v>
      </c>
      <c r="K1976">
        <v>15</v>
      </c>
      <c r="M1976" t="s">
        <v>303</v>
      </c>
    </row>
    <row r="1977" spans="1:13" outlineLevel="1" x14ac:dyDescent="0.25">
      <c r="A1977" t="s">
        <v>300</v>
      </c>
      <c r="B1977" t="s">
        <v>392</v>
      </c>
      <c r="C1977" t="str">
        <f>_xlfn.CONCAT("Taux de chargement moyen des véhicules pour l'accès direct au(x) projet(s)"," (",'Remplissage - Sit. Expost'!$B$83,")")</f>
        <v>Taux de chargement moyen des véhicules pour l'accès direct au(x) projet(s) (Catégorie 7)</v>
      </c>
      <c r="E1977" t="str">
        <f>_xlfn.CONCAT("ProjImmoAccDirTC",RIGHT(LEFT(C1977,LEN(C1977)-1),1))</f>
        <v>ProjImmoAccDirTC7</v>
      </c>
      <c r="F1977" t="s">
        <v>17</v>
      </c>
      <c r="G1977">
        <f t="shared" si="675"/>
        <v>0</v>
      </c>
      <c r="H1977" s="3"/>
      <c r="J1977" t="s">
        <v>70</v>
      </c>
      <c r="K1977" s="7">
        <v>0.33</v>
      </c>
      <c r="M1977" t="s">
        <v>303</v>
      </c>
    </row>
    <row r="1978" spans="1:13" outlineLevel="1" x14ac:dyDescent="0.25">
      <c r="A1978" t="s">
        <v>300</v>
      </c>
      <c r="B1978" t="s">
        <v>392</v>
      </c>
      <c r="C1978" t="str">
        <f>_xlfn.CONCAT("Distance parcourue associée"," (",'Remplissage - Sit. Expost'!$B$83,")")</f>
        <v>Distance parcourue associée (Catégorie 7)</v>
      </c>
      <c r="E1978" t="str">
        <f>_xlfn.CONCAT("ProjImmoAccDirDist",RIGHT(LEFT(C1978,LEN(C1978)-1),1))</f>
        <v>ProjImmoAccDirDist7</v>
      </c>
      <c r="F1978" t="s">
        <v>17</v>
      </c>
      <c r="G1978">
        <f t="shared" si="675"/>
        <v>0</v>
      </c>
      <c r="J1978" t="s">
        <v>88</v>
      </c>
      <c r="K1978">
        <v>30</v>
      </c>
      <c r="M1978" t="s">
        <v>303</v>
      </c>
    </row>
    <row r="1979" spans="1:13" outlineLevel="1" x14ac:dyDescent="0.25">
      <c r="A1979" t="s">
        <v>300</v>
      </c>
      <c r="B1979" t="s">
        <v>392</v>
      </c>
      <c r="C1979" t="str">
        <f>_xlfn.CONCAT("Nombre de trajets associés"," (",'Remplissage - Sit. Expost'!$B$83,")")</f>
        <v>Nombre de trajets associés (Catégorie 7)</v>
      </c>
      <c r="E1979" t="str">
        <f>_xlfn.CONCAT("ProjImmoAccDirNbTraj",RIGHT(LEFT(C1979,LEN(C1979)-1),1))</f>
        <v>ProjImmoAccDirNbTraj7</v>
      </c>
      <c r="F1979" t="s">
        <v>17</v>
      </c>
      <c r="G1979">
        <f t="shared" si="675"/>
        <v>0</v>
      </c>
      <c r="J1979" t="s">
        <v>145</v>
      </c>
      <c r="K1979">
        <v>15</v>
      </c>
      <c r="M1979" t="s">
        <v>303</v>
      </c>
    </row>
    <row r="1980" spans="1:13" outlineLevel="1" x14ac:dyDescent="0.25">
      <c r="A1980" t="s">
        <v>300</v>
      </c>
      <c r="B1980" t="s">
        <v>393</v>
      </c>
      <c r="C1980" t="str">
        <f>_xlfn.CONCAT("Taux de chargement moyen des véhicules pour l'accès direct au(x) projet(s)"," (",'Remplissage - Sit. Expost'!$B$93,")")</f>
        <v>Taux de chargement moyen des véhicules pour l'accès direct au(x) projet(s) (Catégorie 8)</v>
      </c>
      <c r="E1980" t="str">
        <f>_xlfn.CONCAT("ProjImmoAccDirTC",RIGHT(LEFT(C1980,LEN(C1980)-1),1))</f>
        <v>ProjImmoAccDirTC8</v>
      </c>
      <c r="F1980" t="s">
        <v>17</v>
      </c>
      <c r="G1980">
        <f t="shared" si="675"/>
        <v>0</v>
      </c>
      <c r="H1980" s="3"/>
      <c r="J1980" t="s">
        <v>70</v>
      </c>
      <c r="K1980" s="7">
        <v>0.33</v>
      </c>
      <c r="M1980" t="s">
        <v>303</v>
      </c>
    </row>
    <row r="1981" spans="1:13" outlineLevel="1" x14ac:dyDescent="0.25">
      <c r="A1981" t="s">
        <v>300</v>
      </c>
      <c r="B1981" t="s">
        <v>393</v>
      </c>
      <c r="C1981" t="str">
        <f>_xlfn.CONCAT("Distance parcourue associée"," (",'Remplissage - Sit. Expost'!$B$93,")")</f>
        <v>Distance parcourue associée (Catégorie 8)</v>
      </c>
      <c r="E1981" t="str">
        <f>_xlfn.CONCAT("ProjImmoAccDirDist",RIGHT(LEFT(C1981,LEN(C1981)-1),1))</f>
        <v>ProjImmoAccDirDist8</v>
      </c>
      <c r="F1981" t="s">
        <v>17</v>
      </c>
      <c r="G1981">
        <f t="shared" si="675"/>
        <v>0</v>
      </c>
      <c r="J1981" t="s">
        <v>88</v>
      </c>
      <c r="K1981">
        <v>30</v>
      </c>
      <c r="M1981" t="s">
        <v>303</v>
      </c>
    </row>
    <row r="1982" spans="1:13" outlineLevel="1" x14ac:dyDescent="0.25">
      <c r="A1982" t="s">
        <v>300</v>
      </c>
      <c r="B1982" t="s">
        <v>393</v>
      </c>
      <c r="C1982" t="str">
        <f>_xlfn.CONCAT("Nombre de trajets associés"," (",'Remplissage - Sit. Expost'!$B$93,")")</f>
        <v>Nombre de trajets associés (Catégorie 8)</v>
      </c>
      <c r="E1982" t="str">
        <f>_xlfn.CONCAT("ProjImmoAccDirNbTraj",RIGHT(LEFT(C1982,LEN(C1982)-1),1))</f>
        <v>ProjImmoAccDirNbTraj8</v>
      </c>
      <c r="F1982" t="s">
        <v>17</v>
      </c>
      <c r="G1982">
        <f t="shared" si="675"/>
        <v>0</v>
      </c>
      <c r="J1982" t="s">
        <v>145</v>
      </c>
      <c r="K1982">
        <v>15</v>
      </c>
      <c r="M1982" t="s">
        <v>303</v>
      </c>
    </row>
    <row r="1983" spans="1:13" outlineLevel="1" x14ac:dyDescent="0.25">
      <c r="A1983" t="s">
        <v>300</v>
      </c>
      <c r="B1983" t="s">
        <v>394</v>
      </c>
      <c r="C1983" t="str">
        <f>_xlfn.CONCAT("Taux de chargement moyen des véhicules pour l'accès direct au(x) projet(s)"," (",'Remplissage - Sit. Expost'!$B$103,")")</f>
        <v>Taux de chargement moyen des véhicules pour l'accès direct au(x) projet(s) (Catégorie 9)</v>
      </c>
      <c r="E1983" t="str">
        <f>_xlfn.CONCAT("ProjImmoAccDirTC",RIGHT(LEFT(C1983,LEN(C1983)-1),1))</f>
        <v>ProjImmoAccDirTC9</v>
      </c>
      <c r="F1983" t="s">
        <v>17</v>
      </c>
      <c r="G1983">
        <f t="shared" si="675"/>
        <v>0</v>
      </c>
      <c r="H1983" s="3"/>
      <c r="J1983" t="s">
        <v>70</v>
      </c>
      <c r="K1983" s="7">
        <v>0.33</v>
      </c>
      <c r="M1983" t="s">
        <v>303</v>
      </c>
    </row>
    <row r="1984" spans="1:13" outlineLevel="1" x14ac:dyDescent="0.25">
      <c r="A1984" t="s">
        <v>300</v>
      </c>
      <c r="B1984" t="s">
        <v>394</v>
      </c>
      <c r="C1984" t="str">
        <f>_xlfn.CONCAT("Distance parcourue associée"," (",'Remplissage - Sit. Expost'!$B$103,")")</f>
        <v>Distance parcourue associée (Catégorie 9)</v>
      </c>
      <c r="E1984" t="str">
        <f>_xlfn.CONCAT("ProjImmoAccDirDist",RIGHT(LEFT(C1984,LEN(C1984)-1),1))</f>
        <v>ProjImmoAccDirDist9</v>
      </c>
      <c r="F1984" t="s">
        <v>17</v>
      </c>
      <c r="G1984">
        <f t="shared" si="675"/>
        <v>0</v>
      </c>
      <c r="J1984" t="s">
        <v>88</v>
      </c>
      <c r="K1984">
        <v>30</v>
      </c>
      <c r="M1984" t="s">
        <v>303</v>
      </c>
    </row>
    <row r="1985" spans="1:13" outlineLevel="1" x14ac:dyDescent="0.25">
      <c r="A1985" t="s">
        <v>300</v>
      </c>
      <c r="B1985" t="s">
        <v>394</v>
      </c>
      <c r="C1985" t="str">
        <f>_xlfn.CONCAT("Nombre de trajets associés"," (",'Remplissage - Sit. Expost'!$B$103,")")</f>
        <v>Nombre de trajets associés (Catégorie 9)</v>
      </c>
      <c r="E1985" t="str">
        <f>_xlfn.CONCAT("ProjImmoAccDirNbTraj",RIGHT(LEFT(C1985,LEN(C1985)-1),1))</f>
        <v>ProjImmoAccDirNbTraj9</v>
      </c>
      <c r="F1985" t="s">
        <v>17</v>
      </c>
      <c r="G1985">
        <f t="shared" si="675"/>
        <v>0</v>
      </c>
      <c r="J1985" t="s">
        <v>145</v>
      </c>
      <c r="K1985">
        <v>15</v>
      </c>
      <c r="M1985" t="s">
        <v>303</v>
      </c>
    </row>
    <row r="1986" spans="1:13" outlineLevel="1" x14ac:dyDescent="0.25">
      <c r="A1986" t="s">
        <v>300</v>
      </c>
      <c r="B1986" t="s">
        <v>395</v>
      </c>
      <c r="C1986" t="str">
        <f>_xlfn.CONCAT("Taux de chargement moyen des véhicules pour l'accès direct au(x) projet(s)"," (",'Remplissage - Sit. Expost'!$B$113,")")</f>
        <v>Taux de chargement moyen des véhicules pour l'accès direct au(x) projet(s) (Catégorie 10)</v>
      </c>
      <c r="E1986" t="str">
        <f>_xlfn.CONCAT("ProjImmoAccDirTC",RIGHT(LEFT(C1986,LEN(C1986)-1),2))</f>
        <v>ProjImmoAccDirTC10</v>
      </c>
      <c r="F1986" t="s">
        <v>17</v>
      </c>
      <c r="G1986">
        <f t="shared" si="675"/>
        <v>0</v>
      </c>
      <c r="H1986" s="3"/>
      <c r="J1986" t="s">
        <v>70</v>
      </c>
      <c r="K1986" s="7">
        <v>0.33</v>
      </c>
      <c r="M1986" t="s">
        <v>303</v>
      </c>
    </row>
    <row r="1987" spans="1:13" outlineLevel="1" x14ac:dyDescent="0.25">
      <c r="A1987" t="s">
        <v>300</v>
      </c>
      <c r="B1987" t="s">
        <v>395</v>
      </c>
      <c r="C1987" t="str">
        <f>_xlfn.CONCAT("Distance parcourue associée"," (",'Remplissage - Sit. Expost'!$B$113,")")</f>
        <v>Distance parcourue associée (Catégorie 10)</v>
      </c>
      <c r="E1987" t="str">
        <f>_xlfn.CONCAT("ProjImmoAccDirDist",RIGHT(LEFT(C1987,LEN(C1987)-1),2))</f>
        <v>ProjImmoAccDirDist10</v>
      </c>
      <c r="F1987" t="s">
        <v>17</v>
      </c>
      <c r="G1987">
        <f t="shared" si="675"/>
        <v>0</v>
      </c>
      <c r="J1987" t="s">
        <v>88</v>
      </c>
      <c r="K1987">
        <v>30</v>
      </c>
      <c r="M1987" t="s">
        <v>303</v>
      </c>
    </row>
    <row r="1988" spans="1:13" outlineLevel="1" x14ac:dyDescent="0.25">
      <c r="A1988" t="s">
        <v>300</v>
      </c>
      <c r="B1988" t="s">
        <v>395</v>
      </c>
      <c r="C1988" t="str">
        <f>_xlfn.CONCAT("Nombre de trajets associés"," (",'Remplissage - Sit. Expost'!$B$113,")")</f>
        <v>Nombre de trajets associés (Catégorie 10)</v>
      </c>
      <c r="E1988" t="str">
        <f>_xlfn.CONCAT("ProjImmoAccDirNbTraj",RIGHT(LEFT(C1988,LEN(C1988)-1),2))</f>
        <v>ProjImmoAccDirNbTraj10</v>
      </c>
      <c r="F1988" t="s">
        <v>17</v>
      </c>
      <c r="G1988">
        <f t="shared" si="675"/>
        <v>0</v>
      </c>
      <c r="J1988" t="s">
        <v>145</v>
      </c>
      <c r="K1988">
        <v>15</v>
      </c>
      <c r="M1988" t="s">
        <v>303</v>
      </c>
    </row>
    <row r="1989" spans="1:13" outlineLevel="1" x14ac:dyDescent="0.25">
      <c r="A1989" t="s">
        <v>300</v>
      </c>
      <c r="B1989" t="s">
        <v>396</v>
      </c>
      <c r="C1989" t="str">
        <f>_xlfn.CONCAT("Taux de chargement moyen des véhicules pour l'accès direct au(x) projet(s)"," (",'Remplissage - Sit. Expost'!$B$123,")")</f>
        <v>Taux de chargement moyen des véhicules pour l'accès direct au(x) projet(s) (Catégorie 11)</v>
      </c>
      <c r="E1989" t="str">
        <f>_xlfn.CONCAT("ProjImmoAccDirTC",RIGHT(LEFT(C1989,LEN(C1989)-1),2))</f>
        <v>ProjImmoAccDirTC11</v>
      </c>
      <c r="F1989" t="s">
        <v>17</v>
      </c>
      <c r="G1989">
        <f t="shared" si="675"/>
        <v>0</v>
      </c>
      <c r="H1989" s="3"/>
      <c r="J1989" t="s">
        <v>70</v>
      </c>
      <c r="K1989" s="7">
        <v>0.33</v>
      </c>
      <c r="M1989" t="s">
        <v>303</v>
      </c>
    </row>
    <row r="1990" spans="1:13" outlineLevel="1" x14ac:dyDescent="0.25">
      <c r="A1990" t="s">
        <v>300</v>
      </c>
      <c r="B1990" t="s">
        <v>396</v>
      </c>
      <c r="C1990" t="str">
        <f>_xlfn.CONCAT("Distance parcourue associée"," (",'Remplissage - Sit. Expost'!$B$123,")")</f>
        <v>Distance parcourue associée (Catégorie 11)</v>
      </c>
      <c r="E1990" t="str">
        <f>_xlfn.CONCAT("ProjImmoAccDirDist",RIGHT(LEFT(C1990,LEN(C1990)-1),2))</f>
        <v>ProjImmoAccDirDist11</v>
      </c>
      <c r="F1990" t="s">
        <v>17</v>
      </c>
      <c r="G1990">
        <f t="shared" si="675"/>
        <v>0</v>
      </c>
      <c r="J1990" t="s">
        <v>88</v>
      </c>
      <c r="K1990">
        <v>30</v>
      </c>
      <c r="M1990" t="s">
        <v>303</v>
      </c>
    </row>
    <row r="1991" spans="1:13" outlineLevel="1" x14ac:dyDescent="0.25">
      <c r="A1991" t="s">
        <v>300</v>
      </c>
      <c r="B1991" t="s">
        <v>396</v>
      </c>
      <c r="C1991" t="str">
        <f>_xlfn.CONCAT("Nombre de trajets associés"," (",'Remplissage - Sit. Expost'!$B$123,")")</f>
        <v>Nombre de trajets associés (Catégorie 11)</v>
      </c>
      <c r="E1991" t="str">
        <f>_xlfn.CONCAT("ProjImmoAccDirNbTraj",RIGHT(LEFT(C1991,LEN(C1991)-1),2))</f>
        <v>ProjImmoAccDirNbTraj11</v>
      </c>
      <c r="F1991" t="s">
        <v>17</v>
      </c>
      <c r="G1991">
        <f t="shared" si="675"/>
        <v>0</v>
      </c>
      <c r="J1991" t="s">
        <v>145</v>
      </c>
      <c r="K1991">
        <v>15</v>
      </c>
      <c r="M1991" t="s">
        <v>303</v>
      </c>
    </row>
    <row r="1992" spans="1:13" outlineLevel="1" x14ac:dyDescent="0.25">
      <c r="A1992" t="s">
        <v>300</v>
      </c>
      <c r="B1992" t="s">
        <v>397</v>
      </c>
      <c r="C1992" t="str">
        <f>_xlfn.CONCAT("Taux de chargement moyen des véhicules pour l'accès direct au(x) projet(s)"," (",'Remplissage - Sit. Expost'!$B$133,")")</f>
        <v>Taux de chargement moyen des véhicules pour l'accès direct au(x) projet(s) (Catégorie 12)</v>
      </c>
      <c r="E1992" t="str">
        <f>_xlfn.CONCAT("ProjImmoAccDirTC",RIGHT(LEFT(C1992,LEN(C1992)-1),2))</f>
        <v>ProjImmoAccDirTC12</v>
      </c>
      <c r="F1992" t="s">
        <v>17</v>
      </c>
      <c r="G1992">
        <f t="shared" si="675"/>
        <v>0</v>
      </c>
      <c r="H1992" s="3"/>
      <c r="J1992" t="s">
        <v>70</v>
      </c>
      <c r="K1992" s="7">
        <v>0.33</v>
      </c>
      <c r="M1992" t="s">
        <v>303</v>
      </c>
    </row>
    <row r="1993" spans="1:13" outlineLevel="1" x14ac:dyDescent="0.25">
      <c r="A1993" t="s">
        <v>300</v>
      </c>
      <c r="B1993" t="s">
        <v>397</v>
      </c>
      <c r="C1993" t="str">
        <f>_xlfn.CONCAT("Distance parcourue associée"," (",'Remplissage - Sit. Expost'!$B$133,")")</f>
        <v>Distance parcourue associée (Catégorie 12)</v>
      </c>
      <c r="E1993" t="str">
        <f>_xlfn.CONCAT("ProjImmoAccDirDist",RIGHT(LEFT(C1993,LEN(C1993)-1),2))</f>
        <v>ProjImmoAccDirDist12</v>
      </c>
      <c r="F1993" t="s">
        <v>17</v>
      </c>
      <c r="G1993">
        <f t="shared" si="675"/>
        <v>0</v>
      </c>
      <c r="J1993" t="s">
        <v>88</v>
      </c>
      <c r="K1993">
        <v>30</v>
      </c>
      <c r="M1993" t="s">
        <v>303</v>
      </c>
    </row>
    <row r="1994" spans="1:13" outlineLevel="1" x14ac:dyDescent="0.25">
      <c r="A1994" t="s">
        <v>300</v>
      </c>
      <c r="B1994" t="s">
        <v>397</v>
      </c>
      <c r="C1994" t="str">
        <f>_xlfn.CONCAT("Nombre de trajets associés"," (",'Remplissage - Sit. Expost'!$B$133,")")</f>
        <v>Nombre de trajets associés (Catégorie 12)</v>
      </c>
      <c r="E1994" t="str">
        <f>_xlfn.CONCAT("ProjImmoAccDirNbTraj",RIGHT(LEFT(C1994,LEN(C1994)-1),2))</f>
        <v>ProjImmoAccDirNbTraj12</v>
      </c>
      <c r="F1994" t="s">
        <v>17</v>
      </c>
      <c r="G1994">
        <f t="shared" si="675"/>
        <v>0</v>
      </c>
      <c r="J1994" t="s">
        <v>145</v>
      </c>
      <c r="K1994">
        <v>15</v>
      </c>
      <c r="M1994" t="s">
        <v>303</v>
      </c>
    </row>
    <row r="1995" spans="1:13" outlineLevel="1" x14ac:dyDescent="0.25">
      <c r="A1995" t="s">
        <v>300</v>
      </c>
      <c r="B1995" t="s">
        <v>398</v>
      </c>
      <c r="C1995" t="str">
        <f>_xlfn.CONCAT("Taux de chargement moyen des véhicules pour l'accès direct au(x) projet(s)"," (",'Remplissage - Sit. Expost'!$B$143,")")</f>
        <v>Taux de chargement moyen des véhicules pour l'accès direct au(x) projet(s) (Catégorie 13)</v>
      </c>
      <c r="E1995" t="str">
        <f>_xlfn.CONCAT("ProjImmoAccDirTC",RIGHT(LEFT(C1995,LEN(C1995)-1),2))</f>
        <v>ProjImmoAccDirTC13</v>
      </c>
      <c r="F1995" t="s">
        <v>17</v>
      </c>
      <c r="G1995">
        <f t="shared" si="675"/>
        <v>0</v>
      </c>
      <c r="H1995" s="3"/>
      <c r="J1995" t="s">
        <v>70</v>
      </c>
      <c r="K1995" s="7">
        <v>0.33</v>
      </c>
      <c r="M1995" t="s">
        <v>303</v>
      </c>
    </row>
    <row r="1996" spans="1:13" outlineLevel="1" x14ac:dyDescent="0.25">
      <c r="A1996" t="s">
        <v>300</v>
      </c>
      <c r="B1996" t="s">
        <v>398</v>
      </c>
      <c r="C1996" t="str">
        <f>_xlfn.CONCAT("Distance parcourue associée"," (",'Remplissage - Sit. Expost'!$B$143,")")</f>
        <v>Distance parcourue associée (Catégorie 13)</v>
      </c>
      <c r="E1996" t="str">
        <f>_xlfn.CONCAT("ProjImmoAccDirDist",RIGHT(LEFT(C1996,LEN(C1996)-1),2))</f>
        <v>ProjImmoAccDirDist13</v>
      </c>
      <c r="F1996" t="s">
        <v>17</v>
      </c>
      <c r="G1996">
        <f t="shared" si="675"/>
        <v>0</v>
      </c>
      <c r="J1996" t="s">
        <v>88</v>
      </c>
      <c r="K1996">
        <v>30</v>
      </c>
      <c r="M1996" t="s">
        <v>303</v>
      </c>
    </row>
    <row r="1997" spans="1:13" outlineLevel="1" x14ac:dyDescent="0.25">
      <c r="A1997" t="s">
        <v>300</v>
      </c>
      <c r="B1997" t="s">
        <v>398</v>
      </c>
      <c r="C1997" t="str">
        <f>_xlfn.CONCAT("Nombre de trajets associés"," (",'Remplissage - Sit. Expost'!$B$143,")")</f>
        <v>Nombre de trajets associés (Catégorie 13)</v>
      </c>
      <c r="E1997" t="str">
        <f>_xlfn.CONCAT("ProjImmoAccDirNbTraj",RIGHT(LEFT(C1997,LEN(C1997)-1),2))</f>
        <v>ProjImmoAccDirNbTraj13</v>
      </c>
      <c r="F1997" t="s">
        <v>17</v>
      </c>
      <c r="G1997">
        <f t="shared" si="675"/>
        <v>0</v>
      </c>
      <c r="J1997" t="s">
        <v>145</v>
      </c>
      <c r="K1997">
        <v>15</v>
      </c>
      <c r="M1997" t="s">
        <v>303</v>
      </c>
    </row>
    <row r="1998" spans="1:13" outlineLevel="1" x14ac:dyDescent="0.25">
      <c r="A1998" t="s">
        <v>300</v>
      </c>
      <c r="B1998" t="s">
        <v>399</v>
      </c>
      <c r="C1998" t="str">
        <f>_xlfn.CONCAT("Taux de chargement moyen des véhicules pour l'accès direct au(x) projet(s)"," (",'Remplissage - Sit. Expost'!$B$153,")")</f>
        <v>Taux de chargement moyen des véhicules pour l'accès direct au(x) projet(s) (Catégorie 14)</v>
      </c>
      <c r="E1998" t="str">
        <f>_xlfn.CONCAT("ProjImmoAccDirTC",RIGHT(LEFT(C1998,LEN(C1998)-1),2))</f>
        <v>ProjImmoAccDirTC14</v>
      </c>
      <c r="F1998" t="s">
        <v>17</v>
      </c>
      <c r="G1998">
        <f t="shared" si="675"/>
        <v>0</v>
      </c>
      <c r="H1998" s="3"/>
      <c r="J1998" t="s">
        <v>70</v>
      </c>
      <c r="K1998" s="7">
        <v>0.33</v>
      </c>
      <c r="M1998" t="s">
        <v>303</v>
      </c>
    </row>
    <row r="1999" spans="1:13" outlineLevel="1" x14ac:dyDescent="0.25">
      <c r="A1999" t="s">
        <v>300</v>
      </c>
      <c r="B1999" t="s">
        <v>399</v>
      </c>
      <c r="C1999" t="str">
        <f>_xlfn.CONCAT("Distance parcourue associée"," (",'Remplissage - Sit. Expost'!$B$153,")")</f>
        <v>Distance parcourue associée (Catégorie 14)</v>
      </c>
      <c r="E1999" t="str">
        <f>_xlfn.CONCAT("ProjImmoAccDirDist",RIGHT(LEFT(C1999,LEN(C1999)-1),2))</f>
        <v>ProjImmoAccDirDist14</v>
      </c>
      <c r="F1999" t="s">
        <v>17</v>
      </c>
      <c r="G1999">
        <f t="shared" si="675"/>
        <v>0</v>
      </c>
      <c r="J1999" t="s">
        <v>88</v>
      </c>
      <c r="K1999">
        <v>30</v>
      </c>
      <c r="M1999" t="s">
        <v>303</v>
      </c>
    </row>
    <row r="2000" spans="1:13" outlineLevel="1" x14ac:dyDescent="0.25">
      <c r="A2000" t="s">
        <v>300</v>
      </c>
      <c r="B2000" t="s">
        <v>399</v>
      </c>
      <c r="C2000" t="str">
        <f>_xlfn.CONCAT("Nombre de trajets associés"," (",'Remplissage - Sit. Expost'!$B$153,")")</f>
        <v>Nombre de trajets associés (Catégorie 14)</v>
      </c>
      <c r="E2000" t="str">
        <f>_xlfn.CONCAT("ProjImmoAccDirNbTraj",RIGHT(LEFT(C2000,LEN(C2000)-1),2))</f>
        <v>ProjImmoAccDirNbTraj14</v>
      </c>
      <c r="F2000" t="s">
        <v>17</v>
      </c>
      <c r="G2000">
        <f t="shared" si="675"/>
        <v>0</v>
      </c>
      <c r="J2000" t="s">
        <v>145</v>
      </c>
      <c r="K2000">
        <v>15</v>
      </c>
      <c r="M2000" t="s">
        <v>303</v>
      </c>
    </row>
    <row r="2001" spans="1:13" outlineLevel="1" x14ac:dyDescent="0.25">
      <c r="A2001" t="s">
        <v>300</v>
      </c>
      <c r="B2001" t="s">
        <v>400</v>
      </c>
      <c r="C2001" t="str">
        <f>_xlfn.CONCAT("Taux de chargement moyen des véhicules pour l'accès direct au(x) projet(s)"," (",'Remplissage - Sit. Expost'!$B$163,")")</f>
        <v>Taux de chargement moyen des véhicules pour l'accès direct au(x) projet(s) (Catégorie 15)</v>
      </c>
      <c r="E2001" t="str">
        <f>_xlfn.CONCAT("ProjImmoAccDirTC",RIGHT(LEFT(C2001,LEN(C2001)-1),2))</f>
        <v>ProjImmoAccDirTC15</v>
      </c>
      <c r="F2001" t="s">
        <v>17</v>
      </c>
      <c r="G2001">
        <f t="shared" si="675"/>
        <v>0</v>
      </c>
      <c r="H2001" s="3"/>
      <c r="J2001" t="s">
        <v>70</v>
      </c>
      <c r="K2001" s="7">
        <v>0.33</v>
      </c>
      <c r="M2001" t="s">
        <v>303</v>
      </c>
    </row>
    <row r="2002" spans="1:13" outlineLevel="1" x14ac:dyDescent="0.25">
      <c r="A2002" t="s">
        <v>300</v>
      </c>
      <c r="B2002" t="s">
        <v>400</v>
      </c>
      <c r="C2002" t="str">
        <f>_xlfn.CONCAT("Distance parcourue associée"," (",'Remplissage - Sit. Expost'!$B$163,")")</f>
        <v>Distance parcourue associée (Catégorie 15)</v>
      </c>
      <c r="E2002" t="str">
        <f>_xlfn.CONCAT("ProjImmoAccDirDist",RIGHT(LEFT(C2002,LEN(C2002)-1),2))</f>
        <v>ProjImmoAccDirDist15</v>
      </c>
      <c r="F2002" t="s">
        <v>17</v>
      </c>
      <c r="G2002">
        <f t="shared" si="675"/>
        <v>0</v>
      </c>
      <c r="J2002" t="s">
        <v>88</v>
      </c>
      <c r="K2002">
        <v>30</v>
      </c>
      <c r="M2002" t="s">
        <v>303</v>
      </c>
    </row>
    <row r="2003" spans="1:13" outlineLevel="1" x14ac:dyDescent="0.25">
      <c r="A2003" t="s">
        <v>300</v>
      </c>
      <c r="B2003" t="s">
        <v>400</v>
      </c>
      <c r="C2003" t="str">
        <f>_xlfn.CONCAT("Nombre de trajets associés"," (",'Remplissage - Sit. Expost'!$B$163,")")</f>
        <v>Nombre de trajets associés (Catégorie 15)</v>
      </c>
      <c r="E2003" t="str">
        <f>_xlfn.CONCAT("ProjImmoAccDirNbTraj",RIGHT(LEFT(C2003,LEN(C2003)-1),2))</f>
        <v>ProjImmoAccDirNbTraj15</v>
      </c>
      <c r="F2003" t="s">
        <v>17</v>
      </c>
      <c r="G2003">
        <f t="shared" si="675"/>
        <v>0</v>
      </c>
      <c r="J2003" t="s">
        <v>145</v>
      </c>
      <c r="K2003">
        <v>15</v>
      </c>
      <c r="M2003" t="s">
        <v>303</v>
      </c>
    </row>
    <row r="2004" spans="1:13" outlineLevel="1" x14ac:dyDescent="0.25">
      <c r="A2004" t="s">
        <v>300</v>
      </c>
      <c r="B2004" t="s">
        <v>401</v>
      </c>
      <c r="C2004" t="str">
        <f>_xlfn.CONCAT("Taux de chargement moyen des véhicules pour l'accès direct au(x) projet(s)"," (",'Remplissage - Sit. Expost'!$B$173,")")</f>
        <v>Taux de chargement moyen des véhicules pour l'accès direct au(x) projet(s) (Catégorie 16)</v>
      </c>
      <c r="E2004" t="str">
        <f>_xlfn.CONCAT("ProjImmoAccDirTC",RIGHT(LEFT(C2004,LEN(C2004)-1),2))</f>
        <v>ProjImmoAccDirTC16</v>
      </c>
      <c r="F2004" t="s">
        <v>17</v>
      </c>
      <c r="G2004">
        <f t="shared" si="675"/>
        <v>0</v>
      </c>
      <c r="H2004" s="3"/>
      <c r="J2004" t="s">
        <v>70</v>
      </c>
      <c r="K2004" s="7">
        <v>0.33</v>
      </c>
      <c r="M2004" t="s">
        <v>303</v>
      </c>
    </row>
    <row r="2005" spans="1:13" outlineLevel="1" x14ac:dyDescent="0.25">
      <c r="A2005" t="s">
        <v>300</v>
      </c>
      <c r="B2005" t="s">
        <v>401</v>
      </c>
      <c r="C2005" t="str">
        <f>_xlfn.CONCAT("Distance parcourue associée"," (",'Remplissage - Sit. Expost'!$B$173,")")</f>
        <v>Distance parcourue associée (Catégorie 16)</v>
      </c>
      <c r="E2005" t="str">
        <f>_xlfn.CONCAT("ProjImmoAccDirDist",RIGHT(LEFT(C2005,LEN(C2005)-1),2))</f>
        <v>ProjImmoAccDirDist16</v>
      </c>
      <c r="F2005" t="s">
        <v>17</v>
      </c>
      <c r="G2005">
        <f t="shared" si="675"/>
        <v>0</v>
      </c>
      <c r="J2005" t="s">
        <v>88</v>
      </c>
      <c r="K2005">
        <v>30</v>
      </c>
      <c r="M2005" t="s">
        <v>303</v>
      </c>
    </row>
    <row r="2006" spans="1:13" outlineLevel="1" x14ac:dyDescent="0.25">
      <c r="A2006" t="s">
        <v>300</v>
      </c>
      <c r="B2006" t="s">
        <v>401</v>
      </c>
      <c r="C2006" t="str">
        <f>_xlfn.CONCAT("Nombre de trajets associés"," (",'Remplissage - Sit. Expost'!$B$173,")")</f>
        <v>Nombre de trajets associés (Catégorie 16)</v>
      </c>
      <c r="E2006" t="str">
        <f>_xlfn.CONCAT("ProjImmoAccDirNbTraj",RIGHT(LEFT(C2006,LEN(C2006)-1),2))</f>
        <v>ProjImmoAccDirNbTraj16</v>
      </c>
      <c r="F2006" t="s">
        <v>17</v>
      </c>
      <c r="G2006">
        <f t="shared" si="675"/>
        <v>0</v>
      </c>
      <c r="J2006" t="s">
        <v>145</v>
      </c>
      <c r="K2006">
        <v>15</v>
      </c>
      <c r="M2006" t="s">
        <v>303</v>
      </c>
    </row>
    <row r="2007" spans="1:13" outlineLevel="1" x14ac:dyDescent="0.25">
      <c r="A2007" t="s">
        <v>300</v>
      </c>
      <c r="B2007" t="s">
        <v>402</v>
      </c>
      <c r="C2007" t="str">
        <f>_xlfn.CONCAT("Taux de chargement moyen des véhicules pour l'accès direct au(x) projet(s)"," (",'Remplissage - Sit. Expost'!$B$183,")")</f>
        <v>Taux de chargement moyen des véhicules pour l'accès direct au(x) projet(s) (Catégorie 17)</v>
      </c>
      <c r="E2007" t="str">
        <f>_xlfn.CONCAT("ProjImmoAccDirTC",RIGHT(LEFT(C2007,LEN(C2007)-1),2))</f>
        <v>ProjImmoAccDirTC17</v>
      </c>
      <c r="F2007" t="s">
        <v>17</v>
      </c>
      <c r="G2007">
        <f t="shared" si="675"/>
        <v>0</v>
      </c>
      <c r="H2007" s="3"/>
      <c r="J2007" t="s">
        <v>70</v>
      </c>
      <c r="K2007" s="7">
        <v>0.33</v>
      </c>
      <c r="M2007" t="s">
        <v>303</v>
      </c>
    </row>
    <row r="2008" spans="1:13" outlineLevel="1" x14ac:dyDescent="0.25">
      <c r="A2008" t="s">
        <v>300</v>
      </c>
      <c r="B2008" t="s">
        <v>402</v>
      </c>
      <c r="C2008" t="str">
        <f>_xlfn.CONCAT("Distance parcourue associée"," (",'Remplissage - Sit. Expost'!$B$183,")")</f>
        <v>Distance parcourue associée (Catégorie 17)</v>
      </c>
      <c r="E2008" t="str">
        <f>_xlfn.CONCAT("ProjImmoAccDirDist",RIGHT(LEFT(C2008,LEN(C2008)-1),2))</f>
        <v>ProjImmoAccDirDist17</v>
      </c>
      <c r="F2008" t="s">
        <v>17</v>
      </c>
      <c r="G2008">
        <f t="shared" si="675"/>
        <v>0</v>
      </c>
      <c r="J2008" t="s">
        <v>88</v>
      </c>
      <c r="K2008">
        <v>30</v>
      </c>
      <c r="M2008" t="s">
        <v>303</v>
      </c>
    </row>
    <row r="2009" spans="1:13" outlineLevel="1" x14ac:dyDescent="0.25">
      <c r="A2009" t="s">
        <v>300</v>
      </c>
      <c r="B2009" t="s">
        <v>402</v>
      </c>
      <c r="C2009" t="str">
        <f>_xlfn.CONCAT("Nombre de trajets associés"," (",'Remplissage - Sit. Expost'!$B$183,")")</f>
        <v>Nombre de trajets associés (Catégorie 17)</v>
      </c>
      <c r="E2009" t="str">
        <f>_xlfn.CONCAT("ProjImmoAccDirNbTraj",RIGHT(LEFT(C2009,LEN(C2009)-1),2))</f>
        <v>ProjImmoAccDirNbTraj17</v>
      </c>
      <c r="F2009" t="s">
        <v>17</v>
      </c>
      <c r="G2009">
        <f t="shared" si="675"/>
        <v>0</v>
      </c>
      <c r="J2009" t="s">
        <v>145</v>
      </c>
      <c r="K2009">
        <v>15</v>
      </c>
      <c r="M2009" t="s">
        <v>303</v>
      </c>
    </row>
    <row r="2010" spans="1:13" outlineLevel="1" x14ac:dyDescent="0.25">
      <c r="A2010" t="s">
        <v>300</v>
      </c>
      <c r="B2010" t="s">
        <v>403</v>
      </c>
      <c r="C2010" t="str">
        <f>_xlfn.CONCAT("Taux de chargement moyen des véhicules pour l'accès direct au(x) projet(s)"," (",'Remplissage - Sit. Expost'!$B$193,")")</f>
        <v>Taux de chargement moyen des véhicules pour l'accès direct au(x) projet(s) (Catégorie 18)</v>
      </c>
      <c r="E2010" t="str">
        <f>_xlfn.CONCAT("ProjImmoAccDirTC",RIGHT(LEFT(C2010,LEN(C2010)-1),2))</f>
        <v>ProjImmoAccDirTC18</v>
      </c>
      <c r="F2010" t="s">
        <v>17</v>
      </c>
      <c r="G2010">
        <f t="shared" si="675"/>
        <v>0</v>
      </c>
      <c r="H2010" s="3"/>
      <c r="J2010" t="s">
        <v>70</v>
      </c>
      <c r="K2010" s="7">
        <v>0.33</v>
      </c>
      <c r="M2010" t="s">
        <v>303</v>
      </c>
    </row>
    <row r="2011" spans="1:13" outlineLevel="1" x14ac:dyDescent="0.25">
      <c r="A2011" t="s">
        <v>300</v>
      </c>
      <c r="B2011" t="s">
        <v>403</v>
      </c>
      <c r="C2011" t="str">
        <f>_xlfn.CONCAT("Distance parcourue associée"," (",'Remplissage - Sit. Expost'!$B$193,")")</f>
        <v>Distance parcourue associée (Catégorie 18)</v>
      </c>
      <c r="E2011" t="str">
        <f>_xlfn.CONCAT("ProjImmoAccDirDist",RIGHT(LEFT(C2011,LEN(C2011)-1),2))</f>
        <v>ProjImmoAccDirDist18</v>
      </c>
      <c r="F2011" t="s">
        <v>17</v>
      </c>
      <c r="G2011">
        <f t="shared" si="675"/>
        <v>0</v>
      </c>
      <c r="J2011" t="s">
        <v>88</v>
      </c>
      <c r="K2011">
        <v>30</v>
      </c>
      <c r="M2011" t="s">
        <v>303</v>
      </c>
    </row>
    <row r="2012" spans="1:13" outlineLevel="1" x14ac:dyDescent="0.25">
      <c r="A2012" t="s">
        <v>300</v>
      </c>
      <c r="B2012" t="s">
        <v>403</v>
      </c>
      <c r="C2012" t="str">
        <f>_xlfn.CONCAT("Nombre de trajets associés"," (",'Remplissage - Sit. Expost'!$B$193,")")</f>
        <v>Nombre de trajets associés (Catégorie 18)</v>
      </c>
      <c r="E2012" t="str">
        <f>_xlfn.CONCAT("ProjImmoAccDirNbTraj",RIGHT(LEFT(C2012,LEN(C2012)-1),2))</f>
        <v>ProjImmoAccDirNbTraj18</v>
      </c>
      <c r="F2012" t="s">
        <v>17</v>
      </c>
      <c r="G2012">
        <f t="shared" si="675"/>
        <v>0</v>
      </c>
      <c r="J2012" t="s">
        <v>145</v>
      </c>
      <c r="K2012">
        <v>15</v>
      </c>
      <c r="M2012" t="s">
        <v>303</v>
      </c>
    </row>
    <row r="2013" spans="1:13" outlineLevel="1" x14ac:dyDescent="0.25">
      <c r="A2013" t="s">
        <v>300</v>
      </c>
      <c r="B2013" t="s">
        <v>404</v>
      </c>
      <c r="C2013" t="str">
        <f>_xlfn.CONCAT("Taux de chargement moyen des véhicules pour l'accès direct au(x) projet(s)"," (",'Remplissage - Sit. Expost'!$B$203,")")</f>
        <v>Taux de chargement moyen des véhicules pour l'accès direct au(x) projet(s) (Catégorie 19)</v>
      </c>
      <c r="E2013" t="str">
        <f>_xlfn.CONCAT("ProjImmoAccDirTC",RIGHT(LEFT(C2013,LEN(C2013)-1),2))</f>
        <v>ProjImmoAccDirTC19</v>
      </c>
      <c r="F2013" t="s">
        <v>17</v>
      </c>
      <c r="G2013">
        <f t="shared" si="675"/>
        <v>0</v>
      </c>
      <c r="H2013" s="3"/>
      <c r="J2013" t="s">
        <v>70</v>
      </c>
      <c r="K2013" s="7">
        <v>0.33</v>
      </c>
      <c r="M2013" t="s">
        <v>303</v>
      </c>
    </row>
    <row r="2014" spans="1:13" outlineLevel="1" x14ac:dyDescent="0.25">
      <c r="A2014" t="s">
        <v>300</v>
      </c>
      <c r="B2014" t="s">
        <v>404</v>
      </c>
      <c r="C2014" t="str">
        <f>_xlfn.CONCAT("Distance parcourue associée"," (",'Remplissage - Sit. Expost'!$B$203,")")</f>
        <v>Distance parcourue associée (Catégorie 19)</v>
      </c>
      <c r="E2014" t="str">
        <f>_xlfn.CONCAT("ProjImmoAccDirDist",RIGHT(LEFT(C2014,LEN(C2014)-1),2))</f>
        <v>ProjImmoAccDirDist19</v>
      </c>
      <c r="F2014" t="s">
        <v>17</v>
      </c>
      <c r="G2014">
        <f t="shared" si="675"/>
        <v>0</v>
      </c>
      <c r="J2014" t="s">
        <v>88</v>
      </c>
      <c r="K2014">
        <v>30</v>
      </c>
      <c r="M2014" t="s">
        <v>303</v>
      </c>
    </row>
    <row r="2015" spans="1:13" outlineLevel="1" x14ac:dyDescent="0.25">
      <c r="A2015" t="s">
        <v>300</v>
      </c>
      <c r="B2015" t="s">
        <v>404</v>
      </c>
      <c r="C2015" t="str">
        <f>_xlfn.CONCAT("Nombre de trajets associés"," (",'Remplissage - Sit. Expost'!$B$203,")")</f>
        <v>Nombre de trajets associés (Catégorie 19)</v>
      </c>
      <c r="E2015" t="str">
        <f>_xlfn.CONCAT("ProjImmoAccDirNbTraj",RIGHT(LEFT(C2015,LEN(C2015)-1),2))</f>
        <v>ProjImmoAccDirNbTraj19</v>
      </c>
      <c r="F2015" t="s">
        <v>17</v>
      </c>
      <c r="G2015">
        <f t="shared" si="675"/>
        <v>0</v>
      </c>
      <c r="J2015" t="s">
        <v>145</v>
      </c>
      <c r="K2015">
        <v>15</v>
      </c>
      <c r="M2015" t="s">
        <v>303</v>
      </c>
    </row>
    <row r="2016" spans="1:13" outlineLevel="1" x14ac:dyDescent="0.25">
      <c r="A2016" t="s">
        <v>300</v>
      </c>
      <c r="B2016" t="s">
        <v>405</v>
      </c>
      <c r="C2016" t="str">
        <f>_xlfn.CONCAT("Taux de chargement moyen des véhicules pour l'accès direct au(x) projet(s)"," (",'Remplissage - Sit. Expost'!$B$213,")")</f>
        <v>Taux de chargement moyen des véhicules pour l'accès direct au(x) projet(s) (Catégorie 20)</v>
      </c>
      <c r="E2016" t="str">
        <f>_xlfn.CONCAT("ProjImmoAccDirTC",RIGHT(LEFT(C2016,LEN(C2016)-1),2))</f>
        <v>ProjImmoAccDirTC20</v>
      </c>
      <c r="F2016" t="s">
        <v>17</v>
      </c>
      <c r="G2016">
        <f t="shared" si="675"/>
        <v>0</v>
      </c>
      <c r="H2016" s="3"/>
      <c r="J2016" t="s">
        <v>70</v>
      </c>
      <c r="K2016" s="7">
        <v>0.33</v>
      </c>
      <c r="M2016" t="s">
        <v>303</v>
      </c>
    </row>
    <row r="2017" spans="1:13" outlineLevel="1" x14ac:dyDescent="0.25">
      <c r="A2017" t="s">
        <v>300</v>
      </c>
      <c r="B2017" t="s">
        <v>405</v>
      </c>
      <c r="C2017" t="str">
        <f>_xlfn.CONCAT("Distance parcourue associée"," (",'Remplissage - Sit. Expost'!$B$213,")")</f>
        <v>Distance parcourue associée (Catégorie 20)</v>
      </c>
      <c r="E2017" t="str">
        <f>_xlfn.CONCAT("ProjImmoAccDirDist",RIGHT(LEFT(C2017,LEN(C2017)-1),2))</f>
        <v>ProjImmoAccDirDist20</v>
      </c>
      <c r="F2017" t="s">
        <v>17</v>
      </c>
      <c r="G2017">
        <f t="shared" si="675"/>
        <v>0</v>
      </c>
      <c r="J2017" t="s">
        <v>88</v>
      </c>
      <c r="K2017">
        <v>30</v>
      </c>
      <c r="M2017" t="s">
        <v>303</v>
      </c>
    </row>
    <row r="2018" spans="1:13" outlineLevel="1" x14ac:dyDescent="0.25">
      <c r="A2018" t="s">
        <v>300</v>
      </c>
      <c r="B2018" t="s">
        <v>405</v>
      </c>
      <c r="C2018" t="str">
        <f>_xlfn.CONCAT("Nombre de trajets associés"," (",'Remplissage - Sit. Expost'!$B$213,")")</f>
        <v>Nombre de trajets associés (Catégorie 20)</v>
      </c>
      <c r="E2018" t="str">
        <f>_xlfn.CONCAT("ProjImmoAccDirNbTraj",RIGHT(LEFT(C2018,LEN(C2018)-1),2))</f>
        <v>ProjImmoAccDirNbTraj20</v>
      </c>
      <c r="F2018" t="s">
        <v>17</v>
      </c>
      <c r="G2018">
        <f t="shared" si="675"/>
        <v>0</v>
      </c>
      <c r="J2018" t="s">
        <v>145</v>
      </c>
      <c r="K2018">
        <v>15</v>
      </c>
      <c r="M2018" t="s">
        <v>303</v>
      </c>
    </row>
    <row r="2019" spans="1:13" outlineLevel="1" x14ac:dyDescent="0.25">
      <c r="A2019" t="s">
        <v>300</v>
      </c>
      <c r="B2019" t="s">
        <v>406</v>
      </c>
      <c r="C2019" t="str">
        <f>_xlfn.CONCAT("Taux de chargement moyen des véhicules pour l'accès direct au(x) projet(s)"," (",'Remplissage - Sit. Expost'!$B$223,")")</f>
        <v>Taux de chargement moyen des véhicules pour l'accès direct au(x) projet(s) (Catégorie 21)</v>
      </c>
      <c r="E2019" t="str">
        <f>_xlfn.CONCAT("ProjImmoAccDirTC",RIGHT(LEFT(C2019,LEN(C2019)-1),2))</f>
        <v>ProjImmoAccDirTC21</v>
      </c>
      <c r="F2019" t="s">
        <v>17</v>
      </c>
      <c r="G2019">
        <f t="shared" si="675"/>
        <v>0</v>
      </c>
      <c r="H2019" s="3"/>
      <c r="J2019" t="s">
        <v>70</v>
      </c>
      <c r="K2019" s="7">
        <v>0.33</v>
      </c>
      <c r="M2019" t="s">
        <v>303</v>
      </c>
    </row>
    <row r="2020" spans="1:13" outlineLevel="1" x14ac:dyDescent="0.25">
      <c r="A2020" t="s">
        <v>300</v>
      </c>
      <c r="B2020" t="s">
        <v>406</v>
      </c>
      <c r="C2020" t="str">
        <f>_xlfn.CONCAT("Distance parcourue associée"," (",'Remplissage - Sit. Expost'!$B$223,")")</f>
        <v>Distance parcourue associée (Catégorie 21)</v>
      </c>
      <c r="E2020" t="str">
        <f>_xlfn.CONCAT("ProjImmoAccDirDist",RIGHT(LEFT(C2020,LEN(C2020)-1),2))</f>
        <v>ProjImmoAccDirDist21</v>
      </c>
      <c r="F2020" t="s">
        <v>17</v>
      </c>
      <c r="G2020">
        <f t="shared" si="675"/>
        <v>0</v>
      </c>
      <c r="J2020" t="s">
        <v>88</v>
      </c>
      <c r="K2020">
        <v>30</v>
      </c>
      <c r="M2020" t="s">
        <v>303</v>
      </c>
    </row>
    <row r="2021" spans="1:13" outlineLevel="1" x14ac:dyDescent="0.25">
      <c r="A2021" t="s">
        <v>300</v>
      </c>
      <c r="B2021" t="s">
        <v>406</v>
      </c>
      <c r="C2021" t="str">
        <f>_xlfn.CONCAT("Nombre de trajets associés"," (",'Remplissage - Sit. Expost'!$B$223,")")</f>
        <v>Nombre de trajets associés (Catégorie 21)</v>
      </c>
      <c r="E2021" t="str">
        <f>_xlfn.CONCAT("ProjImmoAccDirNbTraj",RIGHT(LEFT(C2021,LEN(C2021)-1),2))</f>
        <v>ProjImmoAccDirNbTraj21</v>
      </c>
      <c r="F2021" t="s">
        <v>17</v>
      </c>
      <c r="G2021">
        <f t="shared" si="675"/>
        <v>0</v>
      </c>
      <c r="J2021" t="s">
        <v>145</v>
      </c>
      <c r="K2021">
        <v>15</v>
      </c>
      <c r="M2021" t="s">
        <v>303</v>
      </c>
    </row>
    <row r="2022" spans="1:13" outlineLevel="1" x14ac:dyDescent="0.25">
      <c r="A2022" t="s">
        <v>300</v>
      </c>
      <c r="B2022" t="s">
        <v>407</v>
      </c>
      <c r="C2022" t="str">
        <f>_xlfn.CONCAT("Taux de chargement moyen des véhicules pour l'accès direct au(x) projet(s)"," (",'Remplissage - Sit. Expost'!$B$233,")")</f>
        <v>Taux de chargement moyen des véhicules pour l'accès direct au(x) projet(s) (Catégorie 22)</v>
      </c>
      <c r="E2022" t="str">
        <f>_xlfn.CONCAT("ProjImmoAccDirTC",RIGHT(LEFT(C2022,LEN(C2022)-1),2))</f>
        <v>ProjImmoAccDirTC22</v>
      </c>
      <c r="F2022" t="s">
        <v>17</v>
      </c>
      <c r="G2022">
        <f t="shared" si="675"/>
        <v>0</v>
      </c>
      <c r="H2022" s="3"/>
      <c r="J2022" t="s">
        <v>70</v>
      </c>
      <c r="K2022" s="7">
        <v>0.33</v>
      </c>
      <c r="M2022" t="s">
        <v>303</v>
      </c>
    </row>
    <row r="2023" spans="1:13" outlineLevel="1" x14ac:dyDescent="0.25">
      <c r="A2023" t="s">
        <v>300</v>
      </c>
      <c r="B2023" t="s">
        <v>407</v>
      </c>
      <c r="C2023" t="str">
        <f>_xlfn.CONCAT("Distance parcourue associée"," (",'Remplissage - Sit. Expost'!$B$233,")")</f>
        <v>Distance parcourue associée (Catégorie 22)</v>
      </c>
      <c r="E2023" t="str">
        <f>_xlfn.CONCAT("ProjImmoAccDirDist",RIGHT(LEFT(C2023,LEN(C2023)-1),2))</f>
        <v>ProjImmoAccDirDist22</v>
      </c>
      <c r="F2023" t="s">
        <v>17</v>
      </c>
      <c r="G2023">
        <f t="shared" si="675"/>
        <v>0</v>
      </c>
      <c r="J2023" t="s">
        <v>88</v>
      </c>
      <c r="K2023">
        <v>30</v>
      </c>
      <c r="M2023" t="s">
        <v>303</v>
      </c>
    </row>
    <row r="2024" spans="1:13" outlineLevel="1" x14ac:dyDescent="0.25">
      <c r="A2024" t="s">
        <v>300</v>
      </c>
      <c r="B2024" t="s">
        <v>407</v>
      </c>
      <c r="C2024" t="str">
        <f>_xlfn.CONCAT("Nombre de trajets associés"," (",'Remplissage - Sit. Expost'!$B$233,")")</f>
        <v>Nombre de trajets associés (Catégorie 22)</v>
      </c>
      <c r="E2024" t="str">
        <f>_xlfn.CONCAT("ProjImmoAccDirNbTraj",RIGHT(LEFT(C2024,LEN(C2024)-1),2))</f>
        <v>ProjImmoAccDirNbTraj22</v>
      </c>
      <c r="F2024" t="s">
        <v>17</v>
      </c>
      <c r="G2024">
        <f t="shared" ref="G2024:G2087" si="676">IF(ISNUMBER(SEARCH($B2024,$H$1954)),1,0)</f>
        <v>0</v>
      </c>
      <c r="J2024" t="s">
        <v>145</v>
      </c>
      <c r="K2024">
        <v>15</v>
      </c>
      <c r="M2024" t="s">
        <v>303</v>
      </c>
    </row>
    <row r="2025" spans="1:13" outlineLevel="1" x14ac:dyDescent="0.25">
      <c r="A2025" t="s">
        <v>300</v>
      </c>
      <c r="B2025" t="s">
        <v>408</v>
      </c>
      <c r="C2025" t="str">
        <f>_xlfn.CONCAT("Taux de chargement moyen des véhicules pour l'accès direct au(x) projet(s)"," (",'Remplissage - Sit. Expost'!$B$243,")")</f>
        <v>Taux de chargement moyen des véhicules pour l'accès direct au(x) projet(s) (Catégorie 23)</v>
      </c>
      <c r="E2025" t="str">
        <f>_xlfn.CONCAT("ProjImmoAccDirTC",RIGHT(LEFT(C2025,LEN(C2025)-1),2))</f>
        <v>ProjImmoAccDirTC23</v>
      </c>
      <c r="F2025" t="s">
        <v>17</v>
      </c>
      <c r="G2025">
        <f t="shared" si="676"/>
        <v>0</v>
      </c>
      <c r="H2025" s="3"/>
      <c r="J2025" t="s">
        <v>70</v>
      </c>
      <c r="K2025" s="7">
        <v>0.33</v>
      </c>
      <c r="M2025" t="s">
        <v>303</v>
      </c>
    </row>
    <row r="2026" spans="1:13" outlineLevel="1" x14ac:dyDescent="0.25">
      <c r="A2026" t="s">
        <v>300</v>
      </c>
      <c r="B2026" t="s">
        <v>408</v>
      </c>
      <c r="C2026" t="str">
        <f>_xlfn.CONCAT("Distance parcourue associée"," (",'Remplissage - Sit. Expost'!$B$243,")")</f>
        <v>Distance parcourue associée (Catégorie 23)</v>
      </c>
      <c r="E2026" t="str">
        <f>_xlfn.CONCAT("ProjImmoAccDirDist",RIGHT(LEFT(C2026,LEN(C2026)-1),2))</f>
        <v>ProjImmoAccDirDist23</v>
      </c>
      <c r="F2026" t="s">
        <v>17</v>
      </c>
      <c r="G2026">
        <f t="shared" si="676"/>
        <v>0</v>
      </c>
      <c r="J2026" t="s">
        <v>88</v>
      </c>
      <c r="K2026">
        <v>30</v>
      </c>
      <c r="M2026" t="s">
        <v>303</v>
      </c>
    </row>
    <row r="2027" spans="1:13" outlineLevel="1" x14ac:dyDescent="0.25">
      <c r="A2027" t="s">
        <v>300</v>
      </c>
      <c r="B2027" t="s">
        <v>408</v>
      </c>
      <c r="C2027" t="str">
        <f>_xlfn.CONCAT("Nombre de trajets associés"," (",'Remplissage - Sit. Expost'!$B$243,")")</f>
        <v>Nombre de trajets associés (Catégorie 23)</v>
      </c>
      <c r="E2027" t="str">
        <f>_xlfn.CONCAT("ProjImmoAccDirNbTraj",RIGHT(LEFT(C2027,LEN(C2027)-1),2))</f>
        <v>ProjImmoAccDirNbTraj23</v>
      </c>
      <c r="F2027" t="s">
        <v>17</v>
      </c>
      <c r="G2027">
        <f t="shared" si="676"/>
        <v>0</v>
      </c>
      <c r="J2027" t="s">
        <v>145</v>
      </c>
      <c r="K2027">
        <v>15</v>
      </c>
      <c r="M2027" t="s">
        <v>303</v>
      </c>
    </row>
    <row r="2028" spans="1:13" outlineLevel="1" x14ac:dyDescent="0.25">
      <c r="A2028" t="s">
        <v>300</v>
      </c>
      <c r="B2028" t="s">
        <v>409</v>
      </c>
      <c r="C2028" t="str">
        <f>_xlfn.CONCAT("Taux de chargement moyen des véhicules pour l'accès direct au(x) projet(s)"," (",'Remplissage - Sit. Expost'!$B$253,")")</f>
        <v>Taux de chargement moyen des véhicules pour l'accès direct au(x) projet(s) (Catégorie 24)</v>
      </c>
      <c r="E2028" t="str">
        <f>_xlfn.CONCAT("ProjImmoAccDirTC",RIGHT(LEFT(C2028,LEN(C2028)-1),2))</f>
        <v>ProjImmoAccDirTC24</v>
      </c>
      <c r="F2028" t="s">
        <v>17</v>
      </c>
      <c r="G2028">
        <f t="shared" si="676"/>
        <v>0</v>
      </c>
      <c r="H2028" s="3"/>
      <c r="J2028" t="s">
        <v>70</v>
      </c>
      <c r="K2028" s="7">
        <v>0.33</v>
      </c>
      <c r="M2028" t="s">
        <v>303</v>
      </c>
    </row>
    <row r="2029" spans="1:13" outlineLevel="1" x14ac:dyDescent="0.25">
      <c r="A2029" t="s">
        <v>300</v>
      </c>
      <c r="B2029" t="s">
        <v>409</v>
      </c>
      <c r="C2029" t="str">
        <f>_xlfn.CONCAT("Distance parcourue associée"," (",'Remplissage - Sit. Expost'!$B$253,")")</f>
        <v>Distance parcourue associée (Catégorie 24)</v>
      </c>
      <c r="E2029" t="str">
        <f>_xlfn.CONCAT("ProjImmoAccDirDist",RIGHT(LEFT(C2029,LEN(C2029)-1),2))</f>
        <v>ProjImmoAccDirDist24</v>
      </c>
      <c r="F2029" t="s">
        <v>17</v>
      </c>
      <c r="G2029">
        <f t="shared" si="676"/>
        <v>0</v>
      </c>
      <c r="J2029" t="s">
        <v>88</v>
      </c>
      <c r="K2029">
        <v>30</v>
      </c>
      <c r="M2029" t="s">
        <v>303</v>
      </c>
    </row>
    <row r="2030" spans="1:13" outlineLevel="1" x14ac:dyDescent="0.25">
      <c r="A2030" t="s">
        <v>300</v>
      </c>
      <c r="B2030" t="s">
        <v>409</v>
      </c>
      <c r="C2030" t="str">
        <f>_xlfn.CONCAT("Nombre de trajets associés"," (",'Remplissage - Sit. Expost'!$B$253,")")</f>
        <v>Nombre de trajets associés (Catégorie 24)</v>
      </c>
      <c r="E2030" t="str">
        <f>_xlfn.CONCAT("ProjImmoAccDirNbTraj",RIGHT(LEFT(C2030,LEN(C2030)-1),2))</f>
        <v>ProjImmoAccDirNbTraj24</v>
      </c>
      <c r="F2030" t="s">
        <v>17</v>
      </c>
      <c r="G2030">
        <f t="shared" si="676"/>
        <v>0</v>
      </c>
      <c r="J2030" t="s">
        <v>145</v>
      </c>
      <c r="K2030">
        <v>15</v>
      </c>
      <c r="M2030" t="s">
        <v>303</v>
      </c>
    </row>
    <row r="2031" spans="1:13" outlineLevel="1" x14ac:dyDescent="0.25">
      <c r="A2031" t="s">
        <v>300</v>
      </c>
      <c r="B2031" t="s">
        <v>410</v>
      </c>
      <c r="C2031" t="str">
        <f>_xlfn.CONCAT("Taux de chargement moyen des véhicules pour l'accès direct au(x) projet(s)"," (",'Remplissage - Sit. Expost'!$B$263,")")</f>
        <v>Taux de chargement moyen des véhicules pour l'accès direct au(x) projet(s) (Catégorie 25)</v>
      </c>
      <c r="E2031" t="str">
        <f>_xlfn.CONCAT("ProjImmoAccDirTC",RIGHT(LEFT(C2031,LEN(C2031)-1),2))</f>
        <v>ProjImmoAccDirTC25</v>
      </c>
      <c r="F2031" t="s">
        <v>17</v>
      </c>
      <c r="G2031">
        <f t="shared" si="676"/>
        <v>0</v>
      </c>
      <c r="H2031" s="3"/>
      <c r="J2031" t="s">
        <v>70</v>
      </c>
      <c r="K2031" s="7">
        <v>0.33</v>
      </c>
      <c r="M2031" t="s">
        <v>303</v>
      </c>
    </row>
    <row r="2032" spans="1:13" outlineLevel="1" x14ac:dyDescent="0.25">
      <c r="A2032" t="s">
        <v>300</v>
      </c>
      <c r="B2032" t="s">
        <v>410</v>
      </c>
      <c r="C2032" t="str">
        <f>_xlfn.CONCAT("Distance parcourue associée"," (",'Remplissage - Sit. Expost'!$B$263,")")</f>
        <v>Distance parcourue associée (Catégorie 25)</v>
      </c>
      <c r="E2032" t="str">
        <f>_xlfn.CONCAT("ProjImmoAccDirDist",RIGHT(LEFT(C2032,LEN(C2032)-1),2))</f>
        <v>ProjImmoAccDirDist25</v>
      </c>
      <c r="F2032" t="s">
        <v>17</v>
      </c>
      <c r="G2032">
        <f t="shared" si="676"/>
        <v>0</v>
      </c>
      <c r="J2032" t="s">
        <v>88</v>
      </c>
      <c r="K2032">
        <v>30</v>
      </c>
      <c r="M2032" t="s">
        <v>303</v>
      </c>
    </row>
    <row r="2033" spans="1:13" outlineLevel="1" x14ac:dyDescent="0.25">
      <c r="A2033" t="s">
        <v>300</v>
      </c>
      <c r="B2033" t="s">
        <v>410</v>
      </c>
      <c r="C2033" t="str">
        <f>_xlfn.CONCAT("Nombre de trajets associés"," (",'Remplissage - Sit. Expost'!$B$263,")")</f>
        <v>Nombre de trajets associés (Catégorie 25)</v>
      </c>
      <c r="E2033" t="str">
        <f>_xlfn.CONCAT("ProjImmoAccDirNbTraj",RIGHT(LEFT(C2033,LEN(C2033)-1),2))</f>
        <v>ProjImmoAccDirNbTraj25</v>
      </c>
      <c r="F2033" t="s">
        <v>17</v>
      </c>
      <c r="G2033">
        <f t="shared" si="676"/>
        <v>0</v>
      </c>
      <c r="J2033" t="s">
        <v>145</v>
      </c>
      <c r="K2033">
        <v>15</v>
      </c>
      <c r="M2033" t="s">
        <v>303</v>
      </c>
    </row>
    <row r="2034" spans="1:13" outlineLevel="1" x14ac:dyDescent="0.25">
      <c r="A2034" t="s">
        <v>300</v>
      </c>
      <c r="B2034" t="s">
        <v>411</v>
      </c>
      <c r="C2034" t="str">
        <f>_xlfn.CONCAT("Taux de chargement moyen des véhicules pour l'accès direct au(x) projet(s)"," (",'Remplissage - Sit. Expost'!$B$273,")")</f>
        <v>Taux de chargement moyen des véhicules pour l'accès direct au(x) projet(s) (Catégorie 26)</v>
      </c>
      <c r="E2034" t="str">
        <f>_xlfn.CONCAT("ProjImmoAccDirTC",RIGHT(LEFT(C2034,LEN(C2034)-1),2))</f>
        <v>ProjImmoAccDirTC26</v>
      </c>
      <c r="F2034" t="s">
        <v>17</v>
      </c>
      <c r="G2034">
        <f t="shared" si="676"/>
        <v>0</v>
      </c>
      <c r="H2034" s="3"/>
      <c r="J2034" t="s">
        <v>70</v>
      </c>
      <c r="K2034" s="7">
        <v>0.33</v>
      </c>
      <c r="M2034" t="s">
        <v>303</v>
      </c>
    </row>
    <row r="2035" spans="1:13" outlineLevel="1" x14ac:dyDescent="0.25">
      <c r="A2035" t="s">
        <v>300</v>
      </c>
      <c r="B2035" t="s">
        <v>411</v>
      </c>
      <c r="C2035" t="str">
        <f>_xlfn.CONCAT("Distance parcourue associée"," (",'Remplissage - Sit. Expost'!$B$273,")")</f>
        <v>Distance parcourue associée (Catégorie 26)</v>
      </c>
      <c r="E2035" t="str">
        <f>_xlfn.CONCAT("ProjImmoAccDirDist",RIGHT(LEFT(C2035,LEN(C2035)-1),2))</f>
        <v>ProjImmoAccDirDist26</v>
      </c>
      <c r="F2035" t="s">
        <v>17</v>
      </c>
      <c r="G2035">
        <f t="shared" si="676"/>
        <v>0</v>
      </c>
      <c r="J2035" t="s">
        <v>88</v>
      </c>
      <c r="K2035">
        <v>30</v>
      </c>
      <c r="M2035" t="s">
        <v>303</v>
      </c>
    </row>
    <row r="2036" spans="1:13" outlineLevel="1" x14ac:dyDescent="0.25">
      <c r="A2036" t="s">
        <v>300</v>
      </c>
      <c r="B2036" t="s">
        <v>411</v>
      </c>
      <c r="C2036" t="str">
        <f>_xlfn.CONCAT("Nombre de trajets associés"," (",'Remplissage - Sit. Expost'!$B$273,")")</f>
        <v>Nombre de trajets associés (Catégorie 26)</v>
      </c>
      <c r="E2036" t="str">
        <f>_xlfn.CONCAT("ProjImmoAccDirNbTraj",RIGHT(LEFT(C2036,LEN(C2036)-1),2))</f>
        <v>ProjImmoAccDirNbTraj26</v>
      </c>
      <c r="F2036" t="s">
        <v>17</v>
      </c>
      <c r="G2036">
        <f t="shared" si="676"/>
        <v>0</v>
      </c>
      <c r="J2036" t="s">
        <v>145</v>
      </c>
      <c r="K2036">
        <v>15</v>
      </c>
      <c r="M2036" t="s">
        <v>303</v>
      </c>
    </row>
    <row r="2037" spans="1:13" outlineLevel="1" x14ac:dyDescent="0.25">
      <c r="A2037" t="s">
        <v>300</v>
      </c>
      <c r="B2037" t="s">
        <v>412</v>
      </c>
      <c r="C2037" t="str">
        <f>_xlfn.CONCAT("Taux de chargement moyen des véhicules pour l'accès direct au(x) projet(s)"," (",'Remplissage - Sit. Expost'!$B$283,")")</f>
        <v>Taux de chargement moyen des véhicules pour l'accès direct au(x) projet(s) (Catégorie 27)</v>
      </c>
      <c r="E2037" t="str">
        <f>_xlfn.CONCAT("ProjImmoAccDirTC",RIGHT(LEFT(C2037,LEN(C2037)-1),2))</f>
        <v>ProjImmoAccDirTC27</v>
      </c>
      <c r="F2037" t="s">
        <v>17</v>
      </c>
      <c r="G2037">
        <f t="shared" si="676"/>
        <v>0</v>
      </c>
      <c r="H2037" s="3"/>
      <c r="J2037" t="s">
        <v>70</v>
      </c>
      <c r="K2037" s="7">
        <v>0.33</v>
      </c>
      <c r="M2037" t="s">
        <v>303</v>
      </c>
    </row>
    <row r="2038" spans="1:13" outlineLevel="1" x14ac:dyDescent="0.25">
      <c r="A2038" t="s">
        <v>300</v>
      </c>
      <c r="B2038" t="s">
        <v>412</v>
      </c>
      <c r="C2038" t="str">
        <f>_xlfn.CONCAT("Distance parcourue associée"," (",'Remplissage - Sit. Expost'!$B$283,")")</f>
        <v>Distance parcourue associée (Catégorie 27)</v>
      </c>
      <c r="E2038" t="str">
        <f>_xlfn.CONCAT("ProjImmoAccDirDist",RIGHT(LEFT(C2038,LEN(C2038)-1),2))</f>
        <v>ProjImmoAccDirDist27</v>
      </c>
      <c r="F2038" t="s">
        <v>17</v>
      </c>
      <c r="G2038">
        <f t="shared" si="676"/>
        <v>0</v>
      </c>
      <c r="J2038" t="s">
        <v>88</v>
      </c>
      <c r="K2038">
        <v>30</v>
      </c>
      <c r="M2038" t="s">
        <v>303</v>
      </c>
    </row>
    <row r="2039" spans="1:13" outlineLevel="1" x14ac:dyDescent="0.25">
      <c r="A2039" t="s">
        <v>300</v>
      </c>
      <c r="B2039" t="s">
        <v>412</v>
      </c>
      <c r="C2039" t="str">
        <f>_xlfn.CONCAT("Nombre de trajets associés"," (",'Remplissage - Sit. Expost'!$B$283,")")</f>
        <v>Nombre de trajets associés (Catégorie 27)</v>
      </c>
      <c r="E2039" t="str">
        <f>_xlfn.CONCAT("ProjImmoAccDirNbTraj",RIGHT(LEFT(C2039,LEN(C2039)-1),2))</f>
        <v>ProjImmoAccDirNbTraj27</v>
      </c>
      <c r="F2039" t="s">
        <v>17</v>
      </c>
      <c r="G2039">
        <f t="shared" si="676"/>
        <v>0</v>
      </c>
      <c r="J2039" t="s">
        <v>145</v>
      </c>
      <c r="K2039">
        <v>15</v>
      </c>
      <c r="M2039" t="s">
        <v>303</v>
      </c>
    </row>
    <row r="2040" spans="1:13" outlineLevel="1" x14ac:dyDescent="0.25">
      <c r="A2040" t="s">
        <v>300</v>
      </c>
      <c r="B2040" t="s">
        <v>413</v>
      </c>
      <c r="C2040" t="str">
        <f>_xlfn.CONCAT("Taux de chargement moyen des véhicules pour l'accès direct au(x) projet(s)"," (",'Remplissage - Sit. Expost'!$B$293,")")</f>
        <v>Taux de chargement moyen des véhicules pour l'accès direct au(x) projet(s) (Catégorie 28)</v>
      </c>
      <c r="E2040" t="str">
        <f>_xlfn.CONCAT("ProjImmoAccDirTC",RIGHT(LEFT(C2040,LEN(C2040)-1),2))</f>
        <v>ProjImmoAccDirTC28</v>
      </c>
      <c r="F2040" t="s">
        <v>17</v>
      </c>
      <c r="G2040">
        <f t="shared" si="676"/>
        <v>0</v>
      </c>
      <c r="H2040" s="3"/>
      <c r="J2040" t="s">
        <v>70</v>
      </c>
      <c r="K2040" s="7">
        <v>0.33</v>
      </c>
      <c r="M2040" t="s">
        <v>303</v>
      </c>
    </row>
    <row r="2041" spans="1:13" outlineLevel="1" x14ac:dyDescent="0.25">
      <c r="A2041" t="s">
        <v>300</v>
      </c>
      <c r="B2041" t="s">
        <v>413</v>
      </c>
      <c r="C2041" t="str">
        <f>_xlfn.CONCAT("Distance parcourue associée"," (",'Remplissage - Sit. Expost'!$B$293,")")</f>
        <v>Distance parcourue associée (Catégorie 28)</v>
      </c>
      <c r="E2041" t="str">
        <f>_xlfn.CONCAT("ProjImmoAccDirDist",RIGHT(LEFT(C2041,LEN(C2041)-1),2))</f>
        <v>ProjImmoAccDirDist28</v>
      </c>
      <c r="F2041" t="s">
        <v>17</v>
      </c>
      <c r="G2041">
        <f t="shared" si="676"/>
        <v>0</v>
      </c>
      <c r="J2041" t="s">
        <v>88</v>
      </c>
      <c r="K2041">
        <v>30</v>
      </c>
      <c r="M2041" t="s">
        <v>303</v>
      </c>
    </row>
    <row r="2042" spans="1:13" outlineLevel="1" x14ac:dyDescent="0.25">
      <c r="A2042" t="s">
        <v>300</v>
      </c>
      <c r="B2042" t="s">
        <v>413</v>
      </c>
      <c r="C2042" t="str">
        <f>_xlfn.CONCAT("Nombre de trajets associés"," (",'Remplissage - Sit. Expost'!$B$293,")")</f>
        <v>Nombre de trajets associés (Catégorie 28)</v>
      </c>
      <c r="E2042" t="str">
        <f>_xlfn.CONCAT("ProjImmoAccDirNbTraj",RIGHT(LEFT(C2042,LEN(C2042)-1),2))</f>
        <v>ProjImmoAccDirNbTraj28</v>
      </c>
      <c r="F2042" t="s">
        <v>17</v>
      </c>
      <c r="G2042">
        <f t="shared" si="676"/>
        <v>0</v>
      </c>
      <c r="J2042" t="s">
        <v>145</v>
      </c>
      <c r="K2042">
        <v>15</v>
      </c>
      <c r="M2042" t="s">
        <v>303</v>
      </c>
    </row>
    <row r="2043" spans="1:13" outlineLevel="1" x14ac:dyDescent="0.25">
      <c r="A2043" t="s">
        <v>300</v>
      </c>
      <c r="B2043" t="s">
        <v>414</v>
      </c>
      <c r="C2043" t="str">
        <f>_xlfn.CONCAT("Taux de chargement moyen des véhicules pour l'accès direct au(x) projet(s)"," (",'Remplissage - Sit. Expost'!$B$303,")")</f>
        <v>Taux de chargement moyen des véhicules pour l'accès direct au(x) projet(s) (Catégorie 29)</v>
      </c>
      <c r="E2043" t="str">
        <f>_xlfn.CONCAT("ProjImmoAccDirTC",RIGHT(LEFT(C2043,LEN(C2043)-1),2))</f>
        <v>ProjImmoAccDirTC29</v>
      </c>
      <c r="F2043" t="s">
        <v>17</v>
      </c>
      <c r="G2043">
        <f t="shared" si="676"/>
        <v>0</v>
      </c>
      <c r="H2043" s="3"/>
      <c r="J2043" t="s">
        <v>70</v>
      </c>
      <c r="K2043" s="7">
        <v>0.33</v>
      </c>
      <c r="M2043" t="s">
        <v>303</v>
      </c>
    </row>
    <row r="2044" spans="1:13" outlineLevel="1" x14ac:dyDescent="0.25">
      <c r="A2044" t="s">
        <v>300</v>
      </c>
      <c r="B2044" t="s">
        <v>414</v>
      </c>
      <c r="C2044" t="str">
        <f>_xlfn.CONCAT("Distance parcourue associée"," (",'Remplissage - Sit. Expost'!$B$303,")")</f>
        <v>Distance parcourue associée (Catégorie 29)</v>
      </c>
      <c r="E2044" t="str">
        <f>_xlfn.CONCAT("ProjImmoAccDirDist",RIGHT(LEFT(C2044,LEN(C2044)-1),2))</f>
        <v>ProjImmoAccDirDist29</v>
      </c>
      <c r="F2044" t="s">
        <v>17</v>
      </c>
      <c r="G2044">
        <f t="shared" si="676"/>
        <v>0</v>
      </c>
      <c r="J2044" t="s">
        <v>88</v>
      </c>
      <c r="K2044">
        <v>30</v>
      </c>
      <c r="M2044" t="s">
        <v>303</v>
      </c>
    </row>
    <row r="2045" spans="1:13" outlineLevel="1" x14ac:dyDescent="0.25">
      <c r="A2045" t="s">
        <v>300</v>
      </c>
      <c r="B2045" t="s">
        <v>414</v>
      </c>
      <c r="C2045" t="str">
        <f>_xlfn.CONCAT("Nombre de trajets associés"," (",'Remplissage - Sit. Expost'!$B$303,")")</f>
        <v>Nombre de trajets associés (Catégorie 29)</v>
      </c>
      <c r="E2045" t="str">
        <f>_xlfn.CONCAT("ProjImmoAccDirNbTraj",RIGHT(LEFT(C2045,LEN(C2045)-1),2))</f>
        <v>ProjImmoAccDirNbTraj29</v>
      </c>
      <c r="F2045" t="s">
        <v>17</v>
      </c>
      <c r="G2045">
        <f t="shared" si="676"/>
        <v>0</v>
      </c>
      <c r="J2045" t="s">
        <v>145</v>
      </c>
      <c r="K2045">
        <v>15</v>
      </c>
      <c r="M2045" t="s">
        <v>303</v>
      </c>
    </row>
    <row r="2046" spans="1:13" outlineLevel="1" x14ac:dyDescent="0.25">
      <c r="A2046" t="s">
        <v>300</v>
      </c>
      <c r="B2046" t="s">
        <v>415</v>
      </c>
      <c r="C2046" t="str">
        <f>_xlfn.CONCAT("Taux de chargement moyen des véhicules pour l'accès direct au(x) projet(s)"," (",'Remplissage - Sit. Expost'!$B$313,")")</f>
        <v>Taux de chargement moyen des véhicules pour l'accès direct au(x) projet(s) (Catégorie 30)</v>
      </c>
      <c r="E2046" t="str">
        <f>_xlfn.CONCAT("ProjImmoAccDirTC",RIGHT(LEFT(C2046,LEN(C2046)-1),2))</f>
        <v>ProjImmoAccDirTC30</v>
      </c>
      <c r="F2046" t="s">
        <v>17</v>
      </c>
      <c r="G2046">
        <f t="shared" si="676"/>
        <v>0</v>
      </c>
      <c r="H2046" s="3"/>
      <c r="J2046" t="s">
        <v>70</v>
      </c>
      <c r="K2046" s="7">
        <v>0.33</v>
      </c>
      <c r="M2046" t="s">
        <v>303</v>
      </c>
    </row>
    <row r="2047" spans="1:13" outlineLevel="1" x14ac:dyDescent="0.25">
      <c r="A2047" t="s">
        <v>300</v>
      </c>
      <c r="B2047" t="s">
        <v>415</v>
      </c>
      <c r="C2047" t="str">
        <f>_xlfn.CONCAT("Distance parcourue associée"," (",'Remplissage - Sit. Expost'!$B$313,")")</f>
        <v>Distance parcourue associée (Catégorie 30)</v>
      </c>
      <c r="E2047" t="str">
        <f>_xlfn.CONCAT("ProjImmoAccDirDist",RIGHT(LEFT(C2047,LEN(C2047)-1),2))</f>
        <v>ProjImmoAccDirDist30</v>
      </c>
      <c r="F2047" t="s">
        <v>17</v>
      </c>
      <c r="G2047">
        <f t="shared" si="676"/>
        <v>0</v>
      </c>
      <c r="J2047" t="s">
        <v>88</v>
      </c>
      <c r="K2047">
        <v>30</v>
      </c>
      <c r="M2047" t="s">
        <v>303</v>
      </c>
    </row>
    <row r="2048" spans="1:13" outlineLevel="1" x14ac:dyDescent="0.25">
      <c r="A2048" t="s">
        <v>300</v>
      </c>
      <c r="B2048" t="s">
        <v>415</v>
      </c>
      <c r="C2048" t="str">
        <f>_xlfn.CONCAT("Nombre de trajets associés"," (",'Remplissage - Sit. Expost'!$B$313,")")</f>
        <v>Nombre de trajets associés (Catégorie 30)</v>
      </c>
      <c r="E2048" t="str">
        <f>_xlfn.CONCAT("ProjImmoAccDirNbTraj",RIGHT(LEFT(C2048,LEN(C2048)-1),2))</f>
        <v>ProjImmoAccDirNbTraj30</v>
      </c>
      <c r="F2048" t="s">
        <v>17</v>
      </c>
      <c r="G2048">
        <f t="shared" si="676"/>
        <v>0</v>
      </c>
      <c r="J2048" t="s">
        <v>145</v>
      </c>
      <c r="K2048">
        <v>15</v>
      </c>
      <c r="M2048" t="s">
        <v>303</v>
      </c>
    </row>
    <row r="2049" spans="1:13" outlineLevel="1" x14ac:dyDescent="0.25">
      <c r="A2049" t="s">
        <v>300</v>
      </c>
      <c r="B2049" t="s">
        <v>416</v>
      </c>
      <c r="C2049" t="str">
        <f>_xlfn.CONCAT("Taux de chargement moyen des véhicules pour l'accès direct au(x) projet(s)"," (",'Remplissage - Sit. Expost'!$B$323,")")</f>
        <v>Taux de chargement moyen des véhicules pour l'accès direct au(x) projet(s) (Catégorie 31)</v>
      </c>
      <c r="E2049" t="str">
        <f>_xlfn.CONCAT("ProjImmoAccDirTC",RIGHT(LEFT(C2049,LEN(C2049)-1),2))</f>
        <v>ProjImmoAccDirTC31</v>
      </c>
      <c r="F2049" t="s">
        <v>17</v>
      </c>
      <c r="G2049">
        <f t="shared" si="676"/>
        <v>0</v>
      </c>
      <c r="H2049" s="3"/>
      <c r="J2049" t="s">
        <v>70</v>
      </c>
      <c r="K2049" s="7">
        <v>0.33</v>
      </c>
      <c r="M2049" t="s">
        <v>303</v>
      </c>
    </row>
    <row r="2050" spans="1:13" outlineLevel="1" x14ac:dyDescent="0.25">
      <c r="A2050" t="s">
        <v>300</v>
      </c>
      <c r="B2050" t="s">
        <v>416</v>
      </c>
      <c r="C2050" t="str">
        <f>_xlfn.CONCAT("Distance parcourue associée"," (",'Remplissage - Sit. Expost'!$B$323,")")</f>
        <v>Distance parcourue associée (Catégorie 31)</v>
      </c>
      <c r="E2050" t="str">
        <f>_xlfn.CONCAT("ProjImmoAccDirDist",RIGHT(LEFT(C2050,LEN(C2050)-1),2))</f>
        <v>ProjImmoAccDirDist31</v>
      </c>
      <c r="F2050" t="s">
        <v>17</v>
      </c>
      <c r="G2050">
        <f t="shared" si="676"/>
        <v>0</v>
      </c>
      <c r="J2050" t="s">
        <v>88</v>
      </c>
      <c r="K2050">
        <v>30</v>
      </c>
      <c r="M2050" t="s">
        <v>303</v>
      </c>
    </row>
    <row r="2051" spans="1:13" outlineLevel="1" x14ac:dyDescent="0.25">
      <c r="A2051" t="s">
        <v>300</v>
      </c>
      <c r="B2051" t="s">
        <v>416</v>
      </c>
      <c r="C2051" t="str">
        <f>_xlfn.CONCAT("Nombre de trajets associés"," (",'Remplissage - Sit. Expost'!$B$323,")")</f>
        <v>Nombre de trajets associés (Catégorie 31)</v>
      </c>
      <c r="E2051" t="str">
        <f>_xlfn.CONCAT("ProjImmoAccDirNbTraj",RIGHT(LEFT(C2051,LEN(C2051)-1),2))</f>
        <v>ProjImmoAccDirNbTraj31</v>
      </c>
      <c r="F2051" t="s">
        <v>17</v>
      </c>
      <c r="G2051">
        <f t="shared" si="676"/>
        <v>0</v>
      </c>
      <c r="J2051" t="s">
        <v>145</v>
      </c>
      <c r="K2051">
        <v>15</v>
      </c>
      <c r="M2051" t="s">
        <v>303</v>
      </c>
    </row>
    <row r="2052" spans="1:13" outlineLevel="1" x14ac:dyDescent="0.25">
      <c r="A2052" t="s">
        <v>300</v>
      </c>
      <c r="B2052" t="s">
        <v>417</v>
      </c>
      <c r="C2052" t="str">
        <f>_xlfn.CONCAT("Taux de chargement moyen des véhicules pour l'accès direct au(x) projet(s)"," (",'Remplissage - Sit. Expost'!$B$333,")")</f>
        <v>Taux de chargement moyen des véhicules pour l'accès direct au(x) projet(s) (Catégorie 32)</v>
      </c>
      <c r="E2052" t="str">
        <f>_xlfn.CONCAT("ProjImmoAccDirTC",RIGHT(LEFT(C2052,LEN(C2052)-1),2))</f>
        <v>ProjImmoAccDirTC32</v>
      </c>
      <c r="F2052" t="s">
        <v>17</v>
      </c>
      <c r="G2052">
        <f t="shared" si="676"/>
        <v>0</v>
      </c>
      <c r="H2052" s="3"/>
      <c r="J2052" t="s">
        <v>70</v>
      </c>
      <c r="K2052" s="7">
        <v>0.33</v>
      </c>
      <c r="M2052" t="s">
        <v>303</v>
      </c>
    </row>
    <row r="2053" spans="1:13" outlineLevel="1" x14ac:dyDescent="0.25">
      <c r="A2053" t="s">
        <v>300</v>
      </c>
      <c r="B2053" t="s">
        <v>417</v>
      </c>
      <c r="C2053" t="str">
        <f>_xlfn.CONCAT("Distance parcourue associée"," (",'Remplissage - Sit. Expost'!$B$333,")")</f>
        <v>Distance parcourue associée (Catégorie 32)</v>
      </c>
      <c r="E2053" t="str">
        <f>_xlfn.CONCAT("ProjImmoAccDirDist",RIGHT(LEFT(C2053,LEN(C2053)-1),2))</f>
        <v>ProjImmoAccDirDist32</v>
      </c>
      <c r="F2053" t="s">
        <v>17</v>
      </c>
      <c r="G2053">
        <f t="shared" si="676"/>
        <v>0</v>
      </c>
      <c r="J2053" t="s">
        <v>88</v>
      </c>
      <c r="K2053">
        <v>30</v>
      </c>
      <c r="M2053" t="s">
        <v>303</v>
      </c>
    </row>
    <row r="2054" spans="1:13" outlineLevel="1" x14ac:dyDescent="0.25">
      <c r="A2054" t="s">
        <v>300</v>
      </c>
      <c r="B2054" t="s">
        <v>417</v>
      </c>
      <c r="C2054" t="str">
        <f>_xlfn.CONCAT("Nombre de trajets associés"," (",'Remplissage - Sit. Expost'!$B$333,")")</f>
        <v>Nombre de trajets associés (Catégorie 32)</v>
      </c>
      <c r="E2054" t="str">
        <f>_xlfn.CONCAT("ProjImmoAccDirNbTraj",RIGHT(LEFT(C2054,LEN(C2054)-1),2))</f>
        <v>ProjImmoAccDirNbTraj32</v>
      </c>
      <c r="F2054" t="s">
        <v>17</v>
      </c>
      <c r="G2054">
        <f t="shared" si="676"/>
        <v>0</v>
      </c>
      <c r="J2054" t="s">
        <v>145</v>
      </c>
      <c r="K2054">
        <v>15</v>
      </c>
      <c r="M2054" t="s">
        <v>303</v>
      </c>
    </row>
    <row r="2055" spans="1:13" outlineLevel="1" x14ac:dyDescent="0.25">
      <c r="A2055" t="s">
        <v>300</v>
      </c>
      <c r="B2055" t="s">
        <v>418</v>
      </c>
      <c r="C2055" t="str">
        <f>_xlfn.CONCAT("Taux de chargement moyen des véhicules pour l'accès direct au(x) projet(s)"," (",'Remplissage - Sit. Expost'!$B$343,")")</f>
        <v>Taux de chargement moyen des véhicules pour l'accès direct au(x) projet(s) (Catégorie 33)</v>
      </c>
      <c r="E2055" t="str">
        <f>_xlfn.CONCAT("ProjImmoAccDirTC",RIGHT(LEFT(C2055,LEN(C2055)-1),2))</f>
        <v>ProjImmoAccDirTC33</v>
      </c>
      <c r="F2055" t="s">
        <v>17</v>
      </c>
      <c r="G2055">
        <f t="shared" si="676"/>
        <v>0</v>
      </c>
      <c r="H2055" s="3"/>
      <c r="J2055" t="s">
        <v>70</v>
      </c>
      <c r="K2055" s="7">
        <v>0.33</v>
      </c>
      <c r="M2055" t="s">
        <v>303</v>
      </c>
    </row>
    <row r="2056" spans="1:13" outlineLevel="1" x14ac:dyDescent="0.25">
      <c r="A2056" t="s">
        <v>300</v>
      </c>
      <c r="B2056" t="s">
        <v>418</v>
      </c>
      <c r="C2056" t="str">
        <f>_xlfn.CONCAT("Distance parcourue associée"," (",'Remplissage - Sit. Expost'!$B$343,")")</f>
        <v>Distance parcourue associée (Catégorie 33)</v>
      </c>
      <c r="E2056" t="str">
        <f>_xlfn.CONCAT("ProjImmoAccDirDist",RIGHT(LEFT(C2056,LEN(C2056)-1),2))</f>
        <v>ProjImmoAccDirDist33</v>
      </c>
      <c r="F2056" t="s">
        <v>17</v>
      </c>
      <c r="G2056">
        <f t="shared" si="676"/>
        <v>0</v>
      </c>
      <c r="J2056" t="s">
        <v>88</v>
      </c>
      <c r="K2056">
        <v>30</v>
      </c>
      <c r="M2056" t="s">
        <v>303</v>
      </c>
    </row>
    <row r="2057" spans="1:13" outlineLevel="1" x14ac:dyDescent="0.25">
      <c r="A2057" t="s">
        <v>300</v>
      </c>
      <c r="B2057" t="s">
        <v>418</v>
      </c>
      <c r="C2057" t="str">
        <f>_xlfn.CONCAT("Nombre de trajets associés"," (",'Remplissage - Sit. Expost'!$B$343,")")</f>
        <v>Nombre de trajets associés (Catégorie 33)</v>
      </c>
      <c r="E2057" t="str">
        <f>_xlfn.CONCAT("ProjImmoAccDirNbTraj",RIGHT(LEFT(C2057,LEN(C2057)-1),2))</f>
        <v>ProjImmoAccDirNbTraj33</v>
      </c>
      <c r="F2057" t="s">
        <v>17</v>
      </c>
      <c r="G2057">
        <f t="shared" si="676"/>
        <v>0</v>
      </c>
      <c r="J2057" t="s">
        <v>145</v>
      </c>
      <c r="K2057">
        <v>15</v>
      </c>
      <c r="M2057" t="s">
        <v>303</v>
      </c>
    </row>
    <row r="2058" spans="1:13" outlineLevel="1" x14ac:dyDescent="0.25">
      <c r="A2058" t="s">
        <v>300</v>
      </c>
      <c r="B2058" t="s">
        <v>419</v>
      </c>
      <c r="C2058" t="str">
        <f>_xlfn.CONCAT("Taux de chargement moyen des véhicules pour l'accès direct au(x) projet(s)"," (",'Remplissage - Sit. Expost'!$B$353,")")</f>
        <v>Taux de chargement moyen des véhicules pour l'accès direct au(x) projet(s) (Catégorie 34)</v>
      </c>
      <c r="E2058" t="str">
        <f>_xlfn.CONCAT("ProjImmoAccDirTC",RIGHT(LEFT(C2058,LEN(C2058)-1),2))</f>
        <v>ProjImmoAccDirTC34</v>
      </c>
      <c r="F2058" t="s">
        <v>17</v>
      </c>
      <c r="G2058">
        <f t="shared" si="676"/>
        <v>0</v>
      </c>
      <c r="H2058" s="3"/>
      <c r="J2058" t="s">
        <v>70</v>
      </c>
      <c r="K2058" s="7">
        <v>0.33</v>
      </c>
      <c r="M2058" t="s">
        <v>303</v>
      </c>
    </row>
    <row r="2059" spans="1:13" outlineLevel="1" x14ac:dyDescent="0.25">
      <c r="A2059" t="s">
        <v>300</v>
      </c>
      <c r="B2059" t="s">
        <v>419</v>
      </c>
      <c r="C2059" t="str">
        <f>_xlfn.CONCAT("Distance parcourue associée"," (",'Remplissage - Sit. Expost'!$B$353,")")</f>
        <v>Distance parcourue associée (Catégorie 34)</v>
      </c>
      <c r="E2059" t="str">
        <f>_xlfn.CONCAT("ProjImmoAccDirDist",RIGHT(LEFT(C2059,LEN(C2059)-1),2))</f>
        <v>ProjImmoAccDirDist34</v>
      </c>
      <c r="F2059" t="s">
        <v>17</v>
      </c>
      <c r="G2059">
        <f t="shared" si="676"/>
        <v>0</v>
      </c>
      <c r="J2059" t="s">
        <v>88</v>
      </c>
      <c r="K2059">
        <v>30</v>
      </c>
      <c r="M2059" t="s">
        <v>303</v>
      </c>
    </row>
    <row r="2060" spans="1:13" outlineLevel="1" x14ac:dyDescent="0.25">
      <c r="A2060" t="s">
        <v>300</v>
      </c>
      <c r="B2060" t="s">
        <v>419</v>
      </c>
      <c r="C2060" t="str">
        <f>_xlfn.CONCAT("Nombre de trajets associés"," (",'Remplissage - Sit. Expost'!$B$353,")")</f>
        <v>Nombre de trajets associés (Catégorie 34)</v>
      </c>
      <c r="E2060" t="str">
        <f>_xlfn.CONCAT("ProjImmoAccDirNbTraj",RIGHT(LEFT(C2060,LEN(C2060)-1),2))</f>
        <v>ProjImmoAccDirNbTraj34</v>
      </c>
      <c r="F2060" t="s">
        <v>17</v>
      </c>
      <c r="G2060">
        <f t="shared" si="676"/>
        <v>0</v>
      </c>
      <c r="J2060" t="s">
        <v>145</v>
      </c>
      <c r="K2060">
        <v>15</v>
      </c>
      <c r="M2060" t="s">
        <v>303</v>
      </c>
    </row>
    <row r="2061" spans="1:13" outlineLevel="1" x14ac:dyDescent="0.25">
      <c r="A2061" t="s">
        <v>300</v>
      </c>
      <c r="B2061" t="s">
        <v>420</v>
      </c>
      <c r="C2061" t="str">
        <f>_xlfn.CONCAT("Taux de chargement moyen des véhicules pour l'accès direct au(x) projet(s)"," (",'Remplissage - Sit. Expost'!$B$363,")")</f>
        <v>Taux de chargement moyen des véhicules pour l'accès direct au(x) projet(s) (Catégorie 35)</v>
      </c>
      <c r="E2061" t="str">
        <f>_xlfn.CONCAT("ProjImmoAccDirTC",RIGHT(LEFT(C2061,LEN(C2061)-1),2))</f>
        <v>ProjImmoAccDirTC35</v>
      </c>
      <c r="F2061" t="s">
        <v>17</v>
      </c>
      <c r="G2061">
        <f t="shared" si="676"/>
        <v>0</v>
      </c>
      <c r="H2061" s="3"/>
      <c r="J2061" t="s">
        <v>70</v>
      </c>
      <c r="K2061" s="7">
        <v>0.33</v>
      </c>
      <c r="M2061" t="s">
        <v>303</v>
      </c>
    </row>
    <row r="2062" spans="1:13" outlineLevel="1" x14ac:dyDescent="0.25">
      <c r="A2062" t="s">
        <v>300</v>
      </c>
      <c r="B2062" t="s">
        <v>420</v>
      </c>
      <c r="C2062" t="str">
        <f>_xlfn.CONCAT("Distance parcourue associée"," (",'Remplissage - Sit. Expost'!$B$363,")")</f>
        <v>Distance parcourue associée (Catégorie 35)</v>
      </c>
      <c r="E2062" t="str">
        <f>_xlfn.CONCAT("ProjImmoAccDirDist",RIGHT(LEFT(C2062,LEN(C2062)-1),2))</f>
        <v>ProjImmoAccDirDist35</v>
      </c>
      <c r="F2062" t="s">
        <v>17</v>
      </c>
      <c r="G2062">
        <f t="shared" si="676"/>
        <v>0</v>
      </c>
      <c r="J2062" t="s">
        <v>88</v>
      </c>
      <c r="K2062">
        <v>30</v>
      </c>
      <c r="M2062" t="s">
        <v>303</v>
      </c>
    </row>
    <row r="2063" spans="1:13" outlineLevel="1" x14ac:dyDescent="0.25">
      <c r="A2063" t="s">
        <v>300</v>
      </c>
      <c r="B2063" t="s">
        <v>420</v>
      </c>
      <c r="C2063" t="str">
        <f>_xlfn.CONCAT("Nombre de trajets associés"," (",'Remplissage - Sit. Expost'!$B$363,")")</f>
        <v>Nombre de trajets associés (Catégorie 35)</v>
      </c>
      <c r="E2063" t="str">
        <f>_xlfn.CONCAT("ProjImmoAccDirNbTraj",RIGHT(LEFT(C2063,LEN(C2063)-1),2))</f>
        <v>ProjImmoAccDirNbTraj35</v>
      </c>
      <c r="F2063" t="s">
        <v>17</v>
      </c>
      <c r="G2063">
        <f t="shared" si="676"/>
        <v>0</v>
      </c>
      <c r="J2063" t="s">
        <v>145</v>
      </c>
      <c r="K2063">
        <v>15</v>
      </c>
      <c r="M2063" t="s">
        <v>303</v>
      </c>
    </row>
    <row r="2064" spans="1:13" outlineLevel="1" x14ac:dyDescent="0.25">
      <c r="A2064" t="s">
        <v>300</v>
      </c>
      <c r="B2064" t="s">
        <v>421</v>
      </c>
      <c r="C2064" t="str">
        <f>_xlfn.CONCAT("Taux de chargement moyen des véhicules pour l'accès direct au(x) projet(s)"," (",'Remplissage - Sit. Expost'!$B$373,")")</f>
        <v>Taux de chargement moyen des véhicules pour l'accès direct au(x) projet(s) (Catégorie 36)</v>
      </c>
      <c r="E2064" t="str">
        <f>_xlfn.CONCAT("ProjImmoAccDirTC",RIGHT(LEFT(C2064,LEN(C2064)-1),2))</f>
        <v>ProjImmoAccDirTC36</v>
      </c>
      <c r="F2064" t="s">
        <v>17</v>
      </c>
      <c r="G2064">
        <f t="shared" si="676"/>
        <v>0</v>
      </c>
      <c r="H2064" s="3"/>
      <c r="J2064" t="s">
        <v>70</v>
      </c>
      <c r="K2064" s="7">
        <v>0.33</v>
      </c>
      <c r="M2064" t="s">
        <v>303</v>
      </c>
    </row>
    <row r="2065" spans="1:13" outlineLevel="1" x14ac:dyDescent="0.25">
      <c r="A2065" t="s">
        <v>300</v>
      </c>
      <c r="B2065" t="s">
        <v>421</v>
      </c>
      <c r="C2065" t="str">
        <f>_xlfn.CONCAT("Distance parcourue associée"," (",'Remplissage - Sit. Expost'!$B$373,")")</f>
        <v>Distance parcourue associée (Catégorie 36)</v>
      </c>
      <c r="E2065" t="str">
        <f>_xlfn.CONCAT("ProjImmoAccDirDist",RIGHT(LEFT(C2065,LEN(C2065)-1),2))</f>
        <v>ProjImmoAccDirDist36</v>
      </c>
      <c r="F2065" t="s">
        <v>17</v>
      </c>
      <c r="G2065">
        <f t="shared" si="676"/>
        <v>0</v>
      </c>
      <c r="J2065" t="s">
        <v>88</v>
      </c>
      <c r="K2065">
        <v>30</v>
      </c>
      <c r="M2065" t="s">
        <v>303</v>
      </c>
    </row>
    <row r="2066" spans="1:13" outlineLevel="1" x14ac:dyDescent="0.25">
      <c r="A2066" t="s">
        <v>300</v>
      </c>
      <c r="B2066" t="s">
        <v>421</v>
      </c>
      <c r="C2066" t="str">
        <f>_xlfn.CONCAT("Nombre de trajets associés"," (",'Remplissage - Sit. Expost'!$B$373,")")</f>
        <v>Nombre de trajets associés (Catégorie 36)</v>
      </c>
      <c r="E2066" t="str">
        <f>_xlfn.CONCAT("ProjImmoAccDirNbTraj",RIGHT(LEFT(C2066,LEN(C2066)-1),2))</f>
        <v>ProjImmoAccDirNbTraj36</v>
      </c>
      <c r="F2066" t="s">
        <v>17</v>
      </c>
      <c r="G2066">
        <f t="shared" si="676"/>
        <v>0</v>
      </c>
      <c r="J2066" t="s">
        <v>145</v>
      </c>
      <c r="K2066">
        <v>15</v>
      </c>
      <c r="M2066" t="s">
        <v>303</v>
      </c>
    </row>
    <row r="2067" spans="1:13" outlineLevel="1" x14ac:dyDescent="0.25">
      <c r="A2067" t="s">
        <v>300</v>
      </c>
      <c r="B2067" t="s">
        <v>422</v>
      </c>
      <c r="C2067" t="str">
        <f>_xlfn.CONCAT("Taux de chargement moyen des véhicules pour l'accès direct au(x) projet(s)"," (",'Remplissage - Sit. Expost'!$B$383,")")</f>
        <v>Taux de chargement moyen des véhicules pour l'accès direct au(x) projet(s) (Catégorie 37)</v>
      </c>
      <c r="E2067" t="str">
        <f>_xlfn.CONCAT("ProjImmoAccDirTC",RIGHT(LEFT(C2067,LEN(C2067)-1),2))</f>
        <v>ProjImmoAccDirTC37</v>
      </c>
      <c r="F2067" t="s">
        <v>17</v>
      </c>
      <c r="G2067">
        <f t="shared" si="676"/>
        <v>0</v>
      </c>
      <c r="H2067" s="3"/>
      <c r="J2067" t="s">
        <v>70</v>
      </c>
      <c r="K2067" s="7">
        <v>0.33</v>
      </c>
      <c r="M2067" t="s">
        <v>303</v>
      </c>
    </row>
    <row r="2068" spans="1:13" outlineLevel="1" x14ac:dyDescent="0.25">
      <c r="A2068" t="s">
        <v>300</v>
      </c>
      <c r="B2068" t="s">
        <v>422</v>
      </c>
      <c r="C2068" t="str">
        <f>_xlfn.CONCAT("Distance parcourue associée"," (",'Remplissage - Sit. Expost'!$B$383,")")</f>
        <v>Distance parcourue associée (Catégorie 37)</v>
      </c>
      <c r="E2068" t="str">
        <f>_xlfn.CONCAT("ProjImmoAccDirDist",RIGHT(LEFT(C2068,LEN(C2068)-1),2))</f>
        <v>ProjImmoAccDirDist37</v>
      </c>
      <c r="F2068" t="s">
        <v>17</v>
      </c>
      <c r="G2068">
        <f t="shared" si="676"/>
        <v>0</v>
      </c>
      <c r="J2068" t="s">
        <v>88</v>
      </c>
      <c r="K2068">
        <v>30</v>
      </c>
      <c r="M2068" t="s">
        <v>303</v>
      </c>
    </row>
    <row r="2069" spans="1:13" outlineLevel="1" x14ac:dyDescent="0.25">
      <c r="A2069" t="s">
        <v>300</v>
      </c>
      <c r="B2069" t="s">
        <v>422</v>
      </c>
      <c r="C2069" t="str">
        <f>_xlfn.CONCAT("Nombre de trajets associés"," (",'Remplissage - Sit. Expost'!$B$383,")")</f>
        <v>Nombre de trajets associés (Catégorie 37)</v>
      </c>
      <c r="E2069" t="str">
        <f>_xlfn.CONCAT("ProjImmoAccDirNbTraj",RIGHT(LEFT(C2069,LEN(C2069)-1),2))</f>
        <v>ProjImmoAccDirNbTraj37</v>
      </c>
      <c r="F2069" t="s">
        <v>17</v>
      </c>
      <c r="G2069">
        <f t="shared" si="676"/>
        <v>0</v>
      </c>
      <c r="J2069" t="s">
        <v>145</v>
      </c>
      <c r="K2069">
        <v>15</v>
      </c>
      <c r="M2069" t="s">
        <v>303</v>
      </c>
    </row>
    <row r="2070" spans="1:13" outlineLevel="1" x14ac:dyDescent="0.25">
      <c r="A2070" t="s">
        <v>300</v>
      </c>
      <c r="B2070" t="s">
        <v>423</v>
      </c>
      <c r="C2070" t="str">
        <f>_xlfn.CONCAT("Taux de chargement moyen des véhicules pour l'accès direct au(x) projet(s)"," (",'Remplissage - Sit. Expost'!$B$393,")")</f>
        <v>Taux de chargement moyen des véhicules pour l'accès direct au(x) projet(s) (Catégorie 38)</v>
      </c>
      <c r="E2070" t="str">
        <f>_xlfn.CONCAT("ProjImmoAccDirTC",RIGHT(LEFT(C2070,LEN(C2070)-1),2))</f>
        <v>ProjImmoAccDirTC38</v>
      </c>
      <c r="F2070" t="s">
        <v>17</v>
      </c>
      <c r="G2070">
        <f t="shared" si="676"/>
        <v>0</v>
      </c>
      <c r="H2070" s="3"/>
      <c r="J2070" t="s">
        <v>70</v>
      </c>
      <c r="K2070" s="7">
        <v>0.33</v>
      </c>
      <c r="M2070" t="s">
        <v>303</v>
      </c>
    </row>
    <row r="2071" spans="1:13" outlineLevel="1" x14ac:dyDescent="0.25">
      <c r="A2071" t="s">
        <v>300</v>
      </c>
      <c r="B2071" t="s">
        <v>423</v>
      </c>
      <c r="C2071" t="str">
        <f>_xlfn.CONCAT("Distance parcourue associée"," (",'Remplissage - Sit. Expost'!$B$393,")")</f>
        <v>Distance parcourue associée (Catégorie 38)</v>
      </c>
      <c r="E2071" t="str">
        <f>_xlfn.CONCAT("ProjImmoAccDirDist",RIGHT(LEFT(C2071,LEN(C2071)-1),2))</f>
        <v>ProjImmoAccDirDist38</v>
      </c>
      <c r="F2071" t="s">
        <v>17</v>
      </c>
      <c r="G2071">
        <f t="shared" si="676"/>
        <v>0</v>
      </c>
      <c r="J2071" t="s">
        <v>88</v>
      </c>
      <c r="K2071">
        <v>30</v>
      </c>
      <c r="M2071" t="s">
        <v>303</v>
      </c>
    </row>
    <row r="2072" spans="1:13" outlineLevel="1" x14ac:dyDescent="0.25">
      <c r="A2072" t="s">
        <v>300</v>
      </c>
      <c r="B2072" t="s">
        <v>423</v>
      </c>
      <c r="C2072" t="str">
        <f>_xlfn.CONCAT("Nombre de trajets associés"," (",'Remplissage - Sit. Expost'!$B$393,")")</f>
        <v>Nombre de trajets associés (Catégorie 38)</v>
      </c>
      <c r="E2072" t="str">
        <f>_xlfn.CONCAT("ProjImmoAccDirNbTraj",RIGHT(LEFT(C2072,LEN(C2072)-1),2))</f>
        <v>ProjImmoAccDirNbTraj38</v>
      </c>
      <c r="F2072" t="s">
        <v>17</v>
      </c>
      <c r="G2072">
        <f t="shared" si="676"/>
        <v>0</v>
      </c>
      <c r="J2072" t="s">
        <v>145</v>
      </c>
      <c r="K2072">
        <v>15</v>
      </c>
      <c r="M2072" t="s">
        <v>303</v>
      </c>
    </row>
    <row r="2073" spans="1:13" outlineLevel="1" x14ac:dyDescent="0.25">
      <c r="A2073" t="s">
        <v>300</v>
      </c>
      <c r="B2073" t="s">
        <v>424</v>
      </c>
      <c r="C2073" t="str">
        <f>_xlfn.CONCAT("Taux de chargement moyen des véhicules pour l'accès direct au(x) projet(s)"," (",'Remplissage - Sit. Expost'!$B$403,")")</f>
        <v>Taux de chargement moyen des véhicules pour l'accès direct au(x) projet(s) (Catégorie 39)</v>
      </c>
      <c r="E2073" t="str">
        <f>_xlfn.CONCAT("ProjImmoAccDirTC",RIGHT(LEFT(C2073,LEN(C2073)-1),2))</f>
        <v>ProjImmoAccDirTC39</v>
      </c>
      <c r="F2073" t="s">
        <v>17</v>
      </c>
      <c r="G2073">
        <f t="shared" si="676"/>
        <v>0</v>
      </c>
      <c r="H2073" s="3"/>
      <c r="J2073" t="s">
        <v>70</v>
      </c>
      <c r="K2073" s="7">
        <v>0.33</v>
      </c>
      <c r="M2073" t="s">
        <v>303</v>
      </c>
    </row>
    <row r="2074" spans="1:13" outlineLevel="1" x14ac:dyDescent="0.25">
      <c r="A2074" t="s">
        <v>300</v>
      </c>
      <c r="B2074" t="s">
        <v>424</v>
      </c>
      <c r="C2074" t="str">
        <f>_xlfn.CONCAT("Distance parcourue associée"," (",'Remplissage - Sit. Expost'!$B$403,")")</f>
        <v>Distance parcourue associée (Catégorie 39)</v>
      </c>
      <c r="E2074" t="str">
        <f>_xlfn.CONCAT("ProjImmoAccDirDist",RIGHT(LEFT(C2074,LEN(C2074)-1),2))</f>
        <v>ProjImmoAccDirDist39</v>
      </c>
      <c r="F2074" t="s">
        <v>17</v>
      </c>
      <c r="G2074">
        <f t="shared" si="676"/>
        <v>0</v>
      </c>
      <c r="J2074" t="s">
        <v>88</v>
      </c>
      <c r="K2074">
        <v>30</v>
      </c>
      <c r="M2074" t="s">
        <v>303</v>
      </c>
    </row>
    <row r="2075" spans="1:13" outlineLevel="1" x14ac:dyDescent="0.25">
      <c r="A2075" t="s">
        <v>300</v>
      </c>
      <c r="B2075" t="s">
        <v>424</v>
      </c>
      <c r="C2075" t="str">
        <f>_xlfn.CONCAT("Nombre de trajets associés"," (",'Remplissage - Sit. Expost'!$B$403,")")</f>
        <v>Nombre de trajets associés (Catégorie 39)</v>
      </c>
      <c r="E2075" t="str">
        <f>_xlfn.CONCAT("ProjImmoAccDirNbTraj",RIGHT(LEFT(C2075,LEN(C2075)-1),2))</f>
        <v>ProjImmoAccDirNbTraj39</v>
      </c>
      <c r="F2075" t="s">
        <v>17</v>
      </c>
      <c r="G2075">
        <f t="shared" si="676"/>
        <v>0</v>
      </c>
      <c r="J2075" t="s">
        <v>145</v>
      </c>
      <c r="K2075">
        <v>15</v>
      </c>
      <c r="M2075" t="s">
        <v>303</v>
      </c>
    </row>
    <row r="2076" spans="1:13" outlineLevel="1" x14ac:dyDescent="0.25">
      <c r="A2076" t="s">
        <v>300</v>
      </c>
      <c r="B2076" t="s">
        <v>425</v>
      </c>
      <c r="C2076" t="str">
        <f>_xlfn.CONCAT("Taux de chargement moyen des véhicules pour l'accès direct au(x) projet(s)"," (",'Remplissage - Sit. Expost'!$B$413,")")</f>
        <v>Taux de chargement moyen des véhicules pour l'accès direct au(x) projet(s) (Catégorie 40)</v>
      </c>
      <c r="E2076" t="str">
        <f>_xlfn.CONCAT("ProjImmoAccDirTC",RIGHT(LEFT(C2076,LEN(C2076)-1),2))</f>
        <v>ProjImmoAccDirTC40</v>
      </c>
      <c r="F2076" t="s">
        <v>17</v>
      </c>
      <c r="G2076">
        <f t="shared" si="676"/>
        <v>0</v>
      </c>
      <c r="H2076" s="3"/>
      <c r="J2076" t="s">
        <v>70</v>
      </c>
      <c r="K2076" s="7">
        <v>0.33</v>
      </c>
      <c r="M2076" t="s">
        <v>303</v>
      </c>
    </row>
    <row r="2077" spans="1:13" outlineLevel="1" x14ac:dyDescent="0.25">
      <c r="A2077" t="s">
        <v>300</v>
      </c>
      <c r="B2077" t="s">
        <v>425</v>
      </c>
      <c r="C2077" t="str">
        <f>_xlfn.CONCAT("Distance parcourue associée"," (",'Remplissage - Sit. Expost'!$B$413,")")</f>
        <v>Distance parcourue associée (Catégorie 40)</v>
      </c>
      <c r="E2077" t="str">
        <f>_xlfn.CONCAT("ProjImmoAccDirDist",RIGHT(LEFT(C2077,LEN(C2077)-1),2))</f>
        <v>ProjImmoAccDirDist40</v>
      </c>
      <c r="F2077" t="s">
        <v>17</v>
      </c>
      <c r="G2077">
        <f t="shared" si="676"/>
        <v>0</v>
      </c>
      <c r="J2077" t="s">
        <v>88</v>
      </c>
      <c r="K2077">
        <v>30</v>
      </c>
      <c r="M2077" t="s">
        <v>303</v>
      </c>
    </row>
    <row r="2078" spans="1:13" outlineLevel="1" x14ac:dyDescent="0.25">
      <c r="A2078" t="s">
        <v>300</v>
      </c>
      <c r="B2078" t="s">
        <v>425</v>
      </c>
      <c r="C2078" t="str">
        <f>_xlfn.CONCAT("Nombre de trajets associés"," (",'Remplissage - Sit. Expost'!$B$413,")")</f>
        <v>Nombre de trajets associés (Catégorie 40)</v>
      </c>
      <c r="E2078" t="str">
        <f>_xlfn.CONCAT("ProjImmoAccDirNbTraj",RIGHT(LEFT(C2078,LEN(C2078)-1),2))</f>
        <v>ProjImmoAccDirNbTraj40</v>
      </c>
      <c r="F2078" t="s">
        <v>17</v>
      </c>
      <c r="G2078">
        <f t="shared" si="676"/>
        <v>0</v>
      </c>
      <c r="J2078" t="s">
        <v>145</v>
      </c>
      <c r="K2078">
        <v>15</v>
      </c>
      <c r="M2078" t="s">
        <v>303</v>
      </c>
    </row>
    <row r="2079" spans="1:13" outlineLevel="1" x14ac:dyDescent="0.25">
      <c r="A2079" t="s">
        <v>300</v>
      </c>
      <c r="B2079" t="s">
        <v>426</v>
      </c>
      <c r="C2079" t="str">
        <f>_xlfn.CONCAT("Taux de chargement moyen des véhicules pour l'accès direct au(x) projet(s)"," (",'Remplissage - Sit. Expost'!$B$423,")")</f>
        <v>Taux de chargement moyen des véhicules pour l'accès direct au(x) projet(s) (Catégorie 41)</v>
      </c>
      <c r="E2079" t="str">
        <f>_xlfn.CONCAT("ProjImmoAccDirTC",RIGHT(LEFT(C2079,LEN(C2079)-1),2))</f>
        <v>ProjImmoAccDirTC41</v>
      </c>
      <c r="F2079" t="s">
        <v>17</v>
      </c>
      <c r="G2079">
        <f t="shared" si="676"/>
        <v>0</v>
      </c>
      <c r="H2079" s="3"/>
      <c r="J2079" t="s">
        <v>70</v>
      </c>
      <c r="K2079" s="7">
        <v>0.33</v>
      </c>
      <c r="M2079" t="s">
        <v>303</v>
      </c>
    </row>
    <row r="2080" spans="1:13" outlineLevel="1" x14ac:dyDescent="0.25">
      <c r="A2080" t="s">
        <v>300</v>
      </c>
      <c r="B2080" t="s">
        <v>426</v>
      </c>
      <c r="C2080" t="str">
        <f>_xlfn.CONCAT("Distance parcourue associée"," (",'Remplissage - Sit. Expost'!$B$423,")")</f>
        <v>Distance parcourue associée (Catégorie 41)</v>
      </c>
      <c r="E2080" t="str">
        <f>_xlfn.CONCAT("ProjImmoAccDirDist",RIGHT(LEFT(C2080,LEN(C2080)-1),2))</f>
        <v>ProjImmoAccDirDist41</v>
      </c>
      <c r="F2080" t="s">
        <v>17</v>
      </c>
      <c r="G2080">
        <f t="shared" si="676"/>
        <v>0</v>
      </c>
      <c r="J2080" t="s">
        <v>88</v>
      </c>
      <c r="K2080">
        <v>30</v>
      </c>
      <c r="M2080" t="s">
        <v>303</v>
      </c>
    </row>
    <row r="2081" spans="1:13" outlineLevel="1" x14ac:dyDescent="0.25">
      <c r="A2081" t="s">
        <v>300</v>
      </c>
      <c r="B2081" t="s">
        <v>426</v>
      </c>
      <c r="C2081" t="str">
        <f>_xlfn.CONCAT("Nombre de trajets associés"," (",'Remplissage - Sit. Expost'!$B$423,")")</f>
        <v>Nombre de trajets associés (Catégorie 41)</v>
      </c>
      <c r="E2081" t="str">
        <f>_xlfn.CONCAT("ProjImmoAccDirNbTraj",RIGHT(LEFT(C2081,LEN(C2081)-1),2))</f>
        <v>ProjImmoAccDirNbTraj41</v>
      </c>
      <c r="F2081" t="s">
        <v>17</v>
      </c>
      <c r="G2081">
        <f t="shared" si="676"/>
        <v>0</v>
      </c>
      <c r="J2081" t="s">
        <v>145</v>
      </c>
      <c r="K2081">
        <v>15</v>
      </c>
      <c r="M2081" t="s">
        <v>303</v>
      </c>
    </row>
    <row r="2082" spans="1:13" outlineLevel="1" x14ac:dyDescent="0.25">
      <c r="A2082" t="s">
        <v>300</v>
      </c>
      <c r="B2082" t="s">
        <v>427</v>
      </c>
      <c r="C2082" t="str">
        <f>_xlfn.CONCAT("Taux de chargement moyen des véhicules pour l'accès direct au(x) projet(s)"," (",'Remplissage - Sit. Expost'!$B$433,")")</f>
        <v>Taux de chargement moyen des véhicules pour l'accès direct au(x) projet(s) (Catégorie 42)</v>
      </c>
      <c r="E2082" t="str">
        <f>_xlfn.CONCAT("ProjImmoAccDirTC",RIGHT(LEFT(C2082,LEN(C2082)-1),2))</f>
        <v>ProjImmoAccDirTC42</v>
      </c>
      <c r="F2082" t="s">
        <v>17</v>
      </c>
      <c r="G2082">
        <f t="shared" si="676"/>
        <v>0</v>
      </c>
      <c r="H2082" s="3"/>
      <c r="J2082" t="s">
        <v>70</v>
      </c>
      <c r="K2082" s="7">
        <v>0.33</v>
      </c>
      <c r="M2082" t="s">
        <v>303</v>
      </c>
    </row>
    <row r="2083" spans="1:13" outlineLevel="1" x14ac:dyDescent="0.25">
      <c r="A2083" t="s">
        <v>300</v>
      </c>
      <c r="B2083" t="s">
        <v>427</v>
      </c>
      <c r="C2083" t="str">
        <f>_xlfn.CONCAT("Distance parcourue associée"," (",'Remplissage - Sit. Expost'!$B$433,")")</f>
        <v>Distance parcourue associée (Catégorie 42)</v>
      </c>
      <c r="E2083" t="str">
        <f>_xlfn.CONCAT("ProjImmoAccDirDist",RIGHT(LEFT(C2083,LEN(C2083)-1),2))</f>
        <v>ProjImmoAccDirDist42</v>
      </c>
      <c r="F2083" t="s">
        <v>17</v>
      </c>
      <c r="G2083">
        <f t="shared" si="676"/>
        <v>0</v>
      </c>
      <c r="J2083" t="s">
        <v>88</v>
      </c>
      <c r="K2083">
        <v>30</v>
      </c>
      <c r="M2083" t="s">
        <v>303</v>
      </c>
    </row>
    <row r="2084" spans="1:13" outlineLevel="1" x14ac:dyDescent="0.25">
      <c r="A2084" t="s">
        <v>300</v>
      </c>
      <c r="B2084" t="s">
        <v>427</v>
      </c>
      <c r="C2084" t="str">
        <f>_xlfn.CONCAT("Nombre de trajets associés"," (",'Remplissage - Sit. Expost'!$B$433,")")</f>
        <v>Nombre de trajets associés (Catégorie 42)</v>
      </c>
      <c r="E2084" t="str">
        <f>_xlfn.CONCAT("ProjImmoAccDirNbTraj",RIGHT(LEFT(C2084,LEN(C2084)-1),2))</f>
        <v>ProjImmoAccDirNbTraj42</v>
      </c>
      <c r="F2084" t="s">
        <v>17</v>
      </c>
      <c r="G2084">
        <f t="shared" si="676"/>
        <v>0</v>
      </c>
      <c r="J2084" t="s">
        <v>145</v>
      </c>
      <c r="K2084">
        <v>15</v>
      </c>
      <c r="M2084" t="s">
        <v>303</v>
      </c>
    </row>
    <row r="2085" spans="1:13" outlineLevel="1" x14ac:dyDescent="0.25">
      <c r="A2085" t="s">
        <v>300</v>
      </c>
      <c r="B2085" t="s">
        <v>428</v>
      </c>
      <c r="C2085" t="str">
        <f>_xlfn.CONCAT("Taux de chargement moyen des véhicules pour l'accès direct au(x) projet(s)"," (",'Remplissage - Sit. Expost'!$B$443,")")</f>
        <v>Taux de chargement moyen des véhicules pour l'accès direct au(x) projet(s) (Catégorie 43)</v>
      </c>
      <c r="E2085" t="str">
        <f>_xlfn.CONCAT("ProjImmoAccDirTC",RIGHT(LEFT(C2085,LEN(C2085)-1),2))</f>
        <v>ProjImmoAccDirTC43</v>
      </c>
      <c r="F2085" t="s">
        <v>17</v>
      </c>
      <c r="G2085">
        <f t="shared" si="676"/>
        <v>0</v>
      </c>
      <c r="H2085" s="3"/>
      <c r="J2085" t="s">
        <v>70</v>
      </c>
      <c r="K2085" s="7">
        <v>0.33</v>
      </c>
      <c r="M2085" t="s">
        <v>303</v>
      </c>
    </row>
    <row r="2086" spans="1:13" outlineLevel="1" x14ac:dyDescent="0.25">
      <c r="A2086" t="s">
        <v>300</v>
      </c>
      <c r="B2086" t="s">
        <v>428</v>
      </c>
      <c r="C2086" t="str">
        <f>_xlfn.CONCAT("Distance parcourue associée"," (",'Remplissage - Sit. Expost'!$B$443,")")</f>
        <v>Distance parcourue associée (Catégorie 43)</v>
      </c>
      <c r="E2086" t="str">
        <f>_xlfn.CONCAT("ProjImmoAccDirDist",RIGHT(LEFT(C2086,LEN(C2086)-1),2))</f>
        <v>ProjImmoAccDirDist43</v>
      </c>
      <c r="F2086" t="s">
        <v>17</v>
      </c>
      <c r="G2086">
        <f t="shared" si="676"/>
        <v>0</v>
      </c>
      <c r="J2086" t="s">
        <v>88</v>
      </c>
      <c r="K2086">
        <v>30</v>
      </c>
      <c r="M2086" t="s">
        <v>303</v>
      </c>
    </row>
    <row r="2087" spans="1:13" outlineLevel="1" x14ac:dyDescent="0.25">
      <c r="A2087" t="s">
        <v>300</v>
      </c>
      <c r="B2087" t="s">
        <v>428</v>
      </c>
      <c r="C2087" t="str">
        <f>_xlfn.CONCAT("Nombre de trajets associés"," (",'Remplissage - Sit. Expost'!$B$443,")")</f>
        <v>Nombre de trajets associés (Catégorie 43)</v>
      </c>
      <c r="E2087" t="str">
        <f>_xlfn.CONCAT("ProjImmoAccDirNbTraj",RIGHT(LEFT(C2087,LEN(C2087)-1),2))</f>
        <v>ProjImmoAccDirNbTraj43</v>
      </c>
      <c r="F2087" t="s">
        <v>17</v>
      </c>
      <c r="G2087">
        <f t="shared" si="676"/>
        <v>0</v>
      </c>
      <c r="J2087" t="s">
        <v>145</v>
      </c>
      <c r="K2087">
        <v>15</v>
      </c>
      <c r="M2087" t="s">
        <v>303</v>
      </c>
    </row>
    <row r="2088" spans="1:13" outlineLevel="1" x14ac:dyDescent="0.25">
      <c r="A2088" t="s">
        <v>300</v>
      </c>
      <c r="B2088" t="s">
        <v>429</v>
      </c>
      <c r="C2088" t="str">
        <f>_xlfn.CONCAT("Taux de chargement moyen des véhicules pour l'accès direct au(x) projet(s)"," (",'Remplissage - Sit. Expost'!$B$453,")")</f>
        <v>Taux de chargement moyen des véhicules pour l'accès direct au(x) projet(s) (Catégorie 44)</v>
      </c>
      <c r="E2088" t="str">
        <f>_xlfn.CONCAT("ProjImmoAccDirTC",RIGHT(LEFT(C2088,LEN(C2088)-1),2))</f>
        <v>ProjImmoAccDirTC44</v>
      </c>
      <c r="F2088" t="s">
        <v>17</v>
      </c>
      <c r="G2088">
        <f t="shared" ref="G2088:G2093" si="677">IF(ISNUMBER(SEARCH($B2088,$H$1954)),1,0)</f>
        <v>1</v>
      </c>
      <c r="H2088" s="3"/>
      <c r="J2088" t="s">
        <v>70</v>
      </c>
      <c r="K2088" s="7">
        <v>0.33</v>
      </c>
      <c r="M2088" t="s">
        <v>303</v>
      </c>
    </row>
    <row r="2089" spans="1:13" outlineLevel="1" x14ac:dyDescent="0.25">
      <c r="A2089" t="s">
        <v>300</v>
      </c>
      <c r="B2089" t="s">
        <v>429</v>
      </c>
      <c r="C2089" t="str">
        <f>_xlfn.CONCAT("Distance parcourue associée"," (",'Remplissage - Sit. Expost'!$B$453,")")</f>
        <v>Distance parcourue associée (Catégorie 44)</v>
      </c>
      <c r="E2089" t="str">
        <f>_xlfn.CONCAT("ProjImmoAccDirDist",RIGHT(LEFT(C2089,LEN(C2089)-1),2))</f>
        <v>ProjImmoAccDirDist44</v>
      </c>
      <c r="F2089" t="s">
        <v>17</v>
      </c>
      <c r="G2089">
        <f t="shared" si="677"/>
        <v>1</v>
      </c>
      <c r="J2089" t="s">
        <v>88</v>
      </c>
      <c r="K2089">
        <v>30</v>
      </c>
      <c r="M2089" t="s">
        <v>303</v>
      </c>
    </row>
    <row r="2090" spans="1:13" outlineLevel="1" x14ac:dyDescent="0.25">
      <c r="A2090" t="s">
        <v>300</v>
      </c>
      <c r="B2090" t="s">
        <v>429</v>
      </c>
      <c r="C2090" t="str">
        <f>_xlfn.CONCAT("Nombre de trajets associés"," (",'Remplissage - Sit. Expost'!$B$453,")")</f>
        <v>Nombre de trajets associés (Catégorie 44)</v>
      </c>
      <c r="E2090" t="str">
        <f>_xlfn.CONCAT("ProjImmoAccDirNbTraj",RIGHT(LEFT(C2090,LEN(C2090)-1),2))</f>
        <v>ProjImmoAccDirNbTraj44</v>
      </c>
      <c r="F2090" t="s">
        <v>17</v>
      </c>
      <c r="G2090">
        <f t="shared" si="677"/>
        <v>1</v>
      </c>
      <c r="J2090" t="s">
        <v>145</v>
      </c>
      <c r="K2090">
        <v>15</v>
      </c>
      <c r="M2090" t="s">
        <v>303</v>
      </c>
    </row>
    <row r="2091" spans="1:13" outlineLevel="1" x14ac:dyDescent="0.25">
      <c r="A2091" t="s">
        <v>300</v>
      </c>
      <c r="B2091" t="s">
        <v>387</v>
      </c>
      <c r="C2091" t="str">
        <f>_xlfn.CONCAT("Taux de chargement moyen des véhicules pour l'accès direct au(x) projet(s)"," (",'Remplissage - Sit. Expost'!$B$463,")")</f>
        <v>Taux de chargement moyen des véhicules pour l'accès direct au(x) projet(s) (Catégorie 45)</v>
      </c>
      <c r="E2091" t="str">
        <f>_xlfn.CONCAT("ProjImmoAccDirTC",RIGHT(LEFT(C2091,LEN(C2091)-1),2))</f>
        <v>ProjImmoAccDirTC45</v>
      </c>
      <c r="F2091" t="s">
        <v>17</v>
      </c>
      <c r="G2091">
        <f t="shared" si="677"/>
        <v>0</v>
      </c>
      <c r="H2091" s="3"/>
      <c r="J2091" t="s">
        <v>70</v>
      </c>
      <c r="K2091" s="7">
        <v>0.33</v>
      </c>
      <c r="M2091" t="s">
        <v>303</v>
      </c>
    </row>
    <row r="2092" spans="1:13" outlineLevel="1" x14ac:dyDescent="0.25">
      <c r="A2092" t="s">
        <v>300</v>
      </c>
      <c r="B2092" t="s">
        <v>387</v>
      </c>
      <c r="C2092" t="str">
        <f>_xlfn.CONCAT("Distance parcourue associée"," (",'Remplissage - Sit. Expost'!$B$463,")")</f>
        <v>Distance parcourue associée (Catégorie 45)</v>
      </c>
      <c r="E2092" t="str">
        <f>_xlfn.CONCAT("ProjImmoAccDirDist",RIGHT(LEFT(C2092,LEN(C2092)-1),2))</f>
        <v>ProjImmoAccDirDist45</v>
      </c>
      <c r="F2092" t="s">
        <v>17</v>
      </c>
      <c r="G2092">
        <f t="shared" si="677"/>
        <v>0</v>
      </c>
      <c r="J2092" t="s">
        <v>88</v>
      </c>
      <c r="K2092">
        <v>30</v>
      </c>
      <c r="M2092" t="s">
        <v>303</v>
      </c>
    </row>
    <row r="2093" spans="1:13" outlineLevel="1" x14ac:dyDescent="0.25">
      <c r="A2093" t="s">
        <v>300</v>
      </c>
      <c r="B2093" t="s">
        <v>387</v>
      </c>
      <c r="C2093" t="str">
        <f>_xlfn.CONCAT("Nombre de trajets associés"," (",'Remplissage - Sit. Expost'!$B$463,")")</f>
        <v>Nombre de trajets associés (Catégorie 45)</v>
      </c>
      <c r="E2093" t="str">
        <f>_xlfn.CONCAT("ProjImmoAccDirNbTraj",RIGHT(LEFT(C2093,LEN(C2093)-1),2))</f>
        <v>ProjImmoAccDirNbTraj45</v>
      </c>
      <c r="F2093" t="s">
        <v>17</v>
      </c>
      <c r="G2093">
        <f t="shared" si="677"/>
        <v>0</v>
      </c>
      <c r="J2093" t="s">
        <v>145</v>
      </c>
      <c r="K2093">
        <v>15</v>
      </c>
      <c r="M2093" t="s">
        <v>303</v>
      </c>
    </row>
    <row r="2094" spans="1:13" x14ac:dyDescent="0.25">
      <c r="A2094" t="s">
        <v>300</v>
      </c>
      <c r="B2094" t="s">
        <v>250</v>
      </c>
      <c r="C2094" t="s">
        <v>351</v>
      </c>
      <c r="E2094" t="s">
        <v>352</v>
      </c>
      <c r="F2094" t="s">
        <v>20</v>
      </c>
      <c r="G2094">
        <f>IF(ISNUMBER(SEARCH("Oui",$H$1952)),1,0)</f>
        <v>0</v>
      </c>
      <c r="H2094" t="s">
        <v>430</v>
      </c>
      <c r="I2094" t="s">
        <v>383</v>
      </c>
      <c r="M2094" t="s">
        <v>303</v>
      </c>
    </row>
    <row r="2095" spans="1:13" x14ac:dyDescent="0.25">
      <c r="A2095" t="s">
        <v>300</v>
      </c>
      <c r="B2095" t="s">
        <v>250</v>
      </c>
      <c r="C2095" t="s">
        <v>353</v>
      </c>
      <c r="E2095" t="s">
        <v>354</v>
      </c>
      <c r="F2095" t="s">
        <v>17</v>
      </c>
      <c r="G2095">
        <f>IF(ISNUMBER(SEARCH("Oui",$H$1952)),1,0)</f>
        <v>0</v>
      </c>
      <c r="H2095">
        <v>15</v>
      </c>
      <c r="J2095" t="s">
        <v>88</v>
      </c>
      <c r="K2095">
        <v>15</v>
      </c>
      <c r="M2095" t="s">
        <v>303</v>
      </c>
    </row>
    <row r="2096" spans="1:13" x14ac:dyDescent="0.25">
      <c r="A2096" t="s">
        <v>300</v>
      </c>
      <c r="B2096" t="s">
        <v>250</v>
      </c>
      <c r="C2096" t="s">
        <v>255</v>
      </c>
      <c r="E2096" t="s">
        <v>355</v>
      </c>
      <c r="F2096" t="s">
        <v>17</v>
      </c>
      <c r="G2096">
        <f>IF(ISNUMBER(SEARCH("Oui",$H$1952)),1,0)</f>
        <v>0</v>
      </c>
      <c r="H2096" s="3"/>
      <c r="J2096" t="s">
        <v>70</v>
      </c>
      <c r="K2096" s="7">
        <v>0.8</v>
      </c>
      <c r="M2096" t="s">
        <v>303</v>
      </c>
    </row>
    <row r="2097" spans="1:13" x14ac:dyDescent="0.25">
      <c r="A2097" t="s">
        <v>300</v>
      </c>
      <c r="B2097" t="s">
        <v>250</v>
      </c>
      <c r="C2097" t="s">
        <v>348</v>
      </c>
      <c r="E2097" t="s">
        <v>356</v>
      </c>
      <c r="F2097" t="s">
        <v>17</v>
      </c>
      <c r="G2097">
        <f>IF(ISNUMBER(SEARCH("Oui",$H$1952)),1,0)*IF(ISNUMBER(SEARCH("La distance totale parcourue",#REF!)),1,0)</f>
        <v>0</v>
      </c>
      <c r="J2097" t="s">
        <v>88</v>
      </c>
      <c r="K2097">
        <v>15</v>
      </c>
      <c r="M2097" t="s">
        <v>303</v>
      </c>
    </row>
    <row r="2098" spans="1:13" x14ac:dyDescent="0.25">
      <c r="A2098" t="s">
        <v>300</v>
      </c>
      <c r="B2098" t="s">
        <v>250</v>
      </c>
      <c r="C2098" t="s">
        <v>248</v>
      </c>
      <c r="E2098" t="s">
        <v>357</v>
      </c>
      <c r="F2098" t="s">
        <v>17</v>
      </c>
      <c r="G2098">
        <f>IF(ISNUMBER(SEARCH("Oui",$H$1952)),1,0)*IF(ISNUMBER(SEARCH("La distance moyenne d'un trajet et le nombre de trajets",#REF!)),1,0)</f>
        <v>0</v>
      </c>
      <c r="J2098" t="s">
        <v>145</v>
      </c>
      <c r="K2098">
        <v>5</v>
      </c>
      <c r="M2098" t="s">
        <v>303</v>
      </c>
    </row>
    <row r="2099" spans="1:13" outlineLevel="1" x14ac:dyDescent="0.25">
      <c r="A2099" t="s">
        <v>300</v>
      </c>
      <c r="B2099" t="s">
        <v>382</v>
      </c>
      <c r="C2099" t="str">
        <f>_xlfn.CONCAT("Taux de chargement moyen des véhicules pour l'accès à la plateforme logistique"," (",'Remplissage - Sit. Expost'!$B$23,")")</f>
        <v>Taux de chargement moyen des véhicules pour l'accès à la plateforme logistique (Catégorie 1)</v>
      </c>
      <c r="E2099" t="str">
        <f>_xlfn.CONCAT("ProjImmoPlatLogTC",RIGHT(LEFT(C2099,LEN(C2099)-1),1))</f>
        <v>ProjImmoPlatLogTC1</v>
      </c>
      <c r="F2099" t="s">
        <v>17</v>
      </c>
      <c r="G2099">
        <f>IF(ISNUMBER(SEARCH($B2099,$H$2094)),1,0)</f>
        <v>1</v>
      </c>
      <c r="H2099" s="3">
        <v>0.3</v>
      </c>
      <c r="J2099" t="s">
        <v>70</v>
      </c>
      <c r="K2099" s="7">
        <v>0.8</v>
      </c>
      <c r="M2099" t="s">
        <v>303</v>
      </c>
    </row>
    <row r="2100" spans="1:13" outlineLevel="1" x14ac:dyDescent="0.25">
      <c r="A2100" t="s">
        <v>300</v>
      </c>
      <c r="B2100" t="s">
        <v>382</v>
      </c>
      <c r="C2100" t="str">
        <f>_xlfn.CONCAT("Distance parcourue associée"," (",'Remplissage - Sit. Expost'!$B$23,")")</f>
        <v>Distance parcourue associée (Catégorie 1)</v>
      </c>
      <c r="E2100" t="str">
        <f>_xlfn.CONCAT("ProjImmoPlatLogDist",RIGHT(LEFT(C2100,LEN(C2100)-1),1))</f>
        <v>ProjImmoPlatLogDist1</v>
      </c>
      <c r="F2100" t="s">
        <v>17</v>
      </c>
      <c r="G2100">
        <f t="shared" ref="G2100:G2163" si="678">IF(ISNUMBER(SEARCH($B2100,$H$2094)),1,0)</f>
        <v>1</v>
      </c>
      <c r="H2100">
        <v>20</v>
      </c>
      <c r="J2100" t="s">
        <v>88</v>
      </c>
      <c r="K2100">
        <v>15</v>
      </c>
      <c r="M2100" t="s">
        <v>303</v>
      </c>
    </row>
    <row r="2101" spans="1:13" outlineLevel="1" x14ac:dyDescent="0.25">
      <c r="A2101" t="s">
        <v>300</v>
      </c>
      <c r="B2101" t="s">
        <v>382</v>
      </c>
      <c r="C2101" t="str">
        <f>_xlfn.CONCAT("Nombre de trajets associés"," (",'Remplissage - Sit. Expost'!$B$23,")")</f>
        <v>Nombre de trajets associés (Catégorie 1)</v>
      </c>
      <c r="E2101" t="str">
        <f>_xlfn.CONCAT("ProjImmoPlatLogNbTraj",RIGHT(LEFT(C2101,LEN(C2101)-1),1))</f>
        <v>ProjImmoPlatLogNbTraj1</v>
      </c>
      <c r="F2101" t="s">
        <v>17</v>
      </c>
      <c r="G2101">
        <f t="shared" si="678"/>
        <v>1</v>
      </c>
      <c r="H2101">
        <v>5</v>
      </c>
      <c r="J2101" t="s">
        <v>145</v>
      </c>
      <c r="K2101">
        <v>5</v>
      </c>
      <c r="M2101" t="s">
        <v>303</v>
      </c>
    </row>
    <row r="2102" spans="1:13" outlineLevel="1" x14ac:dyDescent="0.25">
      <c r="A2102" t="s">
        <v>300</v>
      </c>
      <c r="B2102" t="s">
        <v>386</v>
      </c>
      <c r="C2102" t="str">
        <f>_xlfn.CONCAT("Taux de chargement moyen des véhicules pour l'accès à la plateforme logistique"," (",'Remplissage - Sit. Expost'!$B$33,")")</f>
        <v>Taux de chargement moyen des véhicules pour l'accès à la plateforme logistique (Catégorie 2)</v>
      </c>
      <c r="E2102" t="str">
        <f>_xlfn.CONCAT("ProjImmoPlatLogTC",RIGHT(LEFT(C2102,LEN(C2102)-1),1))</f>
        <v>ProjImmoPlatLogTC2</v>
      </c>
      <c r="F2102" t="s">
        <v>17</v>
      </c>
      <c r="G2102">
        <f t="shared" si="678"/>
        <v>0</v>
      </c>
      <c r="H2102" s="3">
        <v>0.3</v>
      </c>
      <c r="J2102" t="s">
        <v>70</v>
      </c>
      <c r="K2102" s="7">
        <v>0.8</v>
      </c>
      <c r="M2102" t="s">
        <v>303</v>
      </c>
    </row>
    <row r="2103" spans="1:13" outlineLevel="1" x14ac:dyDescent="0.25">
      <c r="A2103" t="s">
        <v>300</v>
      </c>
      <c r="B2103" t="s">
        <v>386</v>
      </c>
      <c r="C2103" t="str">
        <f>_xlfn.CONCAT("Distance parcourue associée"," (",'Remplissage - Sit. Expost'!$B$33,")")</f>
        <v>Distance parcourue associée (Catégorie 2)</v>
      </c>
      <c r="E2103" t="str">
        <f>_xlfn.CONCAT("ProjImmoPlatLogDist",RIGHT(LEFT(C2103,LEN(C2103)-1),1))</f>
        <v>ProjImmoPlatLogDist2</v>
      </c>
      <c r="F2103" t="s">
        <v>17</v>
      </c>
      <c r="G2103">
        <f t="shared" si="678"/>
        <v>0</v>
      </c>
      <c r="H2103">
        <v>20</v>
      </c>
      <c r="J2103" t="s">
        <v>88</v>
      </c>
      <c r="K2103">
        <v>15</v>
      </c>
      <c r="M2103" t="s">
        <v>303</v>
      </c>
    </row>
    <row r="2104" spans="1:13" outlineLevel="1" x14ac:dyDescent="0.25">
      <c r="A2104" t="s">
        <v>300</v>
      </c>
      <c r="B2104" t="s">
        <v>386</v>
      </c>
      <c r="C2104" t="str">
        <f>_xlfn.CONCAT("Nombre de trajets associés"," (",'Remplissage - Sit. Expost'!$B$33,")")</f>
        <v>Nombre de trajets associés (Catégorie 2)</v>
      </c>
      <c r="E2104" t="str">
        <f>_xlfn.CONCAT("ProjImmoPlatLogNbTraj",RIGHT(LEFT(C2104,LEN(C2104)-1),1))</f>
        <v>ProjImmoPlatLogNbTraj2</v>
      </c>
      <c r="F2104" t="s">
        <v>17</v>
      </c>
      <c r="G2104">
        <f t="shared" si="678"/>
        <v>0</v>
      </c>
      <c r="H2104">
        <v>5</v>
      </c>
      <c r="J2104" t="s">
        <v>145</v>
      </c>
      <c r="K2104">
        <v>5</v>
      </c>
      <c r="M2104" t="s">
        <v>303</v>
      </c>
    </row>
    <row r="2105" spans="1:13" outlineLevel="1" x14ac:dyDescent="0.25">
      <c r="A2105" t="s">
        <v>300</v>
      </c>
      <c r="B2105" t="s">
        <v>388</v>
      </c>
      <c r="C2105" t="str">
        <f>_xlfn.CONCAT("Taux de chargement moyen des véhicules pour l'accès à la plateforme logistique"," (",'Remplissage - Sit. Expost'!$B$43,")")</f>
        <v>Taux de chargement moyen des véhicules pour l'accès à la plateforme logistique (Catégorie 3)</v>
      </c>
      <c r="E2105" t="str">
        <f>_xlfn.CONCAT("ProjImmoPlatLogTC",RIGHT(LEFT(C2105,LEN(C2105)-1),1))</f>
        <v>ProjImmoPlatLogTC3</v>
      </c>
      <c r="F2105" t="s">
        <v>17</v>
      </c>
      <c r="G2105">
        <f t="shared" si="678"/>
        <v>1</v>
      </c>
      <c r="H2105" s="3"/>
      <c r="J2105" t="s">
        <v>70</v>
      </c>
      <c r="K2105" s="7">
        <v>0.8</v>
      </c>
      <c r="M2105" t="s">
        <v>303</v>
      </c>
    </row>
    <row r="2106" spans="1:13" outlineLevel="1" x14ac:dyDescent="0.25">
      <c r="A2106" t="s">
        <v>300</v>
      </c>
      <c r="B2106" t="s">
        <v>388</v>
      </c>
      <c r="C2106" t="str">
        <f>_xlfn.CONCAT("Distance parcourue associée"," (",'Remplissage - Sit. Expost'!$B$43,")")</f>
        <v>Distance parcourue associée (Catégorie 3)</v>
      </c>
      <c r="E2106" t="str">
        <f>_xlfn.CONCAT("ProjImmoPlatLogDist",RIGHT(LEFT(C2106,LEN(C2106)-1),1))</f>
        <v>ProjImmoPlatLogDist3</v>
      </c>
      <c r="F2106" t="s">
        <v>17</v>
      </c>
      <c r="G2106">
        <f t="shared" si="678"/>
        <v>1</v>
      </c>
      <c r="J2106" t="s">
        <v>88</v>
      </c>
      <c r="K2106">
        <v>15</v>
      </c>
      <c r="M2106" t="s">
        <v>303</v>
      </c>
    </row>
    <row r="2107" spans="1:13" outlineLevel="1" x14ac:dyDescent="0.25">
      <c r="A2107" t="s">
        <v>300</v>
      </c>
      <c r="B2107" t="s">
        <v>388</v>
      </c>
      <c r="C2107" t="str">
        <f>_xlfn.CONCAT("Nombre de trajets associés"," (",'Remplissage - Sit. Expost'!$B$43,")")</f>
        <v>Nombre de trajets associés (Catégorie 3)</v>
      </c>
      <c r="E2107" t="str">
        <f>_xlfn.CONCAT("ProjImmoPlatLogNbTraj",RIGHT(LEFT(C2107,LEN(C2107)-1),1))</f>
        <v>ProjImmoPlatLogNbTraj3</v>
      </c>
      <c r="F2107" t="s">
        <v>17</v>
      </c>
      <c r="G2107">
        <f t="shared" si="678"/>
        <v>1</v>
      </c>
      <c r="J2107" t="s">
        <v>145</v>
      </c>
      <c r="K2107">
        <v>5</v>
      </c>
      <c r="M2107" t="s">
        <v>303</v>
      </c>
    </row>
    <row r="2108" spans="1:13" outlineLevel="1" x14ac:dyDescent="0.25">
      <c r="A2108" t="s">
        <v>300</v>
      </c>
      <c r="B2108" t="s">
        <v>389</v>
      </c>
      <c r="C2108" t="str">
        <f>_xlfn.CONCAT("Taux de chargement moyen des véhicules pour l'accès à la plateforme logistique"," (",'Remplissage - Sit. Expost'!$B$53,")")</f>
        <v>Taux de chargement moyen des véhicules pour l'accès à la plateforme logistique (Catégorie 4)</v>
      </c>
      <c r="E2108" t="str">
        <f>_xlfn.CONCAT("ProjImmoPlatLogTC",RIGHT(LEFT(C2108,LEN(C2108)-1),1))</f>
        <v>ProjImmoPlatLogTC4</v>
      </c>
      <c r="F2108" t="s">
        <v>17</v>
      </c>
      <c r="G2108">
        <f t="shared" si="678"/>
        <v>0</v>
      </c>
      <c r="H2108" s="3"/>
      <c r="J2108" t="s">
        <v>70</v>
      </c>
      <c r="K2108" s="7">
        <v>0.8</v>
      </c>
      <c r="M2108" t="s">
        <v>303</v>
      </c>
    </row>
    <row r="2109" spans="1:13" outlineLevel="1" x14ac:dyDescent="0.25">
      <c r="A2109" t="s">
        <v>300</v>
      </c>
      <c r="B2109" t="s">
        <v>389</v>
      </c>
      <c r="C2109" t="str">
        <f>_xlfn.CONCAT("Distance parcourue associée"," (",'Remplissage - Sit. Expost'!$B$53,")")</f>
        <v>Distance parcourue associée (Catégorie 4)</v>
      </c>
      <c r="E2109" t="str">
        <f>_xlfn.CONCAT("ProjImmoPlatLogDist",RIGHT(LEFT(C2109,LEN(C2109)-1),1))</f>
        <v>ProjImmoPlatLogDist4</v>
      </c>
      <c r="F2109" t="s">
        <v>17</v>
      </c>
      <c r="G2109">
        <f t="shared" si="678"/>
        <v>0</v>
      </c>
      <c r="J2109" t="s">
        <v>88</v>
      </c>
      <c r="K2109">
        <v>15</v>
      </c>
      <c r="M2109" t="s">
        <v>303</v>
      </c>
    </row>
    <row r="2110" spans="1:13" outlineLevel="1" x14ac:dyDescent="0.25">
      <c r="A2110" t="s">
        <v>300</v>
      </c>
      <c r="B2110" t="s">
        <v>389</v>
      </c>
      <c r="C2110" t="str">
        <f>_xlfn.CONCAT("Nombre de trajets associés"," (",'Remplissage - Sit. Expost'!$B$53,")")</f>
        <v>Nombre de trajets associés (Catégorie 4)</v>
      </c>
      <c r="E2110" t="str">
        <f>_xlfn.CONCAT("ProjImmoPlatLogNbTraj",RIGHT(LEFT(C2110,LEN(C2110)-1),1))</f>
        <v>ProjImmoPlatLogNbTraj4</v>
      </c>
      <c r="F2110" t="s">
        <v>17</v>
      </c>
      <c r="G2110">
        <f t="shared" si="678"/>
        <v>0</v>
      </c>
      <c r="J2110" t="s">
        <v>145</v>
      </c>
      <c r="K2110">
        <v>5</v>
      </c>
      <c r="M2110" t="s">
        <v>303</v>
      </c>
    </row>
    <row r="2111" spans="1:13" outlineLevel="1" x14ac:dyDescent="0.25">
      <c r="A2111" t="s">
        <v>300</v>
      </c>
      <c r="B2111" t="s">
        <v>390</v>
      </c>
      <c r="C2111" t="str">
        <f>_xlfn.CONCAT("Taux de chargement moyen des véhicules pour l'accès à la plateforme logistique"," (",'Remplissage - Sit. Expost'!$B$63,")")</f>
        <v>Taux de chargement moyen des véhicules pour l'accès à la plateforme logistique (Catégorie 5)</v>
      </c>
      <c r="E2111" t="str">
        <f>_xlfn.CONCAT("ProjImmoPlatLogTC",RIGHT(LEFT(C2111,LEN(C2111)-1),1))</f>
        <v>ProjImmoPlatLogTC5</v>
      </c>
      <c r="F2111" t="s">
        <v>17</v>
      </c>
      <c r="G2111">
        <f t="shared" si="678"/>
        <v>0</v>
      </c>
      <c r="H2111" s="3"/>
      <c r="J2111" t="s">
        <v>70</v>
      </c>
      <c r="K2111" s="7">
        <v>0.8</v>
      </c>
      <c r="M2111" t="s">
        <v>303</v>
      </c>
    </row>
    <row r="2112" spans="1:13" outlineLevel="1" x14ac:dyDescent="0.25">
      <c r="A2112" t="s">
        <v>300</v>
      </c>
      <c r="B2112" t="s">
        <v>390</v>
      </c>
      <c r="C2112" t="str">
        <f>_xlfn.CONCAT("Distance parcourue associée"," (",'Remplissage - Sit. Expost'!$B$63,")")</f>
        <v>Distance parcourue associée (Catégorie 5)</v>
      </c>
      <c r="E2112" t="str">
        <f>_xlfn.CONCAT("ProjImmoPlatLogDist",RIGHT(LEFT(C2112,LEN(C2112)-1),1))</f>
        <v>ProjImmoPlatLogDist5</v>
      </c>
      <c r="F2112" t="s">
        <v>17</v>
      </c>
      <c r="G2112">
        <f t="shared" si="678"/>
        <v>0</v>
      </c>
      <c r="J2112" t="s">
        <v>88</v>
      </c>
      <c r="K2112">
        <v>15</v>
      </c>
      <c r="M2112" t="s">
        <v>303</v>
      </c>
    </row>
    <row r="2113" spans="1:13" outlineLevel="1" x14ac:dyDescent="0.25">
      <c r="A2113" t="s">
        <v>300</v>
      </c>
      <c r="B2113" t="s">
        <v>390</v>
      </c>
      <c r="C2113" t="str">
        <f>_xlfn.CONCAT("Nombre de trajets associés"," (",'Remplissage - Sit. Expost'!$B$63,")")</f>
        <v>Nombre de trajets associés (Catégorie 5)</v>
      </c>
      <c r="E2113" t="str">
        <f>_xlfn.CONCAT("ProjImmoPlatLogNbTraj",RIGHT(LEFT(C2113,LEN(C2113)-1),1))</f>
        <v>ProjImmoPlatLogNbTraj5</v>
      </c>
      <c r="F2113" t="s">
        <v>17</v>
      </c>
      <c r="G2113">
        <f t="shared" si="678"/>
        <v>0</v>
      </c>
      <c r="J2113" t="s">
        <v>145</v>
      </c>
      <c r="K2113">
        <v>5</v>
      </c>
      <c r="M2113" t="s">
        <v>303</v>
      </c>
    </row>
    <row r="2114" spans="1:13" outlineLevel="1" x14ac:dyDescent="0.25">
      <c r="A2114" t="s">
        <v>300</v>
      </c>
      <c r="B2114" t="s">
        <v>391</v>
      </c>
      <c r="C2114" t="str">
        <f>_xlfn.CONCAT("Taux de chargement moyen des véhicules pour l'accès à la plateforme logistique"," (",'Remplissage - Sit. Expost'!$B$73,")")</f>
        <v>Taux de chargement moyen des véhicules pour l'accès à la plateforme logistique (Catégorie 6)</v>
      </c>
      <c r="E2114" t="str">
        <f>_xlfn.CONCAT("ProjImmoPlatLogTC",RIGHT(LEFT(C2114,LEN(C2114)-1),1))</f>
        <v>ProjImmoPlatLogTC6</v>
      </c>
      <c r="F2114" t="s">
        <v>17</v>
      </c>
      <c r="G2114">
        <f t="shared" si="678"/>
        <v>0</v>
      </c>
      <c r="H2114" s="3"/>
      <c r="J2114" t="s">
        <v>70</v>
      </c>
      <c r="K2114" s="7">
        <v>0.8</v>
      </c>
      <c r="M2114" t="s">
        <v>303</v>
      </c>
    </row>
    <row r="2115" spans="1:13" outlineLevel="1" x14ac:dyDescent="0.25">
      <c r="A2115" t="s">
        <v>300</v>
      </c>
      <c r="B2115" t="s">
        <v>391</v>
      </c>
      <c r="C2115" t="str">
        <f>_xlfn.CONCAT("Distance parcourue associée"," (",'Remplissage - Sit. Expost'!$B$73,")")</f>
        <v>Distance parcourue associée (Catégorie 6)</v>
      </c>
      <c r="E2115" t="str">
        <f>_xlfn.CONCAT("ProjImmoPlatLogDist",RIGHT(LEFT(C2115,LEN(C2115)-1),1))</f>
        <v>ProjImmoPlatLogDist6</v>
      </c>
      <c r="F2115" t="s">
        <v>17</v>
      </c>
      <c r="G2115">
        <f t="shared" si="678"/>
        <v>0</v>
      </c>
      <c r="J2115" t="s">
        <v>88</v>
      </c>
      <c r="K2115">
        <v>15</v>
      </c>
      <c r="M2115" t="s">
        <v>303</v>
      </c>
    </row>
    <row r="2116" spans="1:13" outlineLevel="1" x14ac:dyDescent="0.25">
      <c r="A2116" t="s">
        <v>300</v>
      </c>
      <c r="B2116" t="s">
        <v>391</v>
      </c>
      <c r="C2116" t="str">
        <f>_xlfn.CONCAT("Nombre de trajets associés"," (",'Remplissage - Sit. Expost'!$B$73,")")</f>
        <v>Nombre de trajets associés (Catégorie 6)</v>
      </c>
      <c r="E2116" t="str">
        <f>_xlfn.CONCAT("ProjImmoPlatLogNbTraj",RIGHT(LEFT(C2116,LEN(C2116)-1),1))</f>
        <v>ProjImmoPlatLogNbTraj6</v>
      </c>
      <c r="F2116" t="s">
        <v>17</v>
      </c>
      <c r="G2116">
        <f t="shared" si="678"/>
        <v>0</v>
      </c>
      <c r="J2116" t="s">
        <v>145</v>
      </c>
      <c r="K2116">
        <v>5</v>
      </c>
      <c r="M2116" t="s">
        <v>303</v>
      </c>
    </row>
    <row r="2117" spans="1:13" outlineLevel="1" x14ac:dyDescent="0.25">
      <c r="A2117" t="s">
        <v>300</v>
      </c>
      <c r="B2117" t="s">
        <v>392</v>
      </c>
      <c r="C2117" t="str">
        <f>_xlfn.CONCAT("Taux de chargement moyen des véhicules pour l'accès à la plateforme logistique"," (",'Remplissage - Sit. Expost'!$B$83,")")</f>
        <v>Taux de chargement moyen des véhicules pour l'accès à la plateforme logistique (Catégorie 7)</v>
      </c>
      <c r="E2117" t="str">
        <f>_xlfn.CONCAT("ProjImmoPlatLogTC",RIGHT(LEFT(C2117,LEN(C2117)-1),1))</f>
        <v>ProjImmoPlatLogTC7</v>
      </c>
      <c r="F2117" t="s">
        <v>17</v>
      </c>
      <c r="G2117">
        <f t="shared" si="678"/>
        <v>0</v>
      </c>
      <c r="H2117" s="3"/>
      <c r="J2117" t="s">
        <v>70</v>
      </c>
      <c r="K2117" s="7">
        <v>0.8</v>
      </c>
      <c r="M2117" t="s">
        <v>303</v>
      </c>
    </row>
    <row r="2118" spans="1:13" outlineLevel="1" x14ac:dyDescent="0.25">
      <c r="A2118" t="s">
        <v>300</v>
      </c>
      <c r="B2118" t="s">
        <v>392</v>
      </c>
      <c r="C2118" t="str">
        <f>_xlfn.CONCAT("Distance parcourue associée"," (",'Remplissage - Sit. Expost'!$B$83,")")</f>
        <v>Distance parcourue associée (Catégorie 7)</v>
      </c>
      <c r="E2118" t="str">
        <f>_xlfn.CONCAT("ProjImmoPlatLogDist",RIGHT(LEFT(C2118,LEN(C2118)-1),1))</f>
        <v>ProjImmoPlatLogDist7</v>
      </c>
      <c r="F2118" t="s">
        <v>17</v>
      </c>
      <c r="G2118">
        <f t="shared" si="678"/>
        <v>0</v>
      </c>
      <c r="J2118" t="s">
        <v>88</v>
      </c>
      <c r="K2118">
        <v>15</v>
      </c>
      <c r="M2118" t="s">
        <v>303</v>
      </c>
    </row>
    <row r="2119" spans="1:13" outlineLevel="1" x14ac:dyDescent="0.25">
      <c r="A2119" t="s">
        <v>300</v>
      </c>
      <c r="B2119" t="s">
        <v>392</v>
      </c>
      <c r="C2119" t="str">
        <f>_xlfn.CONCAT("Nombre de trajets associés"," (",'Remplissage - Sit. Expost'!$B$83,")")</f>
        <v>Nombre de trajets associés (Catégorie 7)</v>
      </c>
      <c r="E2119" t="str">
        <f>_xlfn.CONCAT("ProjImmoPlatLogNbTraj",RIGHT(LEFT(C2119,LEN(C2119)-1),1))</f>
        <v>ProjImmoPlatLogNbTraj7</v>
      </c>
      <c r="F2119" t="s">
        <v>17</v>
      </c>
      <c r="G2119">
        <f t="shared" si="678"/>
        <v>0</v>
      </c>
      <c r="J2119" t="s">
        <v>145</v>
      </c>
      <c r="K2119">
        <v>5</v>
      </c>
      <c r="M2119" t="s">
        <v>303</v>
      </c>
    </row>
    <row r="2120" spans="1:13" outlineLevel="1" x14ac:dyDescent="0.25">
      <c r="A2120" t="s">
        <v>300</v>
      </c>
      <c r="B2120" t="s">
        <v>393</v>
      </c>
      <c r="C2120" t="str">
        <f>_xlfn.CONCAT("Taux de chargement moyen des véhicules pour l'accès à la plateforme logistique"," (",'Remplissage - Sit. Expost'!$B$93,")")</f>
        <v>Taux de chargement moyen des véhicules pour l'accès à la plateforme logistique (Catégorie 8)</v>
      </c>
      <c r="E2120" t="str">
        <f>_xlfn.CONCAT("ProjImmoPlatLogTC",RIGHT(LEFT(C2120,LEN(C2120)-1),1))</f>
        <v>ProjImmoPlatLogTC8</v>
      </c>
      <c r="F2120" t="s">
        <v>17</v>
      </c>
      <c r="G2120">
        <f t="shared" si="678"/>
        <v>0</v>
      </c>
      <c r="H2120" s="3"/>
      <c r="J2120" t="s">
        <v>70</v>
      </c>
      <c r="K2120" s="7">
        <v>0.8</v>
      </c>
      <c r="M2120" t="s">
        <v>303</v>
      </c>
    </row>
    <row r="2121" spans="1:13" outlineLevel="1" x14ac:dyDescent="0.25">
      <c r="A2121" t="s">
        <v>300</v>
      </c>
      <c r="B2121" t="s">
        <v>393</v>
      </c>
      <c r="C2121" t="str">
        <f>_xlfn.CONCAT("Distance parcourue associée"," (",'Remplissage - Sit. Expost'!$B$93,")")</f>
        <v>Distance parcourue associée (Catégorie 8)</v>
      </c>
      <c r="E2121" t="str">
        <f>_xlfn.CONCAT("ProjImmoPlatLogDist",RIGHT(LEFT(C2121,LEN(C2121)-1),1))</f>
        <v>ProjImmoPlatLogDist8</v>
      </c>
      <c r="F2121" t="s">
        <v>17</v>
      </c>
      <c r="G2121">
        <f t="shared" si="678"/>
        <v>0</v>
      </c>
      <c r="J2121" t="s">
        <v>88</v>
      </c>
      <c r="K2121">
        <v>15</v>
      </c>
      <c r="M2121" t="s">
        <v>303</v>
      </c>
    </row>
    <row r="2122" spans="1:13" outlineLevel="1" x14ac:dyDescent="0.25">
      <c r="A2122" t="s">
        <v>300</v>
      </c>
      <c r="B2122" t="s">
        <v>393</v>
      </c>
      <c r="C2122" t="str">
        <f>_xlfn.CONCAT("Nombre de trajets associés"," (",'Remplissage - Sit. Expost'!$B$93,")")</f>
        <v>Nombre de trajets associés (Catégorie 8)</v>
      </c>
      <c r="E2122" t="str">
        <f>_xlfn.CONCAT("ProjImmoPlatLogNbTraj",RIGHT(LEFT(C2122,LEN(C2122)-1),1))</f>
        <v>ProjImmoPlatLogNbTraj8</v>
      </c>
      <c r="F2122" t="s">
        <v>17</v>
      </c>
      <c r="G2122">
        <f t="shared" si="678"/>
        <v>0</v>
      </c>
      <c r="J2122" t="s">
        <v>145</v>
      </c>
      <c r="K2122">
        <v>5</v>
      </c>
      <c r="M2122" t="s">
        <v>303</v>
      </c>
    </row>
    <row r="2123" spans="1:13" outlineLevel="1" x14ac:dyDescent="0.25">
      <c r="A2123" t="s">
        <v>300</v>
      </c>
      <c r="B2123" t="s">
        <v>394</v>
      </c>
      <c r="C2123" t="str">
        <f>_xlfn.CONCAT("Taux de chargement moyen des véhicules pour l'accès à la plateforme logistique"," (",'Remplissage - Sit. Expost'!$B$103,")")</f>
        <v>Taux de chargement moyen des véhicules pour l'accès à la plateforme logistique (Catégorie 9)</v>
      </c>
      <c r="E2123" t="str">
        <f>_xlfn.CONCAT("ProjImmoPlatLogTC",RIGHT(LEFT(C2123,LEN(C2123)-1),1))</f>
        <v>ProjImmoPlatLogTC9</v>
      </c>
      <c r="F2123" t="s">
        <v>17</v>
      </c>
      <c r="G2123">
        <f t="shared" si="678"/>
        <v>0</v>
      </c>
      <c r="H2123" s="3"/>
      <c r="J2123" t="s">
        <v>70</v>
      </c>
      <c r="K2123" s="7">
        <v>0.8</v>
      </c>
      <c r="M2123" t="s">
        <v>303</v>
      </c>
    </row>
    <row r="2124" spans="1:13" outlineLevel="1" x14ac:dyDescent="0.25">
      <c r="A2124" t="s">
        <v>300</v>
      </c>
      <c r="B2124" t="s">
        <v>394</v>
      </c>
      <c r="C2124" t="str">
        <f>_xlfn.CONCAT("Distance parcourue associée"," (",'Remplissage - Sit. Expost'!$B$103,")")</f>
        <v>Distance parcourue associée (Catégorie 9)</v>
      </c>
      <c r="E2124" t="str">
        <f>_xlfn.CONCAT("ProjImmoPlatLogDist",RIGHT(LEFT(C2124,LEN(C2124)-1),1))</f>
        <v>ProjImmoPlatLogDist9</v>
      </c>
      <c r="F2124" t="s">
        <v>17</v>
      </c>
      <c r="G2124">
        <f t="shared" si="678"/>
        <v>0</v>
      </c>
      <c r="J2124" t="s">
        <v>88</v>
      </c>
      <c r="K2124">
        <v>15</v>
      </c>
      <c r="M2124" t="s">
        <v>303</v>
      </c>
    </row>
    <row r="2125" spans="1:13" outlineLevel="1" x14ac:dyDescent="0.25">
      <c r="A2125" t="s">
        <v>300</v>
      </c>
      <c r="B2125" t="s">
        <v>394</v>
      </c>
      <c r="C2125" t="str">
        <f>_xlfn.CONCAT("Nombre de trajets associés"," (",'Remplissage - Sit. Expost'!$B$103,")")</f>
        <v>Nombre de trajets associés (Catégorie 9)</v>
      </c>
      <c r="E2125" t="str">
        <f>_xlfn.CONCAT("ProjImmoPlatLogNbTraj",RIGHT(LEFT(C2125,LEN(C2125)-1),1))</f>
        <v>ProjImmoPlatLogNbTraj9</v>
      </c>
      <c r="F2125" t="s">
        <v>17</v>
      </c>
      <c r="G2125">
        <f t="shared" si="678"/>
        <v>0</v>
      </c>
      <c r="J2125" t="s">
        <v>145</v>
      </c>
      <c r="K2125">
        <v>5</v>
      </c>
      <c r="M2125" t="s">
        <v>303</v>
      </c>
    </row>
    <row r="2126" spans="1:13" outlineLevel="1" x14ac:dyDescent="0.25">
      <c r="A2126" t="s">
        <v>300</v>
      </c>
      <c r="B2126" t="s">
        <v>395</v>
      </c>
      <c r="C2126" t="str">
        <f>_xlfn.CONCAT("Taux de chargement moyen des véhicules pour l'accès à la plateforme logistique"," (",'Remplissage - Sit. Expost'!$B$113,")")</f>
        <v>Taux de chargement moyen des véhicules pour l'accès à la plateforme logistique (Catégorie 10)</v>
      </c>
      <c r="E2126" t="str">
        <f>_xlfn.CONCAT("ProjImmoPlatLogTC",RIGHT(LEFT(C2126,LEN(C2126)-1),2))</f>
        <v>ProjImmoPlatLogTC10</v>
      </c>
      <c r="F2126" t="s">
        <v>17</v>
      </c>
      <c r="G2126">
        <f t="shared" si="678"/>
        <v>0</v>
      </c>
      <c r="H2126" s="3"/>
      <c r="J2126" t="s">
        <v>70</v>
      </c>
      <c r="K2126" s="7">
        <v>0.8</v>
      </c>
      <c r="M2126" t="s">
        <v>303</v>
      </c>
    </row>
    <row r="2127" spans="1:13" outlineLevel="1" x14ac:dyDescent="0.25">
      <c r="A2127" t="s">
        <v>300</v>
      </c>
      <c r="B2127" t="s">
        <v>395</v>
      </c>
      <c r="C2127" t="str">
        <f>_xlfn.CONCAT("Distance parcourue associée"," (",'Remplissage - Sit. Expost'!$B$113,")")</f>
        <v>Distance parcourue associée (Catégorie 10)</v>
      </c>
      <c r="E2127" t="str">
        <f>_xlfn.CONCAT("ProjImmoPlatLogDist",RIGHT(LEFT(C2127,LEN(C2127)-1),2))</f>
        <v>ProjImmoPlatLogDist10</v>
      </c>
      <c r="F2127" t="s">
        <v>17</v>
      </c>
      <c r="G2127">
        <f t="shared" si="678"/>
        <v>0</v>
      </c>
      <c r="J2127" t="s">
        <v>88</v>
      </c>
      <c r="K2127">
        <v>15</v>
      </c>
      <c r="M2127" t="s">
        <v>303</v>
      </c>
    </row>
    <row r="2128" spans="1:13" outlineLevel="1" x14ac:dyDescent="0.25">
      <c r="A2128" t="s">
        <v>300</v>
      </c>
      <c r="B2128" t="s">
        <v>395</v>
      </c>
      <c r="C2128" t="str">
        <f>_xlfn.CONCAT("Nombre de trajets associés"," (",'Remplissage - Sit. Expost'!$B$113,")")</f>
        <v>Nombre de trajets associés (Catégorie 10)</v>
      </c>
      <c r="E2128" t="str">
        <f>_xlfn.CONCAT("ProjImmoPlatLogNbTraj",RIGHT(LEFT(C2128,LEN(C2128)-1),2))</f>
        <v>ProjImmoPlatLogNbTraj10</v>
      </c>
      <c r="F2128" t="s">
        <v>17</v>
      </c>
      <c r="G2128">
        <f t="shared" si="678"/>
        <v>0</v>
      </c>
      <c r="J2128" t="s">
        <v>145</v>
      </c>
      <c r="K2128">
        <v>5</v>
      </c>
      <c r="M2128" t="s">
        <v>303</v>
      </c>
    </row>
    <row r="2129" spans="1:13" outlineLevel="1" x14ac:dyDescent="0.25">
      <c r="A2129" t="s">
        <v>300</v>
      </c>
      <c r="B2129" t="s">
        <v>396</v>
      </c>
      <c r="C2129" t="str">
        <f>_xlfn.CONCAT("Taux de chargement moyen des véhicules pour l'accès à la plateforme logistique"," (",'Remplissage - Sit. Expost'!$B$123,")")</f>
        <v>Taux de chargement moyen des véhicules pour l'accès à la plateforme logistique (Catégorie 11)</v>
      </c>
      <c r="E2129" t="str">
        <f>_xlfn.CONCAT("ProjImmoPlatLogTC",RIGHT(LEFT(C2129,LEN(C2129)-1),2))</f>
        <v>ProjImmoPlatLogTC11</v>
      </c>
      <c r="F2129" t="s">
        <v>17</v>
      </c>
      <c r="G2129">
        <f t="shared" si="678"/>
        <v>0</v>
      </c>
      <c r="H2129" s="3"/>
      <c r="J2129" t="s">
        <v>70</v>
      </c>
      <c r="K2129" s="7">
        <v>0.8</v>
      </c>
      <c r="M2129" t="s">
        <v>303</v>
      </c>
    </row>
    <row r="2130" spans="1:13" outlineLevel="1" x14ac:dyDescent="0.25">
      <c r="A2130" t="s">
        <v>300</v>
      </c>
      <c r="B2130" t="s">
        <v>396</v>
      </c>
      <c r="C2130" t="str">
        <f>_xlfn.CONCAT("Distance parcourue associée"," (",'Remplissage - Sit. Expost'!$B$123,")")</f>
        <v>Distance parcourue associée (Catégorie 11)</v>
      </c>
      <c r="E2130" t="str">
        <f>_xlfn.CONCAT("ProjImmoPlatLogDist",RIGHT(LEFT(C2130,LEN(C2130)-1),2))</f>
        <v>ProjImmoPlatLogDist11</v>
      </c>
      <c r="F2130" t="s">
        <v>17</v>
      </c>
      <c r="G2130">
        <f t="shared" si="678"/>
        <v>0</v>
      </c>
      <c r="J2130" t="s">
        <v>88</v>
      </c>
      <c r="K2130">
        <v>15</v>
      </c>
      <c r="M2130" t="s">
        <v>303</v>
      </c>
    </row>
    <row r="2131" spans="1:13" outlineLevel="1" x14ac:dyDescent="0.25">
      <c r="A2131" t="s">
        <v>300</v>
      </c>
      <c r="B2131" t="s">
        <v>396</v>
      </c>
      <c r="C2131" t="str">
        <f>_xlfn.CONCAT("Nombre de trajets associés"," (",'Remplissage - Sit. Expost'!$B$123,")")</f>
        <v>Nombre de trajets associés (Catégorie 11)</v>
      </c>
      <c r="E2131" t="str">
        <f>_xlfn.CONCAT("ProjImmoPlatLogNbTraj",RIGHT(LEFT(C2131,LEN(C2131)-1),2))</f>
        <v>ProjImmoPlatLogNbTraj11</v>
      </c>
      <c r="F2131" t="s">
        <v>17</v>
      </c>
      <c r="G2131">
        <f t="shared" si="678"/>
        <v>0</v>
      </c>
      <c r="J2131" t="s">
        <v>145</v>
      </c>
      <c r="K2131">
        <v>5</v>
      </c>
      <c r="M2131" t="s">
        <v>303</v>
      </c>
    </row>
    <row r="2132" spans="1:13" outlineLevel="1" x14ac:dyDescent="0.25">
      <c r="A2132" t="s">
        <v>300</v>
      </c>
      <c r="B2132" t="s">
        <v>397</v>
      </c>
      <c r="C2132" t="str">
        <f>_xlfn.CONCAT("Taux de chargement moyen des véhicules pour l'accès à la plateforme logistique"," (",'Remplissage - Sit. Expost'!$B$133,")")</f>
        <v>Taux de chargement moyen des véhicules pour l'accès à la plateforme logistique (Catégorie 12)</v>
      </c>
      <c r="E2132" t="str">
        <f>_xlfn.CONCAT("ProjImmoPlatLogTC",RIGHT(LEFT(C2132,LEN(C2132)-1),2))</f>
        <v>ProjImmoPlatLogTC12</v>
      </c>
      <c r="F2132" t="s">
        <v>17</v>
      </c>
      <c r="G2132">
        <f t="shared" si="678"/>
        <v>0</v>
      </c>
      <c r="H2132" s="3"/>
      <c r="J2132" t="s">
        <v>70</v>
      </c>
      <c r="K2132" s="7">
        <v>0.8</v>
      </c>
      <c r="M2132" t="s">
        <v>303</v>
      </c>
    </row>
    <row r="2133" spans="1:13" outlineLevel="1" x14ac:dyDescent="0.25">
      <c r="A2133" t="s">
        <v>300</v>
      </c>
      <c r="B2133" t="s">
        <v>397</v>
      </c>
      <c r="C2133" t="str">
        <f>_xlfn.CONCAT("Distance parcourue associée"," (",'Remplissage - Sit. Expost'!$B$133,")")</f>
        <v>Distance parcourue associée (Catégorie 12)</v>
      </c>
      <c r="E2133" t="str">
        <f>_xlfn.CONCAT("ProjImmoPlatLogDist",RIGHT(LEFT(C2133,LEN(C2133)-1),2))</f>
        <v>ProjImmoPlatLogDist12</v>
      </c>
      <c r="F2133" t="s">
        <v>17</v>
      </c>
      <c r="G2133">
        <f t="shared" si="678"/>
        <v>0</v>
      </c>
      <c r="J2133" t="s">
        <v>88</v>
      </c>
      <c r="K2133">
        <v>15</v>
      </c>
      <c r="M2133" t="s">
        <v>303</v>
      </c>
    </row>
    <row r="2134" spans="1:13" outlineLevel="1" x14ac:dyDescent="0.25">
      <c r="A2134" t="s">
        <v>300</v>
      </c>
      <c r="B2134" t="s">
        <v>397</v>
      </c>
      <c r="C2134" t="str">
        <f>_xlfn.CONCAT("Nombre de trajets associés"," (",'Remplissage - Sit. Expost'!$B$133,")")</f>
        <v>Nombre de trajets associés (Catégorie 12)</v>
      </c>
      <c r="E2134" t="str">
        <f>_xlfn.CONCAT("ProjImmoPlatLogNbTraj",RIGHT(LEFT(C2134,LEN(C2134)-1),2))</f>
        <v>ProjImmoPlatLogNbTraj12</v>
      </c>
      <c r="F2134" t="s">
        <v>17</v>
      </c>
      <c r="G2134">
        <f t="shared" si="678"/>
        <v>0</v>
      </c>
      <c r="J2134" t="s">
        <v>145</v>
      </c>
      <c r="K2134">
        <v>5</v>
      </c>
      <c r="M2134" t="s">
        <v>303</v>
      </c>
    </row>
    <row r="2135" spans="1:13" outlineLevel="1" x14ac:dyDescent="0.25">
      <c r="A2135" t="s">
        <v>300</v>
      </c>
      <c r="B2135" t="s">
        <v>398</v>
      </c>
      <c r="C2135" t="str">
        <f>_xlfn.CONCAT("Taux de chargement moyen des véhicules pour l'accès à la plateforme logistique"," (",'Remplissage - Sit. Expost'!$B$143,")")</f>
        <v>Taux de chargement moyen des véhicules pour l'accès à la plateforme logistique (Catégorie 13)</v>
      </c>
      <c r="E2135" t="str">
        <f>_xlfn.CONCAT("ProjImmoPlatLogTC",RIGHT(LEFT(C2135,LEN(C2135)-1),2))</f>
        <v>ProjImmoPlatLogTC13</v>
      </c>
      <c r="F2135" t="s">
        <v>17</v>
      </c>
      <c r="G2135">
        <f t="shared" si="678"/>
        <v>0</v>
      </c>
      <c r="H2135" s="3"/>
      <c r="J2135" t="s">
        <v>70</v>
      </c>
      <c r="K2135" s="7">
        <v>0.8</v>
      </c>
      <c r="M2135" t="s">
        <v>303</v>
      </c>
    </row>
    <row r="2136" spans="1:13" outlineLevel="1" x14ac:dyDescent="0.25">
      <c r="A2136" t="s">
        <v>300</v>
      </c>
      <c r="B2136" t="s">
        <v>398</v>
      </c>
      <c r="C2136" t="str">
        <f>_xlfn.CONCAT("Distance parcourue associée"," (",'Remplissage - Sit. Expost'!$B$143,")")</f>
        <v>Distance parcourue associée (Catégorie 13)</v>
      </c>
      <c r="E2136" t="str">
        <f>_xlfn.CONCAT("ProjImmoPlatLogDist",RIGHT(LEFT(C2136,LEN(C2136)-1),2))</f>
        <v>ProjImmoPlatLogDist13</v>
      </c>
      <c r="F2136" t="s">
        <v>17</v>
      </c>
      <c r="G2136">
        <f t="shared" si="678"/>
        <v>0</v>
      </c>
      <c r="J2136" t="s">
        <v>88</v>
      </c>
      <c r="K2136">
        <v>15</v>
      </c>
      <c r="M2136" t="s">
        <v>303</v>
      </c>
    </row>
    <row r="2137" spans="1:13" outlineLevel="1" x14ac:dyDescent="0.25">
      <c r="A2137" t="s">
        <v>300</v>
      </c>
      <c r="B2137" t="s">
        <v>398</v>
      </c>
      <c r="C2137" t="str">
        <f>_xlfn.CONCAT("Nombre de trajets associés"," (",'Remplissage - Sit. Expost'!$B$143,")")</f>
        <v>Nombre de trajets associés (Catégorie 13)</v>
      </c>
      <c r="E2137" t="str">
        <f>_xlfn.CONCAT("ProjImmoPlatLogNbTraj",RIGHT(LEFT(C2137,LEN(C2137)-1),2))</f>
        <v>ProjImmoPlatLogNbTraj13</v>
      </c>
      <c r="F2137" t="s">
        <v>17</v>
      </c>
      <c r="G2137">
        <f t="shared" si="678"/>
        <v>0</v>
      </c>
      <c r="J2137" t="s">
        <v>145</v>
      </c>
      <c r="K2137">
        <v>5</v>
      </c>
      <c r="M2137" t="s">
        <v>303</v>
      </c>
    </row>
    <row r="2138" spans="1:13" outlineLevel="1" x14ac:dyDescent="0.25">
      <c r="A2138" t="s">
        <v>300</v>
      </c>
      <c r="B2138" t="s">
        <v>399</v>
      </c>
      <c r="C2138" t="str">
        <f>_xlfn.CONCAT("Taux de chargement moyen des véhicules pour l'accès à la plateforme logistique"," (",'Remplissage - Sit. Expost'!$B$153,")")</f>
        <v>Taux de chargement moyen des véhicules pour l'accès à la plateforme logistique (Catégorie 14)</v>
      </c>
      <c r="E2138" t="str">
        <f>_xlfn.CONCAT("ProjImmoPlatLogTC",RIGHT(LEFT(C2138,LEN(C2138)-1),2))</f>
        <v>ProjImmoPlatLogTC14</v>
      </c>
      <c r="F2138" t="s">
        <v>17</v>
      </c>
      <c r="G2138">
        <f t="shared" si="678"/>
        <v>0</v>
      </c>
      <c r="H2138" s="3"/>
      <c r="J2138" t="s">
        <v>70</v>
      </c>
      <c r="K2138" s="7">
        <v>0.8</v>
      </c>
      <c r="M2138" t="s">
        <v>303</v>
      </c>
    </row>
    <row r="2139" spans="1:13" outlineLevel="1" x14ac:dyDescent="0.25">
      <c r="A2139" t="s">
        <v>300</v>
      </c>
      <c r="B2139" t="s">
        <v>399</v>
      </c>
      <c r="C2139" t="str">
        <f>_xlfn.CONCAT("Distance parcourue associée"," (",'Remplissage - Sit. Expost'!$B$153,")")</f>
        <v>Distance parcourue associée (Catégorie 14)</v>
      </c>
      <c r="E2139" t="str">
        <f>_xlfn.CONCAT("ProjImmoPlatLogDist",RIGHT(LEFT(C2139,LEN(C2139)-1),2))</f>
        <v>ProjImmoPlatLogDist14</v>
      </c>
      <c r="F2139" t="s">
        <v>17</v>
      </c>
      <c r="G2139">
        <f t="shared" si="678"/>
        <v>0</v>
      </c>
      <c r="J2139" t="s">
        <v>88</v>
      </c>
      <c r="K2139">
        <v>15</v>
      </c>
      <c r="M2139" t="s">
        <v>303</v>
      </c>
    </row>
    <row r="2140" spans="1:13" outlineLevel="1" x14ac:dyDescent="0.25">
      <c r="A2140" t="s">
        <v>300</v>
      </c>
      <c r="B2140" t="s">
        <v>399</v>
      </c>
      <c r="C2140" t="str">
        <f>_xlfn.CONCAT("Nombre de trajets associés"," (",'Remplissage - Sit. Expost'!$B$153,")")</f>
        <v>Nombre de trajets associés (Catégorie 14)</v>
      </c>
      <c r="E2140" t="str">
        <f>_xlfn.CONCAT("ProjImmoPlatLogNbTraj",RIGHT(LEFT(C2140,LEN(C2140)-1),2))</f>
        <v>ProjImmoPlatLogNbTraj14</v>
      </c>
      <c r="F2140" t="s">
        <v>17</v>
      </c>
      <c r="G2140">
        <f t="shared" si="678"/>
        <v>0</v>
      </c>
      <c r="J2140" t="s">
        <v>145</v>
      </c>
      <c r="K2140">
        <v>5</v>
      </c>
      <c r="M2140" t="s">
        <v>303</v>
      </c>
    </row>
    <row r="2141" spans="1:13" outlineLevel="1" x14ac:dyDescent="0.25">
      <c r="A2141" t="s">
        <v>300</v>
      </c>
      <c r="B2141" t="s">
        <v>400</v>
      </c>
      <c r="C2141" t="str">
        <f>_xlfn.CONCAT("Taux de chargement moyen des véhicules pour l'accès à la plateforme logistique"," (",'Remplissage - Sit. Expost'!$B$163,")")</f>
        <v>Taux de chargement moyen des véhicules pour l'accès à la plateforme logistique (Catégorie 15)</v>
      </c>
      <c r="E2141" t="str">
        <f>_xlfn.CONCAT("ProjImmoPlatLogTC",RIGHT(LEFT(C2141,LEN(C2141)-1),2))</f>
        <v>ProjImmoPlatLogTC15</v>
      </c>
      <c r="F2141" t="s">
        <v>17</v>
      </c>
      <c r="G2141">
        <f t="shared" si="678"/>
        <v>0</v>
      </c>
      <c r="H2141" s="3"/>
      <c r="J2141" t="s">
        <v>70</v>
      </c>
      <c r="K2141" s="7">
        <v>0.8</v>
      </c>
      <c r="M2141" t="s">
        <v>303</v>
      </c>
    </row>
    <row r="2142" spans="1:13" outlineLevel="1" x14ac:dyDescent="0.25">
      <c r="A2142" t="s">
        <v>300</v>
      </c>
      <c r="B2142" t="s">
        <v>400</v>
      </c>
      <c r="C2142" t="str">
        <f>_xlfn.CONCAT("Distance parcourue associée"," (",'Remplissage - Sit. Expost'!$B$163,")")</f>
        <v>Distance parcourue associée (Catégorie 15)</v>
      </c>
      <c r="E2142" t="str">
        <f>_xlfn.CONCAT("ProjImmoPlatLogDist",RIGHT(LEFT(C2142,LEN(C2142)-1),2))</f>
        <v>ProjImmoPlatLogDist15</v>
      </c>
      <c r="F2142" t="s">
        <v>17</v>
      </c>
      <c r="G2142">
        <f t="shared" si="678"/>
        <v>0</v>
      </c>
      <c r="J2142" t="s">
        <v>88</v>
      </c>
      <c r="K2142">
        <v>15</v>
      </c>
      <c r="M2142" t="s">
        <v>303</v>
      </c>
    </row>
    <row r="2143" spans="1:13" outlineLevel="1" x14ac:dyDescent="0.25">
      <c r="A2143" t="s">
        <v>300</v>
      </c>
      <c r="B2143" t="s">
        <v>400</v>
      </c>
      <c r="C2143" t="str">
        <f>_xlfn.CONCAT("Nombre de trajets associés"," (",'Remplissage - Sit. Expost'!$B$163,")")</f>
        <v>Nombre de trajets associés (Catégorie 15)</v>
      </c>
      <c r="E2143" t="str">
        <f>_xlfn.CONCAT("ProjImmoPlatLogNbTraj",RIGHT(LEFT(C2143,LEN(C2143)-1),2))</f>
        <v>ProjImmoPlatLogNbTraj15</v>
      </c>
      <c r="F2143" t="s">
        <v>17</v>
      </c>
      <c r="G2143">
        <f t="shared" si="678"/>
        <v>0</v>
      </c>
      <c r="J2143" t="s">
        <v>145</v>
      </c>
      <c r="K2143">
        <v>5</v>
      </c>
      <c r="M2143" t="s">
        <v>303</v>
      </c>
    </row>
    <row r="2144" spans="1:13" outlineLevel="1" x14ac:dyDescent="0.25">
      <c r="A2144" t="s">
        <v>300</v>
      </c>
      <c r="B2144" t="s">
        <v>401</v>
      </c>
      <c r="C2144" t="str">
        <f>_xlfn.CONCAT("Taux de chargement moyen des véhicules pour l'accès à la plateforme logistique"," (",'Remplissage - Sit. Expost'!$B$173,")")</f>
        <v>Taux de chargement moyen des véhicules pour l'accès à la plateforme logistique (Catégorie 16)</v>
      </c>
      <c r="E2144" t="str">
        <f>_xlfn.CONCAT("ProjImmoPlatLogTC",RIGHT(LEFT(C2144,LEN(C2144)-1),2))</f>
        <v>ProjImmoPlatLogTC16</v>
      </c>
      <c r="F2144" t="s">
        <v>17</v>
      </c>
      <c r="G2144">
        <f t="shared" si="678"/>
        <v>0</v>
      </c>
      <c r="H2144" s="3"/>
      <c r="J2144" t="s">
        <v>70</v>
      </c>
      <c r="K2144" s="7">
        <v>0.8</v>
      </c>
      <c r="M2144" t="s">
        <v>303</v>
      </c>
    </row>
    <row r="2145" spans="1:13" outlineLevel="1" x14ac:dyDescent="0.25">
      <c r="A2145" t="s">
        <v>300</v>
      </c>
      <c r="B2145" t="s">
        <v>401</v>
      </c>
      <c r="C2145" t="str">
        <f>_xlfn.CONCAT("Distance parcourue associée"," (",'Remplissage - Sit. Expost'!$B$173,")")</f>
        <v>Distance parcourue associée (Catégorie 16)</v>
      </c>
      <c r="E2145" t="str">
        <f>_xlfn.CONCAT("ProjImmoPlatLogDist",RIGHT(LEFT(C2145,LEN(C2145)-1),2))</f>
        <v>ProjImmoPlatLogDist16</v>
      </c>
      <c r="F2145" t="s">
        <v>17</v>
      </c>
      <c r="G2145">
        <f t="shared" si="678"/>
        <v>0</v>
      </c>
      <c r="J2145" t="s">
        <v>88</v>
      </c>
      <c r="K2145">
        <v>15</v>
      </c>
      <c r="M2145" t="s">
        <v>303</v>
      </c>
    </row>
    <row r="2146" spans="1:13" outlineLevel="1" x14ac:dyDescent="0.25">
      <c r="A2146" t="s">
        <v>300</v>
      </c>
      <c r="B2146" t="s">
        <v>401</v>
      </c>
      <c r="C2146" t="str">
        <f>_xlfn.CONCAT("Nombre de trajets associés"," (",'Remplissage - Sit. Expost'!$B$173,")")</f>
        <v>Nombre de trajets associés (Catégorie 16)</v>
      </c>
      <c r="E2146" t="str">
        <f>_xlfn.CONCAT("ProjImmoPlatLogNbTraj",RIGHT(LEFT(C2146,LEN(C2146)-1),2))</f>
        <v>ProjImmoPlatLogNbTraj16</v>
      </c>
      <c r="F2146" t="s">
        <v>17</v>
      </c>
      <c r="G2146">
        <f t="shared" si="678"/>
        <v>0</v>
      </c>
      <c r="J2146" t="s">
        <v>145</v>
      </c>
      <c r="K2146">
        <v>5</v>
      </c>
      <c r="M2146" t="s">
        <v>303</v>
      </c>
    </row>
    <row r="2147" spans="1:13" outlineLevel="1" x14ac:dyDescent="0.25">
      <c r="A2147" t="s">
        <v>300</v>
      </c>
      <c r="B2147" t="s">
        <v>402</v>
      </c>
      <c r="C2147" t="str">
        <f>_xlfn.CONCAT("Taux de chargement moyen des véhicules pour l'accès à la plateforme logistique"," (",'Remplissage - Sit. Expost'!$B$183,")")</f>
        <v>Taux de chargement moyen des véhicules pour l'accès à la plateforme logistique (Catégorie 17)</v>
      </c>
      <c r="E2147" t="str">
        <f>_xlfn.CONCAT("ProjImmoPlatLogTC",RIGHT(LEFT(C2147,LEN(C2147)-1),2))</f>
        <v>ProjImmoPlatLogTC17</v>
      </c>
      <c r="F2147" t="s">
        <v>17</v>
      </c>
      <c r="G2147">
        <f t="shared" si="678"/>
        <v>0</v>
      </c>
      <c r="H2147" s="3"/>
      <c r="J2147" t="s">
        <v>70</v>
      </c>
      <c r="K2147" s="7">
        <v>0.8</v>
      </c>
      <c r="M2147" t="s">
        <v>303</v>
      </c>
    </row>
    <row r="2148" spans="1:13" outlineLevel="1" x14ac:dyDescent="0.25">
      <c r="A2148" t="s">
        <v>300</v>
      </c>
      <c r="B2148" t="s">
        <v>402</v>
      </c>
      <c r="C2148" t="str">
        <f>_xlfn.CONCAT("Distance parcourue associée"," (",'Remplissage - Sit. Expost'!$B$183,")")</f>
        <v>Distance parcourue associée (Catégorie 17)</v>
      </c>
      <c r="E2148" t="str">
        <f>_xlfn.CONCAT("ProjImmoPlatLogDist",RIGHT(LEFT(C2148,LEN(C2148)-1),2))</f>
        <v>ProjImmoPlatLogDist17</v>
      </c>
      <c r="F2148" t="s">
        <v>17</v>
      </c>
      <c r="G2148">
        <f t="shared" si="678"/>
        <v>0</v>
      </c>
      <c r="J2148" t="s">
        <v>88</v>
      </c>
      <c r="K2148">
        <v>15</v>
      </c>
      <c r="M2148" t="s">
        <v>303</v>
      </c>
    </row>
    <row r="2149" spans="1:13" outlineLevel="1" x14ac:dyDescent="0.25">
      <c r="A2149" t="s">
        <v>300</v>
      </c>
      <c r="B2149" t="s">
        <v>402</v>
      </c>
      <c r="C2149" t="str">
        <f>_xlfn.CONCAT("Nombre de trajets associés"," (",'Remplissage - Sit. Expost'!$B$183,")")</f>
        <v>Nombre de trajets associés (Catégorie 17)</v>
      </c>
      <c r="E2149" t="str">
        <f>_xlfn.CONCAT("ProjImmoPlatLogNbTraj",RIGHT(LEFT(C2149,LEN(C2149)-1),2))</f>
        <v>ProjImmoPlatLogNbTraj17</v>
      </c>
      <c r="F2149" t="s">
        <v>17</v>
      </c>
      <c r="G2149">
        <f t="shared" si="678"/>
        <v>0</v>
      </c>
      <c r="J2149" t="s">
        <v>145</v>
      </c>
      <c r="K2149">
        <v>5</v>
      </c>
      <c r="M2149" t="s">
        <v>303</v>
      </c>
    </row>
    <row r="2150" spans="1:13" outlineLevel="1" x14ac:dyDescent="0.25">
      <c r="A2150" t="s">
        <v>300</v>
      </c>
      <c r="B2150" t="s">
        <v>403</v>
      </c>
      <c r="C2150" t="str">
        <f>_xlfn.CONCAT("Taux de chargement moyen des véhicules pour l'accès à la plateforme logistique"," (",'Remplissage - Sit. Expost'!$B$193,")")</f>
        <v>Taux de chargement moyen des véhicules pour l'accès à la plateforme logistique (Catégorie 18)</v>
      </c>
      <c r="E2150" t="str">
        <f>_xlfn.CONCAT("ProjImmoPlatLogTC",RIGHT(LEFT(C2150,LEN(C2150)-1),2))</f>
        <v>ProjImmoPlatLogTC18</v>
      </c>
      <c r="F2150" t="s">
        <v>17</v>
      </c>
      <c r="G2150">
        <f t="shared" si="678"/>
        <v>0</v>
      </c>
      <c r="H2150" s="3"/>
      <c r="J2150" t="s">
        <v>70</v>
      </c>
      <c r="K2150" s="7">
        <v>0.8</v>
      </c>
      <c r="M2150" t="s">
        <v>303</v>
      </c>
    </row>
    <row r="2151" spans="1:13" outlineLevel="1" x14ac:dyDescent="0.25">
      <c r="A2151" t="s">
        <v>300</v>
      </c>
      <c r="B2151" t="s">
        <v>403</v>
      </c>
      <c r="C2151" t="str">
        <f>_xlfn.CONCAT("Distance parcourue associée"," (",'Remplissage - Sit. Expost'!$B$193,")")</f>
        <v>Distance parcourue associée (Catégorie 18)</v>
      </c>
      <c r="E2151" t="str">
        <f>_xlfn.CONCAT("ProjImmoPlatLogDist",RIGHT(LEFT(C2151,LEN(C2151)-1),2))</f>
        <v>ProjImmoPlatLogDist18</v>
      </c>
      <c r="F2151" t="s">
        <v>17</v>
      </c>
      <c r="G2151">
        <f t="shared" si="678"/>
        <v>0</v>
      </c>
      <c r="J2151" t="s">
        <v>88</v>
      </c>
      <c r="K2151">
        <v>15</v>
      </c>
      <c r="M2151" t="s">
        <v>303</v>
      </c>
    </row>
    <row r="2152" spans="1:13" outlineLevel="1" x14ac:dyDescent="0.25">
      <c r="A2152" t="s">
        <v>300</v>
      </c>
      <c r="B2152" t="s">
        <v>403</v>
      </c>
      <c r="C2152" t="str">
        <f>_xlfn.CONCAT("Nombre de trajets associés"," (",'Remplissage - Sit. Expost'!$B$193,")")</f>
        <v>Nombre de trajets associés (Catégorie 18)</v>
      </c>
      <c r="E2152" t="str">
        <f>_xlfn.CONCAT("ProjImmoPlatLogNbTraj",RIGHT(LEFT(C2152,LEN(C2152)-1),2))</f>
        <v>ProjImmoPlatLogNbTraj18</v>
      </c>
      <c r="F2152" t="s">
        <v>17</v>
      </c>
      <c r="G2152">
        <f t="shared" si="678"/>
        <v>0</v>
      </c>
      <c r="J2152" t="s">
        <v>145</v>
      </c>
      <c r="K2152">
        <v>5</v>
      </c>
      <c r="M2152" t="s">
        <v>303</v>
      </c>
    </row>
    <row r="2153" spans="1:13" outlineLevel="1" x14ac:dyDescent="0.25">
      <c r="A2153" t="s">
        <v>300</v>
      </c>
      <c r="B2153" t="s">
        <v>404</v>
      </c>
      <c r="C2153" t="str">
        <f>_xlfn.CONCAT("Taux de chargement moyen des véhicules pour l'accès à la plateforme logistique"," (",'Remplissage - Sit. Expost'!$B$203,")")</f>
        <v>Taux de chargement moyen des véhicules pour l'accès à la plateforme logistique (Catégorie 19)</v>
      </c>
      <c r="E2153" t="str">
        <f>_xlfn.CONCAT("ProjImmoPlatLogTC",RIGHT(LEFT(C2153,LEN(C2153)-1),2))</f>
        <v>ProjImmoPlatLogTC19</v>
      </c>
      <c r="F2153" t="s">
        <v>17</v>
      </c>
      <c r="G2153">
        <f t="shared" si="678"/>
        <v>0</v>
      </c>
      <c r="H2153" s="3"/>
      <c r="J2153" t="s">
        <v>70</v>
      </c>
      <c r="K2153" s="7">
        <v>0.8</v>
      </c>
      <c r="M2153" t="s">
        <v>303</v>
      </c>
    </row>
    <row r="2154" spans="1:13" outlineLevel="1" x14ac:dyDescent="0.25">
      <c r="A2154" t="s">
        <v>300</v>
      </c>
      <c r="B2154" t="s">
        <v>404</v>
      </c>
      <c r="C2154" t="str">
        <f>_xlfn.CONCAT("Distance parcourue associée"," (",'Remplissage - Sit. Expost'!$B$203,")")</f>
        <v>Distance parcourue associée (Catégorie 19)</v>
      </c>
      <c r="E2154" t="str">
        <f>_xlfn.CONCAT("ProjImmoPlatLogDist",RIGHT(LEFT(C2154,LEN(C2154)-1),2))</f>
        <v>ProjImmoPlatLogDist19</v>
      </c>
      <c r="F2154" t="s">
        <v>17</v>
      </c>
      <c r="G2154">
        <f t="shared" si="678"/>
        <v>0</v>
      </c>
      <c r="J2154" t="s">
        <v>88</v>
      </c>
      <c r="K2154">
        <v>15</v>
      </c>
      <c r="M2154" t="s">
        <v>303</v>
      </c>
    </row>
    <row r="2155" spans="1:13" outlineLevel="1" x14ac:dyDescent="0.25">
      <c r="A2155" t="s">
        <v>300</v>
      </c>
      <c r="B2155" t="s">
        <v>404</v>
      </c>
      <c r="C2155" t="str">
        <f>_xlfn.CONCAT("Nombre de trajets associés"," (",'Remplissage - Sit. Expost'!$B$203,")")</f>
        <v>Nombre de trajets associés (Catégorie 19)</v>
      </c>
      <c r="E2155" t="str">
        <f>_xlfn.CONCAT("ProjImmoPlatLogNbTraj",RIGHT(LEFT(C2155,LEN(C2155)-1),2))</f>
        <v>ProjImmoPlatLogNbTraj19</v>
      </c>
      <c r="F2155" t="s">
        <v>17</v>
      </c>
      <c r="G2155">
        <f t="shared" si="678"/>
        <v>0</v>
      </c>
      <c r="J2155" t="s">
        <v>145</v>
      </c>
      <c r="K2155">
        <v>5</v>
      </c>
      <c r="M2155" t="s">
        <v>303</v>
      </c>
    </row>
    <row r="2156" spans="1:13" outlineLevel="1" x14ac:dyDescent="0.25">
      <c r="A2156" t="s">
        <v>300</v>
      </c>
      <c r="B2156" t="s">
        <v>405</v>
      </c>
      <c r="C2156" t="str">
        <f>_xlfn.CONCAT("Taux de chargement moyen des véhicules pour l'accès à la plateforme logistique"," (",'Remplissage - Sit. Expost'!$B$213,")")</f>
        <v>Taux de chargement moyen des véhicules pour l'accès à la plateforme logistique (Catégorie 20)</v>
      </c>
      <c r="E2156" t="str">
        <f>_xlfn.CONCAT("ProjImmoPlatLogTC",RIGHT(LEFT(C2156,LEN(C2156)-1),2))</f>
        <v>ProjImmoPlatLogTC20</v>
      </c>
      <c r="F2156" t="s">
        <v>17</v>
      </c>
      <c r="G2156">
        <f t="shared" si="678"/>
        <v>0</v>
      </c>
      <c r="H2156" s="3"/>
      <c r="J2156" t="s">
        <v>70</v>
      </c>
      <c r="K2156" s="7">
        <v>0.8</v>
      </c>
      <c r="M2156" t="s">
        <v>303</v>
      </c>
    </row>
    <row r="2157" spans="1:13" outlineLevel="1" x14ac:dyDescent="0.25">
      <c r="A2157" t="s">
        <v>300</v>
      </c>
      <c r="B2157" t="s">
        <v>405</v>
      </c>
      <c r="C2157" t="str">
        <f>_xlfn.CONCAT("Distance parcourue associée"," (",'Remplissage - Sit. Expost'!$B$213,")")</f>
        <v>Distance parcourue associée (Catégorie 20)</v>
      </c>
      <c r="E2157" t="str">
        <f>_xlfn.CONCAT("ProjImmoPlatLogDist",RIGHT(LEFT(C2157,LEN(C2157)-1),2))</f>
        <v>ProjImmoPlatLogDist20</v>
      </c>
      <c r="F2157" t="s">
        <v>17</v>
      </c>
      <c r="G2157">
        <f t="shared" si="678"/>
        <v>0</v>
      </c>
      <c r="J2157" t="s">
        <v>88</v>
      </c>
      <c r="K2157">
        <v>15</v>
      </c>
      <c r="M2157" t="s">
        <v>303</v>
      </c>
    </row>
    <row r="2158" spans="1:13" outlineLevel="1" x14ac:dyDescent="0.25">
      <c r="A2158" t="s">
        <v>300</v>
      </c>
      <c r="B2158" t="s">
        <v>405</v>
      </c>
      <c r="C2158" t="str">
        <f>_xlfn.CONCAT("Nombre de trajets associés"," (",'Remplissage - Sit. Expost'!$B$213,")")</f>
        <v>Nombre de trajets associés (Catégorie 20)</v>
      </c>
      <c r="E2158" t="str">
        <f>_xlfn.CONCAT("ProjImmoPlatLogNbTraj",RIGHT(LEFT(C2158,LEN(C2158)-1),2))</f>
        <v>ProjImmoPlatLogNbTraj20</v>
      </c>
      <c r="F2158" t="s">
        <v>17</v>
      </c>
      <c r="G2158">
        <f t="shared" si="678"/>
        <v>0</v>
      </c>
      <c r="J2158" t="s">
        <v>145</v>
      </c>
      <c r="K2158">
        <v>5</v>
      </c>
      <c r="M2158" t="s">
        <v>303</v>
      </c>
    </row>
    <row r="2159" spans="1:13" outlineLevel="1" x14ac:dyDescent="0.25">
      <c r="A2159" t="s">
        <v>300</v>
      </c>
      <c r="B2159" t="s">
        <v>406</v>
      </c>
      <c r="C2159" t="str">
        <f>_xlfn.CONCAT("Taux de chargement moyen des véhicules pour l'accès à la plateforme logistique"," (",'Remplissage - Sit. Expost'!$B$223,")")</f>
        <v>Taux de chargement moyen des véhicules pour l'accès à la plateforme logistique (Catégorie 21)</v>
      </c>
      <c r="E2159" t="str">
        <f>_xlfn.CONCAT("ProjImmoPlatLogTC",RIGHT(LEFT(C2159,LEN(C2159)-1),2))</f>
        <v>ProjImmoPlatLogTC21</v>
      </c>
      <c r="F2159" t="s">
        <v>17</v>
      </c>
      <c r="G2159">
        <f t="shared" si="678"/>
        <v>0</v>
      </c>
      <c r="H2159" s="3"/>
      <c r="J2159" t="s">
        <v>70</v>
      </c>
      <c r="K2159" s="7">
        <v>0.8</v>
      </c>
      <c r="M2159" t="s">
        <v>303</v>
      </c>
    </row>
    <row r="2160" spans="1:13" outlineLevel="1" x14ac:dyDescent="0.25">
      <c r="A2160" t="s">
        <v>300</v>
      </c>
      <c r="B2160" t="s">
        <v>406</v>
      </c>
      <c r="C2160" t="str">
        <f>_xlfn.CONCAT("Distance parcourue associée"," (",'Remplissage - Sit. Expost'!$B$223,")")</f>
        <v>Distance parcourue associée (Catégorie 21)</v>
      </c>
      <c r="E2160" t="str">
        <f>_xlfn.CONCAT("ProjImmoPlatLogDist",RIGHT(LEFT(C2160,LEN(C2160)-1),2))</f>
        <v>ProjImmoPlatLogDist21</v>
      </c>
      <c r="F2160" t="s">
        <v>17</v>
      </c>
      <c r="G2160">
        <f t="shared" si="678"/>
        <v>0</v>
      </c>
      <c r="J2160" t="s">
        <v>88</v>
      </c>
      <c r="K2160">
        <v>15</v>
      </c>
      <c r="M2160" t="s">
        <v>303</v>
      </c>
    </row>
    <row r="2161" spans="1:13" outlineLevel="1" x14ac:dyDescent="0.25">
      <c r="A2161" t="s">
        <v>300</v>
      </c>
      <c r="B2161" t="s">
        <v>406</v>
      </c>
      <c r="C2161" t="str">
        <f>_xlfn.CONCAT("Nombre de trajets associés"," (",'Remplissage - Sit. Expost'!$B$223,")")</f>
        <v>Nombre de trajets associés (Catégorie 21)</v>
      </c>
      <c r="E2161" t="str">
        <f>_xlfn.CONCAT("ProjImmoPlatLogNbTraj",RIGHT(LEFT(C2161,LEN(C2161)-1),2))</f>
        <v>ProjImmoPlatLogNbTraj21</v>
      </c>
      <c r="F2161" t="s">
        <v>17</v>
      </c>
      <c r="G2161">
        <f t="shared" si="678"/>
        <v>0</v>
      </c>
      <c r="J2161" t="s">
        <v>145</v>
      </c>
      <c r="K2161">
        <v>5</v>
      </c>
      <c r="M2161" t="s">
        <v>303</v>
      </c>
    </row>
    <row r="2162" spans="1:13" outlineLevel="1" x14ac:dyDescent="0.25">
      <c r="A2162" t="s">
        <v>300</v>
      </c>
      <c r="B2162" t="s">
        <v>407</v>
      </c>
      <c r="C2162" t="str">
        <f>_xlfn.CONCAT("Taux de chargement moyen des véhicules pour l'accès à la plateforme logistique"," (",'Remplissage - Sit. Expost'!$B$233,")")</f>
        <v>Taux de chargement moyen des véhicules pour l'accès à la plateforme logistique (Catégorie 22)</v>
      </c>
      <c r="E2162" t="str">
        <f>_xlfn.CONCAT("ProjImmoPlatLogTC",RIGHT(LEFT(C2162,LEN(C2162)-1),2))</f>
        <v>ProjImmoPlatLogTC22</v>
      </c>
      <c r="F2162" t="s">
        <v>17</v>
      </c>
      <c r="G2162">
        <f t="shared" si="678"/>
        <v>0</v>
      </c>
      <c r="H2162" s="3"/>
      <c r="J2162" t="s">
        <v>70</v>
      </c>
      <c r="K2162" s="7">
        <v>0.8</v>
      </c>
      <c r="M2162" t="s">
        <v>303</v>
      </c>
    </row>
    <row r="2163" spans="1:13" outlineLevel="1" x14ac:dyDescent="0.25">
      <c r="A2163" t="s">
        <v>300</v>
      </c>
      <c r="B2163" t="s">
        <v>407</v>
      </c>
      <c r="C2163" t="str">
        <f>_xlfn.CONCAT("Distance parcourue associée"," (",'Remplissage - Sit. Expost'!$B$233,")")</f>
        <v>Distance parcourue associée (Catégorie 22)</v>
      </c>
      <c r="E2163" t="str">
        <f>_xlfn.CONCAT("ProjImmoPlatLogDist",RIGHT(LEFT(C2163,LEN(C2163)-1),2))</f>
        <v>ProjImmoPlatLogDist22</v>
      </c>
      <c r="F2163" t="s">
        <v>17</v>
      </c>
      <c r="G2163">
        <f t="shared" si="678"/>
        <v>0</v>
      </c>
      <c r="J2163" t="s">
        <v>88</v>
      </c>
      <c r="K2163">
        <v>15</v>
      </c>
      <c r="M2163" t="s">
        <v>303</v>
      </c>
    </row>
    <row r="2164" spans="1:13" outlineLevel="1" x14ac:dyDescent="0.25">
      <c r="A2164" t="s">
        <v>300</v>
      </c>
      <c r="B2164" t="s">
        <v>407</v>
      </c>
      <c r="C2164" t="str">
        <f>_xlfn.CONCAT("Nombre de trajets associés"," (",'Remplissage - Sit. Expost'!$B$233,")")</f>
        <v>Nombre de trajets associés (Catégorie 22)</v>
      </c>
      <c r="E2164" t="str">
        <f>_xlfn.CONCAT("ProjImmoPlatLogNbTraj",RIGHT(LEFT(C2164,LEN(C2164)-1),2))</f>
        <v>ProjImmoPlatLogNbTraj22</v>
      </c>
      <c r="F2164" t="s">
        <v>17</v>
      </c>
      <c r="G2164">
        <f t="shared" ref="G2164:G2227" si="679">IF(ISNUMBER(SEARCH($B2164,$H$2094)),1,0)</f>
        <v>0</v>
      </c>
      <c r="J2164" t="s">
        <v>145</v>
      </c>
      <c r="K2164">
        <v>5</v>
      </c>
      <c r="M2164" t="s">
        <v>303</v>
      </c>
    </row>
    <row r="2165" spans="1:13" outlineLevel="1" x14ac:dyDescent="0.25">
      <c r="A2165" t="s">
        <v>300</v>
      </c>
      <c r="B2165" t="s">
        <v>408</v>
      </c>
      <c r="C2165" t="str">
        <f>_xlfn.CONCAT("Taux de chargement moyen des véhicules pour l'accès à la plateforme logistique"," (",'Remplissage - Sit. Expost'!$B$243,")")</f>
        <v>Taux de chargement moyen des véhicules pour l'accès à la plateforme logistique (Catégorie 23)</v>
      </c>
      <c r="E2165" t="str">
        <f>_xlfn.CONCAT("ProjImmoPlatLogTC",RIGHT(LEFT(C2165,LEN(C2165)-1),2))</f>
        <v>ProjImmoPlatLogTC23</v>
      </c>
      <c r="F2165" t="s">
        <v>17</v>
      </c>
      <c r="G2165">
        <f t="shared" si="679"/>
        <v>0</v>
      </c>
      <c r="H2165" s="3"/>
      <c r="J2165" t="s">
        <v>70</v>
      </c>
      <c r="K2165" s="7">
        <v>0.8</v>
      </c>
      <c r="M2165" t="s">
        <v>303</v>
      </c>
    </row>
    <row r="2166" spans="1:13" outlineLevel="1" x14ac:dyDescent="0.25">
      <c r="A2166" t="s">
        <v>300</v>
      </c>
      <c r="B2166" t="s">
        <v>408</v>
      </c>
      <c r="C2166" t="str">
        <f>_xlfn.CONCAT("Distance parcourue associée"," (",'Remplissage - Sit. Expost'!$B$243,")")</f>
        <v>Distance parcourue associée (Catégorie 23)</v>
      </c>
      <c r="E2166" t="str">
        <f>_xlfn.CONCAT("ProjImmoPlatLogDist",RIGHT(LEFT(C2166,LEN(C2166)-1),2))</f>
        <v>ProjImmoPlatLogDist23</v>
      </c>
      <c r="F2166" t="s">
        <v>17</v>
      </c>
      <c r="G2166">
        <f t="shared" si="679"/>
        <v>0</v>
      </c>
      <c r="J2166" t="s">
        <v>88</v>
      </c>
      <c r="K2166">
        <v>15</v>
      </c>
      <c r="M2166" t="s">
        <v>303</v>
      </c>
    </row>
    <row r="2167" spans="1:13" outlineLevel="1" x14ac:dyDescent="0.25">
      <c r="A2167" t="s">
        <v>300</v>
      </c>
      <c r="B2167" t="s">
        <v>408</v>
      </c>
      <c r="C2167" t="str">
        <f>_xlfn.CONCAT("Nombre de trajets associés"," (",'Remplissage - Sit. Expost'!$B$243,")")</f>
        <v>Nombre de trajets associés (Catégorie 23)</v>
      </c>
      <c r="E2167" t="str">
        <f>_xlfn.CONCAT("ProjImmoPlatLogNbTraj",RIGHT(LEFT(C2167,LEN(C2167)-1),2))</f>
        <v>ProjImmoPlatLogNbTraj23</v>
      </c>
      <c r="F2167" t="s">
        <v>17</v>
      </c>
      <c r="G2167">
        <f t="shared" si="679"/>
        <v>0</v>
      </c>
      <c r="J2167" t="s">
        <v>145</v>
      </c>
      <c r="K2167">
        <v>5</v>
      </c>
      <c r="M2167" t="s">
        <v>303</v>
      </c>
    </row>
    <row r="2168" spans="1:13" outlineLevel="1" x14ac:dyDescent="0.25">
      <c r="A2168" t="s">
        <v>300</v>
      </c>
      <c r="B2168" t="s">
        <v>409</v>
      </c>
      <c r="C2168" t="str">
        <f>_xlfn.CONCAT("Taux de chargement moyen des véhicules pour l'accès à la plateforme logistique"," (",'Remplissage - Sit. Expost'!$B$253,")")</f>
        <v>Taux de chargement moyen des véhicules pour l'accès à la plateforme logistique (Catégorie 24)</v>
      </c>
      <c r="E2168" t="str">
        <f>_xlfn.CONCAT("ProjImmoPlatLogTC",RIGHT(LEFT(C2168,LEN(C2168)-1),2))</f>
        <v>ProjImmoPlatLogTC24</v>
      </c>
      <c r="F2168" t="s">
        <v>17</v>
      </c>
      <c r="G2168">
        <f t="shared" si="679"/>
        <v>0</v>
      </c>
      <c r="H2168" s="3"/>
      <c r="J2168" t="s">
        <v>70</v>
      </c>
      <c r="K2168" s="7">
        <v>0.8</v>
      </c>
      <c r="M2168" t="s">
        <v>303</v>
      </c>
    </row>
    <row r="2169" spans="1:13" outlineLevel="1" x14ac:dyDescent="0.25">
      <c r="A2169" t="s">
        <v>300</v>
      </c>
      <c r="B2169" t="s">
        <v>409</v>
      </c>
      <c r="C2169" t="str">
        <f>_xlfn.CONCAT("Distance parcourue associée"," (",'Remplissage - Sit. Expost'!$B$253,")")</f>
        <v>Distance parcourue associée (Catégorie 24)</v>
      </c>
      <c r="E2169" t="str">
        <f>_xlfn.CONCAT("ProjImmoPlatLogDist",RIGHT(LEFT(C2169,LEN(C2169)-1),2))</f>
        <v>ProjImmoPlatLogDist24</v>
      </c>
      <c r="F2169" t="s">
        <v>17</v>
      </c>
      <c r="G2169">
        <f t="shared" si="679"/>
        <v>0</v>
      </c>
      <c r="J2169" t="s">
        <v>88</v>
      </c>
      <c r="K2169">
        <v>15</v>
      </c>
      <c r="M2169" t="s">
        <v>303</v>
      </c>
    </row>
    <row r="2170" spans="1:13" outlineLevel="1" x14ac:dyDescent="0.25">
      <c r="A2170" t="s">
        <v>300</v>
      </c>
      <c r="B2170" t="s">
        <v>409</v>
      </c>
      <c r="C2170" t="str">
        <f>_xlfn.CONCAT("Nombre de trajets associés"," (",'Remplissage - Sit. Expost'!$B$253,")")</f>
        <v>Nombre de trajets associés (Catégorie 24)</v>
      </c>
      <c r="E2170" t="str">
        <f>_xlfn.CONCAT("ProjImmoPlatLogNbTraj",RIGHT(LEFT(C2170,LEN(C2170)-1),2))</f>
        <v>ProjImmoPlatLogNbTraj24</v>
      </c>
      <c r="F2170" t="s">
        <v>17</v>
      </c>
      <c r="G2170">
        <f t="shared" si="679"/>
        <v>0</v>
      </c>
      <c r="J2170" t="s">
        <v>145</v>
      </c>
      <c r="K2170">
        <v>5</v>
      </c>
      <c r="M2170" t="s">
        <v>303</v>
      </c>
    </row>
    <row r="2171" spans="1:13" outlineLevel="1" x14ac:dyDescent="0.25">
      <c r="A2171" t="s">
        <v>300</v>
      </c>
      <c r="B2171" t="s">
        <v>410</v>
      </c>
      <c r="C2171" t="str">
        <f>_xlfn.CONCAT("Taux de chargement moyen des véhicules pour l'accès à la plateforme logistique"," (",'Remplissage - Sit. Expost'!$B$263,")")</f>
        <v>Taux de chargement moyen des véhicules pour l'accès à la plateforme logistique (Catégorie 25)</v>
      </c>
      <c r="E2171" t="str">
        <f>_xlfn.CONCAT("ProjImmoPlatLogTC",RIGHT(LEFT(C2171,LEN(C2171)-1),2))</f>
        <v>ProjImmoPlatLogTC25</v>
      </c>
      <c r="F2171" t="s">
        <v>17</v>
      </c>
      <c r="G2171">
        <f t="shared" si="679"/>
        <v>0</v>
      </c>
      <c r="H2171" s="3"/>
      <c r="J2171" t="s">
        <v>70</v>
      </c>
      <c r="K2171" s="7">
        <v>0.8</v>
      </c>
      <c r="M2171" t="s">
        <v>303</v>
      </c>
    </row>
    <row r="2172" spans="1:13" outlineLevel="1" x14ac:dyDescent="0.25">
      <c r="A2172" t="s">
        <v>300</v>
      </c>
      <c r="B2172" t="s">
        <v>410</v>
      </c>
      <c r="C2172" t="str">
        <f>_xlfn.CONCAT("Distance parcourue associée"," (",'Remplissage - Sit. Expost'!$B$263,")")</f>
        <v>Distance parcourue associée (Catégorie 25)</v>
      </c>
      <c r="E2172" t="str">
        <f>_xlfn.CONCAT("ProjImmoPlatLogDist",RIGHT(LEFT(C2172,LEN(C2172)-1),2))</f>
        <v>ProjImmoPlatLogDist25</v>
      </c>
      <c r="F2172" t="s">
        <v>17</v>
      </c>
      <c r="G2172">
        <f t="shared" si="679"/>
        <v>0</v>
      </c>
      <c r="J2172" t="s">
        <v>88</v>
      </c>
      <c r="K2172">
        <v>15</v>
      </c>
      <c r="M2172" t="s">
        <v>303</v>
      </c>
    </row>
    <row r="2173" spans="1:13" outlineLevel="1" x14ac:dyDescent="0.25">
      <c r="A2173" t="s">
        <v>300</v>
      </c>
      <c r="B2173" t="s">
        <v>410</v>
      </c>
      <c r="C2173" t="str">
        <f>_xlfn.CONCAT("Nombre de trajets associés"," (",'Remplissage - Sit. Expost'!$B$263,")")</f>
        <v>Nombre de trajets associés (Catégorie 25)</v>
      </c>
      <c r="E2173" t="str">
        <f>_xlfn.CONCAT("ProjImmoPlatLogNbTraj",RIGHT(LEFT(C2173,LEN(C2173)-1),2))</f>
        <v>ProjImmoPlatLogNbTraj25</v>
      </c>
      <c r="F2173" t="s">
        <v>17</v>
      </c>
      <c r="G2173">
        <f t="shared" si="679"/>
        <v>0</v>
      </c>
      <c r="J2173" t="s">
        <v>145</v>
      </c>
      <c r="K2173">
        <v>5</v>
      </c>
      <c r="M2173" t="s">
        <v>303</v>
      </c>
    </row>
    <row r="2174" spans="1:13" outlineLevel="1" x14ac:dyDescent="0.25">
      <c r="A2174" t="s">
        <v>300</v>
      </c>
      <c r="B2174" t="s">
        <v>411</v>
      </c>
      <c r="C2174" t="str">
        <f>_xlfn.CONCAT("Taux de chargement moyen des véhicules pour l'accès à la plateforme logistique"," (",'Remplissage - Sit. Expost'!$B$273,")")</f>
        <v>Taux de chargement moyen des véhicules pour l'accès à la plateforme logistique (Catégorie 26)</v>
      </c>
      <c r="E2174" t="str">
        <f>_xlfn.CONCAT("ProjImmoPlatLogTC",RIGHT(LEFT(C2174,LEN(C2174)-1),2))</f>
        <v>ProjImmoPlatLogTC26</v>
      </c>
      <c r="F2174" t="s">
        <v>17</v>
      </c>
      <c r="G2174">
        <f t="shared" si="679"/>
        <v>0</v>
      </c>
      <c r="H2174" s="3"/>
      <c r="J2174" t="s">
        <v>70</v>
      </c>
      <c r="K2174" s="7">
        <v>0.8</v>
      </c>
      <c r="M2174" t="s">
        <v>303</v>
      </c>
    </row>
    <row r="2175" spans="1:13" outlineLevel="1" x14ac:dyDescent="0.25">
      <c r="A2175" t="s">
        <v>300</v>
      </c>
      <c r="B2175" t="s">
        <v>411</v>
      </c>
      <c r="C2175" t="str">
        <f>_xlfn.CONCAT("Distance parcourue associée"," (",'Remplissage - Sit. Expost'!$B$273,")")</f>
        <v>Distance parcourue associée (Catégorie 26)</v>
      </c>
      <c r="E2175" t="str">
        <f>_xlfn.CONCAT("ProjImmoPlatLogDist",RIGHT(LEFT(C2175,LEN(C2175)-1),2))</f>
        <v>ProjImmoPlatLogDist26</v>
      </c>
      <c r="F2175" t="s">
        <v>17</v>
      </c>
      <c r="G2175">
        <f t="shared" si="679"/>
        <v>0</v>
      </c>
      <c r="J2175" t="s">
        <v>88</v>
      </c>
      <c r="K2175">
        <v>15</v>
      </c>
      <c r="M2175" t="s">
        <v>303</v>
      </c>
    </row>
    <row r="2176" spans="1:13" outlineLevel="1" x14ac:dyDescent="0.25">
      <c r="A2176" t="s">
        <v>300</v>
      </c>
      <c r="B2176" t="s">
        <v>411</v>
      </c>
      <c r="C2176" t="str">
        <f>_xlfn.CONCAT("Nombre de trajets associés"," (",'Remplissage - Sit. Expost'!$B$273,")")</f>
        <v>Nombre de trajets associés (Catégorie 26)</v>
      </c>
      <c r="E2176" t="str">
        <f>_xlfn.CONCAT("ProjImmoPlatLogNbTraj",RIGHT(LEFT(C2176,LEN(C2176)-1),2))</f>
        <v>ProjImmoPlatLogNbTraj26</v>
      </c>
      <c r="F2176" t="s">
        <v>17</v>
      </c>
      <c r="G2176">
        <f t="shared" si="679"/>
        <v>0</v>
      </c>
      <c r="J2176" t="s">
        <v>145</v>
      </c>
      <c r="K2176">
        <v>5</v>
      </c>
      <c r="M2176" t="s">
        <v>303</v>
      </c>
    </row>
    <row r="2177" spans="1:13" outlineLevel="1" x14ac:dyDescent="0.25">
      <c r="A2177" t="s">
        <v>300</v>
      </c>
      <c r="B2177" t="s">
        <v>412</v>
      </c>
      <c r="C2177" t="str">
        <f>_xlfn.CONCAT("Taux de chargement moyen des véhicules pour l'accès à la plateforme logistique"," (",'Remplissage - Sit. Expost'!$B$283,")")</f>
        <v>Taux de chargement moyen des véhicules pour l'accès à la plateforme logistique (Catégorie 27)</v>
      </c>
      <c r="E2177" t="str">
        <f>_xlfn.CONCAT("ProjImmoPlatLogTC",RIGHT(LEFT(C2177,LEN(C2177)-1),2))</f>
        <v>ProjImmoPlatLogTC27</v>
      </c>
      <c r="F2177" t="s">
        <v>17</v>
      </c>
      <c r="G2177">
        <f t="shared" si="679"/>
        <v>0</v>
      </c>
      <c r="H2177" s="3"/>
      <c r="J2177" t="s">
        <v>70</v>
      </c>
      <c r="K2177" s="7">
        <v>0.8</v>
      </c>
      <c r="M2177" t="s">
        <v>303</v>
      </c>
    </row>
    <row r="2178" spans="1:13" outlineLevel="1" x14ac:dyDescent="0.25">
      <c r="A2178" t="s">
        <v>300</v>
      </c>
      <c r="B2178" t="s">
        <v>412</v>
      </c>
      <c r="C2178" t="str">
        <f>_xlfn.CONCAT("Distance parcourue associée"," (",'Remplissage - Sit. Expost'!$B$283,")")</f>
        <v>Distance parcourue associée (Catégorie 27)</v>
      </c>
      <c r="E2178" t="str">
        <f>_xlfn.CONCAT("ProjImmoPlatLogDist",RIGHT(LEFT(C2178,LEN(C2178)-1),2))</f>
        <v>ProjImmoPlatLogDist27</v>
      </c>
      <c r="F2178" t="s">
        <v>17</v>
      </c>
      <c r="G2178">
        <f t="shared" si="679"/>
        <v>0</v>
      </c>
      <c r="J2178" t="s">
        <v>88</v>
      </c>
      <c r="K2178">
        <v>15</v>
      </c>
      <c r="M2178" t="s">
        <v>303</v>
      </c>
    </row>
    <row r="2179" spans="1:13" outlineLevel="1" x14ac:dyDescent="0.25">
      <c r="A2179" t="s">
        <v>300</v>
      </c>
      <c r="B2179" t="s">
        <v>412</v>
      </c>
      <c r="C2179" t="str">
        <f>_xlfn.CONCAT("Nombre de trajets associés"," (",'Remplissage - Sit. Expost'!$B$283,")")</f>
        <v>Nombre de trajets associés (Catégorie 27)</v>
      </c>
      <c r="E2179" t="str">
        <f>_xlfn.CONCAT("ProjImmoPlatLogNbTraj",RIGHT(LEFT(C2179,LEN(C2179)-1),2))</f>
        <v>ProjImmoPlatLogNbTraj27</v>
      </c>
      <c r="F2179" t="s">
        <v>17</v>
      </c>
      <c r="G2179">
        <f t="shared" si="679"/>
        <v>0</v>
      </c>
      <c r="J2179" t="s">
        <v>145</v>
      </c>
      <c r="K2179">
        <v>5</v>
      </c>
      <c r="M2179" t="s">
        <v>303</v>
      </c>
    </row>
    <row r="2180" spans="1:13" outlineLevel="1" x14ac:dyDescent="0.25">
      <c r="A2180" t="s">
        <v>300</v>
      </c>
      <c r="B2180" t="s">
        <v>413</v>
      </c>
      <c r="C2180" t="str">
        <f>_xlfn.CONCAT("Taux de chargement moyen des véhicules pour l'accès à la plateforme logistique"," (",'Remplissage - Sit. Expost'!$B$293,")")</f>
        <v>Taux de chargement moyen des véhicules pour l'accès à la plateforme logistique (Catégorie 28)</v>
      </c>
      <c r="E2180" t="str">
        <f>_xlfn.CONCAT("ProjImmoPlatLogTC",RIGHT(LEFT(C2180,LEN(C2180)-1),2))</f>
        <v>ProjImmoPlatLogTC28</v>
      </c>
      <c r="F2180" t="s">
        <v>17</v>
      </c>
      <c r="G2180">
        <f t="shared" si="679"/>
        <v>0</v>
      </c>
      <c r="H2180" s="3"/>
      <c r="J2180" t="s">
        <v>70</v>
      </c>
      <c r="K2180" s="7">
        <v>0.8</v>
      </c>
      <c r="M2180" t="s">
        <v>303</v>
      </c>
    </row>
    <row r="2181" spans="1:13" outlineLevel="1" x14ac:dyDescent="0.25">
      <c r="A2181" t="s">
        <v>300</v>
      </c>
      <c r="B2181" t="s">
        <v>413</v>
      </c>
      <c r="C2181" t="str">
        <f>_xlfn.CONCAT("Distance parcourue associée"," (",'Remplissage - Sit. Expost'!$B$293,")")</f>
        <v>Distance parcourue associée (Catégorie 28)</v>
      </c>
      <c r="E2181" t="str">
        <f>_xlfn.CONCAT("ProjImmoPlatLogDist",RIGHT(LEFT(C2181,LEN(C2181)-1),2))</f>
        <v>ProjImmoPlatLogDist28</v>
      </c>
      <c r="F2181" t="s">
        <v>17</v>
      </c>
      <c r="G2181">
        <f t="shared" si="679"/>
        <v>0</v>
      </c>
      <c r="J2181" t="s">
        <v>88</v>
      </c>
      <c r="K2181">
        <v>15</v>
      </c>
      <c r="M2181" t="s">
        <v>303</v>
      </c>
    </row>
    <row r="2182" spans="1:13" outlineLevel="1" x14ac:dyDescent="0.25">
      <c r="A2182" t="s">
        <v>300</v>
      </c>
      <c r="B2182" t="s">
        <v>413</v>
      </c>
      <c r="C2182" t="str">
        <f>_xlfn.CONCAT("Nombre de trajets associés"," (",'Remplissage - Sit. Expost'!$B$293,")")</f>
        <v>Nombre de trajets associés (Catégorie 28)</v>
      </c>
      <c r="E2182" t="str">
        <f>_xlfn.CONCAT("ProjImmoPlatLogNbTraj",RIGHT(LEFT(C2182,LEN(C2182)-1),2))</f>
        <v>ProjImmoPlatLogNbTraj28</v>
      </c>
      <c r="F2182" t="s">
        <v>17</v>
      </c>
      <c r="G2182">
        <f t="shared" si="679"/>
        <v>0</v>
      </c>
      <c r="J2182" t="s">
        <v>145</v>
      </c>
      <c r="K2182">
        <v>5</v>
      </c>
      <c r="M2182" t="s">
        <v>303</v>
      </c>
    </row>
    <row r="2183" spans="1:13" outlineLevel="1" x14ac:dyDescent="0.25">
      <c r="A2183" t="s">
        <v>300</v>
      </c>
      <c r="B2183" t="s">
        <v>414</v>
      </c>
      <c r="C2183" t="str">
        <f>_xlfn.CONCAT("Taux de chargement moyen des véhicules pour l'accès à la plateforme logistique"," (",'Remplissage - Sit. Expost'!$B$303,")")</f>
        <v>Taux de chargement moyen des véhicules pour l'accès à la plateforme logistique (Catégorie 29)</v>
      </c>
      <c r="E2183" t="str">
        <f>_xlfn.CONCAT("ProjImmoPlatLogTC",RIGHT(LEFT(C2183,LEN(C2183)-1),2))</f>
        <v>ProjImmoPlatLogTC29</v>
      </c>
      <c r="F2183" t="s">
        <v>17</v>
      </c>
      <c r="G2183">
        <f t="shared" si="679"/>
        <v>0</v>
      </c>
      <c r="H2183" s="3"/>
      <c r="J2183" t="s">
        <v>70</v>
      </c>
      <c r="K2183" s="7">
        <v>0.8</v>
      </c>
      <c r="M2183" t="s">
        <v>303</v>
      </c>
    </row>
    <row r="2184" spans="1:13" outlineLevel="1" x14ac:dyDescent="0.25">
      <c r="A2184" t="s">
        <v>300</v>
      </c>
      <c r="B2184" t="s">
        <v>414</v>
      </c>
      <c r="C2184" t="str">
        <f>_xlfn.CONCAT("Distance parcourue associée"," (",'Remplissage - Sit. Expost'!$B$303,")")</f>
        <v>Distance parcourue associée (Catégorie 29)</v>
      </c>
      <c r="E2184" t="str">
        <f>_xlfn.CONCAT("ProjImmoPlatLogDist",RIGHT(LEFT(C2184,LEN(C2184)-1),2))</f>
        <v>ProjImmoPlatLogDist29</v>
      </c>
      <c r="F2184" t="s">
        <v>17</v>
      </c>
      <c r="G2184">
        <f t="shared" si="679"/>
        <v>0</v>
      </c>
      <c r="J2184" t="s">
        <v>88</v>
      </c>
      <c r="K2184">
        <v>15</v>
      </c>
      <c r="M2184" t="s">
        <v>303</v>
      </c>
    </row>
    <row r="2185" spans="1:13" outlineLevel="1" x14ac:dyDescent="0.25">
      <c r="A2185" t="s">
        <v>300</v>
      </c>
      <c r="B2185" t="s">
        <v>414</v>
      </c>
      <c r="C2185" t="str">
        <f>_xlfn.CONCAT("Nombre de trajets associés"," (",'Remplissage - Sit. Expost'!$B$303,")")</f>
        <v>Nombre de trajets associés (Catégorie 29)</v>
      </c>
      <c r="E2185" t="str">
        <f>_xlfn.CONCAT("ProjImmoPlatLogNbTraj",RIGHT(LEFT(C2185,LEN(C2185)-1),2))</f>
        <v>ProjImmoPlatLogNbTraj29</v>
      </c>
      <c r="F2185" t="s">
        <v>17</v>
      </c>
      <c r="G2185">
        <f t="shared" si="679"/>
        <v>0</v>
      </c>
      <c r="J2185" t="s">
        <v>145</v>
      </c>
      <c r="K2185">
        <v>5</v>
      </c>
      <c r="M2185" t="s">
        <v>303</v>
      </c>
    </row>
    <row r="2186" spans="1:13" outlineLevel="1" x14ac:dyDescent="0.25">
      <c r="A2186" t="s">
        <v>300</v>
      </c>
      <c r="B2186" t="s">
        <v>415</v>
      </c>
      <c r="C2186" t="str">
        <f>_xlfn.CONCAT("Taux de chargement moyen des véhicules pour l'accès à la plateforme logistique"," (",'Remplissage - Sit. Expost'!$B$313,")")</f>
        <v>Taux de chargement moyen des véhicules pour l'accès à la plateforme logistique (Catégorie 30)</v>
      </c>
      <c r="E2186" t="str">
        <f>_xlfn.CONCAT("ProjImmoPlatLogTC",RIGHT(LEFT(C2186,LEN(C2186)-1),2))</f>
        <v>ProjImmoPlatLogTC30</v>
      </c>
      <c r="F2186" t="s">
        <v>17</v>
      </c>
      <c r="G2186">
        <f t="shared" si="679"/>
        <v>0</v>
      </c>
      <c r="H2186" s="3"/>
      <c r="J2186" t="s">
        <v>70</v>
      </c>
      <c r="K2186" s="7">
        <v>0.8</v>
      </c>
      <c r="M2186" t="s">
        <v>303</v>
      </c>
    </row>
    <row r="2187" spans="1:13" outlineLevel="1" x14ac:dyDescent="0.25">
      <c r="A2187" t="s">
        <v>300</v>
      </c>
      <c r="B2187" t="s">
        <v>415</v>
      </c>
      <c r="C2187" t="str">
        <f>_xlfn.CONCAT("Distance parcourue associée"," (",'Remplissage - Sit. Expost'!$B$313,")")</f>
        <v>Distance parcourue associée (Catégorie 30)</v>
      </c>
      <c r="E2187" t="str">
        <f>_xlfn.CONCAT("ProjImmoPlatLogDist",RIGHT(LEFT(C2187,LEN(C2187)-1),2))</f>
        <v>ProjImmoPlatLogDist30</v>
      </c>
      <c r="F2187" t="s">
        <v>17</v>
      </c>
      <c r="G2187">
        <f t="shared" si="679"/>
        <v>0</v>
      </c>
      <c r="J2187" t="s">
        <v>88</v>
      </c>
      <c r="K2187">
        <v>15</v>
      </c>
      <c r="M2187" t="s">
        <v>303</v>
      </c>
    </row>
    <row r="2188" spans="1:13" outlineLevel="1" x14ac:dyDescent="0.25">
      <c r="A2188" t="s">
        <v>300</v>
      </c>
      <c r="B2188" t="s">
        <v>415</v>
      </c>
      <c r="C2188" t="str">
        <f>_xlfn.CONCAT("Nombre de trajets associés"," (",'Remplissage - Sit. Expost'!$B$313,")")</f>
        <v>Nombre de trajets associés (Catégorie 30)</v>
      </c>
      <c r="E2188" t="str">
        <f>_xlfn.CONCAT("ProjImmoPlatLogNbTraj",RIGHT(LEFT(C2188,LEN(C2188)-1),2))</f>
        <v>ProjImmoPlatLogNbTraj30</v>
      </c>
      <c r="F2188" t="s">
        <v>17</v>
      </c>
      <c r="G2188">
        <f t="shared" si="679"/>
        <v>0</v>
      </c>
      <c r="J2188" t="s">
        <v>145</v>
      </c>
      <c r="K2188">
        <v>5</v>
      </c>
      <c r="M2188" t="s">
        <v>303</v>
      </c>
    </row>
    <row r="2189" spans="1:13" outlineLevel="1" x14ac:dyDescent="0.25">
      <c r="A2189" t="s">
        <v>300</v>
      </c>
      <c r="B2189" t="s">
        <v>416</v>
      </c>
      <c r="C2189" t="str">
        <f>_xlfn.CONCAT("Taux de chargement moyen des véhicules pour l'accès à la plateforme logistique"," (",'Remplissage - Sit. Expost'!$B$323,")")</f>
        <v>Taux de chargement moyen des véhicules pour l'accès à la plateforme logistique (Catégorie 31)</v>
      </c>
      <c r="E2189" t="str">
        <f>_xlfn.CONCAT("ProjImmoPlatLogTC",RIGHT(LEFT(C2189,LEN(C2189)-1),2))</f>
        <v>ProjImmoPlatLogTC31</v>
      </c>
      <c r="F2189" t="s">
        <v>17</v>
      </c>
      <c r="G2189">
        <f t="shared" si="679"/>
        <v>0</v>
      </c>
      <c r="H2189" s="3"/>
      <c r="J2189" t="s">
        <v>70</v>
      </c>
      <c r="K2189" s="7">
        <v>0.8</v>
      </c>
      <c r="M2189" t="s">
        <v>303</v>
      </c>
    </row>
    <row r="2190" spans="1:13" outlineLevel="1" x14ac:dyDescent="0.25">
      <c r="A2190" t="s">
        <v>300</v>
      </c>
      <c r="B2190" t="s">
        <v>416</v>
      </c>
      <c r="C2190" t="str">
        <f>_xlfn.CONCAT("Distance parcourue associée"," (",'Remplissage - Sit. Expost'!$B$323,")")</f>
        <v>Distance parcourue associée (Catégorie 31)</v>
      </c>
      <c r="E2190" t="str">
        <f>_xlfn.CONCAT("ProjImmoPlatLogDist",RIGHT(LEFT(C2190,LEN(C2190)-1),2))</f>
        <v>ProjImmoPlatLogDist31</v>
      </c>
      <c r="F2190" t="s">
        <v>17</v>
      </c>
      <c r="G2190">
        <f t="shared" si="679"/>
        <v>0</v>
      </c>
      <c r="J2190" t="s">
        <v>88</v>
      </c>
      <c r="K2190">
        <v>15</v>
      </c>
      <c r="M2190" t="s">
        <v>303</v>
      </c>
    </row>
    <row r="2191" spans="1:13" outlineLevel="1" x14ac:dyDescent="0.25">
      <c r="A2191" t="s">
        <v>300</v>
      </c>
      <c r="B2191" t="s">
        <v>416</v>
      </c>
      <c r="C2191" t="str">
        <f>_xlfn.CONCAT("Nombre de trajets associés"," (",'Remplissage - Sit. Expost'!$B$323,")")</f>
        <v>Nombre de trajets associés (Catégorie 31)</v>
      </c>
      <c r="E2191" t="str">
        <f>_xlfn.CONCAT("ProjImmoPlatLogNbTraj",RIGHT(LEFT(C2191,LEN(C2191)-1),2))</f>
        <v>ProjImmoPlatLogNbTraj31</v>
      </c>
      <c r="F2191" t="s">
        <v>17</v>
      </c>
      <c r="G2191">
        <f t="shared" si="679"/>
        <v>0</v>
      </c>
      <c r="J2191" t="s">
        <v>145</v>
      </c>
      <c r="K2191">
        <v>5</v>
      </c>
      <c r="M2191" t="s">
        <v>303</v>
      </c>
    </row>
    <row r="2192" spans="1:13" outlineLevel="1" x14ac:dyDescent="0.25">
      <c r="A2192" t="s">
        <v>300</v>
      </c>
      <c r="B2192" t="s">
        <v>417</v>
      </c>
      <c r="C2192" t="str">
        <f>_xlfn.CONCAT("Taux de chargement moyen des véhicules pour l'accès à la plateforme logistique"," (",'Remplissage - Sit. Expost'!$B$333,")")</f>
        <v>Taux de chargement moyen des véhicules pour l'accès à la plateforme logistique (Catégorie 32)</v>
      </c>
      <c r="E2192" t="str">
        <f>_xlfn.CONCAT("ProjImmoPlatLogTC",RIGHT(LEFT(C2192,LEN(C2192)-1),2))</f>
        <v>ProjImmoPlatLogTC32</v>
      </c>
      <c r="F2192" t="s">
        <v>17</v>
      </c>
      <c r="G2192">
        <f t="shared" si="679"/>
        <v>0</v>
      </c>
      <c r="H2192" s="3"/>
      <c r="J2192" t="s">
        <v>70</v>
      </c>
      <c r="K2192" s="7">
        <v>0.8</v>
      </c>
      <c r="M2192" t="s">
        <v>303</v>
      </c>
    </row>
    <row r="2193" spans="1:13" outlineLevel="1" x14ac:dyDescent="0.25">
      <c r="A2193" t="s">
        <v>300</v>
      </c>
      <c r="B2193" t="s">
        <v>417</v>
      </c>
      <c r="C2193" t="str">
        <f>_xlfn.CONCAT("Distance parcourue associée"," (",'Remplissage - Sit. Expost'!$B$333,")")</f>
        <v>Distance parcourue associée (Catégorie 32)</v>
      </c>
      <c r="E2193" t="str">
        <f>_xlfn.CONCAT("ProjImmoPlatLogDist",RIGHT(LEFT(C2193,LEN(C2193)-1),2))</f>
        <v>ProjImmoPlatLogDist32</v>
      </c>
      <c r="F2193" t="s">
        <v>17</v>
      </c>
      <c r="G2193">
        <f t="shared" si="679"/>
        <v>0</v>
      </c>
      <c r="J2193" t="s">
        <v>88</v>
      </c>
      <c r="K2193">
        <v>15</v>
      </c>
      <c r="M2193" t="s">
        <v>303</v>
      </c>
    </row>
    <row r="2194" spans="1:13" outlineLevel="1" x14ac:dyDescent="0.25">
      <c r="A2194" t="s">
        <v>300</v>
      </c>
      <c r="B2194" t="s">
        <v>417</v>
      </c>
      <c r="C2194" t="str">
        <f>_xlfn.CONCAT("Nombre de trajets associés"," (",'Remplissage - Sit. Expost'!$B$333,")")</f>
        <v>Nombre de trajets associés (Catégorie 32)</v>
      </c>
      <c r="E2194" t="str">
        <f>_xlfn.CONCAT("ProjImmoPlatLogNbTraj",RIGHT(LEFT(C2194,LEN(C2194)-1),2))</f>
        <v>ProjImmoPlatLogNbTraj32</v>
      </c>
      <c r="F2194" t="s">
        <v>17</v>
      </c>
      <c r="G2194">
        <f t="shared" si="679"/>
        <v>0</v>
      </c>
      <c r="J2194" t="s">
        <v>145</v>
      </c>
      <c r="K2194">
        <v>5</v>
      </c>
      <c r="M2194" t="s">
        <v>303</v>
      </c>
    </row>
    <row r="2195" spans="1:13" outlineLevel="1" x14ac:dyDescent="0.25">
      <c r="A2195" t="s">
        <v>300</v>
      </c>
      <c r="B2195" t="s">
        <v>418</v>
      </c>
      <c r="C2195" t="str">
        <f>_xlfn.CONCAT("Taux de chargement moyen des véhicules pour l'accès à la plateforme logistique"," (",'Remplissage - Sit. Expost'!$B$343,")")</f>
        <v>Taux de chargement moyen des véhicules pour l'accès à la plateforme logistique (Catégorie 33)</v>
      </c>
      <c r="E2195" t="str">
        <f>_xlfn.CONCAT("ProjImmoPlatLogTC",RIGHT(LEFT(C2195,LEN(C2195)-1),2))</f>
        <v>ProjImmoPlatLogTC33</v>
      </c>
      <c r="F2195" t="s">
        <v>17</v>
      </c>
      <c r="G2195">
        <f t="shared" si="679"/>
        <v>0</v>
      </c>
      <c r="H2195" s="3"/>
      <c r="J2195" t="s">
        <v>70</v>
      </c>
      <c r="K2195" s="7">
        <v>0.8</v>
      </c>
      <c r="M2195" t="s">
        <v>303</v>
      </c>
    </row>
    <row r="2196" spans="1:13" outlineLevel="1" x14ac:dyDescent="0.25">
      <c r="A2196" t="s">
        <v>300</v>
      </c>
      <c r="B2196" t="s">
        <v>418</v>
      </c>
      <c r="C2196" t="str">
        <f>_xlfn.CONCAT("Distance parcourue associée"," (",'Remplissage - Sit. Expost'!$B$343,")")</f>
        <v>Distance parcourue associée (Catégorie 33)</v>
      </c>
      <c r="E2196" t="str">
        <f>_xlfn.CONCAT("ProjImmoPlatLogDist",RIGHT(LEFT(C2196,LEN(C2196)-1),2))</f>
        <v>ProjImmoPlatLogDist33</v>
      </c>
      <c r="F2196" t="s">
        <v>17</v>
      </c>
      <c r="G2196">
        <f t="shared" si="679"/>
        <v>0</v>
      </c>
      <c r="J2196" t="s">
        <v>88</v>
      </c>
      <c r="K2196">
        <v>15</v>
      </c>
      <c r="M2196" t="s">
        <v>303</v>
      </c>
    </row>
    <row r="2197" spans="1:13" outlineLevel="1" x14ac:dyDescent="0.25">
      <c r="A2197" t="s">
        <v>300</v>
      </c>
      <c r="B2197" t="s">
        <v>418</v>
      </c>
      <c r="C2197" t="str">
        <f>_xlfn.CONCAT("Nombre de trajets associés"," (",'Remplissage - Sit. Expost'!$B$343,")")</f>
        <v>Nombre de trajets associés (Catégorie 33)</v>
      </c>
      <c r="E2197" t="str">
        <f>_xlfn.CONCAT("ProjImmoPlatLogNbTraj",RIGHT(LEFT(C2197,LEN(C2197)-1),2))</f>
        <v>ProjImmoPlatLogNbTraj33</v>
      </c>
      <c r="F2197" t="s">
        <v>17</v>
      </c>
      <c r="G2197">
        <f t="shared" si="679"/>
        <v>0</v>
      </c>
      <c r="J2197" t="s">
        <v>145</v>
      </c>
      <c r="K2197">
        <v>5</v>
      </c>
      <c r="M2197" t="s">
        <v>303</v>
      </c>
    </row>
    <row r="2198" spans="1:13" outlineLevel="1" x14ac:dyDescent="0.25">
      <c r="A2198" t="s">
        <v>300</v>
      </c>
      <c r="B2198" t="s">
        <v>419</v>
      </c>
      <c r="C2198" t="str">
        <f>_xlfn.CONCAT("Taux de chargement moyen des véhicules pour l'accès à la plateforme logistique"," (",'Remplissage - Sit. Expost'!$B$353,")")</f>
        <v>Taux de chargement moyen des véhicules pour l'accès à la plateforme logistique (Catégorie 34)</v>
      </c>
      <c r="E2198" t="str">
        <f>_xlfn.CONCAT("ProjImmoPlatLogTC",RIGHT(LEFT(C2198,LEN(C2198)-1),2))</f>
        <v>ProjImmoPlatLogTC34</v>
      </c>
      <c r="F2198" t="s">
        <v>17</v>
      </c>
      <c r="G2198">
        <f t="shared" si="679"/>
        <v>0</v>
      </c>
      <c r="H2198" s="3"/>
      <c r="J2198" t="s">
        <v>70</v>
      </c>
      <c r="K2198" s="7">
        <v>0.8</v>
      </c>
      <c r="M2198" t="s">
        <v>303</v>
      </c>
    </row>
    <row r="2199" spans="1:13" outlineLevel="1" x14ac:dyDescent="0.25">
      <c r="A2199" t="s">
        <v>300</v>
      </c>
      <c r="B2199" t="s">
        <v>419</v>
      </c>
      <c r="C2199" t="str">
        <f>_xlfn.CONCAT("Distance parcourue associée"," (",'Remplissage - Sit. Expost'!$B$353,")")</f>
        <v>Distance parcourue associée (Catégorie 34)</v>
      </c>
      <c r="E2199" t="str">
        <f>_xlfn.CONCAT("ProjImmoPlatLogDist",RIGHT(LEFT(C2199,LEN(C2199)-1),2))</f>
        <v>ProjImmoPlatLogDist34</v>
      </c>
      <c r="F2199" t="s">
        <v>17</v>
      </c>
      <c r="G2199">
        <f t="shared" si="679"/>
        <v>0</v>
      </c>
      <c r="J2199" t="s">
        <v>88</v>
      </c>
      <c r="K2199">
        <v>15</v>
      </c>
      <c r="M2199" t="s">
        <v>303</v>
      </c>
    </row>
    <row r="2200" spans="1:13" outlineLevel="1" x14ac:dyDescent="0.25">
      <c r="A2200" t="s">
        <v>300</v>
      </c>
      <c r="B2200" t="s">
        <v>419</v>
      </c>
      <c r="C2200" t="str">
        <f>_xlfn.CONCAT("Nombre de trajets associés"," (",'Remplissage - Sit. Expost'!$B$353,")")</f>
        <v>Nombre de trajets associés (Catégorie 34)</v>
      </c>
      <c r="E2200" t="str">
        <f>_xlfn.CONCAT("ProjImmoPlatLogNbTraj",RIGHT(LEFT(C2200,LEN(C2200)-1),2))</f>
        <v>ProjImmoPlatLogNbTraj34</v>
      </c>
      <c r="F2200" t="s">
        <v>17</v>
      </c>
      <c r="G2200">
        <f t="shared" si="679"/>
        <v>0</v>
      </c>
      <c r="J2200" t="s">
        <v>145</v>
      </c>
      <c r="K2200">
        <v>5</v>
      </c>
      <c r="M2200" t="s">
        <v>303</v>
      </c>
    </row>
    <row r="2201" spans="1:13" outlineLevel="1" x14ac:dyDescent="0.25">
      <c r="A2201" t="s">
        <v>300</v>
      </c>
      <c r="B2201" t="s">
        <v>420</v>
      </c>
      <c r="C2201" t="str">
        <f>_xlfn.CONCAT("Taux de chargement moyen des véhicules pour l'accès à la plateforme logistique"," (",'Remplissage - Sit. Expost'!$B$363,")")</f>
        <v>Taux de chargement moyen des véhicules pour l'accès à la plateforme logistique (Catégorie 35)</v>
      </c>
      <c r="E2201" t="str">
        <f>_xlfn.CONCAT("ProjImmoPlatLogTC",RIGHT(LEFT(C2201,LEN(C2201)-1),2))</f>
        <v>ProjImmoPlatLogTC35</v>
      </c>
      <c r="F2201" t="s">
        <v>17</v>
      </c>
      <c r="G2201">
        <f t="shared" si="679"/>
        <v>0</v>
      </c>
      <c r="H2201" s="3"/>
      <c r="J2201" t="s">
        <v>70</v>
      </c>
      <c r="K2201" s="7">
        <v>0.8</v>
      </c>
      <c r="M2201" t="s">
        <v>303</v>
      </c>
    </row>
    <row r="2202" spans="1:13" outlineLevel="1" x14ac:dyDescent="0.25">
      <c r="A2202" t="s">
        <v>300</v>
      </c>
      <c r="B2202" t="s">
        <v>420</v>
      </c>
      <c r="C2202" t="str">
        <f>_xlfn.CONCAT("Distance parcourue associée"," (",'Remplissage - Sit. Expost'!$B$363,")")</f>
        <v>Distance parcourue associée (Catégorie 35)</v>
      </c>
      <c r="E2202" t="str">
        <f>_xlfn.CONCAT("ProjImmoPlatLogDist",RIGHT(LEFT(C2202,LEN(C2202)-1),2))</f>
        <v>ProjImmoPlatLogDist35</v>
      </c>
      <c r="F2202" t="s">
        <v>17</v>
      </c>
      <c r="G2202">
        <f t="shared" si="679"/>
        <v>0</v>
      </c>
      <c r="J2202" t="s">
        <v>88</v>
      </c>
      <c r="K2202">
        <v>15</v>
      </c>
      <c r="M2202" t="s">
        <v>303</v>
      </c>
    </row>
    <row r="2203" spans="1:13" outlineLevel="1" x14ac:dyDescent="0.25">
      <c r="A2203" t="s">
        <v>300</v>
      </c>
      <c r="B2203" t="s">
        <v>420</v>
      </c>
      <c r="C2203" t="str">
        <f>_xlfn.CONCAT("Nombre de trajets associés"," (",'Remplissage - Sit. Expost'!$B$363,")")</f>
        <v>Nombre de trajets associés (Catégorie 35)</v>
      </c>
      <c r="E2203" t="str">
        <f>_xlfn.CONCAT("ProjImmoPlatLogNbTraj",RIGHT(LEFT(C2203,LEN(C2203)-1),2))</f>
        <v>ProjImmoPlatLogNbTraj35</v>
      </c>
      <c r="F2203" t="s">
        <v>17</v>
      </c>
      <c r="G2203">
        <f t="shared" si="679"/>
        <v>0</v>
      </c>
      <c r="J2203" t="s">
        <v>145</v>
      </c>
      <c r="K2203">
        <v>5</v>
      </c>
      <c r="M2203" t="s">
        <v>303</v>
      </c>
    </row>
    <row r="2204" spans="1:13" outlineLevel="1" x14ac:dyDescent="0.25">
      <c r="A2204" t="s">
        <v>300</v>
      </c>
      <c r="B2204" t="s">
        <v>421</v>
      </c>
      <c r="C2204" t="str">
        <f>_xlfn.CONCAT("Taux de chargement moyen des véhicules pour l'accès à la plateforme logistique"," (",'Remplissage - Sit. Expost'!$B$373,")")</f>
        <v>Taux de chargement moyen des véhicules pour l'accès à la plateforme logistique (Catégorie 36)</v>
      </c>
      <c r="E2204" t="str">
        <f>_xlfn.CONCAT("ProjImmoPlatLogTC",RIGHT(LEFT(C2204,LEN(C2204)-1),2))</f>
        <v>ProjImmoPlatLogTC36</v>
      </c>
      <c r="F2204" t="s">
        <v>17</v>
      </c>
      <c r="G2204">
        <f t="shared" si="679"/>
        <v>0</v>
      </c>
      <c r="H2204" s="3"/>
      <c r="J2204" t="s">
        <v>70</v>
      </c>
      <c r="K2204" s="7">
        <v>0.8</v>
      </c>
      <c r="M2204" t="s">
        <v>303</v>
      </c>
    </row>
    <row r="2205" spans="1:13" outlineLevel="1" x14ac:dyDescent="0.25">
      <c r="A2205" t="s">
        <v>300</v>
      </c>
      <c r="B2205" t="s">
        <v>421</v>
      </c>
      <c r="C2205" t="str">
        <f>_xlfn.CONCAT("Distance parcourue associée"," (",'Remplissage - Sit. Expost'!$B$373,")")</f>
        <v>Distance parcourue associée (Catégorie 36)</v>
      </c>
      <c r="E2205" t="str">
        <f>_xlfn.CONCAT("ProjImmoPlatLogDist",RIGHT(LEFT(C2205,LEN(C2205)-1),2))</f>
        <v>ProjImmoPlatLogDist36</v>
      </c>
      <c r="F2205" t="s">
        <v>17</v>
      </c>
      <c r="G2205">
        <f t="shared" si="679"/>
        <v>0</v>
      </c>
      <c r="J2205" t="s">
        <v>88</v>
      </c>
      <c r="K2205">
        <v>15</v>
      </c>
      <c r="M2205" t="s">
        <v>303</v>
      </c>
    </row>
    <row r="2206" spans="1:13" outlineLevel="1" x14ac:dyDescent="0.25">
      <c r="A2206" t="s">
        <v>300</v>
      </c>
      <c r="B2206" t="s">
        <v>421</v>
      </c>
      <c r="C2206" t="str">
        <f>_xlfn.CONCAT("Nombre de trajets associés"," (",'Remplissage - Sit. Expost'!$B$373,")")</f>
        <v>Nombre de trajets associés (Catégorie 36)</v>
      </c>
      <c r="E2206" t="str">
        <f>_xlfn.CONCAT("ProjImmoPlatLogNbTraj",RIGHT(LEFT(C2206,LEN(C2206)-1),2))</f>
        <v>ProjImmoPlatLogNbTraj36</v>
      </c>
      <c r="F2206" t="s">
        <v>17</v>
      </c>
      <c r="G2206">
        <f t="shared" si="679"/>
        <v>0</v>
      </c>
      <c r="J2206" t="s">
        <v>145</v>
      </c>
      <c r="K2206">
        <v>5</v>
      </c>
      <c r="M2206" t="s">
        <v>303</v>
      </c>
    </row>
    <row r="2207" spans="1:13" outlineLevel="1" x14ac:dyDescent="0.25">
      <c r="A2207" t="s">
        <v>300</v>
      </c>
      <c r="B2207" t="s">
        <v>422</v>
      </c>
      <c r="C2207" t="str">
        <f>_xlfn.CONCAT("Taux de chargement moyen des véhicules pour l'accès à la plateforme logistique"," (",'Remplissage - Sit. Expost'!$B$383,")")</f>
        <v>Taux de chargement moyen des véhicules pour l'accès à la plateforme logistique (Catégorie 37)</v>
      </c>
      <c r="E2207" t="str">
        <f>_xlfn.CONCAT("ProjImmoPlatLogTC",RIGHT(LEFT(C2207,LEN(C2207)-1),2))</f>
        <v>ProjImmoPlatLogTC37</v>
      </c>
      <c r="F2207" t="s">
        <v>17</v>
      </c>
      <c r="G2207">
        <f t="shared" si="679"/>
        <v>0</v>
      </c>
      <c r="H2207" s="3"/>
      <c r="J2207" t="s">
        <v>70</v>
      </c>
      <c r="K2207" s="7">
        <v>0.8</v>
      </c>
      <c r="M2207" t="s">
        <v>303</v>
      </c>
    </row>
    <row r="2208" spans="1:13" outlineLevel="1" x14ac:dyDescent="0.25">
      <c r="A2208" t="s">
        <v>300</v>
      </c>
      <c r="B2208" t="s">
        <v>422</v>
      </c>
      <c r="C2208" t="str">
        <f>_xlfn.CONCAT("Distance parcourue associée"," (",'Remplissage - Sit. Expost'!$B$383,")")</f>
        <v>Distance parcourue associée (Catégorie 37)</v>
      </c>
      <c r="E2208" t="str">
        <f>_xlfn.CONCAT("ProjImmoPlatLogDist",RIGHT(LEFT(C2208,LEN(C2208)-1),2))</f>
        <v>ProjImmoPlatLogDist37</v>
      </c>
      <c r="F2208" t="s">
        <v>17</v>
      </c>
      <c r="G2208">
        <f t="shared" si="679"/>
        <v>0</v>
      </c>
      <c r="J2208" t="s">
        <v>88</v>
      </c>
      <c r="K2208">
        <v>15</v>
      </c>
      <c r="M2208" t="s">
        <v>303</v>
      </c>
    </row>
    <row r="2209" spans="1:13" outlineLevel="1" x14ac:dyDescent="0.25">
      <c r="A2209" t="s">
        <v>300</v>
      </c>
      <c r="B2209" t="s">
        <v>422</v>
      </c>
      <c r="C2209" t="str">
        <f>_xlfn.CONCAT("Nombre de trajets associés"," (",'Remplissage - Sit. Expost'!$B$383,")")</f>
        <v>Nombre de trajets associés (Catégorie 37)</v>
      </c>
      <c r="E2209" t="str">
        <f>_xlfn.CONCAT("ProjImmoPlatLogNbTraj",RIGHT(LEFT(C2209,LEN(C2209)-1),2))</f>
        <v>ProjImmoPlatLogNbTraj37</v>
      </c>
      <c r="F2209" t="s">
        <v>17</v>
      </c>
      <c r="G2209">
        <f t="shared" si="679"/>
        <v>0</v>
      </c>
      <c r="J2209" t="s">
        <v>145</v>
      </c>
      <c r="K2209">
        <v>5</v>
      </c>
      <c r="M2209" t="s">
        <v>303</v>
      </c>
    </row>
    <row r="2210" spans="1:13" outlineLevel="1" x14ac:dyDescent="0.25">
      <c r="A2210" t="s">
        <v>300</v>
      </c>
      <c r="B2210" t="s">
        <v>423</v>
      </c>
      <c r="C2210" t="str">
        <f>_xlfn.CONCAT("Taux de chargement moyen des véhicules pour l'accès à la plateforme logistique"," (",'Remplissage - Sit. Expost'!$B$393,")")</f>
        <v>Taux de chargement moyen des véhicules pour l'accès à la plateforme logistique (Catégorie 38)</v>
      </c>
      <c r="E2210" t="str">
        <f>_xlfn.CONCAT("ProjImmoPlatLogTC",RIGHT(LEFT(C2210,LEN(C2210)-1),2))</f>
        <v>ProjImmoPlatLogTC38</v>
      </c>
      <c r="F2210" t="s">
        <v>17</v>
      </c>
      <c r="G2210">
        <f t="shared" si="679"/>
        <v>0</v>
      </c>
      <c r="H2210" s="3"/>
      <c r="J2210" t="s">
        <v>70</v>
      </c>
      <c r="K2210" s="7">
        <v>0.8</v>
      </c>
      <c r="M2210" t="s">
        <v>303</v>
      </c>
    </row>
    <row r="2211" spans="1:13" outlineLevel="1" x14ac:dyDescent="0.25">
      <c r="A2211" t="s">
        <v>300</v>
      </c>
      <c r="B2211" t="s">
        <v>423</v>
      </c>
      <c r="C2211" t="str">
        <f>_xlfn.CONCAT("Distance parcourue associée"," (",'Remplissage - Sit. Expost'!$B$393,")")</f>
        <v>Distance parcourue associée (Catégorie 38)</v>
      </c>
      <c r="E2211" t="str">
        <f>_xlfn.CONCAT("ProjImmoPlatLogDist",RIGHT(LEFT(C2211,LEN(C2211)-1),2))</f>
        <v>ProjImmoPlatLogDist38</v>
      </c>
      <c r="F2211" t="s">
        <v>17</v>
      </c>
      <c r="G2211">
        <f t="shared" si="679"/>
        <v>0</v>
      </c>
      <c r="J2211" t="s">
        <v>88</v>
      </c>
      <c r="K2211">
        <v>15</v>
      </c>
      <c r="M2211" t="s">
        <v>303</v>
      </c>
    </row>
    <row r="2212" spans="1:13" outlineLevel="1" x14ac:dyDescent="0.25">
      <c r="A2212" t="s">
        <v>300</v>
      </c>
      <c r="B2212" t="s">
        <v>423</v>
      </c>
      <c r="C2212" t="str">
        <f>_xlfn.CONCAT("Nombre de trajets associés"," (",'Remplissage - Sit. Expost'!$B$393,")")</f>
        <v>Nombre de trajets associés (Catégorie 38)</v>
      </c>
      <c r="E2212" t="str">
        <f>_xlfn.CONCAT("ProjImmoPlatLogNbTraj",RIGHT(LEFT(C2212,LEN(C2212)-1),2))</f>
        <v>ProjImmoPlatLogNbTraj38</v>
      </c>
      <c r="F2212" t="s">
        <v>17</v>
      </c>
      <c r="G2212">
        <f t="shared" si="679"/>
        <v>0</v>
      </c>
      <c r="J2212" t="s">
        <v>145</v>
      </c>
      <c r="K2212">
        <v>5</v>
      </c>
      <c r="M2212" t="s">
        <v>303</v>
      </c>
    </row>
    <row r="2213" spans="1:13" outlineLevel="1" x14ac:dyDescent="0.25">
      <c r="A2213" t="s">
        <v>300</v>
      </c>
      <c r="B2213" t="s">
        <v>424</v>
      </c>
      <c r="C2213" t="str">
        <f>_xlfn.CONCAT("Taux de chargement moyen des véhicules pour l'accès à la plateforme logistique"," (",'Remplissage - Sit. Expost'!$B$403,")")</f>
        <v>Taux de chargement moyen des véhicules pour l'accès à la plateforme logistique (Catégorie 39)</v>
      </c>
      <c r="E2213" t="str">
        <f>_xlfn.CONCAT("ProjImmoPlatLogTC",RIGHT(LEFT(C2213,LEN(C2213)-1),2))</f>
        <v>ProjImmoPlatLogTC39</v>
      </c>
      <c r="F2213" t="s">
        <v>17</v>
      </c>
      <c r="G2213">
        <f t="shared" si="679"/>
        <v>0</v>
      </c>
      <c r="H2213" s="3"/>
      <c r="J2213" t="s">
        <v>70</v>
      </c>
      <c r="K2213" s="7">
        <v>0.8</v>
      </c>
      <c r="M2213" t="s">
        <v>303</v>
      </c>
    </row>
    <row r="2214" spans="1:13" outlineLevel="1" x14ac:dyDescent="0.25">
      <c r="A2214" t="s">
        <v>300</v>
      </c>
      <c r="B2214" t="s">
        <v>424</v>
      </c>
      <c r="C2214" t="str">
        <f>_xlfn.CONCAT("Distance parcourue associée"," (",'Remplissage - Sit. Expost'!$B$403,")")</f>
        <v>Distance parcourue associée (Catégorie 39)</v>
      </c>
      <c r="E2214" t="str">
        <f>_xlfn.CONCAT("ProjImmoPlatLogDist",RIGHT(LEFT(C2214,LEN(C2214)-1),2))</f>
        <v>ProjImmoPlatLogDist39</v>
      </c>
      <c r="F2214" t="s">
        <v>17</v>
      </c>
      <c r="G2214">
        <f t="shared" si="679"/>
        <v>0</v>
      </c>
      <c r="J2214" t="s">
        <v>88</v>
      </c>
      <c r="K2214">
        <v>15</v>
      </c>
      <c r="M2214" t="s">
        <v>303</v>
      </c>
    </row>
    <row r="2215" spans="1:13" outlineLevel="1" x14ac:dyDescent="0.25">
      <c r="A2215" t="s">
        <v>300</v>
      </c>
      <c r="B2215" t="s">
        <v>424</v>
      </c>
      <c r="C2215" t="str">
        <f>_xlfn.CONCAT("Nombre de trajets associés"," (",'Remplissage - Sit. Expost'!$B$403,")")</f>
        <v>Nombre de trajets associés (Catégorie 39)</v>
      </c>
      <c r="E2215" t="str">
        <f>_xlfn.CONCAT("ProjImmoPlatLogNbTraj",RIGHT(LEFT(C2215,LEN(C2215)-1),2))</f>
        <v>ProjImmoPlatLogNbTraj39</v>
      </c>
      <c r="F2215" t="s">
        <v>17</v>
      </c>
      <c r="G2215">
        <f t="shared" si="679"/>
        <v>0</v>
      </c>
      <c r="J2215" t="s">
        <v>145</v>
      </c>
      <c r="K2215">
        <v>5</v>
      </c>
      <c r="M2215" t="s">
        <v>303</v>
      </c>
    </row>
    <row r="2216" spans="1:13" outlineLevel="1" x14ac:dyDescent="0.25">
      <c r="A2216" t="s">
        <v>300</v>
      </c>
      <c r="B2216" t="s">
        <v>425</v>
      </c>
      <c r="C2216" t="str">
        <f>_xlfn.CONCAT("Taux de chargement moyen des véhicules pour l'accès à la plateforme logistique"," (",'Remplissage - Sit. Expost'!$B$413,")")</f>
        <v>Taux de chargement moyen des véhicules pour l'accès à la plateforme logistique (Catégorie 40)</v>
      </c>
      <c r="E2216" t="str">
        <f>_xlfn.CONCAT("ProjImmoPlatLogTC",RIGHT(LEFT(C2216,LEN(C2216)-1),2))</f>
        <v>ProjImmoPlatLogTC40</v>
      </c>
      <c r="F2216" t="s">
        <v>17</v>
      </c>
      <c r="G2216">
        <f t="shared" si="679"/>
        <v>0</v>
      </c>
      <c r="H2216" s="3"/>
      <c r="J2216" t="s">
        <v>70</v>
      </c>
      <c r="K2216" s="7">
        <v>0.8</v>
      </c>
      <c r="M2216" t="s">
        <v>303</v>
      </c>
    </row>
    <row r="2217" spans="1:13" outlineLevel="1" x14ac:dyDescent="0.25">
      <c r="A2217" t="s">
        <v>300</v>
      </c>
      <c r="B2217" t="s">
        <v>425</v>
      </c>
      <c r="C2217" t="str">
        <f>_xlfn.CONCAT("Distance parcourue associée"," (",'Remplissage - Sit. Expost'!$B$413,")")</f>
        <v>Distance parcourue associée (Catégorie 40)</v>
      </c>
      <c r="E2217" t="str">
        <f>_xlfn.CONCAT("ProjImmoPlatLogDist",RIGHT(LEFT(C2217,LEN(C2217)-1),2))</f>
        <v>ProjImmoPlatLogDist40</v>
      </c>
      <c r="F2217" t="s">
        <v>17</v>
      </c>
      <c r="G2217">
        <f t="shared" si="679"/>
        <v>0</v>
      </c>
      <c r="J2217" t="s">
        <v>88</v>
      </c>
      <c r="K2217">
        <v>15</v>
      </c>
      <c r="M2217" t="s">
        <v>303</v>
      </c>
    </row>
    <row r="2218" spans="1:13" outlineLevel="1" x14ac:dyDescent="0.25">
      <c r="A2218" t="s">
        <v>300</v>
      </c>
      <c r="B2218" t="s">
        <v>425</v>
      </c>
      <c r="C2218" t="str">
        <f>_xlfn.CONCAT("Nombre de trajets associés"," (",'Remplissage - Sit. Expost'!$B$413,")")</f>
        <v>Nombre de trajets associés (Catégorie 40)</v>
      </c>
      <c r="E2218" t="str">
        <f>_xlfn.CONCAT("ProjImmoPlatLogNbTraj",RIGHT(LEFT(C2218,LEN(C2218)-1),2))</f>
        <v>ProjImmoPlatLogNbTraj40</v>
      </c>
      <c r="F2218" t="s">
        <v>17</v>
      </c>
      <c r="G2218">
        <f t="shared" si="679"/>
        <v>0</v>
      </c>
      <c r="J2218" t="s">
        <v>145</v>
      </c>
      <c r="K2218">
        <v>5</v>
      </c>
      <c r="M2218" t="s">
        <v>303</v>
      </c>
    </row>
    <row r="2219" spans="1:13" outlineLevel="1" x14ac:dyDescent="0.25">
      <c r="A2219" t="s">
        <v>300</v>
      </c>
      <c r="B2219" t="s">
        <v>426</v>
      </c>
      <c r="C2219" t="str">
        <f>_xlfn.CONCAT("Taux de chargement moyen des véhicules pour l'accès à la plateforme logistique"," (",'Remplissage - Sit. Expost'!$B$423,")")</f>
        <v>Taux de chargement moyen des véhicules pour l'accès à la plateforme logistique (Catégorie 41)</v>
      </c>
      <c r="E2219" t="str">
        <f>_xlfn.CONCAT("ProjImmoPlatLogTC",RIGHT(LEFT(C2219,LEN(C2219)-1),2))</f>
        <v>ProjImmoPlatLogTC41</v>
      </c>
      <c r="F2219" t="s">
        <v>17</v>
      </c>
      <c r="G2219">
        <f t="shared" si="679"/>
        <v>0</v>
      </c>
      <c r="H2219" s="3"/>
      <c r="J2219" t="s">
        <v>70</v>
      </c>
      <c r="K2219" s="7">
        <v>0.8</v>
      </c>
      <c r="M2219" t="s">
        <v>303</v>
      </c>
    </row>
    <row r="2220" spans="1:13" outlineLevel="1" x14ac:dyDescent="0.25">
      <c r="A2220" t="s">
        <v>300</v>
      </c>
      <c r="B2220" t="s">
        <v>426</v>
      </c>
      <c r="C2220" t="str">
        <f>_xlfn.CONCAT("Distance parcourue associée"," (",'Remplissage - Sit. Expost'!$B$423,")")</f>
        <v>Distance parcourue associée (Catégorie 41)</v>
      </c>
      <c r="E2220" t="str">
        <f>_xlfn.CONCAT("ProjImmoPlatLogDist",RIGHT(LEFT(C2220,LEN(C2220)-1),2))</f>
        <v>ProjImmoPlatLogDist41</v>
      </c>
      <c r="F2220" t="s">
        <v>17</v>
      </c>
      <c r="G2220">
        <f t="shared" si="679"/>
        <v>0</v>
      </c>
      <c r="J2220" t="s">
        <v>88</v>
      </c>
      <c r="K2220">
        <v>15</v>
      </c>
      <c r="M2220" t="s">
        <v>303</v>
      </c>
    </row>
    <row r="2221" spans="1:13" outlineLevel="1" x14ac:dyDescent="0.25">
      <c r="A2221" t="s">
        <v>300</v>
      </c>
      <c r="B2221" t="s">
        <v>426</v>
      </c>
      <c r="C2221" t="str">
        <f>_xlfn.CONCAT("Nombre de trajets associés"," (",'Remplissage - Sit. Expost'!$B$423,")")</f>
        <v>Nombre de trajets associés (Catégorie 41)</v>
      </c>
      <c r="E2221" t="str">
        <f>_xlfn.CONCAT("ProjImmoPlatLogNbTraj",RIGHT(LEFT(C2221,LEN(C2221)-1),2))</f>
        <v>ProjImmoPlatLogNbTraj41</v>
      </c>
      <c r="F2221" t="s">
        <v>17</v>
      </c>
      <c r="G2221">
        <f t="shared" si="679"/>
        <v>0</v>
      </c>
      <c r="J2221" t="s">
        <v>145</v>
      </c>
      <c r="K2221">
        <v>5</v>
      </c>
      <c r="M2221" t="s">
        <v>303</v>
      </c>
    </row>
    <row r="2222" spans="1:13" outlineLevel="1" x14ac:dyDescent="0.25">
      <c r="A2222" t="s">
        <v>300</v>
      </c>
      <c r="B2222" t="s">
        <v>427</v>
      </c>
      <c r="C2222" t="str">
        <f>_xlfn.CONCAT("Taux de chargement moyen des véhicules pour l'accès à la plateforme logistique"," (",'Remplissage - Sit. Expost'!$B$433,")")</f>
        <v>Taux de chargement moyen des véhicules pour l'accès à la plateforme logistique (Catégorie 42)</v>
      </c>
      <c r="E2222" t="str">
        <f>_xlfn.CONCAT("ProjImmoPlatLogTC",RIGHT(LEFT(C2222,LEN(C2222)-1),2))</f>
        <v>ProjImmoPlatLogTC42</v>
      </c>
      <c r="F2222" t="s">
        <v>17</v>
      </c>
      <c r="G2222">
        <f t="shared" si="679"/>
        <v>0</v>
      </c>
      <c r="H2222" s="3"/>
      <c r="J2222" t="s">
        <v>70</v>
      </c>
      <c r="K2222" s="7">
        <v>0.8</v>
      </c>
      <c r="M2222" t="s">
        <v>303</v>
      </c>
    </row>
    <row r="2223" spans="1:13" outlineLevel="1" x14ac:dyDescent="0.25">
      <c r="A2223" t="s">
        <v>300</v>
      </c>
      <c r="B2223" t="s">
        <v>427</v>
      </c>
      <c r="C2223" t="str">
        <f>_xlfn.CONCAT("Distance parcourue associée"," (",'Remplissage - Sit. Expost'!$B$433,")")</f>
        <v>Distance parcourue associée (Catégorie 42)</v>
      </c>
      <c r="E2223" t="str">
        <f>_xlfn.CONCAT("ProjImmoPlatLogDist",RIGHT(LEFT(C2223,LEN(C2223)-1),2))</f>
        <v>ProjImmoPlatLogDist42</v>
      </c>
      <c r="F2223" t="s">
        <v>17</v>
      </c>
      <c r="G2223">
        <f t="shared" si="679"/>
        <v>0</v>
      </c>
      <c r="J2223" t="s">
        <v>88</v>
      </c>
      <c r="K2223">
        <v>15</v>
      </c>
      <c r="M2223" t="s">
        <v>303</v>
      </c>
    </row>
    <row r="2224" spans="1:13" outlineLevel="1" x14ac:dyDescent="0.25">
      <c r="A2224" t="s">
        <v>300</v>
      </c>
      <c r="B2224" t="s">
        <v>427</v>
      </c>
      <c r="C2224" t="str">
        <f>_xlfn.CONCAT("Nombre de trajets associés"," (",'Remplissage - Sit. Expost'!$B$433,")")</f>
        <v>Nombre de trajets associés (Catégorie 42)</v>
      </c>
      <c r="E2224" t="str">
        <f>_xlfn.CONCAT("ProjImmoPlatLogNbTraj",RIGHT(LEFT(C2224,LEN(C2224)-1),2))</f>
        <v>ProjImmoPlatLogNbTraj42</v>
      </c>
      <c r="F2224" t="s">
        <v>17</v>
      </c>
      <c r="G2224">
        <f t="shared" si="679"/>
        <v>0</v>
      </c>
      <c r="J2224" t="s">
        <v>145</v>
      </c>
      <c r="K2224">
        <v>5</v>
      </c>
      <c r="M2224" t="s">
        <v>303</v>
      </c>
    </row>
    <row r="2225" spans="1:13" outlineLevel="1" x14ac:dyDescent="0.25">
      <c r="A2225" t="s">
        <v>300</v>
      </c>
      <c r="B2225" t="s">
        <v>428</v>
      </c>
      <c r="C2225" t="str">
        <f>_xlfn.CONCAT("Taux de chargement moyen des véhicules pour l'accès à la plateforme logistique"," (",'Remplissage - Sit. Expost'!$B$443,")")</f>
        <v>Taux de chargement moyen des véhicules pour l'accès à la plateforme logistique (Catégorie 43)</v>
      </c>
      <c r="E2225" t="str">
        <f>_xlfn.CONCAT("ProjImmoPlatLogTC",RIGHT(LEFT(C2225,LEN(C2225)-1),2))</f>
        <v>ProjImmoPlatLogTC43</v>
      </c>
      <c r="F2225" t="s">
        <v>17</v>
      </c>
      <c r="G2225">
        <f t="shared" si="679"/>
        <v>0</v>
      </c>
      <c r="H2225" s="3"/>
      <c r="J2225" t="s">
        <v>70</v>
      </c>
      <c r="K2225" s="7">
        <v>0.8</v>
      </c>
      <c r="M2225" t="s">
        <v>303</v>
      </c>
    </row>
    <row r="2226" spans="1:13" outlineLevel="1" x14ac:dyDescent="0.25">
      <c r="A2226" t="s">
        <v>300</v>
      </c>
      <c r="B2226" t="s">
        <v>428</v>
      </c>
      <c r="C2226" t="str">
        <f>_xlfn.CONCAT("Distance parcourue associée"," (",'Remplissage - Sit. Expost'!$B$443,")")</f>
        <v>Distance parcourue associée (Catégorie 43)</v>
      </c>
      <c r="E2226" t="str">
        <f>_xlfn.CONCAT("ProjImmoPlatLogDist",RIGHT(LEFT(C2226,LEN(C2226)-1),2))</f>
        <v>ProjImmoPlatLogDist43</v>
      </c>
      <c r="F2226" t="s">
        <v>17</v>
      </c>
      <c r="G2226">
        <f t="shared" si="679"/>
        <v>0</v>
      </c>
      <c r="J2226" t="s">
        <v>88</v>
      </c>
      <c r="K2226">
        <v>15</v>
      </c>
      <c r="M2226" t="s">
        <v>303</v>
      </c>
    </row>
    <row r="2227" spans="1:13" outlineLevel="1" x14ac:dyDescent="0.25">
      <c r="A2227" t="s">
        <v>300</v>
      </c>
      <c r="B2227" t="s">
        <v>428</v>
      </c>
      <c r="C2227" t="str">
        <f>_xlfn.CONCAT("Nombre de trajets associés"," (",'Remplissage - Sit. Expost'!$B$443,")")</f>
        <v>Nombre de trajets associés (Catégorie 43)</v>
      </c>
      <c r="E2227" t="str">
        <f>_xlfn.CONCAT("ProjImmoPlatLogNbTraj",RIGHT(LEFT(C2227,LEN(C2227)-1),2))</f>
        <v>ProjImmoPlatLogNbTraj43</v>
      </c>
      <c r="F2227" t="s">
        <v>17</v>
      </c>
      <c r="G2227">
        <f t="shared" si="679"/>
        <v>0</v>
      </c>
      <c r="J2227" t="s">
        <v>145</v>
      </c>
      <c r="K2227">
        <v>5</v>
      </c>
      <c r="M2227" t="s">
        <v>303</v>
      </c>
    </row>
    <row r="2228" spans="1:13" outlineLevel="1" x14ac:dyDescent="0.25">
      <c r="A2228" t="s">
        <v>300</v>
      </c>
      <c r="B2228" t="s">
        <v>429</v>
      </c>
      <c r="C2228" t="str">
        <f>_xlfn.CONCAT("Taux de chargement moyen des véhicules pour l'accès à la plateforme logistique"," (",'Remplissage - Sit. Expost'!$B$453,")")</f>
        <v>Taux de chargement moyen des véhicules pour l'accès à la plateforme logistique (Catégorie 44)</v>
      </c>
      <c r="E2228" t="str">
        <f>_xlfn.CONCAT("ProjImmoPlatLogTC",RIGHT(LEFT(C2228,LEN(C2228)-1),2))</f>
        <v>ProjImmoPlatLogTC44</v>
      </c>
      <c r="F2228" t="s">
        <v>17</v>
      </c>
      <c r="G2228">
        <f t="shared" ref="G2228:G2233" si="680">IF(ISNUMBER(SEARCH($B2228,$H$2094)),1,0)</f>
        <v>1</v>
      </c>
      <c r="H2228" s="3"/>
      <c r="J2228" t="s">
        <v>70</v>
      </c>
      <c r="K2228" s="7">
        <v>0.8</v>
      </c>
      <c r="M2228" t="s">
        <v>303</v>
      </c>
    </row>
    <row r="2229" spans="1:13" outlineLevel="1" x14ac:dyDescent="0.25">
      <c r="A2229" t="s">
        <v>300</v>
      </c>
      <c r="B2229" t="s">
        <v>429</v>
      </c>
      <c r="C2229" t="str">
        <f>_xlfn.CONCAT("Distance parcourue associée"," (",'Remplissage - Sit. Expost'!$B$453,")")</f>
        <v>Distance parcourue associée (Catégorie 44)</v>
      </c>
      <c r="E2229" t="str">
        <f>_xlfn.CONCAT("ProjImmoPlatLogDist",RIGHT(LEFT(C2229,LEN(C2229)-1),2))</f>
        <v>ProjImmoPlatLogDist44</v>
      </c>
      <c r="F2229" t="s">
        <v>17</v>
      </c>
      <c r="G2229">
        <f t="shared" si="680"/>
        <v>1</v>
      </c>
      <c r="J2229" t="s">
        <v>88</v>
      </c>
      <c r="K2229">
        <v>15</v>
      </c>
      <c r="M2229" t="s">
        <v>303</v>
      </c>
    </row>
    <row r="2230" spans="1:13" outlineLevel="1" x14ac:dyDescent="0.25">
      <c r="A2230" t="s">
        <v>300</v>
      </c>
      <c r="B2230" t="s">
        <v>429</v>
      </c>
      <c r="C2230" t="str">
        <f>_xlfn.CONCAT("Nombre de trajets associés"," (",'Remplissage - Sit. Expost'!$B$453,")")</f>
        <v>Nombre de trajets associés (Catégorie 44)</v>
      </c>
      <c r="E2230" t="str">
        <f>_xlfn.CONCAT("ProjImmoPlatLogNbTraj",RIGHT(LEFT(C2230,LEN(C2230)-1),2))</f>
        <v>ProjImmoPlatLogNbTraj44</v>
      </c>
      <c r="F2230" t="s">
        <v>17</v>
      </c>
      <c r="G2230">
        <f t="shared" si="680"/>
        <v>1</v>
      </c>
      <c r="J2230" t="s">
        <v>145</v>
      </c>
      <c r="K2230">
        <v>5</v>
      </c>
      <c r="M2230" t="s">
        <v>303</v>
      </c>
    </row>
    <row r="2231" spans="1:13" outlineLevel="1" x14ac:dyDescent="0.25">
      <c r="A2231" t="s">
        <v>300</v>
      </c>
      <c r="B2231" t="s">
        <v>387</v>
      </c>
      <c r="C2231" t="str">
        <f>_xlfn.CONCAT("Taux de chargement moyen des véhicules pour l'accès à la plateforme logistique"," (",'Remplissage - Sit. Expost'!$B$463,")")</f>
        <v>Taux de chargement moyen des véhicules pour l'accès à la plateforme logistique (Catégorie 45)</v>
      </c>
      <c r="E2231" t="str">
        <f>_xlfn.CONCAT("ProjImmoPlatLogTC",RIGHT(LEFT(C2231,LEN(C2231)-1),2))</f>
        <v>ProjImmoPlatLogTC45</v>
      </c>
      <c r="F2231" t="s">
        <v>17</v>
      </c>
      <c r="G2231">
        <f t="shared" si="680"/>
        <v>0</v>
      </c>
      <c r="H2231" s="3"/>
      <c r="J2231" t="s">
        <v>70</v>
      </c>
      <c r="K2231" s="7">
        <v>0.8</v>
      </c>
      <c r="M2231" t="s">
        <v>303</v>
      </c>
    </row>
    <row r="2232" spans="1:13" outlineLevel="1" x14ac:dyDescent="0.25">
      <c r="A2232" t="s">
        <v>300</v>
      </c>
      <c r="B2232" t="s">
        <v>387</v>
      </c>
      <c r="C2232" t="str">
        <f>_xlfn.CONCAT("Distance parcourue associée"," (",'Remplissage - Sit. Expost'!$B$463,")")</f>
        <v>Distance parcourue associée (Catégorie 45)</v>
      </c>
      <c r="E2232" t="str">
        <f>_xlfn.CONCAT("ProjImmoPlatLogDist",RIGHT(LEFT(C2232,LEN(C2232)-1),2))</f>
        <v>ProjImmoPlatLogDist45</v>
      </c>
      <c r="F2232" t="s">
        <v>17</v>
      </c>
      <c r="G2232">
        <f t="shared" si="680"/>
        <v>0</v>
      </c>
      <c r="J2232" t="s">
        <v>88</v>
      </c>
      <c r="K2232">
        <v>15</v>
      </c>
      <c r="M2232" t="s">
        <v>303</v>
      </c>
    </row>
    <row r="2233" spans="1:13" outlineLevel="1" x14ac:dyDescent="0.25">
      <c r="A2233" t="s">
        <v>300</v>
      </c>
      <c r="B2233" t="s">
        <v>387</v>
      </c>
      <c r="C2233" t="str">
        <f>_xlfn.CONCAT("Nombre de trajets associés"," (",'Remplissage - Sit. Expost'!$B$463,")")</f>
        <v>Nombre de trajets associés (Catégorie 45)</v>
      </c>
      <c r="E2233" t="str">
        <f>_xlfn.CONCAT("ProjImmoPlatLogNbTraj",RIGHT(LEFT(C2233,LEN(C2233)-1),2))</f>
        <v>ProjImmoPlatLogNbTraj45</v>
      </c>
      <c r="F2233" t="s">
        <v>17</v>
      </c>
      <c r="G2233">
        <f t="shared" si="680"/>
        <v>0</v>
      </c>
      <c r="J2233" t="s">
        <v>145</v>
      </c>
      <c r="K2233">
        <v>5</v>
      </c>
      <c r="M2233" t="s">
        <v>303</v>
      </c>
    </row>
    <row r="2234" spans="1:13" x14ac:dyDescent="0.25">
      <c r="A2234" t="s">
        <v>300</v>
      </c>
      <c r="B2234" t="s">
        <v>358</v>
      </c>
      <c r="C2234" t="s">
        <v>359</v>
      </c>
      <c r="E2234" t="s">
        <v>360</v>
      </c>
      <c r="F2234" t="s">
        <v>20</v>
      </c>
      <c r="G2234">
        <f>IF(ISNUMBER(SEARCH("Oui",$H$1952)),1,0)</f>
        <v>0</v>
      </c>
      <c r="H2234" t="s">
        <v>430</v>
      </c>
      <c r="I2234" t="s">
        <v>383</v>
      </c>
      <c r="M2234" t="s">
        <v>303</v>
      </c>
    </row>
    <row r="2235" spans="1:13" x14ac:dyDescent="0.25">
      <c r="A2235" t="s">
        <v>300</v>
      </c>
      <c r="B2235" t="s">
        <v>358</v>
      </c>
      <c r="C2235" t="s">
        <v>361</v>
      </c>
      <c r="E2235" t="s">
        <v>362</v>
      </c>
      <c r="F2235" t="s">
        <v>17</v>
      </c>
      <c r="G2235">
        <f>IF(ISNUMBER(SEARCH("Oui",$H$1952)),1,0)</f>
        <v>0</v>
      </c>
      <c r="H2235">
        <v>12</v>
      </c>
      <c r="J2235" t="s">
        <v>88</v>
      </c>
      <c r="K2235">
        <v>20</v>
      </c>
      <c r="M2235" t="s">
        <v>303</v>
      </c>
    </row>
    <row r="2236" spans="1:13" x14ac:dyDescent="0.25">
      <c r="A2236" t="s">
        <v>300</v>
      </c>
      <c r="B2236" t="s">
        <v>358</v>
      </c>
      <c r="C2236" t="s">
        <v>363</v>
      </c>
      <c r="E2236" t="s">
        <v>364</v>
      </c>
      <c r="F2236" t="s">
        <v>17</v>
      </c>
      <c r="G2236">
        <f>IF(ISNUMBER(SEARCH("Oui",$H$1952)),1,0)</f>
        <v>0</v>
      </c>
      <c r="H2236" s="3"/>
      <c r="J2236" t="s">
        <v>70</v>
      </c>
      <c r="K2236" s="7">
        <v>0.6</v>
      </c>
      <c r="M2236" t="s">
        <v>303</v>
      </c>
    </row>
    <row r="2237" spans="1:13" x14ac:dyDescent="0.25">
      <c r="A2237" t="s">
        <v>300</v>
      </c>
      <c r="B2237" t="s">
        <v>358</v>
      </c>
      <c r="C2237" t="s">
        <v>348</v>
      </c>
      <c r="E2237" t="s">
        <v>365</v>
      </c>
      <c r="F2237" t="s">
        <v>17</v>
      </c>
      <c r="G2237">
        <f>IF(ISNUMBER(SEARCH("Oui",$H$1952)),1,0)*IF(ISNUMBER(SEARCH("La distance totale parcourue",#REF!)),1,0)</f>
        <v>0</v>
      </c>
      <c r="J2237" t="s">
        <v>88</v>
      </c>
      <c r="K2237">
        <v>20</v>
      </c>
      <c r="M2237" t="s">
        <v>303</v>
      </c>
    </row>
    <row r="2238" spans="1:13" x14ac:dyDescent="0.25">
      <c r="A2238" t="s">
        <v>300</v>
      </c>
      <c r="B2238" t="s">
        <v>358</v>
      </c>
      <c r="C2238" t="s">
        <v>248</v>
      </c>
      <c r="E2238" t="s">
        <v>366</v>
      </c>
      <c r="F2238" t="s">
        <v>17</v>
      </c>
      <c r="G2238">
        <f>IF(ISNUMBER(SEARCH("Oui",$H$1952)),1,0)*IF(ISNUMBER(SEARCH("La distance moyenne d'un trajet et le nombre de trajets",#REF!)),1,0)</f>
        <v>0</v>
      </c>
      <c r="J2238" t="s">
        <v>145</v>
      </c>
      <c r="K2238">
        <v>5</v>
      </c>
      <c r="M2238" t="s">
        <v>303</v>
      </c>
    </row>
    <row r="2239" spans="1:13" outlineLevel="1" x14ac:dyDescent="0.25">
      <c r="A2239" t="s">
        <v>300</v>
      </c>
      <c r="B2239" t="s">
        <v>382</v>
      </c>
      <c r="C2239" t="str">
        <f>_xlfn.CONCAT("Taux de chargement moyen des véhicules pour l'accès au(x) projet(s) depuis la plateforme"," (",'Remplissage - Sit. Expost'!$B$23,")")</f>
        <v>Taux de chargement moyen des véhicules pour l'accès au(x) projet(s) depuis la plateforme (Catégorie 1)</v>
      </c>
      <c r="E2239" t="str">
        <f>_xlfn.CONCAT("ProjImmoDepuisPLTC",RIGHT(LEFT(C2239,LEN(C2239)-1),1))</f>
        <v>ProjImmoDepuisPLTC1</v>
      </c>
      <c r="F2239" t="s">
        <v>17</v>
      </c>
      <c r="G2239">
        <f>IF(ISNUMBER(SEARCH(B2239,$H$2234)),1,0)</f>
        <v>1</v>
      </c>
      <c r="H2239" s="3">
        <v>0.3</v>
      </c>
      <c r="J2239" t="s">
        <v>70</v>
      </c>
      <c r="K2239" s="7">
        <v>0.6</v>
      </c>
      <c r="M2239" t="s">
        <v>303</v>
      </c>
    </row>
    <row r="2240" spans="1:13" outlineLevel="1" x14ac:dyDescent="0.25">
      <c r="A2240" t="s">
        <v>300</v>
      </c>
      <c r="B2240" t="s">
        <v>382</v>
      </c>
      <c r="C2240" t="str">
        <f>_xlfn.CONCAT("Distance parcourue associée"," (",'Remplissage - Sit. Expost'!$B$23,")")</f>
        <v>Distance parcourue associée (Catégorie 1)</v>
      </c>
      <c r="E2240" t="str">
        <f>_xlfn.CONCAT("ProjImmoDepuisPLDist",RIGHT(LEFT(C2240,LEN(C2240)-1),1))</f>
        <v>ProjImmoDepuisPLDist1</v>
      </c>
      <c r="F2240" t="s">
        <v>17</v>
      </c>
      <c r="G2240">
        <f t="shared" ref="G2240:G2303" si="681">IF(ISNUMBER(SEARCH(B2240,$H$2234)),1,0)</f>
        <v>1</v>
      </c>
      <c r="H2240">
        <v>20</v>
      </c>
      <c r="J2240" t="s">
        <v>88</v>
      </c>
      <c r="K2240">
        <v>20</v>
      </c>
      <c r="M2240" t="s">
        <v>303</v>
      </c>
    </row>
    <row r="2241" spans="1:13" outlineLevel="1" x14ac:dyDescent="0.25">
      <c r="A2241" t="s">
        <v>300</v>
      </c>
      <c r="B2241" t="s">
        <v>382</v>
      </c>
      <c r="C2241" t="str">
        <f>_xlfn.CONCAT("Nombre de trajets associés"," (",'Remplissage - Sit. Expost'!$B$23,")")</f>
        <v>Nombre de trajets associés (Catégorie 1)</v>
      </c>
      <c r="E2241" t="str">
        <f>_xlfn.CONCAT("ProjImmoDepuisPLNbTraj",RIGHT(LEFT(C2241,LEN(C2241)-1),1))</f>
        <v>ProjImmoDepuisPLNbTraj1</v>
      </c>
      <c r="F2241" t="s">
        <v>17</v>
      </c>
      <c r="G2241">
        <f t="shared" si="681"/>
        <v>1</v>
      </c>
      <c r="H2241">
        <v>5</v>
      </c>
      <c r="J2241" t="s">
        <v>145</v>
      </c>
      <c r="K2241">
        <v>5</v>
      </c>
      <c r="M2241" t="s">
        <v>303</v>
      </c>
    </row>
    <row r="2242" spans="1:13" outlineLevel="1" x14ac:dyDescent="0.25">
      <c r="A2242" t="s">
        <v>300</v>
      </c>
      <c r="B2242" t="s">
        <v>386</v>
      </c>
      <c r="C2242" t="str">
        <f>_xlfn.CONCAT("Taux de chargement moyen des véhicules pour l'accès au(x) projet(s) depuis la plateforme"," (",'Remplissage - Sit. Expost'!$B$33,")")</f>
        <v>Taux de chargement moyen des véhicules pour l'accès au(x) projet(s) depuis la plateforme (Catégorie 2)</v>
      </c>
      <c r="E2242" t="str">
        <f>_xlfn.CONCAT("ProjImmoDepuisPLTC",RIGHT(LEFT(C2242,LEN(C2242)-1),1))</f>
        <v>ProjImmoDepuisPLTC2</v>
      </c>
      <c r="F2242" t="s">
        <v>17</v>
      </c>
      <c r="G2242">
        <f t="shared" si="681"/>
        <v>0</v>
      </c>
      <c r="H2242" s="3">
        <v>0.3</v>
      </c>
      <c r="J2242" t="s">
        <v>70</v>
      </c>
      <c r="K2242" s="7">
        <v>0.6</v>
      </c>
      <c r="M2242" t="s">
        <v>303</v>
      </c>
    </row>
    <row r="2243" spans="1:13" outlineLevel="1" x14ac:dyDescent="0.25">
      <c r="A2243" t="s">
        <v>300</v>
      </c>
      <c r="B2243" t="s">
        <v>386</v>
      </c>
      <c r="C2243" t="str">
        <f>_xlfn.CONCAT("Distance parcourue associée"," (",'Remplissage - Sit. Expost'!$B$33,")")</f>
        <v>Distance parcourue associée (Catégorie 2)</v>
      </c>
      <c r="E2243" t="str">
        <f>_xlfn.CONCAT("ProjImmoDepuisPLDist",RIGHT(LEFT(C2243,LEN(C2243)-1),1))</f>
        <v>ProjImmoDepuisPLDist2</v>
      </c>
      <c r="F2243" t="s">
        <v>17</v>
      </c>
      <c r="G2243">
        <f t="shared" si="681"/>
        <v>0</v>
      </c>
      <c r="H2243">
        <v>20</v>
      </c>
      <c r="J2243" t="s">
        <v>88</v>
      </c>
      <c r="K2243">
        <v>20</v>
      </c>
      <c r="M2243" t="s">
        <v>303</v>
      </c>
    </row>
    <row r="2244" spans="1:13" outlineLevel="1" x14ac:dyDescent="0.25">
      <c r="A2244" t="s">
        <v>300</v>
      </c>
      <c r="B2244" t="s">
        <v>386</v>
      </c>
      <c r="C2244" t="str">
        <f>_xlfn.CONCAT("Nombre de trajets associés"," (",'Remplissage - Sit. Expost'!$B$33,")")</f>
        <v>Nombre de trajets associés (Catégorie 2)</v>
      </c>
      <c r="E2244" t="str">
        <f>_xlfn.CONCAT("ProjImmoDepuisPLNbTraj",RIGHT(LEFT(C2244,LEN(C2244)-1),1))</f>
        <v>ProjImmoDepuisPLNbTraj2</v>
      </c>
      <c r="F2244" t="s">
        <v>17</v>
      </c>
      <c r="G2244">
        <f t="shared" si="681"/>
        <v>0</v>
      </c>
      <c r="H2244">
        <v>5</v>
      </c>
      <c r="J2244" t="s">
        <v>145</v>
      </c>
      <c r="K2244">
        <v>5</v>
      </c>
      <c r="M2244" t="s">
        <v>303</v>
      </c>
    </row>
    <row r="2245" spans="1:13" outlineLevel="1" x14ac:dyDescent="0.25">
      <c r="A2245" t="s">
        <v>300</v>
      </c>
      <c r="B2245" t="s">
        <v>388</v>
      </c>
      <c r="C2245" t="str">
        <f>_xlfn.CONCAT("Taux de chargement moyen des véhicules pour l'accès au(x) projet(s) depuis la plateforme"," (",'Remplissage - Sit. Expost'!$B$43,")")</f>
        <v>Taux de chargement moyen des véhicules pour l'accès au(x) projet(s) depuis la plateforme (Catégorie 3)</v>
      </c>
      <c r="E2245" t="str">
        <f>_xlfn.CONCAT("ProjImmoDepuisPLTC",RIGHT(LEFT(C2245,LEN(C2245)-1),1))</f>
        <v>ProjImmoDepuisPLTC3</v>
      </c>
      <c r="F2245" t="s">
        <v>17</v>
      </c>
      <c r="G2245">
        <f t="shared" si="681"/>
        <v>1</v>
      </c>
      <c r="H2245" s="3"/>
      <c r="J2245" t="s">
        <v>70</v>
      </c>
      <c r="K2245" s="7">
        <v>0.6</v>
      </c>
      <c r="M2245" t="s">
        <v>303</v>
      </c>
    </row>
    <row r="2246" spans="1:13" outlineLevel="1" x14ac:dyDescent="0.25">
      <c r="A2246" t="s">
        <v>300</v>
      </c>
      <c r="B2246" t="s">
        <v>388</v>
      </c>
      <c r="C2246" t="str">
        <f>_xlfn.CONCAT("Distance parcourue associée"," (",'Remplissage - Sit. Expost'!$B$43,")")</f>
        <v>Distance parcourue associée (Catégorie 3)</v>
      </c>
      <c r="E2246" t="str">
        <f>_xlfn.CONCAT("ProjImmoDepuisPLDist",RIGHT(LEFT(C2246,LEN(C2246)-1),1))</f>
        <v>ProjImmoDepuisPLDist3</v>
      </c>
      <c r="F2246" t="s">
        <v>17</v>
      </c>
      <c r="G2246">
        <f t="shared" si="681"/>
        <v>1</v>
      </c>
      <c r="J2246" t="s">
        <v>88</v>
      </c>
      <c r="K2246">
        <v>20</v>
      </c>
      <c r="M2246" t="s">
        <v>303</v>
      </c>
    </row>
    <row r="2247" spans="1:13" outlineLevel="1" x14ac:dyDescent="0.25">
      <c r="A2247" t="s">
        <v>300</v>
      </c>
      <c r="B2247" t="s">
        <v>388</v>
      </c>
      <c r="C2247" t="str">
        <f>_xlfn.CONCAT("Nombre de trajets associés"," (",'Remplissage - Sit. Expost'!$B$43,")")</f>
        <v>Nombre de trajets associés (Catégorie 3)</v>
      </c>
      <c r="E2247" t="str">
        <f>_xlfn.CONCAT("ProjImmoDepuisPLNbTraj",RIGHT(LEFT(C2247,LEN(C2247)-1),1))</f>
        <v>ProjImmoDepuisPLNbTraj3</v>
      </c>
      <c r="F2247" t="s">
        <v>17</v>
      </c>
      <c r="G2247">
        <f t="shared" si="681"/>
        <v>1</v>
      </c>
      <c r="J2247" t="s">
        <v>145</v>
      </c>
      <c r="K2247">
        <v>5</v>
      </c>
      <c r="M2247" t="s">
        <v>303</v>
      </c>
    </row>
    <row r="2248" spans="1:13" outlineLevel="1" x14ac:dyDescent="0.25">
      <c r="A2248" t="s">
        <v>300</v>
      </c>
      <c r="B2248" t="s">
        <v>389</v>
      </c>
      <c r="C2248" t="str">
        <f>_xlfn.CONCAT("Taux de chargement moyen des véhicules pour l'accès au(x) projet(s) depuis la plateforme"," (",'Remplissage - Sit. Expost'!$B$53,")")</f>
        <v>Taux de chargement moyen des véhicules pour l'accès au(x) projet(s) depuis la plateforme (Catégorie 4)</v>
      </c>
      <c r="E2248" t="str">
        <f>_xlfn.CONCAT("ProjImmoDepuisPLTC",RIGHT(LEFT(C2248,LEN(C2248)-1),1))</f>
        <v>ProjImmoDepuisPLTC4</v>
      </c>
      <c r="F2248" t="s">
        <v>17</v>
      </c>
      <c r="G2248">
        <f t="shared" si="681"/>
        <v>0</v>
      </c>
      <c r="H2248" s="3"/>
      <c r="J2248" t="s">
        <v>70</v>
      </c>
      <c r="K2248" s="7">
        <v>0.6</v>
      </c>
      <c r="M2248" t="s">
        <v>303</v>
      </c>
    </row>
    <row r="2249" spans="1:13" outlineLevel="1" x14ac:dyDescent="0.25">
      <c r="A2249" t="s">
        <v>300</v>
      </c>
      <c r="B2249" t="s">
        <v>389</v>
      </c>
      <c r="C2249" t="str">
        <f>_xlfn.CONCAT("Distance parcourue associée"," (",'Remplissage - Sit. Expost'!$B$53,")")</f>
        <v>Distance parcourue associée (Catégorie 4)</v>
      </c>
      <c r="E2249" t="str">
        <f>_xlfn.CONCAT("ProjImmoDepuisPLDist",RIGHT(LEFT(C2249,LEN(C2249)-1),1))</f>
        <v>ProjImmoDepuisPLDist4</v>
      </c>
      <c r="F2249" t="s">
        <v>17</v>
      </c>
      <c r="G2249">
        <f t="shared" si="681"/>
        <v>0</v>
      </c>
      <c r="J2249" t="s">
        <v>88</v>
      </c>
      <c r="K2249">
        <v>20</v>
      </c>
      <c r="M2249" t="s">
        <v>303</v>
      </c>
    </row>
    <row r="2250" spans="1:13" outlineLevel="1" x14ac:dyDescent="0.25">
      <c r="A2250" t="s">
        <v>300</v>
      </c>
      <c r="B2250" t="s">
        <v>389</v>
      </c>
      <c r="C2250" t="str">
        <f>_xlfn.CONCAT("Nombre de trajets associés"," (",'Remplissage - Sit. Expost'!$B$53,")")</f>
        <v>Nombre de trajets associés (Catégorie 4)</v>
      </c>
      <c r="E2250" t="str">
        <f>_xlfn.CONCAT("ProjImmoDepuisPLNbTraj",RIGHT(LEFT(C2250,LEN(C2250)-1),1))</f>
        <v>ProjImmoDepuisPLNbTraj4</v>
      </c>
      <c r="F2250" t="s">
        <v>17</v>
      </c>
      <c r="G2250">
        <f t="shared" si="681"/>
        <v>0</v>
      </c>
      <c r="J2250" t="s">
        <v>145</v>
      </c>
      <c r="K2250">
        <v>5</v>
      </c>
      <c r="M2250" t="s">
        <v>303</v>
      </c>
    </row>
    <row r="2251" spans="1:13" outlineLevel="1" x14ac:dyDescent="0.25">
      <c r="A2251" t="s">
        <v>300</v>
      </c>
      <c r="B2251" t="s">
        <v>390</v>
      </c>
      <c r="C2251" t="str">
        <f>_xlfn.CONCAT("Taux de chargement moyen des véhicules pour l'accès au(x) projet(s) depuis la plateforme"," (",'Remplissage - Sit. Expost'!$B$63,")")</f>
        <v>Taux de chargement moyen des véhicules pour l'accès au(x) projet(s) depuis la plateforme (Catégorie 5)</v>
      </c>
      <c r="E2251" t="str">
        <f>_xlfn.CONCAT("ProjImmoDepuisPLTC",RIGHT(LEFT(C2251,LEN(C2251)-1),1))</f>
        <v>ProjImmoDepuisPLTC5</v>
      </c>
      <c r="F2251" t="s">
        <v>17</v>
      </c>
      <c r="G2251">
        <f t="shared" si="681"/>
        <v>0</v>
      </c>
      <c r="H2251" s="3"/>
      <c r="J2251" t="s">
        <v>70</v>
      </c>
      <c r="K2251" s="7">
        <v>0.6</v>
      </c>
      <c r="M2251" t="s">
        <v>303</v>
      </c>
    </row>
    <row r="2252" spans="1:13" outlineLevel="1" x14ac:dyDescent="0.25">
      <c r="A2252" t="s">
        <v>300</v>
      </c>
      <c r="B2252" t="s">
        <v>390</v>
      </c>
      <c r="C2252" t="str">
        <f>_xlfn.CONCAT("Distance parcourue associée"," (",'Remplissage - Sit. Expost'!$B$63,")")</f>
        <v>Distance parcourue associée (Catégorie 5)</v>
      </c>
      <c r="E2252" t="str">
        <f>_xlfn.CONCAT("ProjImmoDepuisPLDist",RIGHT(LEFT(C2252,LEN(C2252)-1),1))</f>
        <v>ProjImmoDepuisPLDist5</v>
      </c>
      <c r="F2252" t="s">
        <v>17</v>
      </c>
      <c r="G2252">
        <f t="shared" si="681"/>
        <v>0</v>
      </c>
      <c r="J2252" t="s">
        <v>88</v>
      </c>
      <c r="K2252">
        <v>20</v>
      </c>
      <c r="M2252" t="s">
        <v>303</v>
      </c>
    </row>
    <row r="2253" spans="1:13" outlineLevel="1" x14ac:dyDescent="0.25">
      <c r="A2253" t="s">
        <v>300</v>
      </c>
      <c r="B2253" t="s">
        <v>390</v>
      </c>
      <c r="C2253" t="str">
        <f>_xlfn.CONCAT("Nombre de trajets associés"," (",'Remplissage - Sit. Expost'!$B$63,")")</f>
        <v>Nombre de trajets associés (Catégorie 5)</v>
      </c>
      <c r="E2253" t="str">
        <f>_xlfn.CONCAT("ProjImmoDepuisPLNbTraj",RIGHT(LEFT(C2253,LEN(C2253)-1),1))</f>
        <v>ProjImmoDepuisPLNbTraj5</v>
      </c>
      <c r="F2253" t="s">
        <v>17</v>
      </c>
      <c r="G2253">
        <f t="shared" si="681"/>
        <v>0</v>
      </c>
      <c r="J2253" t="s">
        <v>145</v>
      </c>
      <c r="K2253">
        <v>5</v>
      </c>
      <c r="M2253" t="s">
        <v>303</v>
      </c>
    </row>
    <row r="2254" spans="1:13" outlineLevel="1" x14ac:dyDescent="0.25">
      <c r="A2254" t="s">
        <v>300</v>
      </c>
      <c r="B2254" t="s">
        <v>391</v>
      </c>
      <c r="C2254" t="str">
        <f>_xlfn.CONCAT("Taux de chargement moyen des véhicules pour l'accès au(x) projet(s) depuis la plateforme"," (",'Remplissage - Sit. Expost'!$B$73,")")</f>
        <v>Taux de chargement moyen des véhicules pour l'accès au(x) projet(s) depuis la plateforme (Catégorie 6)</v>
      </c>
      <c r="E2254" t="str">
        <f>_xlfn.CONCAT("ProjImmoDepuisPLTC",RIGHT(LEFT(C2254,LEN(C2254)-1),1))</f>
        <v>ProjImmoDepuisPLTC6</v>
      </c>
      <c r="F2254" t="s">
        <v>17</v>
      </c>
      <c r="G2254">
        <f t="shared" si="681"/>
        <v>0</v>
      </c>
      <c r="H2254" s="3"/>
      <c r="J2254" t="s">
        <v>70</v>
      </c>
      <c r="K2254" s="7">
        <v>0.6</v>
      </c>
      <c r="M2254" t="s">
        <v>303</v>
      </c>
    </row>
    <row r="2255" spans="1:13" outlineLevel="1" x14ac:dyDescent="0.25">
      <c r="A2255" t="s">
        <v>300</v>
      </c>
      <c r="B2255" t="s">
        <v>391</v>
      </c>
      <c r="C2255" t="str">
        <f>_xlfn.CONCAT("Distance parcourue associée"," (",'Remplissage - Sit. Expost'!$B$73,")")</f>
        <v>Distance parcourue associée (Catégorie 6)</v>
      </c>
      <c r="E2255" t="str">
        <f>_xlfn.CONCAT("ProjImmoDepuisPLDist",RIGHT(LEFT(C2255,LEN(C2255)-1),1))</f>
        <v>ProjImmoDepuisPLDist6</v>
      </c>
      <c r="F2255" t="s">
        <v>17</v>
      </c>
      <c r="G2255">
        <f t="shared" si="681"/>
        <v>0</v>
      </c>
      <c r="J2255" t="s">
        <v>88</v>
      </c>
      <c r="K2255">
        <v>20</v>
      </c>
      <c r="M2255" t="s">
        <v>303</v>
      </c>
    </row>
    <row r="2256" spans="1:13" outlineLevel="1" x14ac:dyDescent="0.25">
      <c r="A2256" t="s">
        <v>300</v>
      </c>
      <c r="B2256" t="s">
        <v>391</v>
      </c>
      <c r="C2256" t="str">
        <f>_xlfn.CONCAT("Nombre de trajets associés"," (",'Remplissage - Sit. Expost'!$B$73,")")</f>
        <v>Nombre de trajets associés (Catégorie 6)</v>
      </c>
      <c r="E2256" t="str">
        <f>_xlfn.CONCAT("ProjImmoDepuisPLNbTraj",RIGHT(LEFT(C2256,LEN(C2256)-1),1))</f>
        <v>ProjImmoDepuisPLNbTraj6</v>
      </c>
      <c r="F2256" t="s">
        <v>17</v>
      </c>
      <c r="G2256">
        <f t="shared" si="681"/>
        <v>0</v>
      </c>
      <c r="J2256" t="s">
        <v>145</v>
      </c>
      <c r="K2256">
        <v>5</v>
      </c>
      <c r="M2256" t="s">
        <v>303</v>
      </c>
    </row>
    <row r="2257" spans="1:13" outlineLevel="1" x14ac:dyDescent="0.25">
      <c r="A2257" t="s">
        <v>300</v>
      </c>
      <c r="B2257" t="s">
        <v>392</v>
      </c>
      <c r="C2257" t="str">
        <f>_xlfn.CONCAT("Taux de chargement moyen des véhicules pour l'accès au(x) projet(s) depuis la plateforme"," (",'Remplissage - Sit. Expost'!$B$83,")")</f>
        <v>Taux de chargement moyen des véhicules pour l'accès au(x) projet(s) depuis la plateforme (Catégorie 7)</v>
      </c>
      <c r="E2257" t="str">
        <f>_xlfn.CONCAT("ProjImmoDepuisPLTC",RIGHT(LEFT(C2257,LEN(C2257)-1),1))</f>
        <v>ProjImmoDepuisPLTC7</v>
      </c>
      <c r="F2257" t="s">
        <v>17</v>
      </c>
      <c r="G2257">
        <f t="shared" si="681"/>
        <v>0</v>
      </c>
      <c r="H2257" s="3"/>
      <c r="J2257" t="s">
        <v>70</v>
      </c>
      <c r="K2257" s="7">
        <v>0.6</v>
      </c>
      <c r="M2257" t="s">
        <v>303</v>
      </c>
    </row>
    <row r="2258" spans="1:13" outlineLevel="1" x14ac:dyDescent="0.25">
      <c r="A2258" t="s">
        <v>300</v>
      </c>
      <c r="B2258" t="s">
        <v>392</v>
      </c>
      <c r="C2258" t="str">
        <f>_xlfn.CONCAT("Distance parcourue associée"," (",'Remplissage - Sit. Expost'!$B$83,")")</f>
        <v>Distance parcourue associée (Catégorie 7)</v>
      </c>
      <c r="E2258" t="str">
        <f>_xlfn.CONCAT("ProjImmoDepuisPLDist",RIGHT(LEFT(C2258,LEN(C2258)-1),1))</f>
        <v>ProjImmoDepuisPLDist7</v>
      </c>
      <c r="F2258" t="s">
        <v>17</v>
      </c>
      <c r="G2258">
        <f t="shared" si="681"/>
        <v>0</v>
      </c>
      <c r="J2258" t="s">
        <v>88</v>
      </c>
      <c r="K2258">
        <v>20</v>
      </c>
      <c r="M2258" t="s">
        <v>303</v>
      </c>
    </row>
    <row r="2259" spans="1:13" outlineLevel="1" x14ac:dyDescent="0.25">
      <c r="A2259" t="s">
        <v>300</v>
      </c>
      <c r="B2259" t="s">
        <v>392</v>
      </c>
      <c r="C2259" t="str">
        <f>_xlfn.CONCAT("Nombre de trajets associés"," (",'Remplissage - Sit. Expost'!$B$83,")")</f>
        <v>Nombre de trajets associés (Catégorie 7)</v>
      </c>
      <c r="E2259" t="str">
        <f>_xlfn.CONCAT("ProjImmoDepuisPLNbTraj",RIGHT(LEFT(C2259,LEN(C2259)-1),1))</f>
        <v>ProjImmoDepuisPLNbTraj7</v>
      </c>
      <c r="F2259" t="s">
        <v>17</v>
      </c>
      <c r="G2259">
        <f t="shared" si="681"/>
        <v>0</v>
      </c>
      <c r="J2259" t="s">
        <v>145</v>
      </c>
      <c r="K2259">
        <v>5</v>
      </c>
      <c r="M2259" t="s">
        <v>303</v>
      </c>
    </row>
    <row r="2260" spans="1:13" outlineLevel="1" x14ac:dyDescent="0.25">
      <c r="A2260" t="s">
        <v>300</v>
      </c>
      <c r="B2260" t="s">
        <v>393</v>
      </c>
      <c r="C2260" t="str">
        <f>_xlfn.CONCAT("Taux de chargement moyen des véhicules pour l'accès au(x) projet(s) depuis la plateforme"," (",'Remplissage - Sit. Expost'!$B$93,")")</f>
        <v>Taux de chargement moyen des véhicules pour l'accès au(x) projet(s) depuis la plateforme (Catégorie 8)</v>
      </c>
      <c r="E2260" t="str">
        <f>_xlfn.CONCAT("ProjImmoDepuisPLTC",RIGHT(LEFT(C2260,LEN(C2260)-1),1))</f>
        <v>ProjImmoDepuisPLTC8</v>
      </c>
      <c r="F2260" t="s">
        <v>17</v>
      </c>
      <c r="G2260">
        <f t="shared" si="681"/>
        <v>0</v>
      </c>
      <c r="H2260" s="3"/>
      <c r="J2260" t="s">
        <v>70</v>
      </c>
      <c r="K2260" s="7">
        <v>0.6</v>
      </c>
      <c r="M2260" t="s">
        <v>303</v>
      </c>
    </row>
    <row r="2261" spans="1:13" outlineLevel="1" x14ac:dyDescent="0.25">
      <c r="A2261" t="s">
        <v>300</v>
      </c>
      <c r="B2261" t="s">
        <v>393</v>
      </c>
      <c r="C2261" t="str">
        <f>_xlfn.CONCAT("Distance parcourue associée"," (",'Remplissage - Sit. Expost'!$B$93,")")</f>
        <v>Distance parcourue associée (Catégorie 8)</v>
      </c>
      <c r="E2261" t="str">
        <f>_xlfn.CONCAT("ProjImmoDepuisPLDist",RIGHT(LEFT(C2261,LEN(C2261)-1),1))</f>
        <v>ProjImmoDepuisPLDist8</v>
      </c>
      <c r="F2261" t="s">
        <v>17</v>
      </c>
      <c r="G2261">
        <f t="shared" si="681"/>
        <v>0</v>
      </c>
      <c r="J2261" t="s">
        <v>88</v>
      </c>
      <c r="K2261">
        <v>20</v>
      </c>
      <c r="M2261" t="s">
        <v>303</v>
      </c>
    </row>
    <row r="2262" spans="1:13" outlineLevel="1" x14ac:dyDescent="0.25">
      <c r="A2262" t="s">
        <v>300</v>
      </c>
      <c r="B2262" t="s">
        <v>393</v>
      </c>
      <c r="C2262" t="str">
        <f>_xlfn.CONCAT("Nombre de trajets associés"," (",'Remplissage - Sit. Expost'!$B$93,")")</f>
        <v>Nombre de trajets associés (Catégorie 8)</v>
      </c>
      <c r="E2262" t="str">
        <f>_xlfn.CONCAT("ProjImmoDepuisPLNbTraj",RIGHT(LEFT(C2262,LEN(C2262)-1),1))</f>
        <v>ProjImmoDepuisPLNbTraj8</v>
      </c>
      <c r="F2262" t="s">
        <v>17</v>
      </c>
      <c r="G2262">
        <f t="shared" si="681"/>
        <v>0</v>
      </c>
      <c r="J2262" t="s">
        <v>145</v>
      </c>
      <c r="K2262">
        <v>5</v>
      </c>
      <c r="M2262" t="s">
        <v>303</v>
      </c>
    </row>
    <row r="2263" spans="1:13" outlineLevel="1" x14ac:dyDescent="0.25">
      <c r="A2263" t="s">
        <v>300</v>
      </c>
      <c r="B2263" t="s">
        <v>394</v>
      </c>
      <c r="C2263" t="str">
        <f>_xlfn.CONCAT("Taux de chargement moyen des véhicules pour l'accès au(x) projet(s) depuis la plateforme"," (",'Remplissage - Sit. Expost'!$B$103,")")</f>
        <v>Taux de chargement moyen des véhicules pour l'accès au(x) projet(s) depuis la plateforme (Catégorie 9)</v>
      </c>
      <c r="E2263" t="str">
        <f>_xlfn.CONCAT("ProjImmoDepuisPLTC",RIGHT(LEFT(C2263,LEN(C2263)-1),1))</f>
        <v>ProjImmoDepuisPLTC9</v>
      </c>
      <c r="F2263" t="s">
        <v>17</v>
      </c>
      <c r="G2263">
        <f t="shared" si="681"/>
        <v>0</v>
      </c>
      <c r="H2263" s="3"/>
      <c r="J2263" t="s">
        <v>70</v>
      </c>
      <c r="K2263" s="7">
        <v>0.6</v>
      </c>
      <c r="M2263" t="s">
        <v>303</v>
      </c>
    </row>
    <row r="2264" spans="1:13" outlineLevel="1" x14ac:dyDescent="0.25">
      <c r="A2264" t="s">
        <v>300</v>
      </c>
      <c r="B2264" t="s">
        <v>394</v>
      </c>
      <c r="C2264" t="str">
        <f>_xlfn.CONCAT("Distance parcourue associée"," (",'Remplissage - Sit. Expost'!$B$103,")")</f>
        <v>Distance parcourue associée (Catégorie 9)</v>
      </c>
      <c r="E2264" t="str">
        <f>_xlfn.CONCAT("ProjImmoDepuisPLDist",RIGHT(LEFT(C2264,LEN(C2264)-1),1))</f>
        <v>ProjImmoDepuisPLDist9</v>
      </c>
      <c r="F2264" t="s">
        <v>17</v>
      </c>
      <c r="G2264">
        <f t="shared" si="681"/>
        <v>0</v>
      </c>
      <c r="J2264" t="s">
        <v>88</v>
      </c>
      <c r="K2264">
        <v>20</v>
      </c>
      <c r="M2264" t="s">
        <v>303</v>
      </c>
    </row>
    <row r="2265" spans="1:13" outlineLevel="1" x14ac:dyDescent="0.25">
      <c r="A2265" t="s">
        <v>300</v>
      </c>
      <c r="B2265" t="s">
        <v>394</v>
      </c>
      <c r="C2265" t="str">
        <f>_xlfn.CONCAT("Nombre de trajets associés"," (",'Remplissage - Sit. Expost'!$B$103,")")</f>
        <v>Nombre de trajets associés (Catégorie 9)</v>
      </c>
      <c r="E2265" t="str">
        <f>_xlfn.CONCAT("ProjImmoDepuisPLNbTraj",RIGHT(LEFT(C2265,LEN(C2265)-1),1))</f>
        <v>ProjImmoDepuisPLNbTraj9</v>
      </c>
      <c r="F2265" t="s">
        <v>17</v>
      </c>
      <c r="G2265">
        <f t="shared" si="681"/>
        <v>0</v>
      </c>
      <c r="J2265" t="s">
        <v>145</v>
      </c>
      <c r="K2265">
        <v>5</v>
      </c>
      <c r="M2265" t="s">
        <v>303</v>
      </c>
    </row>
    <row r="2266" spans="1:13" outlineLevel="1" x14ac:dyDescent="0.25">
      <c r="A2266" t="s">
        <v>300</v>
      </c>
      <c r="B2266" t="s">
        <v>395</v>
      </c>
      <c r="C2266" t="str">
        <f>_xlfn.CONCAT("Taux de chargement moyen des véhicules pour l'accès au(x) projet(s) depuis la plateforme"," (",'Remplissage - Sit. Expost'!$B$113,")")</f>
        <v>Taux de chargement moyen des véhicules pour l'accès au(x) projet(s) depuis la plateforme (Catégorie 10)</v>
      </c>
      <c r="E2266" t="str">
        <f>_xlfn.CONCAT("ProjImmoDepuisPLTC",RIGHT(LEFT(C2266,LEN(C2266)-1),2))</f>
        <v>ProjImmoDepuisPLTC10</v>
      </c>
      <c r="F2266" t="s">
        <v>17</v>
      </c>
      <c r="G2266">
        <f t="shared" si="681"/>
        <v>0</v>
      </c>
      <c r="H2266" s="3"/>
      <c r="J2266" t="s">
        <v>70</v>
      </c>
      <c r="K2266" s="7">
        <v>0.6</v>
      </c>
      <c r="M2266" t="s">
        <v>303</v>
      </c>
    </row>
    <row r="2267" spans="1:13" outlineLevel="1" x14ac:dyDescent="0.25">
      <c r="A2267" t="s">
        <v>300</v>
      </c>
      <c r="B2267" t="s">
        <v>395</v>
      </c>
      <c r="C2267" t="str">
        <f>_xlfn.CONCAT("Distance parcourue associée"," (",'Remplissage - Sit. Expost'!$B$113,")")</f>
        <v>Distance parcourue associée (Catégorie 10)</v>
      </c>
      <c r="E2267" t="str">
        <f>_xlfn.CONCAT("ProjImmoDepuisPLDist",RIGHT(LEFT(C2267,LEN(C2267)-1),2))</f>
        <v>ProjImmoDepuisPLDist10</v>
      </c>
      <c r="F2267" t="s">
        <v>17</v>
      </c>
      <c r="G2267">
        <f t="shared" si="681"/>
        <v>0</v>
      </c>
      <c r="J2267" t="s">
        <v>88</v>
      </c>
      <c r="K2267">
        <v>20</v>
      </c>
      <c r="M2267" t="s">
        <v>303</v>
      </c>
    </row>
    <row r="2268" spans="1:13" outlineLevel="1" x14ac:dyDescent="0.25">
      <c r="A2268" t="s">
        <v>300</v>
      </c>
      <c r="B2268" t="s">
        <v>395</v>
      </c>
      <c r="C2268" t="str">
        <f>_xlfn.CONCAT("Nombre de trajets associés"," (",'Remplissage - Sit. Expost'!$B$113,")")</f>
        <v>Nombre de trajets associés (Catégorie 10)</v>
      </c>
      <c r="E2268" t="str">
        <f>_xlfn.CONCAT("ProjImmoDepuisPLNbTraj",RIGHT(LEFT(C2268,LEN(C2268)-1),2))</f>
        <v>ProjImmoDepuisPLNbTraj10</v>
      </c>
      <c r="F2268" t="s">
        <v>17</v>
      </c>
      <c r="G2268">
        <f t="shared" si="681"/>
        <v>0</v>
      </c>
      <c r="J2268" t="s">
        <v>145</v>
      </c>
      <c r="K2268">
        <v>5</v>
      </c>
      <c r="M2268" t="s">
        <v>303</v>
      </c>
    </row>
    <row r="2269" spans="1:13" outlineLevel="1" x14ac:dyDescent="0.25">
      <c r="A2269" t="s">
        <v>300</v>
      </c>
      <c r="B2269" t="s">
        <v>396</v>
      </c>
      <c r="C2269" t="str">
        <f>_xlfn.CONCAT("Taux de chargement moyen des véhicules pour l'accès au(x) projet(s) depuis la plateforme"," (",'Remplissage - Sit. Expost'!$B$123,")")</f>
        <v>Taux de chargement moyen des véhicules pour l'accès au(x) projet(s) depuis la plateforme (Catégorie 11)</v>
      </c>
      <c r="E2269" t="str">
        <f>_xlfn.CONCAT("ProjImmoDepuisPLTC",RIGHT(LEFT(C2269,LEN(C2269)-1),2))</f>
        <v>ProjImmoDepuisPLTC11</v>
      </c>
      <c r="F2269" t="s">
        <v>17</v>
      </c>
      <c r="G2269">
        <f t="shared" si="681"/>
        <v>0</v>
      </c>
      <c r="H2269" s="3"/>
      <c r="J2269" t="s">
        <v>70</v>
      </c>
      <c r="K2269" s="7">
        <v>0.6</v>
      </c>
      <c r="M2269" t="s">
        <v>303</v>
      </c>
    </row>
    <row r="2270" spans="1:13" outlineLevel="1" x14ac:dyDescent="0.25">
      <c r="A2270" t="s">
        <v>300</v>
      </c>
      <c r="B2270" t="s">
        <v>396</v>
      </c>
      <c r="C2270" t="str">
        <f>_xlfn.CONCAT("Distance parcourue associée"," (",'Remplissage - Sit. Expost'!$B$123,")")</f>
        <v>Distance parcourue associée (Catégorie 11)</v>
      </c>
      <c r="E2270" t="str">
        <f>_xlfn.CONCAT("ProjImmoDepuisPLDist",RIGHT(LEFT(C2270,LEN(C2270)-1),2))</f>
        <v>ProjImmoDepuisPLDist11</v>
      </c>
      <c r="F2270" t="s">
        <v>17</v>
      </c>
      <c r="G2270">
        <f t="shared" si="681"/>
        <v>0</v>
      </c>
      <c r="J2270" t="s">
        <v>88</v>
      </c>
      <c r="K2270">
        <v>20</v>
      </c>
      <c r="M2270" t="s">
        <v>303</v>
      </c>
    </row>
    <row r="2271" spans="1:13" outlineLevel="1" x14ac:dyDescent="0.25">
      <c r="A2271" t="s">
        <v>300</v>
      </c>
      <c r="B2271" t="s">
        <v>396</v>
      </c>
      <c r="C2271" t="str">
        <f>_xlfn.CONCAT("Nombre de trajets associés"," (",'Remplissage - Sit. Expost'!$B$123,")")</f>
        <v>Nombre de trajets associés (Catégorie 11)</v>
      </c>
      <c r="E2271" t="str">
        <f>_xlfn.CONCAT("ProjImmoDepuisPLNbTraj",RIGHT(LEFT(C2271,LEN(C2271)-1),2))</f>
        <v>ProjImmoDepuisPLNbTraj11</v>
      </c>
      <c r="F2271" t="s">
        <v>17</v>
      </c>
      <c r="G2271">
        <f t="shared" si="681"/>
        <v>0</v>
      </c>
      <c r="J2271" t="s">
        <v>145</v>
      </c>
      <c r="K2271">
        <v>5</v>
      </c>
      <c r="M2271" t="s">
        <v>303</v>
      </c>
    </row>
    <row r="2272" spans="1:13" outlineLevel="1" x14ac:dyDescent="0.25">
      <c r="A2272" t="s">
        <v>300</v>
      </c>
      <c r="B2272" t="s">
        <v>397</v>
      </c>
      <c r="C2272" t="str">
        <f>_xlfn.CONCAT("Taux de chargement moyen des véhicules pour l'accès au(x) projet(s) depuis la plateforme"," (",'Remplissage - Sit. Expost'!$B$133,")")</f>
        <v>Taux de chargement moyen des véhicules pour l'accès au(x) projet(s) depuis la plateforme (Catégorie 12)</v>
      </c>
      <c r="E2272" t="str">
        <f>_xlfn.CONCAT("ProjImmoDepuisPLTC",RIGHT(LEFT(C2272,LEN(C2272)-1),2))</f>
        <v>ProjImmoDepuisPLTC12</v>
      </c>
      <c r="F2272" t="s">
        <v>17</v>
      </c>
      <c r="G2272">
        <f t="shared" si="681"/>
        <v>0</v>
      </c>
      <c r="H2272" s="3"/>
      <c r="J2272" t="s">
        <v>70</v>
      </c>
      <c r="K2272" s="7">
        <v>0.6</v>
      </c>
      <c r="M2272" t="s">
        <v>303</v>
      </c>
    </row>
    <row r="2273" spans="1:13" outlineLevel="1" x14ac:dyDescent="0.25">
      <c r="A2273" t="s">
        <v>300</v>
      </c>
      <c r="B2273" t="s">
        <v>397</v>
      </c>
      <c r="C2273" t="str">
        <f>_xlfn.CONCAT("Distance parcourue associée"," (",'Remplissage - Sit. Expost'!$B$133,")")</f>
        <v>Distance parcourue associée (Catégorie 12)</v>
      </c>
      <c r="E2273" t="str">
        <f>_xlfn.CONCAT("ProjImmoDepuisPLDist",RIGHT(LEFT(C2273,LEN(C2273)-1),2))</f>
        <v>ProjImmoDepuisPLDist12</v>
      </c>
      <c r="F2273" t="s">
        <v>17</v>
      </c>
      <c r="G2273">
        <f t="shared" si="681"/>
        <v>0</v>
      </c>
      <c r="J2273" t="s">
        <v>88</v>
      </c>
      <c r="K2273">
        <v>20</v>
      </c>
      <c r="M2273" t="s">
        <v>303</v>
      </c>
    </row>
    <row r="2274" spans="1:13" outlineLevel="1" x14ac:dyDescent="0.25">
      <c r="A2274" t="s">
        <v>300</v>
      </c>
      <c r="B2274" t="s">
        <v>397</v>
      </c>
      <c r="C2274" t="str">
        <f>_xlfn.CONCAT("Nombre de trajets associés"," (",'Remplissage - Sit. Expost'!$B$133,")")</f>
        <v>Nombre de trajets associés (Catégorie 12)</v>
      </c>
      <c r="E2274" t="str">
        <f>_xlfn.CONCAT("ProjImmoDepuisPLNbTraj",RIGHT(LEFT(C2274,LEN(C2274)-1),2))</f>
        <v>ProjImmoDepuisPLNbTraj12</v>
      </c>
      <c r="F2274" t="s">
        <v>17</v>
      </c>
      <c r="G2274">
        <f t="shared" si="681"/>
        <v>0</v>
      </c>
      <c r="J2274" t="s">
        <v>145</v>
      </c>
      <c r="K2274">
        <v>5</v>
      </c>
      <c r="M2274" t="s">
        <v>303</v>
      </c>
    </row>
    <row r="2275" spans="1:13" outlineLevel="1" x14ac:dyDescent="0.25">
      <c r="A2275" t="s">
        <v>300</v>
      </c>
      <c r="B2275" t="s">
        <v>398</v>
      </c>
      <c r="C2275" t="str">
        <f>_xlfn.CONCAT("Taux de chargement moyen des véhicules pour l'accès au(x) projet(s) depuis la plateforme"," (",'Remplissage - Sit. Expost'!$B$143,")")</f>
        <v>Taux de chargement moyen des véhicules pour l'accès au(x) projet(s) depuis la plateforme (Catégorie 13)</v>
      </c>
      <c r="E2275" t="str">
        <f>_xlfn.CONCAT("ProjImmoDepuisPLTC",RIGHT(LEFT(C2275,LEN(C2275)-1),2))</f>
        <v>ProjImmoDepuisPLTC13</v>
      </c>
      <c r="F2275" t="s">
        <v>17</v>
      </c>
      <c r="G2275">
        <f t="shared" si="681"/>
        <v>0</v>
      </c>
      <c r="H2275" s="3"/>
      <c r="J2275" t="s">
        <v>70</v>
      </c>
      <c r="K2275" s="7">
        <v>0.6</v>
      </c>
      <c r="M2275" t="s">
        <v>303</v>
      </c>
    </row>
    <row r="2276" spans="1:13" outlineLevel="1" x14ac:dyDescent="0.25">
      <c r="A2276" t="s">
        <v>300</v>
      </c>
      <c r="B2276" t="s">
        <v>398</v>
      </c>
      <c r="C2276" t="str">
        <f>_xlfn.CONCAT("Distance parcourue associée"," (",'Remplissage - Sit. Expost'!$B$143,")")</f>
        <v>Distance parcourue associée (Catégorie 13)</v>
      </c>
      <c r="E2276" t="str">
        <f>_xlfn.CONCAT("ProjImmoDepuisPLDist",RIGHT(LEFT(C2276,LEN(C2276)-1),2))</f>
        <v>ProjImmoDepuisPLDist13</v>
      </c>
      <c r="F2276" t="s">
        <v>17</v>
      </c>
      <c r="G2276">
        <f t="shared" si="681"/>
        <v>0</v>
      </c>
      <c r="J2276" t="s">
        <v>88</v>
      </c>
      <c r="K2276">
        <v>20</v>
      </c>
      <c r="M2276" t="s">
        <v>303</v>
      </c>
    </row>
    <row r="2277" spans="1:13" outlineLevel="1" x14ac:dyDescent="0.25">
      <c r="A2277" t="s">
        <v>300</v>
      </c>
      <c r="B2277" t="s">
        <v>398</v>
      </c>
      <c r="C2277" t="str">
        <f>_xlfn.CONCAT("Nombre de trajets associés"," (",'Remplissage - Sit. Expost'!$B$143,")")</f>
        <v>Nombre de trajets associés (Catégorie 13)</v>
      </c>
      <c r="E2277" t="str">
        <f>_xlfn.CONCAT("ProjImmoDepuisPLNbTraj",RIGHT(LEFT(C2277,LEN(C2277)-1),2))</f>
        <v>ProjImmoDepuisPLNbTraj13</v>
      </c>
      <c r="F2277" t="s">
        <v>17</v>
      </c>
      <c r="G2277">
        <f t="shared" si="681"/>
        <v>0</v>
      </c>
      <c r="J2277" t="s">
        <v>145</v>
      </c>
      <c r="K2277">
        <v>5</v>
      </c>
      <c r="M2277" t="s">
        <v>303</v>
      </c>
    </row>
    <row r="2278" spans="1:13" outlineLevel="1" x14ac:dyDescent="0.25">
      <c r="A2278" t="s">
        <v>300</v>
      </c>
      <c r="B2278" t="s">
        <v>399</v>
      </c>
      <c r="C2278" t="str">
        <f>_xlfn.CONCAT("Taux de chargement moyen des véhicules pour l'accès au(x) projet(s) depuis la plateforme"," (",'Remplissage - Sit. Expost'!$B$153,")")</f>
        <v>Taux de chargement moyen des véhicules pour l'accès au(x) projet(s) depuis la plateforme (Catégorie 14)</v>
      </c>
      <c r="E2278" t="str">
        <f>_xlfn.CONCAT("ProjImmoDepuisPLTC",RIGHT(LEFT(C2278,LEN(C2278)-1),2))</f>
        <v>ProjImmoDepuisPLTC14</v>
      </c>
      <c r="F2278" t="s">
        <v>17</v>
      </c>
      <c r="G2278">
        <f t="shared" si="681"/>
        <v>0</v>
      </c>
      <c r="H2278" s="3"/>
      <c r="J2278" t="s">
        <v>70</v>
      </c>
      <c r="K2278" s="7">
        <v>0.6</v>
      </c>
      <c r="M2278" t="s">
        <v>303</v>
      </c>
    </row>
    <row r="2279" spans="1:13" outlineLevel="1" x14ac:dyDescent="0.25">
      <c r="A2279" t="s">
        <v>300</v>
      </c>
      <c r="B2279" t="s">
        <v>399</v>
      </c>
      <c r="C2279" t="str">
        <f>_xlfn.CONCAT("Distance parcourue associée"," (",'Remplissage - Sit. Expost'!$B$153,")")</f>
        <v>Distance parcourue associée (Catégorie 14)</v>
      </c>
      <c r="E2279" t="str">
        <f>_xlfn.CONCAT("ProjImmoDepuisPLDist",RIGHT(LEFT(C2279,LEN(C2279)-1),2))</f>
        <v>ProjImmoDepuisPLDist14</v>
      </c>
      <c r="F2279" t="s">
        <v>17</v>
      </c>
      <c r="G2279">
        <f t="shared" si="681"/>
        <v>0</v>
      </c>
      <c r="J2279" t="s">
        <v>88</v>
      </c>
      <c r="K2279">
        <v>20</v>
      </c>
      <c r="M2279" t="s">
        <v>303</v>
      </c>
    </row>
    <row r="2280" spans="1:13" outlineLevel="1" x14ac:dyDescent="0.25">
      <c r="A2280" t="s">
        <v>300</v>
      </c>
      <c r="B2280" t="s">
        <v>399</v>
      </c>
      <c r="C2280" t="str">
        <f>_xlfn.CONCAT("Nombre de trajets associés"," (",'Remplissage - Sit. Expost'!$B$153,")")</f>
        <v>Nombre de trajets associés (Catégorie 14)</v>
      </c>
      <c r="E2280" t="str">
        <f>_xlfn.CONCAT("ProjImmoDepuisPLNbTraj",RIGHT(LEFT(C2280,LEN(C2280)-1),2))</f>
        <v>ProjImmoDepuisPLNbTraj14</v>
      </c>
      <c r="F2280" t="s">
        <v>17</v>
      </c>
      <c r="G2280">
        <f t="shared" si="681"/>
        <v>0</v>
      </c>
      <c r="J2280" t="s">
        <v>145</v>
      </c>
      <c r="K2280">
        <v>5</v>
      </c>
      <c r="M2280" t="s">
        <v>303</v>
      </c>
    </row>
    <row r="2281" spans="1:13" outlineLevel="1" x14ac:dyDescent="0.25">
      <c r="A2281" t="s">
        <v>300</v>
      </c>
      <c r="B2281" t="s">
        <v>400</v>
      </c>
      <c r="C2281" t="str">
        <f>_xlfn.CONCAT("Taux de chargement moyen des véhicules pour l'accès au(x) projet(s) depuis la plateforme"," (",'Remplissage - Sit. Expost'!$B$163,")")</f>
        <v>Taux de chargement moyen des véhicules pour l'accès au(x) projet(s) depuis la plateforme (Catégorie 15)</v>
      </c>
      <c r="E2281" t="str">
        <f>_xlfn.CONCAT("ProjImmoDepuisPLTC",RIGHT(LEFT(C2281,LEN(C2281)-1),2))</f>
        <v>ProjImmoDepuisPLTC15</v>
      </c>
      <c r="F2281" t="s">
        <v>17</v>
      </c>
      <c r="G2281">
        <f t="shared" si="681"/>
        <v>0</v>
      </c>
      <c r="H2281" s="3"/>
      <c r="J2281" t="s">
        <v>70</v>
      </c>
      <c r="K2281" s="7">
        <v>0.6</v>
      </c>
      <c r="M2281" t="s">
        <v>303</v>
      </c>
    </row>
    <row r="2282" spans="1:13" outlineLevel="1" x14ac:dyDescent="0.25">
      <c r="A2282" t="s">
        <v>300</v>
      </c>
      <c r="B2282" t="s">
        <v>400</v>
      </c>
      <c r="C2282" t="str">
        <f>_xlfn.CONCAT("Distance parcourue associée"," (",'Remplissage - Sit. Expost'!$B$163,")")</f>
        <v>Distance parcourue associée (Catégorie 15)</v>
      </c>
      <c r="E2282" t="str">
        <f>_xlfn.CONCAT("ProjImmoDepuisPLDist",RIGHT(LEFT(C2282,LEN(C2282)-1),2))</f>
        <v>ProjImmoDepuisPLDist15</v>
      </c>
      <c r="F2282" t="s">
        <v>17</v>
      </c>
      <c r="G2282">
        <f t="shared" si="681"/>
        <v>0</v>
      </c>
      <c r="J2282" t="s">
        <v>88</v>
      </c>
      <c r="K2282">
        <v>20</v>
      </c>
      <c r="M2282" t="s">
        <v>303</v>
      </c>
    </row>
    <row r="2283" spans="1:13" outlineLevel="1" x14ac:dyDescent="0.25">
      <c r="A2283" t="s">
        <v>300</v>
      </c>
      <c r="B2283" t="s">
        <v>400</v>
      </c>
      <c r="C2283" t="str">
        <f>_xlfn.CONCAT("Nombre de trajets associés"," (",'Remplissage - Sit. Expost'!$B$163,")")</f>
        <v>Nombre de trajets associés (Catégorie 15)</v>
      </c>
      <c r="E2283" t="str">
        <f>_xlfn.CONCAT("ProjImmoDepuisPLNbTraj",RIGHT(LEFT(C2283,LEN(C2283)-1),2))</f>
        <v>ProjImmoDepuisPLNbTraj15</v>
      </c>
      <c r="F2283" t="s">
        <v>17</v>
      </c>
      <c r="G2283">
        <f t="shared" si="681"/>
        <v>0</v>
      </c>
      <c r="J2283" t="s">
        <v>145</v>
      </c>
      <c r="K2283">
        <v>5</v>
      </c>
      <c r="M2283" t="s">
        <v>303</v>
      </c>
    </row>
    <row r="2284" spans="1:13" outlineLevel="1" x14ac:dyDescent="0.25">
      <c r="A2284" t="s">
        <v>300</v>
      </c>
      <c r="B2284" t="s">
        <v>401</v>
      </c>
      <c r="C2284" t="str">
        <f>_xlfn.CONCAT("Taux de chargement moyen des véhicules pour l'accès au(x) projet(s) depuis la plateforme"," (",'Remplissage - Sit. Expost'!$B$173,")")</f>
        <v>Taux de chargement moyen des véhicules pour l'accès au(x) projet(s) depuis la plateforme (Catégorie 16)</v>
      </c>
      <c r="E2284" t="str">
        <f>_xlfn.CONCAT("ProjImmoDepuisPLTC",RIGHT(LEFT(C2284,LEN(C2284)-1),2))</f>
        <v>ProjImmoDepuisPLTC16</v>
      </c>
      <c r="F2284" t="s">
        <v>17</v>
      </c>
      <c r="G2284">
        <f t="shared" si="681"/>
        <v>0</v>
      </c>
      <c r="H2284" s="3"/>
      <c r="J2284" t="s">
        <v>70</v>
      </c>
      <c r="K2284" s="7">
        <v>0.6</v>
      </c>
      <c r="M2284" t="s">
        <v>303</v>
      </c>
    </row>
    <row r="2285" spans="1:13" outlineLevel="1" x14ac:dyDescent="0.25">
      <c r="A2285" t="s">
        <v>300</v>
      </c>
      <c r="B2285" t="s">
        <v>401</v>
      </c>
      <c r="C2285" t="str">
        <f>_xlfn.CONCAT("Distance parcourue associée"," (",'Remplissage - Sit. Expost'!$B$173,")")</f>
        <v>Distance parcourue associée (Catégorie 16)</v>
      </c>
      <c r="E2285" t="str">
        <f>_xlfn.CONCAT("ProjImmoDepuisPLDist",RIGHT(LEFT(C2285,LEN(C2285)-1),2))</f>
        <v>ProjImmoDepuisPLDist16</v>
      </c>
      <c r="F2285" t="s">
        <v>17</v>
      </c>
      <c r="G2285">
        <f t="shared" si="681"/>
        <v>0</v>
      </c>
      <c r="J2285" t="s">
        <v>88</v>
      </c>
      <c r="K2285">
        <v>20</v>
      </c>
      <c r="M2285" t="s">
        <v>303</v>
      </c>
    </row>
    <row r="2286" spans="1:13" outlineLevel="1" x14ac:dyDescent="0.25">
      <c r="A2286" t="s">
        <v>300</v>
      </c>
      <c r="B2286" t="s">
        <v>401</v>
      </c>
      <c r="C2286" t="str">
        <f>_xlfn.CONCAT("Nombre de trajets associés"," (",'Remplissage - Sit. Expost'!$B$173,")")</f>
        <v>Nombre de trajets associés (Catégorie 16)</v>
      </c>
      <c r="E2286" t="str">
        <f>_xlfn.CONCAT("ProjImmoDepuisPLNbTraj",RIGHT(LEFT(C2286,LEN(C2286)-1),2))</f>
        <v>ProjImmoDepuisPLNbTraj16</v>
      </c>
      <c r="F2286" t="s">
        <v>17</v>
      </c>
      <c r="G2286">
        <f t="shared" si="681"/>
        <v>0</v>
      </c>
      <c r="J2286" t="s">
        <v>145</v>
      </c>
      <c r="K2286">
        <v>5</v>
      </c>
      <c r="M2286" t="s">
        <v>303</v>
      </c>
    </row>
    <row r="2287" spans="1:13" outlineLevel="1" x14ac:dyDescent="0.25">
      <c r="A2287" t="s">
        <v>300</v>
      </c>
      <c r="B2287" t="s">
        <v>402</v>
      </c>
      <c r="C2287" t="str">
        <f>_xlfn.CONCAT("Taux de chargement moyen des véhicules pour l'accès au(x) projet(s) depuis la plateforme"," (",'Remplissage - Sit. Expost'!$B$183,")")</f>
        <v>Taux de chargement moyen des véhicules pour l'accès au(x) projet(s) depuis la plateforme (Catégorie 17)</v>
      </c>
      <c r="E2287" t="str">
        <f>_xlfn.CONCAT("ProjImmoDepuisPLTC",RIGHT(LEFT(C2287,LEN(C2287)-1),2))</f>
        <v>ProjImmoDepuisPLTC17</v>
      </c>
      <c r="F2287" t="s">
        <v>17</v>
      </c>
      <c r="G2287">
        <f t="shared" si="681"/>
        <v>0</v>
      </c>
      <c r="H2287" s="3"/>
      <c r="J2287" t="s">
        <v>70</v>
      </c>
      <c r="K2287" s="7">
        <v>0.6</v>
      </c>
      <c r="M2287" t="s">
        <v>303</v>
      </c>
    </row>
    <row r="2288" spans="1:13" outlineLevel="1" x14ac:dyDescent="0.25">
      <c r="A2288" t="s">
        <v>300</v>
      </c>
      <c r="B2288" t="s">
        <v>402</v>
      </c>
      <c r="C2288" t="str">
        <f>_xlfn.CONCAT("Distance parcourue associée"," (",'Remplissage - Sit. Expost'!$B$183,")")</f>
        <v>Distance parcourue associée (Catégorie 17)</v>
      </c>
      <c r="E2288" t="str">
        <f>_xlfn.CONCAT("ProjImmoDepuisPLDist",RIGHT(LEFT(C2288,LEN(C2288)-1),2))</f>
        <v>ProjImmoDepuisPLDist17</v>
      </c>
      <c r="F2288" t="s">
        <v>17</v>
      </c>
      <c r="G2288">
        <f t="shared" si="681"/>
        <v>0</v>
      </c>
      <c r="J2288" t="s">
        <v>88</v>
      </c>
      <c r="K2288">
        <v>20</v>
      </c>
      <c r="M2288" t="s">
        <v>303</v>
      </c>
    </row>
    <row r="2289" spans="1:13" outlineLevel="1" x14ac:dyDescent="0.25">
      <c r="A2289" t="s">
        <v>300</v>
      </c>
      <c r="B2289" t="s">
        <v>402</v>
      </c>
      <c r="C2289" t="str">
        <f>_xlfn.CONCAT("Nombre de trajets associés"," (",'Remplissage - Sit. Expost'!$B$183,")")</f>
        <v>Nombre de trajets associés (Catégorie 17)</v>
      </c>
      <c r="E2289" t="str">
        <f>_xlfn.CONCAT("ProjImmoDepuisPLNbTraj",RIGHT(LEFT(C2289,LEN(C2289)-1),2))</f>
        <v>ProjImmoDepuisPLNbTraj17</v>
      </c>
      <c r="F2289" t="s">
        <v>17</v>
      </c>
      <c r="G2289">
        <f t="shared" si="681"/>
        <v>0</v>
      </c>
      <c r="J2289" t="s">
        <v>145</v>
      </c>
      <c r="K2289">
        <v>5</v>
      </c>
      <c r="M2289" t="s">
        <v>303</v>
      </c>
    </row>
    <row r="2290" spans="1:13" outlineLevel="1" x14ac:dyDescent="0.25">
      <c r="A2290" t="s">
        <v>300</v>
      </c>
      <c r="B2290" t="s">
        <v>403</v>
      </c>
      <c r="C2290" t="str">
        <f>_xlfn.CONCAT("Taux de chargement moyen des véhicules pour l'accès au(x) projet(s) depuis la plateforme"," (",'Remplissage - Sit. Expost'!$B$193,")")</f>
        <v>Taux de chargement moyen des véhicules pour l'accès au(x) projet(s) depuis la plateforme (Catégorie 18)</v>
      </c>
      <c r="E2290" t="str">
        <f>_xlfn.CONCAT("ProjImmoDepuisPLTC",RIGHT(LEFT(C2290,LEN(C2290)-1),2))</f>
        <v>ProjImmoDepuisPLTC18</v>
      </c>
      <c r="F2290" t="s">
        <v>17</v>
      </c>
      <c r="G2290">
        <f t="shared" si="681"/>
        <v>0</v>
      </c>
      <c r="H2290" s="3"/>
      <c r="J2290" t="s">
        <v>70</v>
      </c>
      <c r="K2290" s="7">
        <v>0.6</v>
      </c>
      <c r="M2290" t="s">
        <v>303</v>
      </c>
    </row>
    <row r="2291" spans="1:13" outlineLevel="1" x14ac:dyDescent="0.25">
      <c r="A2291" t="s">
        <v>300</v>
      </c>
      <c r="B2291" t="s">
        <v>403</v>
      </c>
      <c r="C2291" t="str">
        <f>_xlfn.CONCAT("Distance parcourue associée"," (",'Remplissage - Sit. Expost'!$B$193,")")</f>
        <v>Distance parcourue associée (Catégorie 18)</v>
      </c>
      <c r="E2291" t="str">
        <f>_xlfn.CONCAT("ProjImmoDepuisPLDist",RIGHT(LEFT(C2291,LEN(C2291)-1),2))</f>
        <v>ProjImmoDepuisPLDist18</v>
      </c>
      <c r="F2291" t="s">
        <v>17</v>
      </c>
      <c r="G2291">
        <f t="shared" si="681"/>
        <v>0</v>
      </c>
      <c r="J2291" t="s">
        <v>88</v>
      </c>
      <c r="K2291">
        <v>20</v>
      </c>
      <c r="M2291" t="s">
        <v>303</v>
      </c>
    </row>
    <row r="2292" spans="1:13" outlineLevel="1" x14ac:dyDescent="0.25">
      <c r="A2292" t="s">
        <v>300</v>
      </c>
      <c r="B2292" t="s">
        <v>403</v>
      </c>
      <c r="C2292" t="str">
        <f>_xlfn.CONCAT("Nombre de trajets associés"," (",'Remplissage - Sit. Expost'!$B$193,")")</f>
        <v>Nombre de trajets associés (Catégorie 18)</v>
      </c>
      <c r="E2292" t="str">
        <f>_xlfn.CONCAT("ProjImmoDepuisPLNbTraj",RIGHT(LEFT(C2292,LEN(C2292)-1),2))</f>
        <v>ProjImmoDepuisPLNbTraj18</v>
      </c>
      <c r="F2292" t="s">
        <v>17</v>
      </c>
      <c r="G2292">
        <f t="shared" si="681"/>
        <v>0</v>
      </c>
      <c r="J2292" t="s">
        <v>145</v>
      </c>
      <c r="K2292">
        <v>5</v>
      </c>
      <c r="M2292" t="s">
        <v>303</v>
      </c>
    </row>
    <row r="2293" spans="1:13" outlineLevel="1" x14ac:dyDescent="0.25">
      <c r="A2293" t="s">
        <v>300</v>
      </c>
      <c r="B2293" t="s">
        <v>404</v>
      </c>
      <c r="C2293" t="str">
        <f>_xlfn.CONCAT("Taux de chargement moyen des véhicules pour l'accès au(x) projet(s) depuis la plateforme"," (",'Remplissage - Sit. Expost'!$B$203,")")</f>
        <v>Taux de chargement moyen des véhicules pour l'accès au(x) projet(s) depuis la plateforme (Catégorie 19)</v>
      </c>
      <c r="E2293" t="str">
        <f>_xlfn.CONCAT("ProjImmoDepuisPLTC",RIGHT(LEFT(C2293,LEN(C2293)-1),2))</f>
        <v>ProjImmoDepuisPLTC19</v>
      </c>
      <c r="F2293" t="s">
        <v>17</v>
      </c>
      <c r="G2293">
        <f t="shared" si="681"/>
        <v>0</v>
      </c>
      <c r="H2293" s="3"/>
      <c r="J2293" t="s">
        <v>70</v>
      </c>
      <c r="K2293" s="7">
        <v>0.6</v>
      </c>
      <c r="M2293" t="s">
        <v>303</v>
      </c>
    </row>
    <row r="2294" spans="1:13" outlineLevel="1" x14ac:dyDescent="0.25">
      <c r="A2294" t="s">
        <v>300</v>
      </c>
      <c r="B2294" t="s">
        <v>404</v>
      </c>
      <c r="C2294" t="str">
        <f>_xlfn.CONCAT("Distance parcourue associée"," (",'Remplissage - Sit. Expost'!$B$203,")")</f>
        <v>Distance parcourue associée (Catégorie 19)</v>
      </c>
      <c r="E2294" t="str">
        <f>_xlfn.CONCAT("ProjImmoDepuisPLDist",RIGHT(LEFT(C2294,LEN(C2294)-1),2))</f>
        <v>ProjImmoDepuisPLDist19</v>
      </c>
      <c r="F2294" t="s">
        <v>17</v>
      </c>
      <c r="G2294">
        <f t="shared" si="681"/>
        <v>0</v>
      </c>
      <c r="J2294" t="s">
        <v>88</v>
      </c>
      <c r="K2294">
        <v>20</v>
      </c>
      <c r="M2294" t="s">
        <v>303</v>
      </c>
    </row>
    <row r="2295" spans="1:13" outlineLevel="1" x14ac:dyDescent="0.25">
      <c r="A2295" t="s">
        <v>300</v>
      </c>
      <c r="B2295" t="s">
        <v>404</v>
      </c>
      <c r="C2295" t="str">
        <f>_xlfn.CONCAT("Nombre de trajets associés"," (",'Remplissage - Sit. Expost'!$B$203,")")</f>
        <v>Nombre de trajets associés (Catégorie 19)</v>
      </c>
      <c r="E2295" t="str">
        <f>_xlfn.CONCAT("ProjImmoDepuisPLNbTraj",RIGHT(LEFT(C2295,LEN(C2295)-1),2))</f>
        <v>ProjImmoDepuisPLNbTraj19</v>
      </c>
      <c r="F2295" t="s">
        <v>17</v>
      </c>
      <c r="G2295">
        <f t="shared" si="681"/>
        <v>0</v>
      </c>
      <c r="J2295" t="s">
        <v>145</v>
      </c>
      <c r="K2295">
        <v>5</v>
      </c>
      <c r="M2295" t="s">
        <v>303</v>
      </c>
    </row>
    <row r="2296" spans="1:13" outlineLevel="1" x14ac:dyDescent="0.25">
      <c r="A2296" t="s">
        <v>300</v>
      </c>
      <c r="B2296" t="s">
        <v>405</v>
      </c>
      <c r="C2296" t="str">
        <f>_xlfn.CONCAT("Taux de chargement moyen des véhicules pour l'accès au(x) projet(s) depuis la plateforme"," (",'Remplissage - Sit. Expost'!$B$213,")")</f>
        <v>Taux de chargement moyen des véhicules pour l'accès au(x) projet(s) depuis la plateforme (Catégorie 20)</v>
      </c>
      <c r="E2296" t="str">
        <f>_xlfn.CONCAT("ProjImmoDepuisPLTC",RIGHT(LEFT(C2296,LEN(C2296)-1),2))</f>
        <v>ProjImmoDepuisPLTC20</v>
      </c>
      <c r="F2296" t="s">
        <v>17</v>
      </c>
      <c r="G2296">
        <f t="shared" si="681"/>
        <v>0</v>
      </c>
      <c r="H2296" s="3"/>
      <c r="J2296" t="s">
        <v>70</v>
      </c>
      <c r="K2296" s="7">
        <v>0.6</v>
      </c>
      <c r="M2296" t="s">
        <v>303</v>
      </c>
    </row>
    <row r="2297" spans="1:13" outlineLevel="1" x14ac:dyDescent="0.25">
      <c r="A2297" t="s">
        <v>300</v>
      </c>
      <c r="B2297" t="s">
        <v>405</v>
      </c>
      <c r="C2297" t="str">
        <f>_xlfn.CONCAT("Distance parcourue associée"," (",'Remplissage - Sit. Expost'!$B$213,")")</f>
        <v>Distance parcourue associée (Catégorie 20)</v>
      </c>
      <c r="E2297" t="str">
        <f>_xlfn.CONCAT("ProjImmoDepuisPLDist",RIGHT(LEFT(C2297,LEN(C2297)-1),2))</f>
        <v>ProjImmoDepuisPLDist20</v>
      </c>
      <c r="F2297" t="s">
        <v>17</v>
      </c>
      <c r="G2297">
        <f t="shared" si="681"/>
        <v>0</v>
      </c>
      <c r="J2297" t="s">
        <v>88</v>
      </c>
      <c r="K2297">
        <v>20</v>
      </c>
      <c r="M2297" t="s">
        <v>303</v>
      </c>
    </row>
    <row r="2298" spans="1:13" outlineLevel="1" x14ac:dyDescent="0.25">
      <c r="A2298" t="s">
        <v>300</v>
      </c>
      <c r="B2298" t="s">
        <v>405</v>
      </c>
      <c r="C2298" t="str">
        <f>_xlfn.CONCAT("Nombre de trajets associés"," (",'Remplissage - Sit. Expost'!$B$213,")")</f>
        <v>Nombre de trajets associés (Catégorie 20)</v>
      </c>
      <c r="E2298" t="str">
        <f>_xlfn.CONCAT("ProjImmoDepuisPLNbTraj",RIGHT(LEFT(C2298,LEN(C2298)-1),2))</f>
        <v>ProjImmoDepuisPLNbTraj20</v>
      </c>
      <c r="F2298" t="s">
        <v>17</v>
      </c>
      <c r="G2298">
        <f t="shared" si="681"/>
        <v>0</v>
      </c>
      <c r="J2298" t="s">
        <v>145</v>
      </c>
      <c r="K2298">
        <v>5</v>
      </c>
      <c r="M2298" t="s">
        <v>303</v>
      </c>
    </row>
    <row r="2299" spans="1:13" outlineLevel="1" x14ac:dyDescent="0.25">
      <c r="A2299" t="s">
        <v>300</v>
      </c>
      <c r="B2299" t="s">
        <v>406</v>
      </c>
      <c r="C2299" t="str">
        <f>_xlfn.CONCAT("Taux de chargement moyen des véhicules pour l'accès au(x) projet(s) depuis la plateforme"," (",'Remplissage - Sit. Expost'!$B$223,")")</f>
        <v>Taux de chargement moyen des véhicules pour l'accès au(x) projet(s) depuis la plateforme (Catégorie 21)</v>
      </c>
      <c r="E2299" t="str">
        <f>_xlfn.CONCAT("ProjImmoDepuisPLTC",RIGHT(LEFT(C2299,LEN(C2299)-1),2))</f>
        <v>ProjImmoDepuisPLTC21</v>
      </c>
      <c r="F2299" t="s">
        <v>17</v>
      </c>
      <c r="G2299">
        <f t="shared" si="681"/>
        <v>0</v>
      </c>
      <c r="H2299" s="3"/>
      <c r="J2299" t="s">
        <v>70</v>
      </c>
      <c r="K2299" s="7">
        <v>0.6</v>
      </c>
      <c r="M2299" t="s">
        <v>303</v>
      </c>
    </row>
    <row r="2300" spans="1:13" outlineLevel="1" x14ac:dyDescent="0.25">
      <c r="A2300" t="s">
        <v>300</v>
      </c>
      <c r="B2300" t="s">
        <v>406</v>
      </c>
      <c r="C2300" t="str">
        <f>_xlfn.CONCAT("Distance parcourue associée"," (",'Remplissage - Sit. Expost'!$B$223,")")</f>
        <v>Distance parcourue associée (Catégorie 21)</v>
      </c>
      <c r="E2300" t="str">
        <f>_xlfn.CONCAT("ProjImmoDepuisPLDist",RIGHT(LEFT(C2300,LEN(C2300)-1),2))</f>
        <v>ProjImmoDepuisPLDist21</v>
      </c>
      <c r="F2300" t="s">
        <v>17</v>
      </c>
      <c r="G2300">
        <f t="shared" si="681"/>
        <v>0</v>
      </c>
      <c r="J2300" t="s">
        <v>88</v>
      </c>
      <c r="K2300">
        <v>20</v>
      </c>
      <c r="M2300" t="s">
        <v>303</v>
      </c>
    </row>
    <row r="2301" spans="1:13" outlineLevel="1" x14ac:dyDescent="0.25">
      <c r="A2301" t="s">
        <v>300</v>
      </c>
      <c r="B2301" t="s">
        <v>406</v>
      </c>
      <c r="C2301" t="str">
        <f>_xlfn.CONCAT("Nombre de trajets associés"," (",'Remplissage - Sit. Expost'!$B$223,")")</f>
        <v>Nombre de trajets associés (Catégorie 21)</v>
      </c>
      <c r="E2301" t="str">
        <f>_xlfn.CONCAT("ProjImmoDepuisPLNbTraj",RIGHT(LEFT(C2301,LEN(C2301)-1),2))</f>
        <v>ProjImmoDepuisPLNbTraj21</v>
      </c>
      <c r="F2301" t="s">
        <v>17</v>
      </c>
      <c r="G2301">
        <f t="shared" si="681"/>
        <v>0</v>
      </c>
      <c r="J2301" t="s">
        <v>145</v>
      </c>
      <c r="K2301">
        <v>5</v>
      </c>
      <c r="M2301" t="s">
        <v>303</v>
      </c>
    </row>
    <row r="2302" spans="1:13" outlineLevel="1" x14ac:dyDescent="0.25">
      <c r="A2302" t="s">
        <v>300</v>
      </c>
      <c r="B2302" t="s">
        <v>407</v>
      </c>
      <c r="C2302" t="str">
        <f>_xlfn.CONCAT("Taux de chargement moyen des véhicules pour l'accès au(x) projet(s) depuis la plateforme"," (",'Remplissage - Sit. Expost'!$B$233,")")</f>
        <v>Taux de chargement moyen des véhicules pour l'accès au(x) projet(s) depuis la plateforme (Catégorie 22)</v>
      </c>
      <c r="E2302" t="str">
        <f>_xlfn.CONCAT("ProjImmoDepuisPLTC",RIGHT(LEFT(C2302,LEN(C2302)-1),2))</f>
        <v>ProjImmoDepuisPLTC22</v>
      </c>
      <c r="F2302" t="s">
        <v>17</v>
      </c>
      <c r="G2302">
        <f t="shared" si="681"/>
        <v>0</v>
      </c>
      <c r="H2302" s="3"/>
      <c r="J2302" t="s">
        <v>70</v>
      </c>
      <c r="K2302" s="7">
        <v>0.6</v>
      </c>
      <c r="M2302" t="s">
        <v>303</v>
      </c>
    </row>
    <row r="2303" spans="1:13" outlineLevel="1" x14ac:dyDescent="0.25">
      <c r="A2303" t="s">
        <v>300</v>
      </c>
      <c r="B2303" t="s">
        <v>407</v>
      </c>
      <c r="C2303" t="str">
        <f>_xlfn.CONCAT("Distance parcourue associée"," (",'Remplissage - Sit. Expost'!$B$233,")")</f>
        <v>Distance parcourue associée (Catégorie 22)</v>
      </c>
      <c r="E2303" t="str">
        <f>_xlfn.CONCAT("ProjImmoDepuisPLDist",RIGHT(LEFT(C2303,LEN(C2303)-1),2))</f>
        <v>ProjImmoDepuisPLDist22</v>
      </c>
      <c r="F2303" t="s">
        <v>17</v>
      </c>
      <c r="G2303">
        <f t="shared" si="681"/>
        <v>0</v>
      </c>
      <c r="J2303" t="s">
        <v>88</v>
      </c>
      <c r="K2303">
        <v>20</v>
      </c>
      <c r="M2303" t="s">
        <v>303</v>
      </c>
    </row>
    <row r="2304" spans="1:13" outlineLevel="1" x14ac:dyDescent="0.25">
      <c r="A2304" t="s">
        <v>300</v>
      </c>
      <c r="B2304" t="s">
        <v>407</v>
      </c>
      <c r="C2304" t="str">
        <f>_xlfn.CONCAT("Nombre de trajets associés"," (",'Remplissage - Sit. Expost'!$B$233,")")</f>
        <v>Nombre de trajets associés (Catégorie 22)</v>
      </c>
      <c r="E2304" t="str">
        <f>_xlfn.CONCAT("ProjImmoDepuisPLNbTraj",RIGHT(LEFT(C2304,LEN(C2304)-1),2))</f>
        <v>ProjImmoDepuisPLNbTraj22</v>
      </c>
      <c r="F2304" t="s">
        <v>17</v>
      </c>
      <c r="G2304">
        <f t="shared" ref="G2304:G2367" si="682">IF(ISNUMBER(SEARCH(B2304,$H$2234)),1,0)</f>
        <v>0</v>
      </c>
      <c r="J2304" t="s">
        <v>145</v>
      </c>
      <c r="K2304">
        <v>5</v>
      </c>
      <c r="M2304" t="s">
        <v>303</v>
      </c>
    </row>
    <row r="2305" spans="1:13" outlineLevel="1" x14ac:dyDescent="0.25">
      <c r="A2305" t="s">
        <v>300</v>
      </c>
      <c r="B2305" t="s">
        <v>408</v>
      </c>
      <c r="C2305" t="str">
        <f>_xlfn.CONCAT("Taux de chargement moyen des véhicules pour l'accès au(x) projet(s) depuis la plateforme"," (",'Remplissage - Sit. Expost'!$B$243,")")</f>
        <v>Taux de chargement moyen des véhicules pour l'accès au(x) projet(s) depuis la plateforme (Catégorie 23)</v>
      </c>
      <c r="E2305" t="str">
        <f>_xlfn.CONCAT("ProjImmoDepuisPLTC",RIGHT(LEFT(C2305,LEN(C2305)-1),2))</f>
        <v>ProjImmoDepuisPLTC23</v>
      </c>
      <c r="F2305" t="s">
        <v>17</v>
      </c>
      <c r="G2305">
        <f t="shared" si="682"/>
        <v>0</v>
      </c>
      <c r="H2305" s="3"/>
      <c r="J2305" t="s">
        <v>70</v>
      </c>
      <c r="K2305" s="7">
        <v>0.6</v>
      </c>
      <c r="M2305" t="s">
        <v>303</v>
      </c>
    </row>
    <row r="2306" spans="1:13" outlineLevel="1" x14ac:dyDescent="0.25">
      <c r="A2306" t="s">
        <v>300</v>
      </c>
      <c r="B2306" t="s">
        <v>408</v>
      </c>
      <c r="C2306" t="str">
        <f>_xlfn.CONCAT("Distance parcourue associée"," (",'Remplissage - Sit. Expost'!$B$243,")")</f>
        <v>Distance parcourue associée (Catégorie 23)</v>
      </c>
      <c r="E2306" t="str">
        <f>_xlfn.CONCAT("ProjImmoDepuisPLDist",RIGHT(LEFT(C2306,LEN(C2306)-1),2))</f>
        <v>ProjImmoDepuisPLDist23</v>
      </c>
      <c r="F2306" t="s">
        <v>17</v>
      </c>
      <c r="G2306">
        <f t="shared" si="682"/>
        <v>0</v>
      </c>
      <c r="J2306" t="s">
        <v>88</v>
      </c>
      <c r="K2306">
        <v>20</v>
      </c>
      <c r="M2306" t="s">
        <v>303</v>
      </c>
    </row>
    <row r="2307" spans="1:13" outlineLevel="1" x14ac:dyDescent="0.25">
      <c r="A2307" t="s">
        <v>300</v>
      </c>
      <c r="B2307" t="s">
        <v>408</v>
      </c>
      <c r="C2307" t="str">
        <f>_xlfn.CONCAT("Nombre de trajets associés"," (",'Remplissage - Sit. Expost'!$B$243,")")</f>
        <v>Nombre de trajets associés (Catégorie 23)</v>
      </c>
      <c r="E2307" t="str">
        <f>_xlfn.CONCAT("ProjImmoDepuisPLNbTraj",RIGHT(LEFT(C2307,LEN(C2307)-1),2))</f>
        <v>ProjImmoDepuisPLNbTraj23</v>
      </c>
      <c r="F2307" t="s">
        <v>17</v>
      </c>
      <c r="G2307">
        <f t="shared" si="682"/>
        <v>0</v>
      </c>
      <c r="J2307" t="s">
        <v>145</v>
      </c>
      <c r="K2307">
        <v>5</v>
      </c>
      <c r="M2307" t="s">
        <v>303</v>
      </c>
    </row>
    <row r="2308" spans="1:13" outlineLevel="1" x14ac:dyDescent="0.25">
      <c r="A2308" t="s">
        <v>300</v>
      </c>
      <c r="B2308" t="s">
        <v>409</v>
      </c>
      <c r="C2308" t="str">
        <f>_xlfn.CONCAT("Taux de chargement moyen des véhicules pour l'accès au(x) projet(s) depuis la plateforme"," (",'Remplissage - Sit. Expost'!$B$253,")")</f>
        <v>Taux de chargement moyen des véhicules pour l'accès au(x) projet(s) depuis la plateforme (Catégorie 24)</v>
      </c>
      <c r="E2308" t="str">
        <f>_xlfn.CONCAT("ProjImmoDepuisPLTC",RIGHT(LEFT(C2308,LEN(C2308)-1),2))</f>
        <v>ProjImmoDepuisPLTC24</v>
      </c>
      <c r="F2308" t="s">
        <v>17</v>
      </c>
      <c r="G2308">
        <f t="shared" si="682"/>
        <v>0</v>
      </c>
      <c r="H2308" s="3"/>
      <c r="J2308" t="s">
        <v>70</v>
      </c>
      <c r="K2308" s="7">
        <v>0.6</v>
      </c>
      <c r="M2308" t="s">
        <v>303</v>
      </c>
    </row>
    <row r="2309" spans="1:13" outlineLevel="1" x14ac:dyDescent="0.25">
      <c r="A2309" t="s">
        <v>300</v>
      </c>
      <c r="B2309" t="s">
        <v>409</v>
      </c>
      <c r="C2309" t="str">
        <f>_xlfn.CONCAT("Distance parcourue associée"," (",'Remplissage - Sit. Expost'!$B$253,")")</f>
        <v>Distance parcourue associée (Catégorie 24)</v>
      </c>
      <c r="E2309" t="str">
        <f>_xlfn.CONCAT("ProjImmoDepuisPLDist",RIGHT(LEFT(C2309,LEN(C2309)-1),2))</f>
        <v>ProjImmoDepuisPLDist24</v>
      </c>
      <c r="F2309" t="s">
        <v>17</v>
      </c>
      <c r="G2309">
        <f t="shared" si="682"/>
        <v>0</v>
      </c>
      <c r="J2309" t="s">
        <v>88</v>
      </c>
      <c r="K2309">
        <v>20</v>
      </c>
      <c r="M2309" t="s">
        <v>303</v>
      </c>
    </row>
    <row r="2310" spans="1:13" outlineLevel="1" x14ac:dyDescent="0.25">
      <c r="A2310" t="s">
        <v>300</v>
      </c>
      <c r="B2310" t="s">
        <v>409</v>
      </c>
      <c r="C2310" t="str">
        <f>_xlfn.CONCAT("Nombre de trajets associés"," (",'Remplissage - Sit. Expost'!$B$253,")")</f>
        <v>Nombre de trajets associés (Catégorie 24)</v>
      </c>
      <c r="E2310" t="str">
        <f>_xlfn.CONCAT("ProjImmoDepuisPLNbTraj",RIGHT(LEFT(C2310,LEN(C2310)-1),2))</f>
        <v>ProjImmoDepuisPLNbTraj24</v>
      </c>
      <c r="F2310" t="s">
        <v>17</v>
      </c>
      <c r="G2310">
        <f t="shared" si="682"/>
        <v>0</v>
      </c>
      <c r="J2310" t="s">
        <v>145</v>
      </c>
      <c r="K2310">
        <v>5</v>
      </c>
      <c r="M2310" t="s">
        <v>303</v>
      </c>
    </row>
    <row r="2311" spans="1:13" outlineLevel="1" x14ac:dyDescent="0.25">
      <c r="A2311" t="s">
        <v>300</v>
      </c>
      <c r="B2311" t="s">
        <v>410</v>
      </c>
      <c r="C2311" t="str">
        <f>_xlfn.CONCAT("Taux de chargement moyen des véhicules pour l'accès au(x) projet(s) depuis la plateforme"," (",'Remplissage - Sit. Expost'!$B$263,")")</f>
        <v>Taux de chargement moyen des véhicules pour l'accès au(x) projet(s) depuis la plateforme (Catégorie 25)</v>
      </c>
      <c r="E2311" t="str">
        <f>_xlfn.CONCAT("ProjImmoDepuisPLTC",RIGHT(LEFT(C2311,LEN(C2311)-1),2))</f>
        <v>ProjImmoDepuisPLTC25</v>
      </c>
      <c r="F2311" t="s">
        <v>17</v>
      </c>
      <c r="G2311">
        <f t="shared" si="682"/>
        <v>0</v>
      </c>
      <c r="H2311" s="3"/>
      <c r="J2311" t="s">
        <v>70</v>
      </c>
      <c r="K2311" s="7">
        <v>0.6</v>
      </c>
      <c r="M2311" t="s">
        <v>303</v>
      </c>
    </row>
    <row r="2312" spans="1:13" outlineLevel="1" x14ac:dyDescent="0.25">
      <c r="A2312" t="s">
        <v>300</v>
      </c>
      <c r="B2312" t="s">
        <v>410</v>
      </c>
      <c r="C2312" t="str">
        <f>_xlfn.CONCAT("Distance parcourue associée"," (",'Remplissage - Sit. Expost'!$B$263,")")</f>
        <v>Distance parcourue associée (Catégorie 25)</v>
      </c>
      <c r="E2312" t="str">
        <f>_xlfn.CONCAT("ProjImmoDepuisPLDist",RIGHT(LEFT(C2312,LEN(C2312)-1),2))</f>
        <v>ProjImmoDepuisPLDist25</v>
      </c>
      <c r="F2312" t="s">
        <v>17</v>
      </c>
      <c r="G2312">
        <f t="shared" si="682"/>
        <v>0</v>
      </c>
      <c r="J2312" t="s">
        <v>88</v>
      </c>
      <c r="K2312">
        <v>20</v>
      </c>
      <c r="M2312" t="s">
        <v>303</v>
      </c>
    </row>
    <row r="2313" spans="1:13" outlineLevel="1" x14ac:dyDescent="0.25">
      <c r="A2313" t="s">
        <v>300</v>
      </c>
      <c r="B2313" t="s">
        <v>410</v>
      </c>
      <c r="C2313" t="str">
        <f>_xlfn.CONCAT("Nombre de trajets associés"," (",'Remplissage - Sit. Expost'!$B$263,")")</f>
        <v>Nombre de trajets associés (Catégorie 25)</v>
      </c>
      <c r="E2313" t="str">
        <f>_xlfn.CONCAT("ProjImmoDepuisPLNbTraj",RIGHT(LEFT(C2313,LEN(C2313)-1),2))</f>
        <v>ProjImmoDepuisPLNbTraj25</v>
      </c>
      <c r="F2313" t="s">
        <v>17</v>
      </c>
      <c r="G2313">
        <f t="shared" si="682"/>
        <v>0</v>
      </c>
      <c r="J2313" t="s">
        <v>145</v>
      </c>
      <c r="K2313">
        <v>5</v>
      </c>
      <c r="M2313" t="s">
        <v>303</v>
      </c>
    </row>
    <row r="2314" spans="1:13" outlineLevel="1" x14ac:dyDescent="0.25">
      <c r="A2314" t="s">
        <v>300</v>
      </c>
      <c r="B2314" t="s">
        <v>411</v>
      </c>
      <c r="C2314" t="str">
        <f>_xlfn.CONCAT("Taux de chargement moyen des véhicules pour l'accès au(x) projet(s) depuis la plateforme"," (",'Remplissage - Sit. Expost'!$B$273,")")</f>
        <v>Taux de chargement moyen des véhicules pour l'accès au(x) projet(s) depuis la plateforme (Catégorie 26)</v>
      </c>
      <c r="E2314" t="str">
        <f>_xlfn.CONCAT("ProjImmoDepuisPLTC",RIGHT(LEFT(C2314,LEN(C2314)-1),2))</f>
        <v>ProjImmoDepuisPLTC26</v>
      </c>
      <c r="F2314" t="s">
        <v>17</v>
      </c>
      <c r="G2314">
        <f t="shared" si="682"/>
        <v>0</v>
      </c>
      <c r="H2314" s="3"/>
      <c r="J2314" t="s">
        <v>70</v>
      </c>
      <c r="K2314" s="7">
        <v>0.6</v>
      </c>
      <c r="M2314" t="s">
        <v>303</v>
      </c>
    </row>
    <row r="2315" spans="1:13" outlineLevel="1" x14ac:dyDescent="0.25">
      <c r="A2315" t="s">
        <v>300</v>
      </c>
      <c r="B2315" t="s">
        <v>411</v>
      </c>
      <c r="C2315" t="str">
        <f>_xlfn.CONCAT("Distance parcourue associée"," (",'Remplissage - Sit. Expost'!$B$273,")")</f>
        <v>Distance parcourue associée (Catégorie 26)</v>
      </c>
      <c r="E2315" t="str">
        <f>_xlfn.CONCAT("ProjImmoDepuisPLDist",RIGHT(LEFT(C2315,LEN(C2315)-1),2))</f>
        <v>ProjImmoDepuisPLDist26</v>
      </c>
      <c r="F2315" t="s">
        <v>17</v>
      </c>
      <c r="G2315">
        <f t="shared" si="682"/>
        <v>0</v>
      </c>
      <c r="J2315" t="s">
        <v>88</v>
      </c>
      <c r="K2315">
        <v>20</v>
      </c>
      <c r="M2315" t="s">
        <v>303</v>
      </c>
    </row>
    <row r="2316" spans="1:13" outlineLevel="1" x14ac:dyDescent="0.25">
      <c r="A2316" t="s">
        <v>300</v>
      </c>
      <c r="B2316" t="s">
        <v>411</v>
      </c>
      <c r="C2316" t="str">
        <f>_xlfn.CONCAT("Nombre de trajets associés"," (",'Remplissage - Sit. Expost'!$B$273,")")</f>
        <v>Nombre de trajets associés (Catégorie 26)</v>
      </c>
      <c r="E2316" t="str">
        <f>_xlfn.CONCAT("ProjImmoDepuisPLNbTraj",RIGHT(LEFT(C2316,LEN(C2316)-1),2))</f>
        <v>ProjImmoDepuisPLNbTraj26</v>
      </c>
      <c r="F2316" t="s">
        <v>17</v>
      </c>
      <c r="G2316">
        <f t="shared" si="682"/>
        <v>0</v>
      </c>
      <c r="J2316" t="s">
        <v>145</v>
      </c>
      <c r="K2316">
        <v>5</v>
      </c>
      <c r="M2316" t="s">
        <v>303</v>
      </c>
    </row>
    <row r="2317" spans="1:13" outlineLevel="1" x14ac:dyDescent="0.25">
      <c r="A2317" t="s">
        <v>300</v>
      </c>
      <c r="B2317" t="s">
        <v>412</v>
      </c>
      <c r="C2317" t="str">
        <f>_xlfn.CONCAT("Taux de chargement moyen des véhicules pour l'accès au(x) projet(s) depuis la plateforme"," (",'Remplissage - Sit. Expost'!$B$283,")")</f>
        <v>Taux de chargement moyen des véhicules pour l'accès au(x) projet(s) depuis la plateforme (Catégorie 27)</v>
      </c>
      <c r="E2317" t="str">
        <f>_xlfn.CONCAT("ProjImmoDepuisPLTC",RIGHT(LEFT(C2317,LEN(C2317)-1),2))</f>
        <v>ProjImmoDepuisPLTC27</v>
      </c>
      <c r="F2317" t="s">
        <v>17</v>
      </c>
      <c r="G2317">
        <f t="shared" si="682"/>
        <v>0</v>
      </c>
      <c r="H2317" s="3"/>
      <c r="J2317" t="s">
        <v>70</v>
      </c>
      <c r="K2317" s="7">
        <v>0.6</v>
      </c>
      <c r="M2317" t="s">
        <v>303</v>
      </c>
    </row>
    <row r="2318" spans="1:13" outlineLevel="1" x14ac:dyDescent="0.25">
      <c r="A2318" t="s">
        <v>300</v>
      </c>
      <c r="B2318" t="s">
        <v>412</v>
      </c>
      <c r="C2318" t="str">
        <f>_xlfn.CONCAT("Distance parcourue associée"," (",'Remplissage - Sit. Expost'!$B$283,")")</f>
        <v>Distance parcourue associée (Catégorie 27)</v>
      </c>
      <c r="E2318" t="str">
        <f>_xlfn.CONCAT("ProjImmoDepuisPLDist",RIGHT(LEFT(C2318,LEN(C2318)-1),2))</f>
        <v>ProjImmoDepuisPLDist27</v>
      </c>
      <c r="F2318" t="s">
        <v>17</v>
      </c>
      <c r="G2318">
        <f t="shared" si="682"/>
        <v>0</v>
      </c>
      <c r="J2318" t="s">
        <v>88</v>
      </c>
      <c r="K2318">
        <v>20</v>
      </c>
      <c r="M2318" t="s">
        <v>303</v>
      </c>
    </row>
    <row r="2319" spans="1:13" outlineLevel="1" x14ac:dyDescent="0.25">
      <c r="A2319" t="s">
        <v>300</v>
      </c>
      <c r="B2319" t="s">
        <v>412</v>
      </c>
      <c r="C2319" t="str">
        <f>_xlfn.CONCAT("Nombre de trajets associés"," (",'Remplissage - Sit. Expost'!$B$283,")")</f>
        <v>Nombre de trajets associés (Catégorie 27)</v>
      </c>
      <c r="E2319" t="str">
        <f>_xlfn.CONCAT("ProjImmoDepuisPLNbTraj",RIGHT(LEFT(C2319,LEN(C2319)-1),2))</f>
        <v>ProjImmoDepuisPLNbTraj27</v>
      </c>
      <c r="F2319" t="s">
        <v>17</v>
      </c>
      <c r="G2319">
        <f t="shared" si="682"/>
        <v>0</v>
      </c>
      <c r="J2319" t="s">
        <v>145</v>
      </c>
      <c r="K2319">
        <v>5</v>
      </c>
      <c r="M2319" t="s">
        <v>303</v>
      </c>
    </row>
    <row r="2320" spans="1:13" outlineLevel="1" x14ac:dyDescent="0.25">
      <c r="A2320" t="s">
        <v>300</v>
      </c>
      <c r="B2320" t="s">
        <v>413</v>
      </c>
      <c r="C2320" t="str">
        <f>_xlfn.CONCAT("Taux de chargement moyen des véhicules pour l'accès au(x) projet(s) depuis la plateforme"," (",'Remplissage - Sit. Expost'!$B$293,")")</f>
        <v>Taux de chargement moyen des véhicules pour l'accès au(x) projet(s) depuis la plateforme (Catégorie 28)</v>
      </c>
      <c r="E2320" t="str">
        <f>_xlfn.CONCAT("ProjImmoDepuisPLTC",RIGHT(LEFT(C2320,LEN(C2320)-1),2))</f>
        <v>ProjImmoDepuisPLTC28</v>
      </c>
      <c r="F2320" t="s">
        <v>17</v>
      </c>
      <c r="G2320">
        <f t="shared" si="682"/>
        <v>0</v>
      </c>
      <c r="H2320" s="3"/>
      <c r="J2320" t="s">
        <v>70</v>
      </c>
      <c r="K2320" s="7">
        <v>0.6</v>
      </c>
      <c r="M2320" t="s">
        <v>303</v>
      </c>
    </row>
    <row r="2321" spans="1:13" outlineLevel="1" x14ac:dyDescent="0.25">
      <c r="A2321" t="s">
        <v>300</v>
      </c>
      <c r="B2321" t="s">
        <v>413</v>
      </c>
      <c r="C2321" t="str">
        <f>_xlfn.CONCAT("Distance parcourue associée"," (",'Remplissage - Sit. Expost'!$B$293,")")</f>
        <v>Distance parcourue associée (Catégorie 28)</v>
      </c>
      <c r="E2321" t="str">
        <f>_xlfn.CONCAT("ProjImmoDepuisPLDist",RIGHT(LEFT(C2321,LEN(C2321)-1),2))</f>
        <v>ProjImmoDepuisPLDist28</v>
      </c>
      <c r="F2321" t="s">
        <v>17</v>
      </c>
      <c r="G2321">
        <f t="shared" si="682"/>
        <v>0</v>
      </c>
      <c r="J2321" t="s">
        <v>88</v>
      </c>
      <c r="K2321">
        <v>20</v>
      </c>
      <c r="M2321" t="s">
        <v>303</v>
      </c>
    </row>
    <row r="2322" spans="1:13" outlineLevel="1" x14ac:dyDescent="0.25">
      <c r="A2322" t="s">
        <v>300</v>
      </c>
      <c r="B2322" t="s">
        <v>413</v>
      </c>
      <c r="C2322" t="str">
        <f>_xlfn.CONCAT("Nombre de trajets associés"," (",'Remplissage - Sit. Expost'!$B$293,")")</f>
        <v>Nombre de trajets associés (Catégorie 28)</v>
      </c>
      <c r="E2322" t="str">
        <f>_xlfn.CONCAT("ProjImmoDepuisPLNbTraj",RIGHT(LEFT(C2322,LEN(C2322)-1),2))</f>
        <v>ProjImmoDepuisPLNbTraj28</v>
      </c>
      <c r="F2322" t="s">
        <v>17</v>
      </c>
      <c r="G2322">
        <f t="shared" si="682"/>
        <v>0</v>
      </c>
      <c r="J2322" t="s">
        <v>145</v>
      </c>
      <c r="K2322">
        <v>5</v>
      </c>
      <c r="M2322" t="s">
        <v>303</v>
      </c>
    </row>
    <row r="2323" spans="1:13" outlineLevel="1" x14ac:dyDescent="0.25">
      <c r="A2323" t="s">
        <v>300</v>
      </c>
      <c r="B2323" t="s">
        <v>414</v>
      </c>
      <c r="C2323" t="str">
        <f>_xlfn.CONCAT("Taux de chargement moyen des véhicules pour l'accès au(x) projet(s) depuis la plateforme"," (",'Remplissage - Sit. Expost'!$B$303,")")</f>
        <v>Taux de chargement moyen des véhicules pour l'accès au(x) projet(s) depuis la plateforme (Catégorie 29)</v>
      </c>
      <c r="E2323" t="str">
        <f>_xlfn.CONCAT("ProjImmoDepuisPLTC",RIGHT(LEFT(C2323,LEN(C2323)-1),2))</f>
        <v>ProjImmoDepuisPLTC29</v>
      </c>
      <c r="F2323" t="s">
        <v>17</v>
      </c>
      <c r="G2323">
        <f t="shared" si="682"/>
        <v>0</v>
      </c>
      <c r="H2323" s="3"/>
      <c r="J2323" t="s">
        <v>70</v>
      </c>
      <c r="K2323" s="7">
        <v>0.6</v>
      </c>
      <c r="M2323" t="s">
        <v>303</v>
      </c>
    </row>
    <row r="2324" spans="1:13" outlineLevel="1" x14ac:dyDescent="0.25">
      <c r="A2324" t="s">
        <v>300</v>
      </c>
      <c r="B2324" t="s">
        <v>414</v>
      </c>
      <c r="C2324" t="str">
        <f>_xlfn.CONCAT("Distance parcourue associée"," (",'Remplissage - Sit. Expost'!$B$303,")")</f>
        <v>Distance parcourue associée (Catégorie 29)</v>
      </c>
      <c r="E2324" t="str">
        <f>_xlfn.CONCAT("ProjImmoDepuisPLDist",RIGHT(LEFT(C2324,LEN(C2324)-1),2))</f>
        <v>ProjImmoDepuisPLDist29</v>
      </c>
      <c r="F2324" t="s">
        <v>17</v>
      </c>
      <c r="G2324">
        <f t="shared" si="682"/>
        <v>0</v>
      </c>
      <c r="J2324" t="s">
        <v>88</v>
      </c>
      <c r="K2324">
        <v>20</v>
      </c>
      <c r="M2324" t="s">
        <v>303</v>
      </c>
    </row>
    <row r="2325" spans="1:13" outlineLevel="1" x14ac:dyDescent="0.25">
      <c r="A2325" t="s">
        <v>300</v>
      </c>
      <c r="B2325" t="s">
        <v>414</v>
      </c>
      <c r="C2325" t="str">
        <f>_xlfn.CONCAT("Nombre de trajets associés"," (",'Remplissage - Sit. Expost'!$B$303,")")</f>
        <v>Nombre de trajets associés (Catégorie 29)</v>
      </c>
      <c r="E2325" t="str">
        <f>_xlfn.CONCAT("ProjImmoDepuisPLNbTraj",RIGHT(LEFT(C2325,LEN(C2325)-1),2))</f>
        <v>ProjImmoDepuisPLNbTraj29</v>
      </c>
      <c r="F2325" t="s">
        <v>17</v>
      </c>
      <c r="G2325">
        <f t="shared" si="682"/>
        <v>0</v>
      </c>
      <c r="J2325" t="s">
        <v>145</v>
      </c>
      <c r="K2325">
        <v>5</v>
      </c>
      <c r="M2325" t="s">
        <v>303</v>
      </c>
    </row>
    <row r="2326" spans="1:13" outlineLevel="1" x14ac:dyDescent="0.25">
      <c r="A2326" t="s">
        <v>300</v>
      </c>
      <c r="B2326" t="s">
        <v>415</v>
      </c>
      <c r="C2326" t="str">
        <f>_xlfn.CONCAT("Taux de chargement moyen des véhicules pour l'accès au(x) projet(s) depuis la plateforme"," (",'Remplissage - Sit. Expost'!$B$313,")")</f>
        <v>Taux de chargement moyen des véhicules pour l'accès au(x) projet(s) depuis la plateforme (Catégorie 30)</v>
      </c>
      <c r="E2326" t="str">
        <f>_xlfn.CONCAT("ProjImmoDepuisPLTC",RIGHT(LEFT(C2326,LEN(C2326)-1),2))</f>
        <v>ProjImmoDepuisPLTC30</v>
      </c>
      <c r="F2326" t="s">
        <v>17</v>
      </c>
      <c r="G2326">
        <f t="shared" si="682"/>
        <v>0</v>
      </c>
      <c r="H2326" s="3"/>
      <c r="J2326" t="s">
        <v>70</v>
      </c>
      <c r="K2326" s="7">
        <v>0.6</v>
      </c>
      <c r="M2326" t="s">
        <v>303</v>
      </c>
    </row>
    <row r="2327" spans="1:13" outlineLevel="1" x14ac:dyDescent="0.25">
      <c r="A2327" t="s">
        <v>300</v>
      </c>
      <c r="B2327" t="s">
        <v>415</v>
      </c>
      <c r="C2327" t="str">
        <f>_xlfn.CONCAT("Distance parcourue associée"," (",'Remplissage - Sit. Expost'!$B$313,")")</f>
        <v>Distance parcourue associée (Catégorie 30)</v>
      </c>
      <c r="E2327" t="str">
        <f>_xlfn.CONCAT("ProjImmoDepuisPLDist",RIGHT(LEFT(C2327,LEN(C2327)-1),2))</f>
        <v>ProjImmoDepuisPLDist30</v>
      </c>
      <c r="F2327" t="s">
        <v>17</v>
      </c>
      <c r="G2327">
        <f t="shared" si="682"/>
        <v>0</v>
      </c>
      <c r="J2327" t="s">
        <v>88</v>
      </c>
      <c r="K2327">
        <v>20</v>
      </c>
      <c r="M2327" t="s">
        <v>303</v>
      </c>
    </row>
    <row r="2328" spans="1:13" outlineLevel="1" x14ac:dyDescent="0.25">
      <c r="A2328" t="s">
        <v>300</v>
      </c>
      <c r="B2328" t="s">
        <v>415</v>
      </c>
      <c r="C2328" t="str">
        <f>_xlfn.CONCAT("Nombre de trajets associés"," (",'Remplissage - Sit. Expost'!$B$313,")")</f>
        <v>Nombre de trajets associés (Catégorie 30)</v>
      </c>
      <c r="E2328" t="str">
        <f>_xlfn.CONCAT("ProjImmoDepuisPLNbTraj",RIGHT(LEFT(C2328,LEN(C2328)-1),2))</f>
        <v>ProjImmoDepuisPLNbTraj30</v>
      </c>
      <c r="F2328" t="s">
        <v>17</v>
      </c>
      <c r="G2328">
        <f t="shared" si="682"/>
        <v>0</v>
      </c>
      <c r="J2328" t="s">
        <v>145</v>
      </c>
      <c r="K2328">
        <v>5</v>
      </c>
      <c r="M2328" t="s">
        <v>303</v>
      </c>
    </row>
    <row r="2329" spans="1:13" outlineLevel="1" x14ac:dyDescent="0.25">
      <c r="A2329" t="s">
        <v>300</v>
      </c>
      <c r="B2329" t="s">
        <v>416</v>
      </c>
      <c r="C2329" t="str">
        <f>_xlfn.CONCAT("Taux de chargement moyen des véhicules pour l'accès au(x) projet(s) depuis la plateforme"," (",'Remplissage - Sit. Expost'!$B$323,")")</f>
        <v>Taux de chargement moyen des véhicules pour l'accès au(x) projet(s) depuis la plateforme (Catégorie 31)</v>
      </c>
      <c r="E2329" t="str">
        <f>_xlfn.CONCAT("ProjImmoDepuisPLTC",RIGHT(LEFT(C2329,LEN(C2329)-1),2))</f>
        <v>ProjImmoDepuisPLTC31</v>
      </c>
      <c r="F2329" t="s">
        <v>17</v>
      </c>
      <c r="G2329">
        <f t="shared" si="682"/>
        <v>0</v>
      </c>
      <c r="H2329" s="3"/>
      <c r="J2329" t="s">
        <v>70</v>
      </c>
      <c r="K2329" s="7">
        <v>0.6</v>
      </c>
      <c r="M2329" t="s">
        <v>303</v>
      </c>
    </row>
    <row r="2330" spans="1:13" outlineLevel="1" x14ac:dyDescent="0.25">
      <c r="A2330" t="s">
        <v>300</v>
      </c>
      <c r="B2330" t="s">
        <v>416</v>
      </c>
      <c r="C2330" t="str">
        <f>_xlfn.CONCAT("Distance parcourue associée"," (",'Remplissage - Sit. Expost'!$B$323,")")</f>
        <v>Distance parcourue associée (Catégorie 31)</v>
      </c>
      <c r="E2330" t="str">
        <f>_xlfn.CONCAT("ProjImmoDepuisPLDist",RIGHT(LEFT(C2330,LEN(C2330)-1),2))</f>
        <v>ProjImmoDepuisPLDist31</v>
      </c>
      <c r="F2330" t="s">
        <v>17</v>
      </c>
      <c r="G2330">
        <f t="shared" si="682"/>
        <v>0</v>
      </c>
      <c r="J2330" t="s">
        <v>88</v>
      </c>
      <c r="K2330">
        <v>20</v>
      </c>
      <c r="M2330" t="s">
        <v>303</v>
      </c>
    </row>
    <row r="2331" spans="1:13" outlineLevel="1" x14ac:dyDescent="0.25">
      <c r="A2331" t="s">
        <v>300</v>
      </c>
      <c r="B2331" t="s">
        <v>416</v>
      </c>
      <c r="C2331" t="str">
        <f>_xlfn.CONCAT("Nombre de trajets associés"," (",'Remplissage - Sit. Expost'!$B$323,")")</f>
        <v>Nombre de trajets associés (Catégorie 31)</v>
      </c>
      <c r="E2331" t="str">
        <f>_xlfn.CONCAT("ProjImmoDepuisPLNbTraj",RIGHT(LEFT(C2331,LEN(C2331)-1),2))</f>
        <v>ProjImmoDepuisPLNbTraj31</v>
      </c>
      <c r="F2331" t="s">
        <v>17</v>
      </c>
      <c r="G2331">
        <f t="shared" si="682"/>
        <v>0</v>
      </c>
      <c r="J2331" t="s">
        <v>145</v>
      </c>
      <c r="K2331">
        <v>5</v>
      </c>
      <c r="M2331" t="s">
        <v>303</v>
      </c>
    </row>
    <row r="2332" spans="1:13" outlineLevel="1" x14ac:dyDescent="0.25">
      <c r="A2332" t="s">
        <v>300</v>
      </c>
      <c r="B2332" t="s">
        <v>417</v>
      </c>
      <c r="C2332" t="str">
        <f>_xlfn.CONCAT("Taux de chargement moyen des véhicules pour l'accès au(x) projet(s) depuis la plateforme"," (",'Remplissage - Sit. Expost'!$B$333,")")</f>
        <v>Taux de chargement moyen des véhicules pour l'accès au(x) projet(s) depuis la plateforme (Catégorie 32)</v>
      </c>
      <c r="E2332" t="str">
        <f>_xlfn.CONCAT("ProjImmoDepuisPLTC",RIGHT(LEFT(C2332,LEN(C2332)-1),2))</f>
        <v>ProjImmoDepuisPLTC32</v>
      </c>
      <c r="F2332" t="s">
        <v>17</v>
      </c>
      <c r="G2332">
        <f t="shared" si="682"/>
        <v>0</v>
      </c>
      <c r="H2332" s="3"/>
      <c r="J2332" t="s">
        <v>70</v>
      </c>
      <c r="K2332" s="7">
        <v>0.6</v>
      </c>
      <c r="M2332" t="s">
        <v>303</v>
      </c>
    </row>
    <row r="2333" spans="1:13" outlineLevel="1" x14ac:dyDescent="0.25">
      <c r="A2333" t="s">
        <v>300</v>
      </c>
      <c r="B2333" t="s">
        <v>417</v>
      </c>
      <c r="C2333" t="str">
        <f>_xlfn.CONCAT("Distance parcourue associée"," (",'Remplissage - Sit. Expost'!$B$333,")")</f>
        <v>Distance parcourue associée (Catégorie 32)</v>
      </c>
      <c r="E2333" t="str">
        <f>_xlfn.CONCAT("ProjImmoDepuisPLDist",RIGHT(LEFT(C2333,LEN(C2333)-1),2))</f>
        <v>ProjImmoDepuisPLDist32</v>
      </c>
      <c r="F2333" t="s">
        <v>17</v>
      </c>
      <c r="G2333">
        <f t="shared" si="682"/>
        <v>0</v>
      </c>
      <c r="J2333" t="s">
        <v>88</v>
      </c>
      <c r="K2333">
        <v>20</v>
      </c>
      <c r="M2333" t="s">
        <v>303</v>
      </c>
    </row>
    <row r="2334" spans="1:13" outlineLevel="1" x14ac:dyDescent="0.25">
      <c r="A2334" t="s">
        <v>300</v>
      </c>
      <c r="B2334" t="s">
        <v>417</v>
      </c>
      <c r="C2334" t="str">
        <f>_xlfn.CONCAT("Nombre de trajets associés"," (",'Remplissage - Sit. Expost'!$B$333,")")</f>
        <v>Nombre de trajets associés (Catégorie 32)</v>
      </c>
      <c r="E2334" t="str">
        <f>_xlfn.CONCAT("ProjImmoDepuisPLNbTraj",RIGHT(LEFT(C2334,LEN(C2334)-1),2))</f>
        <v>ProjImmoDepuisPLNbTraj32</v>
      </c>
      <c r="F2334" t="s">
        <v>17</v>
      </c>
      <c r="G2334">
        <f t="shared" si="682"/>
        <v>0</v>
      </c>
      <c r="J2334" t="s">
        <v>145</v>
      </c>
      <c r="K2334">
        <v>5</v>
      </c>
      <c r="M2334" t="s">
        <v>303</v>
      </c>
    </row>
    <row r="2335" spans="1:13" outlineLevel="1" x14ac:dyDescent="0.25">
      <c r="A2335" t="s">
        <v>300</v>
      </c>
      <c r="B2335" t="s">
        <v>418</v>
      </c>
      <c r="C2335" t="str">
        <f>_xlfn.CONCAT("Taux de chargement moyen des véhicules pour l'accès au(x) projet(s) depuis la plateforme"," (",'Remplissage - Sit. Expost'!$B$343,")")</f>
        <v>Taux de chargement moyen des véhicules pour l'accès au(x) projet(s) depuis la plateforme (Catégorie 33)</v>
      </c>
      <c r="E2335" t="str">
        <f>_xlfn.CONCAT("ProjImmoDepuisPLTC",RIGHT(LEFT(C2335,LEN(C2335)-1),2))</f>
        <v>ProjImmoDepuisPLTC33</v>
      </c>
      <c r="F2335" t="s">
        <v>17</v>
      </c>
      <c r="G2335">
        <f t="shared" si="682"/>
        <v>0</v>
      </c>
      <c r="H2335" s="3"/>
      <c r="J2335" t="s">
        <v>70</v>
      </c>
      <c r="K2335" s="7">
        <v>0.6</v>
      </c>
      <c r="M2335" t="s">
        <v>303</v>
      </c>
    </row>
    <row r="2336" spans="1:13" outlineLevel="1" x14ac:dyDescent="0.25">
      <c r="A2336" t="s">
        <v>300</v>
      </c>
      <c r="B2336" t="s">
        <v>418</v>
      </c>
      <c r="C2336" t="str">
        <f>_xlfn.CONCAT("Distance parcourue associée"," (",'Remplissage - Sit. Expost'!$B$343,")")</f>
        <v>Distance parcourue associée (Catégorie 33)</v>
      </c>
      <c r="E2336" t="str">
        <f>_xlfn.CONCAT("ProjImmoDepuisPLDist",RIGHT(LEFT(C2336,LEN(C2336)-1),2))</f>
        <v>ProjImmoDepuisPLDist33</v>
      </c>
      <c r="F2336" t="s">
        <v>17</v>
      </c>
      <c r="G2336">
        <f t="shared" si="682"/>
        <v>0</v>
      </c>
      <c r="J2336" t="s">
        <v>88</v>
      </c>
      <c r="K2336">
        <v>20</v>
      </c>
      <c r="M2336" t="s">
        <v>303</v>
      </c>
    </row>
    <row r="2337" spans="1:13" outlineLevel="1" x14ac:dyDescent="0.25">
      <c r="A2337" t="s">
        <v>300</v>
      </c>
      <c r="B2337" t="s">
        <v>418</v>
      </c>
      <c r="C2337" t="str">
        <f>_xlfn.CONCAT("Nombre de trajets associés"," (",'Remplissage - Sit. Expost'!$B$343,")")</f>
        <v>Nombre de trajets associés (Catégorie 33)</v>
      </c>
      <c r="E2337" t="str">
        <f>_xlfn.CONCAT("ProjImmoDepuisPLNbTraj",RIGHT(LEFT(C2337,LEN(C2337)-1),2))</f>
        <v>ProjImmoDepuisPLNbTraj33</v>
      </c>
      <c r="F2337" t="s">
        <v>17</v>
      </c>
      <c r="G2337">
        <f t="shared" si="682"/>
        <v>0</v>
      </c>
      <c r="J2337" t="s">
        <v>145</v>
      </c>
      <c r="K2337">
        <v>5</v>
      </c>
      <c r="M2337" t="s">
        <v>303</v>
      </c>
    </row>
    <row r="2338" spans="1:13" outlineLevel="1" x14ac:dyDescent="0.25">
      <c r="A2338" t="s">
        <v>300</v>
      </c>
      <c r="B2338" t="s">
        <v>419</v>
      </c>
      <c r="C2338" t="str">
        <f>_xlfn.CONCAT("Taux de chargement moyen des véhicules pour l'accès au(x) projet(s) depuis la plateforme"," (",'Remplissage - Sit. Expost'!$B$353,")")</f>
        <v>Taux de chargement moyen des véhicules pour l'accès au(x) projet(s) depuis la plateforme (Catégorie 34)</v>
      </c>
      <c r="E2338" t="str">
        <f>_xlfn.CONCAT("ProjImmoDepuisPLTC",RIGHT(LEFT(C2338,LEN(C2338)-1),2))</f>
        <v>ProjImmoDepuisPLTC34</v>
      </c>
      <c r="F2338" t="s">
        <v>17</v>
      </c>
      <c r="G2338">
        <f t="shared" si="682"/>
        <v>0</v>
      </c>
      <c r="H2338" s="3"/>
      <c r="J2338" t="s">
        <v>70</v>
      </c>
      <c r="K2338" s="7">
        <v>0.6</v>
      </c>
      <c r="M2338" t="s">
        <v>303</v>
      </c>
    </row>
    <row r="2339" spans="1:13" outlineLevel="1" x14ac:dyDescent="0.25">
      <c r="A2339" t="s">
        <v>300</v>
      </c>
      <c r="B2339" t="s">
        <v>419</v>
      </c>
      <c r="C2339" t="str">
        <f>_xlfn.CONCAT("Distance parcourue associée"," (",'Remplissage - Sit. Expost'!$B$353,")")</f>
        <v>Distance parcourue associée (Catégorie 34)</v>
      </c>
      <c r="E2339" t="str">
        <f>_xlfn.CONCAT("ProjImmoDepuisPLDist",RIGHT(LEFT(C2339,LEN(C2339)-1),2))</f>
        <v>ProjImmoDepuisPLDist34</v>
      </c>
      <c r="F2339" t="s">
        <v>17</v>
      </c>
      <c r="G2339">
        <f t="shared" si="682"/>
        <v>0</v>
      </c>
      <c r="J2339" t="s">
        <v>88</v>
      </c>
      <c r="K2339">
        <v>20</v>
      </c>
      <c r="M2339" t="s">
        <v>303</v>
      </c>
    </row>
    <row r="2340" spans="1:13" outlineLevel="1" x14ac:dyDescent="0.25">
      <c r="A2340" t="s">
        <v>300</v>
      </c>
      <c r="B2340" t="s">
        <v>419</v>
      </c>
      <c r="C2340" t="str">
        <f>_xlfn.CONCAT("Nombre de trajets associés"," (",'Remplissage - Sit. Expost'!$B$353,")")</f>
        <v>Nombre de trajets associés (Catégorie 34)</v>
      </c>
      <c r="E2340" t="str">
        <f>_xlfn.CONCAT("ProjImmoDepuisPLNbTraj",RIGHT(LEFT(C2340,LEN(C2340)-1),2))</f>
        <v>ProjImmoDepuisPLNbTraj34</v>
      </c>
      <c r="F2340" t="s">
        <v>17</v>
      </c>
      <c r="G2340">
        <f t="shared" si="682"/>
        <v>0</v>
      </c>
      <c r="J2340" t="s">
        <v>145</v>
      </c>
      <c r="K2340">
        <v>5</v>
      </c>
      <c r="M2340" t="s">
        <v>303</v>
      </c>
    </row>
    <row r="2341" spans="1:13" outlineLevel="1" x14ac:dyDescent="0.25">
      <c r="A2341" t="s">
        <v>300</v>
      </c>
      <c r="B2341" t="s">
        <v>420</v>
      </c>
      <c r="C2341" t="str">
        <f>_xlfn.CONCAT("Taux de chargement moyen des véhicules pour l'accès au(x) projet(s) depuis la plateforme"," (",'Remplissage - Sit. Expost'!$B$363,")")</f>
        <v>Taux de chargement moyen des véhicules pour l'accès au(x) projet(s) depuis la plateforme (Catégorie 35)</v>
      </c>
      <c r="E2341" t="str">
        <f>_xlfn.CONCAT("ProjImmoDepuisPLTC",RIGHT(LEFT(C2341,LEN(C2341)-1),2))</f>
        <v>ProjImmoDepuisPLTC35</v>
      </c>
      <c r="F2341" t="s">
        <v>17</v>
      </c>
      <c r="G2341">
        <f t="shared" si="682"/>
        <v>0</v>
      </c>
      <c r="H2341" s="3"/>
      <c r="J2341" t="s">
        <v>70</v>
      </c>
      <c r="K2341" s="7">
        <v>0.6</v>
      </c>
      <c r="M2341" t="s">
        <v>303</v>
      </c>
    </row>
    <row r="2342" spans="1:13" outlineLevel="1" x14ac:dyDescent="0.25">
      <c r="A2342" t="s">
        <v>300</v>
      </c>
      <c r="B2342" t="s">
        <v>420</v>
      </c>
      <c r="C2342" t="str">
        <f>_xlfn.CONCAT("Distance parcourue associée"," (",'Remplissage - Sit. Expost'!$B$363,")")</f>
        <v>Distance parcourue associée (Catégorie 35)</v>
      </c>
      <c r="E2342" t="str">
        <f>_xlfn.CONCAT("ProjImmoDepuisPLDist",RIGHT(LEFT(C2342,LEN(C2342)-1),2))</f>
        <v>ProjImmoDepuisPLDist35</v>
      </c>
      <c r="F2342" t="s">
        <v>17</v>
      </c>
      <c r="G2342">
        <f t="shared" si="682"/>
        <v>0</v>
      </c>
      <c r="J2342" t="s">
        <v>88</v>
      </c>
      <c r="K2342">
        <v>20</v>
      </c>
      <c r="M2342" t="s">
        <v>303</v>
      </c>
    </row>
    <row r="2343" spans="1:13" outlineLevel="1" x14ac:dyDescent="0.25">
      <c r="A2343" t="s">
        <v>300</v>
      </c>
      <c r="B2343" t="s">
        <v>420</v>
      </c>
      <c r="C2343" t="str">
        <f>_xlfn.CONCAT("Nombre de trajets associés"," (",'Remplissage - Sit. Expost'!$B$363,")")</f>
        <v>Nombre de trajets associés (Catégorie 35)</v>
      </c>
      <c r="E2343" t="str">
        <f>_xlfn.CONCAT("ProjImmoDepuisPLNbTraj",RIGHT(LEFT(C2343,LEN(C2343)-1),2))</f>
        <v>ProjImmoDepuisPLNbTraj35</v>
      </c>
      <c r="F2343" t="s">
        <v>17</v>
      </c>
      <c r="G2343">
        <f t="shared" si="682"/>
        <v>0</v>
      </c>
      <c r="J2343" t="s">
        <v>145</v>
      </c>
      <c r="K2343">
        <v>5</v>
      </c>
      <c r="M2343" t="s">
        <v>303</v>
      </c>
    </row>
    <row r="2344" spans="1:13" outlineLevel="1" x14ac:dyDescent="0.25">
      <c r="A2344" t="s">
        <v>300</v>
      </c>
      <c r="B2344" t="s">
        <v>421</v>
      </c>
      <c r="C2344" t="str">
        <f>_xlfn.CONCAT("Taux de chargement moyen des véhicules pour l'accès au(x) projet(s) depuis la plateforme"," (",'Remplissage - Sit. Expost'!$B$373,")")</f>
        <v>Taux de chargement moyen des véhicules pour l'accès au(x) projet(s) depuis la plateforme (Catégorie 36)</v>
      </c>
      <c r="E2344" t="str">
        <f>_xlfn.CONCAT("ProjImmoDepuisPLTC",RIGHT(LEFT(C2344,LEN(C2344)-1),2))</f>
        <v>ProjImmoDepuisPLTC36</v>
      </c>
      <c r="F2344" t="s">
        <v>17</v>
      </c>
      <c r="G2344">
        <f t="shared" si="682"/>
        <v>0</v>
      </c>
      <c r="H2344" s="3"/>
      <c r="J2344" t="s">
        <v>70</v>
      </c>
      <c r="K2344" s="7">
        <v>0.6</v>
      </c>
      <c r="M2344" t="s">
        <v>303</v>
      </c>
    </row>
    <row r="2345" spans="1:13" outlineLevel="1" x14ac:dyDescent="0.25">
      <c r="A2345" t="s">
        <v>300</v>
      </c>
      <c r="B2345" t="s">
        <v>421</v>
      </c>
      <c r="C2345" t="str">
        <f>_xlfn.CONCAT("Distance parcourue associée"," (",'Remplissage - Sit. Expost'!$B$373,")")</f>
        <v>Distance parcourue associée (Catégorie 36)</v>
      </c>
      <c r="E2345" t="str">
        <f>_xlfn.CONCAT("ProjImmoDepuisPLDist",RIGHT(LEFT(C2345,LEN(C2345)-1),2))</f>
        <v>ProjImmoDepuisPLDist36</v>
      </c>
      <c r="F2345" t="s">
        <v>17</v>
      </c>
      <c r="G2345">
        <f t="shared" si="682"/>
        <v>0</v>
      </c>
      <c r="J2345" t="s">
        <v>88</v>
      </c>
      <c r="K2345">
        <v>20</v>
      </c>
      <c r="M2345" t="s">
        <v>303</v>
      </c>
    </row>
    <row r="2346" spans="1:13" outlineLevel="1" x14ac:dyDescent="0.25">
      <c r="A2346" t="s">
        <v>300</v>
      </c>
      <c r="B2346" t="s">
        <v>421</v>
      </c>
      <c r="C2346" t="str">
        <f>_xlfn.CONCAT("Nombre de trajets associés"," (",'Remplissage - Sit. Expost'!$B$373,")")</f>
        <v>Nombre de trajets associés (Catégorie 36)</v>
      </c>
      <c r="E2346" t="str">
        <f>_xlfn.CONCAT("ProjImmoDepuisPLNbTraj",RIGHT(LEFT(C2346,LEN(C2346)-1),2))</f>
        <v>ProjImmoDepuisPLNbTraj36</v>
      </c>
      <c r="F2346" t="s">
        <v>17</v>
      </c>
      <c r="G2346">
        <f t="shared" si="682"/>
        <v>0</v>
      </c>
      <c r="J2346" t="s">
        <v>145</v>
      </c>
      <c r="K2346">
        <v>5</v>
      </c>
      <c r="M2346" t="s">
        <v>303</v>
      </c>
    </row>
    <row r="2347" spans="1:13" outlineLevel="1" x14ac:dyDescent="0.25">
      <c r="A2347" t="s">
        <v>300</v>
      </c>
      <c r="B2347" t="s">
        <v>422</v>
      </c>
      <c r="C2347" t="str">
        <f>_xlfn.CONCAT("Taux de chargement moyen des véhicules pour l'accès au(x) projet(s) depuis la plateforme"," (",'Remplissage - Sit. Expost'!$B$383,")")</f>
        <v>Taux de chargement moyen des véhicules pour l'accès au(x) projet(s) depuis la plateforme (Catégorie 37)</v>
      </c>
      <c r="E2347" t="str">
        <f>_xlfn.CONCAT("ProjImmoDepuisPLTC",RIGHT(LEFT(C2347,LEN(C2347)-1),2))</f>
        <v>ProjImmoDepuisPLTC37</v>
      </c>
      <c r="F2347" t="s">
        <v>17</v>
      </c>
      <c r="G2347">
        <f t="shared" si="682"/>
        <v>0</v>
      </c>
      <c r="H2347" s="3"/>
      <c r="J2347" t="s">
        <v>70</v>
      </c>
      <c r="K2347" s="7">
        <v>0.6</v>
      </c>
      <c r="M2347" t="s">
        <v>303</v>
      </c>
    </row>
    <row r="2348" spans="1:13" outlineLevel="1" x14ac:dyDescent="0.25">
      <c r="A2348" t="s">
        <v>300</v>
      </c>
      <c r="B2348" t="s">
        <v>422</v>
      </c>
      <c r="C2348" t="str">
        <f>_xlfn.CONCAT("Distance parcourue associée"," (",'Remplissage - Sit. Expost'!$B$383,")")</f>
        <v>Distance parcourue associée (Catégorie 37)</v>
      </c>
      <c r="E2348" t="str">
        <f>_xlfn.CONCAT("ProjImmoDepuisPLDist",RIGHT(LEFT(C2348,LEN(C2348)-1),2))</f>
        <v>ProjImmoDepuisPLDist37</v>
      </c>
      <c r="F2348" t="s">
        <v>17</v>
      </c>
      <c r="G2348">
        <f t="shared" si="682"/>
        <v>0</v>
      </c>
      <c r="J2348" t="s">
        <v>88</v>
      </c>
      <c r="K2348">
        <v>20</v>
      </c>
      <c r="M2348" t="s">
        <v>303</v>
      </c>
    </row>
    <row r="2349" spans="1:13" outlineLevel="1" x14ac:dyDescent="0.25">
      <c r="A2349" t="s">
        <v>300</v>
      </c>
      <c r="B2349" t="s">
        <v>422</v>
      </c>
      <c r="C2349" t="str">
        <f>_xlfn.CONCAT("Nombre de trajets associés"," (",'Remplissage - Sit. Expost'!$B$383,")")</f>
        <v>Nombre de trajets associés (Catégorie 37)</v>
      </c>
      <c r="E2349" t="str">
        <f>_xlfn.CONCAT("ProjImmoDepuisPLNbTraj",RIGHT(LEFT(C2349,LEN(C2349)-1),2))</f>
        <v>ProjImmoDepuisPLNbTraj37</v>
      </c>
      <c r="F2349" t="s">
        <v>17</v>
      </c>
      <c r="G2349">
        <f t="shared" si="682"/>
        <v>0</v>
      </c>
      <c r="J2349" t="s">
        <v>145</v>
      </c>
      <c r="K2349">
        <v>5</v>
      </c>
      <c r="M2349" t="s">
        <v>303</v>
      </c>
    </row>
    <row r="2350" spans="1:13" outlineLevel="1" x14ac:dyDescent="0.25">
      <c r="A2350" t="s">
        <v>300</v>
      </c>
      <c r="B2350" t="s">
        <v>423</v>
      </c>
      <c r="C2350" t="str">
        <f>_xlfn.CONCAT("Taux de chargement moyen des véhicules pour l'accès au(x) projet(s) depuis la plateforme"," (",'Remplissage - Sit. Expost'!$B$393,")")</f>
        <v>Taux de chargement moyen des véhicules pour l'accès au(x) projet(s) depuis la plateforme (Catégorie 38)</v>
      </c>
      <c r="E2350" t="str">
        <f>_xlfn.CONCAT("ProjImmoDepuisPLTC",RIGHT(LEFT(C2350,LEN(C2350)-1),2))</f>
        <v>ProjImmoDepuisPLTC38</v>
      </c>
      <c r="F2350" t="s">
        <v>17</v>
      </c>
      <c r="G2350">
        <f t="shared" si="682"/>
        <v>0</v>
      </c>
      <c r="H2350" s="3"/>
      <c r="J2350" t="s">
        <v>70</v>
      </c>
      <c r="K2350" s="7">
        <v>0.6</v>
      </c>
      <c r="M2350" t="s">
        <v>303</v>
      </c>
    </row>
    <row r="2351" spans="1:13" outlineLevel="1" x14ac:dyDescent="0.25">
      <c r="A2351" t="s">
        <v>300</v>
      </c>
      <c r="B2351" t="s">
        <v>423</v>
      </c>
      <c r="C2351" t="str">
        <f>_xlfn.CONCAT("Distance parcourue associée"," (",'Remplissage - Sit. Expost'!$B$393,")")</f>
        <v>Distance parcourue associée (Catégorie 38)</v>
      </c>
      <c r="E2351" t="str">
        <f>_xlfn.CONCAT("ProjImmoDepuisPLDist",RIGHT(LEFT(C2351,LEN(C2351)-1),2))</f>
        <v>ProjImmoDepuisPLDist38</v>
      </c>
      <c r="F2351" t="s">
        <v>17</v>
      </c>
      <c r="G2351">
        <f t="shared" si="682"/>
        <v>0</v>
      </c>
      <c r="J2351" t="s">
        <v>88</v>
      </c>
      <c r="K2351">
        <v>20</v>
      </c>
      <c r="M2351" t="s">
        <v>303</v>
      </c>
    </row>
    <row r="2352" spans="1:13" outlineLevel="1" x14ac:dyDescent="0.25">
      <c r="A2352" t="s">
        <v>300</v>
      </c>
      <c r="B2352" t="s">
        <v>423</v>
      </c>
      <c r="C2352" t="str">
        <f>_xlfn.CONCAT("Nombre de trajets associés"," (",'Remplissage - Sit. Expost'!$B$393,")")</f>
        <v>Nombre de trajets associés (Catégorie 38)</v>
      </c>
      <c r="E2352" t="str">
        <f>_xlfn.CONCAT("ProjImmoDepuisPLNbTraj",RIGHT(LEFT(C2352,LEN(C2352)-1),2))</f>
        <v>ProjImmoDepuisPLNbTraj38</v>
      </c>
      <c r="F2352" t="s">
        <v>17</v>
      </c>
      <c r="G2352">
        <f t="shared" si="682"/>
        <v>0</v>
      </c>
      <c r="J2352" t="s">
        <v>145</v>
      </c>
      <c r="K2352">
        <v>5</v>
      </c>
      <c r="M2352" t="s">
        <v>303</v>
      </c>
    </row>
    <row r="2353" spans="1:13" outlineLevel="1" x14ac:dyDescent="0.25">
      <c r="A2353" t="s">
        <v>300</v>
      </c>
      <c r="B2353" t="s">
        <v>424</v>
      </c>
      <c r="C2353" t="str">
        <f>_xlfn.CONCAT("Taux de chargement moyen des véhicules pour l'accès au(x) projet(s) depuis la plateforme"," (",'Remplissage - Sit. Expost'!$B$403,")")</f>
        <v>Taux de chargement moyen des véhicules pour l'accès au(x) projet(s) depuis la plateforme (Catégorie 39)</v>
      </c>
      <c r="E2353" t="str">
        <f>_xlfn.CONCAT("ProjImmoDepuisPLTC",RIGHT(LEFT(C2353,LEN(C2353)-1),2))</f>
        <v>ProjImmoDepuisPLTC39</v>
      </c>
      <c r="F2353" t="s">
        <v>17</v>
      </c>
      <c r="G2353">
        <f t="shared" si="682"/>
        <v>0</v>
      </c>
      <c r="H2353" s="3"/>
      <c r="J2353" t="s">
        <v>70</v>
      </c>
      <c r="K2353" s="7">
        <v>0.6</v>
      </c>
      <c r="M2353" t="s">
        <v>303</v>
      </c>
    </row>
    <row r="2354" spans="1:13" outlineLevel="1" x14ac:dyDescent="0.25">
      <c r="A2354" t="s">
        <v>300</v>
      </c>
      <c r="B2354" t="s">
        <v>424</v>
      </c>
      <c r="C2354" t="str">
        <f>_xlfn.CONCAT("Distance parcourue associée"," (",'Remplissage - Sit. Expost'!$B$403,")")</f>
        <v>Distance parcourue associée (Catégorie 39)</v>
      </c>
      <c r="E2354" t="str">
        <f>_xlfn.CONCAT("ProjImmoDepuisPLDist",RIGHT(LEFT(C2354,LEN(C2354)-1),2))</f>
        <v>ProjImmoDepuisPLDist39</v>
      </c>
      <c r="F2354" t="s">
        <v>17</v>
      </c>
      <c r="G2354">
        <f t="shared" si="682"/>
        <v>0</v>
      </c>
      <c r="J2354" t="s">
        <v>88</v>
      </c>
      <c r="K2354">
        <v>20</v>
      </c>
      <c r="M2354" t="s">
        <v>303</v>
      </c>
    </row>
    <row r="2355" spans="1:13" outlineLevel="1" x14ac:dyDescent="0.25">
      <c r="A2355" t="s">
        <v>300</v>
      </c>
      <c r="B2355" t="s">
        <v>424</v>
      </c>
      <c r="C2355" t="str">
        <f>_xlfn.CONCAT("Nombre de trajets associés"," (",'Remplissage - Sit. Expost'!$B$403,")")</f>
        <v>Nombre de trajets associés (Catégorie 39)</v>
      </c>
      <c r="E2355" t="str">
        <f>_xlfn.CONCAT("ProjImmoDepuisPLNbTraj",RIGHT(LEFT(C2355,LEN(C2355)-1),2))</f>
        <v>ProjImmoDepuisPLNbTraj39</v>
      </c>
      <c r="F2355" t="s">
        <v>17</v>
      </c>
      <c r="G2355">
        <f t="shared" si="682"/>
        <v>0</v>
      </c>
      <c r="J2355" t="s">
        <v>145</v>
      </c>
      <c r="K2355">
        <v>5</v>
      </c>
      <c r="M2355" t="s">
        <v>303</v>
      </c>
    </row>
    <row r="2356" spans="1:13" outlineLevel="1" x14ac:dyDescent="0.25">
      <c r="A2356" t="s">
        <v>300</v>
      </c>
      <c r="B2356" t="s">
        <v>425</v>
      </c>
      <c r="C2356" t="str">
        <f>_xlfn.CONCAT("Taux de chargement moyen des véhicules pour l'accès au(x) projet(s) depuis la plateforme"," (",'Remplissage - Sit. Expost'!$B$413,")")</f>
        <v>Taux de chargement moyen des véhicules pour l'accès au(x) projet(s) depuis la plateforme (Catégorie 40)</v>
      </c>
      <c r="E2356" t="str">
        <f>_xlfn.CONCAT("ProjImmoDepuisPLTC",RIGHT(LEFT(C2356,LEN(C2356)-1),2))</f>
        <v>ProjImmoDepuisPLTC40</v>
      </c>
      <c r="F2356" t="s">
        <v>17</v>
      </c>
      <c r="G2356">
        <f t="shared" si="682"/>
        <v>0</v>
      </c>
      <c r="H2356" s="3"/>
      <c r="J2356" t="s">
        <v>70</v>
      </c>
      <c r="K2356" s="7">
        <v>0.6</v>
      </c>
      <c r="M2356" t="s">
        <v>303</v>
      </c>
    </row>
    <row r="2357" spans="1:13" outlineLevel="1" x14ac:dyDescent="0.25">
      <c r="A2357" t="s">
        <v>300</v>
      </c>
      <c r="B2357" t="s">
        <v>425</v>
      </c>
      <c r="C2357" t="str">
        <f>_xlfn.CONCAT("Distance parcourue associée"," (",'Remplissage - Sit. Expost'!$B$413,")")</f>
        <v>Distance parcourue associée (Catégorie 40)</v>
      </c>
      <c r="E2357" t="str">
        <f>_xlfn.CONCAT("ProjImmoDepuisPLDist",RIGHT(LEFT(C2357,LEN(C2357)-1),2))</f>
        <v>ProjImmoDepuisPLDist40</v>
      </c>
      <c r="F2357" t="s">
        <v>17</v>
      </c>
      <c r="G2357">
        <f t="shared" si="682"/>
        <v>0</v>
      </c>
      <c r="J2357" t="s">
        <v>88</v>
      </c>
      <c r="K2357">
        <v>20</v>
      </c>
      <c r="M2357" t="s">
        <v>303</v>
      </c>
    </row>
    <row r="2358" spans="1:13" outlineLevel="1" x14ac:dyDescent="0.25">
      <c r="A2358" t="s">
        <v>300</v>
      </c>
      <c r="B2358" t="s">
        <v>425</v>
      </c>
      <c r="C2358" t="str">
        <f>_xlfn.CONCAT("Nombre de trajets associés"," (",'Remplissage - Sit. Expost'!$B$413,")")</f>
        <v>Nombre de trajets associés (Catégorie 40)</v>
      </c>
      <c r="E2358" t="str">
        <f>_xlfn.CONCAT("ProjImmoDepuisPLNbTraj",RIGHT(LEFT(C2358,LEN(C2358)-1),2))</f>
        <v>ProjImmoDepuisPLNbTraj40</v>
      </c>
      <c r="F2358" t="s">
        <v>17</v>
      </c>
      <c r="G2358">
        <f t="shared" si="682"/>
        <v>0</v>
      </c>
      <c r="J2358" t="s">
        <v>145</v>
      </c>
      <c r="K2358">
        <v>5</v>
      </c>
      <c r="M2358" t="s">
        <v>303</v>
      </c>
    </row>
    <row r="2359" spans="1:13" outlineLevel="1" x14ac:dyDescent="0.25">
      <c r="A2359" t="s">
        <v>300</v>
      </c>
      <c r="B2359" t="s">
        <v>426</v>
      </c>
      <c r="C2359" t="str">
        <f>_xlfn.CONCAT("Taux de chargement moyen des véhicules pour l'accès au(x) projet(s) depuis la plateforme"," (",'Remplissage - Sit. Expost'!$B$423,")")</f>
        <v>Taux de chargement moyen des véhicules pour l'accès au(x) projet(s) depuis la plateforme (Catégorie 41)</v>
      </c>
      <c r="E2359" t="str">
        <f>_xlfn.CONCAT("ProjImmoDepuisPLTC",RIGHT(LEFT(C2359,LEN(C2359)-1),2))</f>
        <v>ProjImmoDepuisPLTC41</v>
      </c>
      <c r="F2359" t="s">
        <v>17</v>
      </c>
      <c r="G2359">
        <f t="shared" si="682"/>
        <v>0</v>
      </c>
      <c r="H2359" s="3"/>
      <c r="J2359" t="s">
        <v>70</v>
      </c>
      <c r="K2359" s="7">
        <v>0.6</v>
      </c>
      <c r="M2359" t="s">
        <v>303</v>
      </c>
    </row>
    <row r="2360" spans="1:13" outlineLevel="1" x14ac:dyDescent="0.25">
      <c r="A2360" t="s">
        <v>300</v>
      </c>
      <c r="B2360" t="s">
        <v>426</v>
      </c>
      <c r="C2360" t="str">
        <f>_xlfn.CONCAT("Distance parcourue associée"," (",'Remplissage - Sit. Expost'!$B$423,")")</f>
        <v>Distance parcourue associée (Catégorie 41)</v>
      </c>
      <c r="E2360" t="str">
        <f>_xlfn.CONCAT("ProjImmoDepuisPLDist",RIGHT(LEFT(C2360,LEN(C2360)-1),2))</f>
        <v>ProjImmoDepuisPLDist41</v>
      </c>
      <c r="F2360" t="s">
        <v>17</v>
      </c>
      <c r="G2360">
        <f t="shared" si="682"/>
        <v>0</v>
      </c>
      <c r="J2360" t="s">
        <v>88</v>
      </c>
      <c r="K2360">
        <v>20</v>
      </c>
      <c r="M2360" t="s">
        <v>303</v>
      </c>
    </row>
    <row r="2361" spans="1:13" outlineLevel="1" x14ac:dyDescent="0.25">
      <c r="A2361" t="s">
        <v>300</v>
      </c>
      <c r="B2361" t="s">
        <v>426</v>
      </c>
      <c r="C2361" t="str">
        <f>_xlfn.CONCAT("Nombre de trajets associés"," (",'Remplissage - Sit. Expost'!$B$423,")")</f>
        <v>Nombre de trajets associés (Catégorie 41)</v>
      </c>
      <c r="E2361" t="str">
        <f>_xlfn.CONCAT("ProjImmoDepuisPLNbTraj",RIGHT(LEFT(C2361,LEN(C2361)-1),2))</f>
        <v>ProjImmoDepuisPLNbTraj41</v>
      </c>
      <c r="F2361" t="s">
        <v>17</v>
      </c>
      <c r="G2361">
        <f t="shared" si="682"/>
        <v>0</v>
      </c>
      <c r="J2361" t="s">
        <v>145</v>
      </c>
      <c r="K2361">
        <v>5</v>
      </c>
      <c r="M2361" t="s">
        <v>303</v>
      </c>
    </row>
    <row r="2362" spans="1:13" outlineLevel="1" x14ac:dyDescent="0.25">
      <c r="A2362" t="s">
        <v>300</v>
      </c>
      <c r="B2362" t="s">
        <v>427</v>
      </c>
      <c r="C2362" t="str">
        <f>_xlfn.CONCAT("Taux de chargement moyen des véhicules pour l'accès au(x) projet(s) depuis la plateforme"," (",'Remplissage - Sit. Expost'!$B$433,")")</f>
        <v>Taux de chargement moyen des véhicules pour l'accès au(x) projet(s) depuis la plateforme (Catégorie 42)</v>
      </c>
      <c r="E2362" t="str">
        <f>_xlfn.CONCAT("ProjImmoDepuisPLTC",RIGHT(LEFT(C2362,LEN(C2362)-1),2))</f>
        <v>ProjImmoDepuisPLTC42</v>
      </c>
      <c r="F2362" t="s">
        <v>17</v>
      </c>
      <c r="G2362">
        <f t="shared" si="682"/>
        <v>0</v>
      </c>
      <c r="H2362" s="3"/>
      <c r="J2362" t="s">
        <v>70</v>
      </c>
      <c r="K2362" s="7">
        <v>0.6</v>
      </c>
      <c r="M2362" t="s">
        <v>303</v>
      </c>
    </row>
    <row r="2363" spans="1:13" outlineLevel="1" x14ac:dyDescent="0.25">
      <c r="A2363" t="s">
        <v>300</v>
      </c>
      <c r="B2363" t="s">
        <v>427</v>
      </c>
      <c r="C2363" t="str">
        <f>_xlfn.CONCAT("Distance parcourue associée"," (",'Remplissage - Sit. Expost'!$B$433,")")</f>
        <v>Distance parcourue associée (Catégorie 42)</v>
      </c>
      <c r="E2363" t="str">
        <f>_xlfn.CONCAT("ProjImmoDepuisPLDist",RIGHT(LEFT(C2363,LEN(C2363)-1),2))</f>
        <v>ProjImmoDepuisPLDist42</v>
      </c>
      <c r="F2363" t="s">
        <v>17</v>
      </c>
      <c r="G2363">
        <f t="shared" si="682"/>
        <v>0</v>
      </c>
      <c r="J2363" t="s">
        <v>88</v>
      </c>
      <c r="K2363">
        <v>20</v>
      </c>
      <c r="M2363" t="s">
        <v>303</v>
      </c>
    </row>
    <row r="2364" spans="1:13" outlineLevel="1" x14ac:dyDescent="0.25">
      <c r="A2364" t="s">
        <v>300</v>
      </c>
      <c r="B2364" t="s">
        <v>427</v>
      </c>
      <c r="C2364" t="str">
        <f>_xlfn.CONCAT("Nombre de trajets associés"," (",'Remplissage - Sit. Expost'!$B$433,")")</f>
        <v>Nombre de trajets associés (Catégorie 42)</v>
      </c>
      <c r="E2364" t="str">
        <f>_xlfn.CONCAT("ProjImmoDepuisPLNbTraj",RIGHT(LEFT(C2364,LEN(C2364)-1),2))</f>
        <v>ProjImmoDepuisPLNbTraj42</v>
      </c>
      <c r="F2364" t="s">
        <v>17</v>
      </c>
      <c r="G2364">
        <f t="shared" si="682"/>
        <v>0</v>
      </c>
      <c r="J2364" t="s">
        <v>145</v>
      </c>
      <c r="K2364">
        <v>5</v>
      </c>
      <c r="M2364" t="s">
        <v>303</v>
      </c>
    </row>
    <row r="2365" spans="1:13" outlineLevel="1" x14ac:dyDescent="0.25">
      <c r="A2365" t="s">
        <v>300</v>
      </c>
      <c r="B2365" t="s">
        <v>428</v>
      </c>
      <c r="C2365" t="str">
        <f>_xlfn.CONCAT("Taux de chargement moyen des véhicules pour l'accès au(x) projet(s) depuis la plateforme"," (",'Remplissage - Sit. Expost'!$B$443,")")</f>
        <v>Taux de chargement moyen des véhicules pour l'accès au(x) projet(s) depuis la plateforme (Catégorie 43)</v>
      </c>
      <c r="E2365" t="str">
        <f>_xlfn.CONCAT("ProjImmoDepuisPLTC",RIGHT(LEFT(C2365,LEN(C2365)-1),2))</f>
        <v>ProjImmoDepuisPLTC43</v>
      </c>
      <c r="F2365" t="s">
        <v>17</v>
      </c>
      <c r="G2365">
        <f t="shared" si="682"/>
        <v>0</v>
      </c>
      <c r="H2365" s="3"/>
      <c r="J2365" t="s">
        <v>70</v>
      </c>
      <c r="K2365" s="7">
        <v>0.6</v>
      </c>
      <c r="M2365" t="s">
        <v>303</v>
      </c>
    </row>
    <row r="2366" spans="1:13" outlineLevel="1" x14ac:dyDescent="0.25">
      <c r="A2366" t="s">
        <v>300</v>
      </c>
      <c r="B2366" t="s">
        <v>428</v>
      </c>
      <c r="C2366" t="str">
        <f>_xlfn.CONCAT("Distance parcourue associée"," (",'Remplissage - Sit. Expost'!$B$443,")")</f>
        <v>Distance parcourue associée (Catégorie 43)</v>
      </c>
      <c r="E2366" t="str">
        <f>_xlfn.CONCAT("ProjImmoDepuisPLDist",RIGHT(LEFT(C2366,LEN(C2366)-1),2))</f>
        <v>ProjImmoDepuisPLDist43</v>
      </c>
      <c r="F2366" t="s">
        <v>17</v>
      </c>
      <c r="G2366">
        <f t="shared" si="682"/>
        <v>0</v>
      </c>
      <c r="J2366" t="s">
        <v>88</v>
      </c>
      <c r="K2366">
        <v>20</v>
      </c>
      <c r="M2366" t="s">
        <v>303</v>
      </c>
    </row>
    <row r="2367" spans="1:13" outlineLevel="1" x14ac:dyDescent="0.25">
      <c r="A2367" t="s">
        <v>300</v>
      </c>
      <c r="B2367" t="s">
        <v>428</v>
      </c>
      <c r="C2367" t="str">
        <f>_xlfn.CONCAT("Nombre de trajets associés"," (",'Remplissage - Sit. Expost'!$B$443,")")</f>
        <v>Nombre de trajets associés (Catégorie 43)</v>
      </c>
      <c r="E2367" t="str">
        <f>_xlfn.CONCAT("ProjImmoDepuisPLNbTraj",RIGHT(LEFT(C2367,LEN(C2367)-1),2))</f>
        <v>ProjImmoDepuisPLNbTraj43</v>
      </c>
      <c r="F2367" t="s">
        <v>17</v>
      </c>
      <c r="G2367">
        <f t="shared" si="682"/>
        <v>0</v>
      </c>
      <c r="J2367" t="s">
        <v>145</v>
      </c>
      <c r="K2367">
        <v>5</v>
      </c>
      <c r="M2367" t="s">
        <v>303</v>
      </c>
    </row>
    <row r="2368" spans="1:13" outlineLevel="1" x14ac:dyDescent="0.25">
      <c r="A2368" t="s">
        <v>300</v>
      </c>
      <c r="B2368" t="s">
        <v>429</v>
      </c>
      <c r="C2368" t="str">
        <f>_xlfn.CONCAT("Taux de chargement moyen des véhicules pour l'accès au(x) projet(s) depuis la plateforme"," (",'Remplissage - Sit. Expost'!$B$453,")")</f>
        <v>Taux de chargement moyen des véhicules pour l'accès au(x) projet(s) depuis la plateforme (Catégorie 44)</v>
      </c>
      <c r="E2368" t="str">
        <f>_xlfn.CONCAT("ProjImmoDepuisPLTC",RIGHT(LEFT(C2368,LEN(C2368)-1),2))</f>
        <v>ProjImmoDepuisPLTC44</v>
      </c>
      <c r="F2368" t="s">
        <v>17</v>
      </c>
      <c r="G2368">
        <f t="shared" ref="G2368:G2373" si="683">IF(ISNUMBER(SEARCH(B2368,$H$2234)),1,0)</f>
        <v>1</v>
      </c>
      <c r="H2368" s="3"/>
      <c r="J2368" t="s">
        <v>70</v>
      </c>
      <c r="K2368" s="7">
        <v>0.6</v>
      </c>
      <c r="M2368" t="s">
        <v>303</v>
      </c>
    </row>
    <row r="2369" spans="1:13" outlineLevel="1" x14ac:dyDescent="0.25">
      <c r="A2369" t="s">
        <v>300</v>
      </c>
      <c r="B2369" t="s">
        <v>429</v>
      </c>
      <c r="C2369" t="str">
        <f>_xlfn.CONCAT("Distance parcourue associée"," (",'Remplissage - Sit. Expost'!$B$453,")")</f>
        <v>Distance parcourue associée (Catégorie 44)</v>
      </c>
      <c r="E2369" t="str">
        <f>_xlfn.CONCAT("ProjImmoDepuisPLDist",RIGHT(LEFT(C2369,LEN(C2369)-1),2))</f>
        <v>ProjImmoDepuisPLDist44</v>
      </c>
      <c r="F2369" t="s">
        <v>17</v>
      </c>
      <c r="G2369">
        <f t="shared" si="683"/>
        <v>1</v>
      </c>
      <c r="J2369" t="s">
        <v>88</v>
      </c>
      <c r="K2369">
        <v>20</v>
      </c>
      <c r="M2369" t="s">
        <v>303</v>
      </c>
    </row>
    <row r="2370" spans="1:13" outlineLevel="1" x14ac:dyDescent="0.25">
      <c r="A2370" t="s">
        <v>300</v>
      </c>
      <c r="B2370" t="s">
        <v>429</v>
      </c>
      <c r="C2370" t="str">
        <f>_xlfn.CONCAT("Nombre de trajets associés"," (",'Remplissage - Sit. Expost'!$B$453,")")</f>
        <v>Nombre de trajets associés (Catégorie 44)</v>
      </c>
      <c r="E2370" t="str">
        <f>_xlfn.CONCAT("ProjImmoDepuisPLNbTraj",RIGHT(LEFT(C2370,LEN(C2370)-1),2))</f>
        <v>ProjImmoDepuisPLNbTraj44</v>
      </c>
      <c r="F2370" t="s">
        <v>17</v>
      </c>
      <c r="G2370">
        <f t="shared" si="683"/>
        <v>1</v>
      </c>
      <c r="J2370" t="s">
        <v>145</v>
      </c>
      <c r="K2370">
        <v>5</v>
      </c>
      <c r="M2370" t="s">
        <v>303</v>
      </c>
    </row>
    <row r="2371" spans="1:13" outlineLevel="1" x14ac:dyDescent="0.25">
      <c r="A2371" t="s">
        <v>300</v>
      </c>
      <c r="B2371" t="s">
        <v>387</v>
      </c>
      <c r="C2371" t="str">
        <f>_xlfn.CONCAT("Taux de chargement moyen des véhicules pour l'accès au(x) projet(s) depuis la plateforme"," (",'Remplissage - Sit. Expost'!$B$463,")")</f>
        <v>Taux de chargement moyen des véhicules pour l'accès au(x) projet(s) depuis la plateforme (Catégorie 45)</v>
      </c>
      <c r="E2371" t="str">
        <f>_xlfn.CONCAT("ProjImmoDepuisPLTC",RIGHT(LEFT(C2371,LEN(C2371)-1),2))</f>
        <v>ProjImmoDepuisPLTC45</v>
      </c>
      <c r="F2371" t="s">
        <v>17</v>
      </c>
      <c r="G2371">
        <f t="shared" si="683"/>
        <v>0</v>
      </c>
      <c r="H2371" s="3"/>
      <c r="J2371" t="s">
        <v>70</v>
      </c>
      <c r="K2371" s="7">
        <v>0.6</v>
      </c>
      <c r="M2371" t="s">
        <v>303</v>
      </c>
    </row>
    <row r="2372" spans="1:13" outlineLevel="1" x14ac:dyDescent="0.25">
      <c r="A2372" t="s">
        <v>300</v>
      </c>
      <c r="B2372" t="s">
        <v>387</v>
      </c>
      <c r="C2372" t="str">
        <f>_xlfn.CONCAT("Distance parcourue associée"," (",'Remplissage - Sit. Expost'!$B$463,")")</f>
        <v>Distance parcourue associée (Catégorie 45)</v>
      </c>
      <c r="E2372" t="str">
        <f>_xlfn.CONCAT("ProjImmoDepuisPLDist",RIGHT(LEFT(C2372,LEN(C2372)-1),2))</f>
        <v>ProjImmoDepuisPLDist45</v>
      </c>
      <c r="F2372" t="s">
        <v>17</v>
      </c>
      <c r="G2372">
        <f t="shared" si="683"/>
        <v>0</v>
      </c>
      <c r="J2372" t="s">
        <v>88</v>
      </c>
      <c r="K2372">
        <v>20</v>
      </c>
      <c r="M2372" t="s">
        <v>303</v>
      </c>
    </row>
    <row r="2373" spans="1:13" outlineLevel="1" x14ac:dyDescent="0.25">
      <c r="A2373" t="s">
        <v>300</v>
      </c>
      <c r="B2373" t="s">
        <v>387</v>
      </c>
      <c r="C2373" t="str">
        <f>_xlfn.CONCAT("Nombre de trajets associés"," (",'Remplissage - Sit. Expost'!$B$463,")")</f>
        <v>Nombre de trajets associés (Catégorie 45)</v>
      </c>
      <c r="E2373" t="str">
        <f>_xlfn.CONCAT("ProjImmoDepuisPLNbTraj",RIGHT(LEFT(C2373,LEN(C2373)-1),2))</f>
        <v>ProjImmoDepuisPLNbTraj45</v>
      </c>
      <c r="F2373" t="s">
        <v>17</v>
      </c>
      <c r="G2373">
        <f t="shared" si="683"/>
        <v>0</v>
      </c>
      <c r="J2373" t="s">
        <v>145</v>
      </c>
      <c r="K2373">
        <v>5</v>
      </c>
      <c r="M2373" t="s">
        <v>303</v>
      </c>
    </row>
    <row r="2374" spans="1:13" x14ac:dyDescent="0.25">
      <c r="A2374" t="s">
        <v>367</v>
      </c>
      <c r="C2374" t="s">
        <v>368</v>
      </c>
      <c r="E2374" t="s">
        <v>369</v>
      </c>
      <c r="F2374" t="s">
        <v>17</v>
      </c>
      <c r="G2374">
        <f>IF(OR(ISNUMBER(SEARCH("C9",$H$18)),ISNUMBER(SEARCH("C9",$H$17))),1,0)</f>
        <v>1</v>
      </c>
      <c r="H2374">
        <v>180</v>
      </c>
      <c r="J2374" t="s">
        <v>370</v>
      </c>
      <c r="K2374" s="2">
        <f>ROUND(0.0005*$H$5/2,0)</f>
        <v>0</v>
      </c>
      <c r="M2374" t="s">
        <v>371</v>
      </c>
    </row>
    <row r="2375" spans="1:13" x14ac:dyDescent="0.25">
      <c r="A2375" t="s">
        <v>367</v>
      </c>
      <c r="C2375" t="s">
        <v>372</v>
      </c>
      <c r="E2375" t="s">
        <v>373</v>
      </c>
      <c r="F2375" t="s">
        <v>17</v>
      </c>
      <c r="G2375">
        <f>IF(OR(ISNUMBER(SEARCH("C9",$H$18)),ISNUMBER(SEARCH("C9",$H$17))),1,0)</f>
        <v>1</v>
      </c>
      <c r="H2375">
        <v>180</v>
      </c>
      <c r="J2375" t="s">
        <v>374</v>
      </c>
      <c r="K2375" s="2">
        <f>ROUND(0.0005*$H$5/2,0)</f>
        <v>0</v>
      </c>
      <c r="M2375" t="s">
        <v>371</v>
      </c>
    </row>
    <row r="2376" spans="1:13" x14ac:dyDescent="0.25">
      <c r="A2376" t="s">
        <v>367</v>
      </c>
      <c r="C2376" t="s">
        <v>469</v>
      </c>
      <c r="E2376" t="s">
        <v>376</v>
      </c>
      <c r="F2376" t="s">
        <v>17</v>
      </c>
      <c r="G2376">
        <f>IF(OR(ISNUMBER(SEARCH("C9",$H$18)),ISNUMBER(SEARCH("C9",$H$17))),1,0)</f>
        <v>1</v>
      </c>
      <c r="H2376">
        <v>26</v>
      </c>
      <c r="J2376" t="s">
        <v>377</v>
      </c>
      <c r="K2376">
        <f>14*POWER(1.074,$H$2-2019)</f>
        <v>26.617457417056563</v>
      </c>
    </row>
    <row r="2377" spans="1:13" x14ac:dyDescent="0.25">
      <c r="A2377" t="s">
        <v>367</v>
      </c>
      <c r="C2377" t="s">
        <v>378</v>
      </c>
      <c r="E2377" t="s">
        <v>379</v>
      </c>
      <c r="F2377" t="s">
        <v>17</v>
      </c>
      <c r="G2377">
        <f>IF(OR(ISNUMBER(SEARCH("C9",$H$18)),ISNUMBER(SEARCH("C9",$H$17))),1,0)</f>
        <v>1</v>
      </c>
      <c r="H2377" s="3">
        <v>0.2</v>
      </c>
      <c r="J2377" t="s">
        <v>70</v>
      </c>
      <c r="K2377" s="3">
        <v>0.5</v>
      </c>
      <c r="M2377" t="s">
        <v>371</v>
      </c>
    </row>
    <row r="2378" spans="1:13" x14ac:dyDescent="0.25">
      <c r="A2378" t="s">
        <v>367</v>
      </c>
      <c r="C2378" t="s">
        <v>380</v>
      </c>
      <c r="E2378" t="s">
        <v>381</v>
      </c>
      <c r="F2378" t="s">
        <v>17</v>
      </c>
      <c r="G2378">
        <f>IF(OR(ISNUMBER(SEARCH("C9",$H$18)),ISNUMBER(SEARCH("C9",$H$17))),1,0)</f>
        <v>1</v>
      </c>
      <c r="H2378" s="3">
        <v>0.8</v>
      </c>
      <c r="J2378" t="s">
        <v>70</v>
      </c>
      <c r="K2378" s="3">
        <v>0.5</v>
      </c>
      <c r="M2378" t="s">
        <v>371</v>
      </c>
    </row>
  </sheetData>
  <autoFilter ref="A1:N2378" xr:uid="{00000000-0009-0000-0000-00000A000000}"/>
  <conditionalFormatting sqref="E2">
    <cfRule type="duplicateValues" dxfId="53" priority="15"/>
  </conditionalFormatting>
  <conditionalFormatting sqref="E17">
    <cfRule type="duplicateValues" dxfId="52" priority="13"/>
  </conditionalFormatting>
  <conditionalFormatting sqref="E1115">
    <cfRule type="duplicateValues" dxfId="51" priority="11"/>
  </conditionalFormatting>
  <conditionalFormatting sqref="E1119:E1138">
    <cfRule type="duplicateValues" dxfId="50" priority="6"/>
  </conditionalFormatting>
  <conditionalFormatting sqref="E1139:E1208">
    <cfRule type="duplicateValues" dxfId="49" priority="5"/>
  </conditionalFormatting>
  <conditionalFormatting sqref="E1213:E1302">
    <cfRule type="duplicateValues" dxfId="48" priority="4"/>
  </conditionalFormatting>
  <conditionalFormatting sqref="E1307:E1396">
    <cfRule type="duplicateValues" dxfId="47" priority="3"/>
  </conditionalFormatting>
  <conditionalFormatting sqref="E1397">
    <cfRule type="duplicateValues" dxfId="46" priority="8"/>
  </conditionalFormatting>
  <conditionalFormatting sqref="E1400:E1403">
    <cfRule type="duplicateValues" dxfId="45" priority="9"/>
  </conditionalFormatting>
  <conditionalFormatting sqref="E1691">
    <cfRule type="duplicateValues" dxfId="44" priority="18"/>
  </conditionalFormatting>
  <conditionalFormatting sqref="E1692:E1746">
    <cfRule type="duplicateValues" dxfId="43" priority="30"/>
  </conditionalFormatting>
  <conditionalFormatting sqref="E1747:E1918">
    <cfRule type="duplicateValues" dxfId="42" priority="1"/>
  </conditionalFormatting>
  <conditionalFormatting sqref="E1920">
    <cfRule type="duplicateValues" dxfId="41" priority="26"/>
  </conditionalFormatting>
  <conditionalFormatting sqref="E1921">
    <cfRule type="duplicateValues" dxfId="40" priority="25"/>
  </conditionalFormatting>
  <conditionalFormatting sqref="E1924">
    <cfRule type="duplicateValues" dxfId="39" priority="23"/>
  </conditionalFormatting>
  <conditionalFormatting sqref="E1925:E1926">
    <cfRule type="duplicateValues" dxfId="38" priority="24"/>
  </conditionalFormatting>
  <conditionalFormatting sqref="E1929">
    <cfRule type="duplicateValues" dxfId="37" priority="21"/>
  </conditionalFormatting>
  <conditionalFormatting sqref="E1930:E1931">
    <cfRule type="duplicateValues" dxfId="36" priority="22"/>
  </conditionalFormatting>
  <conditionalFormatting sqref="E1934">
    <cfRule type="duplicateValues" dxfId="35" priority="19"/>
  </conditionalFormatting>
  <conditionalFormatting sqref="E1935:E1936">
    <cfRule type="duplicateValues" dxfId="34" priority="20"/>
  </conditionalFormatting>
  <conditionalFormatting sqref="E1938:E1941">
    <cfRule type="duplicateValues" dxfId="33" priority="17"/>
  </conditionalFormatting>
  <conditionalFormatting sqref="E1953">
    <cfRule type="duplicateValues" dxfId="32" priority="12"/>
  </conditionalFormatting>
  <conditionalFormatting sqref="E2377:E1048576 E1937 E1919 E1922:E1923 E1927:E1928 E1932:E1933 E1942:E1952 E1 E3 E5:E16 E18:E22 E1116:E1118 E1111:E1114 E1398:E1399 E1089:E1108 E1209:E1212 E1303:E1306 E1404:E1690 E1954:E2375">
    <cfRule type="duplicateValues" dxfId="31" priority="28"/>
  </conditionalFormatting>
  <conditionalFormatting sqref="E4:F4">
    <cfRule type="duplicateValues" dxfId="30" priority="14"/>
  </conditionalFormatting>
  <conditionalFormatting sqref="E1109:F1109">
    <cfRule type="duplicateValues" dxfId="29" priority="7"/>
  </conditionalFormatting>
  <conditionalFormatting sqref="E1110:F1110">
    <cfRule type="duplicateValues" dxfId="28" priority="10"/>
  </conditionalFormatting>
  <conditionalFormatting sqref="E2376:F2376">
    <cfRule type="duplicateValues" dxfId="27" priority="16"/>
  </conditionalFormatting>
  <conditionalFormatting sqref="F464 F324 F114 F24 F34 F44 F54 F64 F74 F84 F94 F104 F124 F134 F144 F154 F164 F174 F184 F194 F204 F214 F224 F234 F244 F254 F264 F274 F284 F294 F304 F314 F334 F344 F354 F364 F374 F384 F394 F404 F414 F424 F434 F444 F454 E23:E472">
    <cfRule type="duplicateValues" dxfId="26" priority="29"/>
  </conditionalFormatting>
  <conditionalFormatting sqref="F474 F485 F496 F507 F518 F529 F540 F551 F562 F573 F584 F595 F606 F617 F628 F639 F650 F661 F672 F683 F694 F705 F716 F727 F738 F749 F760 F771 F782 F793 F804 F815 F826 F837 F848 F859 F870 F881 F892 F903 F914 F925 F936 F947 F958 F969 F980 F991 F1002 F1013 F1024 F1035 F1046 F1057 F1068 F1079 E473:E1088">
    <cfRule type="duplicateValues" dxfId="25" priority="2"/>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0C51B-F6A6-4FBB-A7CB-C550BDFB2112}">
  <sheetPr>
    <tabColor theme="5"/>
  </sheetPr>
  <dimension ref="A1:AE2005"/>
  <sheetViews>
    <sheetView showGridLines="0" zoomScale="52" zoomScaleNormal="60" workbookViewId="0">
      <selection activeCell="E49" sqref="E49"/>
    </sheetView>
  </sheetViews>
  <sheetFormatPr baseColWidth="10" defaultRowHeight="15" outlineLevelRow="1" x14ac:dyDescent="0.25"/>
  <cols>
    <col min="1" max="1" width="50.5703125" customWidth="1"/>
    <col min="2" max="2" width="27.5703125" customWidth="1"/>
    <col min="3" max="3" width="95.85546875" customWidth="1"/>
    <col min="4" max="4" width="12.7109375" customWidth="1"/>
    <col min="5" max="5" width="49" customWidth="1"/>
    <col min="8" max="8" width="26.5703125" customWidth="1"/>
    <col min="9" max="9" width="17.7109375" customWidth="1"/>
    <col min="11" max="11" width="18.28515625" customWidth="1"/>
    <col min="12" max="12" width="14.7109375" customWidth="1"/>
    <col min="13" max="13" width="16.5703125" customWidth="1"/>
    <col min="14" max="14" width="22.4257812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1229</v>
      </c>
    </row>
    <row r="2" spans="1:15" x14ac:dyDescent="0.25">
      <c r="A2" t="s">
        <v>14</v>
      </c>
      <c r="B2" s="1"/>
      <c r="C2" t="s">
        <v>1230</v>
      </c>
      <c r="D2" s="1"/>
      <c r="E2" s="32" t="s">
        <v>16</v>
      </c>
      <c r="F2" t="s">
        <v>17</v>
      </c>
      <c r="G2">
        <v>1</v>
      </c>
      <c r="N2">
        <v>1</v>
      </c>
      <c r="O2">
        <f t="shared" ref="O2:O16" si="0">ROW(O2)-1</f>
        <v>1</v>
      </c>
    </row>
    <row r="3" spans="1:15" x14ac:dyDescent="0.25">
      <c r="A3" t="s">
        <v>434</v>
      </c>
      <c r="C3" t="s">
        <v>461</v>
      </c>
      <c r="E3" t="s">
        <v>460</v>
      </c>
      <c r="F3" t="s">
        <v>17</v>
      </c>
      <c r="G3">
        <v>0</v>
      </c>
      <c r="H3" s="35"/>
      <c r="J3" t="s">
        <v>27</v>
      </c>
    </row>
    <row r="4" spans="1:15" x14ac:dyDescent="0.25">
      <c r="A4" t="s">
        <v>434</v>
      </c>
      <c r="C4" t="s">
        <v>459</v>
      </c>
      <c r="E4" t="s">
        <v>458</v>
      </c>
      <c r="F4" t="s">
        <v>17</v>
      </c>
      <c r="G4">
        <v>0</v>
      </c>
      <c r="H4" s="35"/>
      <c r="J4" t="s">
        <v>30</v>
      </c>
    </row>
    <row r="5" spans="1:15" x14ac:dyDescent="0.25">
      <c r="A5" t="s">
        <v>434</v>
      </c>
      <c r="C5" t="s">
        <v>1231</v>
      </c>
      <c r="E5" t="s">
        <v>1232</v>
      </c>
      <c r="F5" t="s">
        <v>17</v>
      </c>
      <c r="G5">
        <v>1</v>
      </c>
      <c r="H5" s="36"/>
      <c r="J5" t="s">
        <v>70</v>
      </c>
      <c r="O5">
        <f t="shared" si="0"/>
        <v>4</v>
      </c>
    </row>
    <row r="6" spans="1:15" x14ac:dyDescent="0.25">
      <c r="A6" t="s">
        <v>434</v>
      </c>
      <c r="B6" t="s">
        <v>1233</v>
      </c>
      <c r="C6" t="s">
        <v>173</v>
      </c>
      <c r="E6" t="s">
        <v>1234</v>
      </c>
      <c r="F6" t="s">
        <v>17</v>
      </c>
      <c r="G6">
        <v>1</v>
      </c>
      <c r="H6" s="36"/>
      <c r="J6" t="s">
        <v>70</v>
      </c>
      <c r="O6">
        <f t="shared" si="0"/>
        <v>5</v>
      </c>
    </row>
    <row r="7" spans="1:15" x14ac:dyDescent="0.25">
      <c r="A7" t="s">
        <v>434</v>
      </c>
      <c r="B7" t="s">
        <v>1233</v>
      </c>
      <c r="C7" t="s">
        <v>1235</v>
      </c>
      <c r="E7" t="s">
        <v>1236</v>
      </c>
      <c r="F7" t="s">
        <v>17</v>
      </c>
      <c r="G7">
        <v>1</v>
      </c>
      <c r="H7" s="36"/>
      <c r="J7" t="s">
        <v>70</v>
      </c>
      <c r="O7">
        <f t="shared" si="0"/>
        <v>6</v>
      </c>
    </row>
    <row r="8" spans="1:15" x14ac:dyDescent="0.25">
      <c r="A8" t="s">
        <v>434</v>
      </c>
      <c r="B8" t="s">
        <v>1233</v>
      </c>
      <c r="C8" t="s">
        <v>177</v>
      </c>
      <c r="E8" t="s">
        <v>1237</v>
      </c>
      <c r="F8" t="s">
        <v>36</v>
      </c>
      <c r="G8">
        <v>1</v>
      </c>
      <c r="H8" s="36"/>
      <c r="J8" t="s">
        <v>70</v>
      </c>
      <c r="O8">
        <f t="shared" si="0"/>
        <v>7</v>
      </c>
    </row>
    <row r="9" spans="1:15" x14ac:dyDescent="0.25">
      <c r="A9" t="s">
        <v>434</v>
      </c>
      <c r="B9" t="s">
        <v>1233</v>
      </c>
      <c r="C9" t="s">
        <v>179</v>
      </c>
      <c r="E9" t="s">
        <v>1238</v>
      </c>
      <c r="F9" t="s">
        <v>17</v>
      </c>
      <c r="G9">
        <v>1</v>
      </c>
      <c r="H9" s="36"/>
      <c r="J9" t="s">
        <v>70</v>
      </c>
      <c r="O9">
        <f t="shared" si="0"/>
        <v>8</v>
      </c>
    </row>
    <row r="10" spans="1:15" x14ac:dyDescent="0.25">
      <c r="A10" t="s">
        <v>434</v>
      </c>
      <c r="B10" t="s">
        <v>1233</v>
      </c>
      <c r="C10" t="s">
        <v>181</v>
      </c>
      <c r="E10" t="s">
        <v>1239</v>
      </c>
      <c r="F10" t="s">
        <v>17</v>
      </c>
      <c r="G10">
        <v>1</v>
      </c>
      <c r="H10" s="36"/>
      <c r="J10" t="s">
        <v>70</v>
      </c>
      <c r="O10">
        <f t="shared" si="0"/>
        <v>9</v>
      </c>
    </row>
    <row r="11" spans="1:15" x14ac:dyDescent="0.25">
      <c r="A11" t="s">
        <v>434</v>
      </c>
      <c r="B11" t="s">
        <v>1240</v>
      </c>
      <c r="C11" t="s">
        <v>76</v>
      </c>
      <c r="E11" t="s">
        <v>1241</v>
      </c>
      <c r="F11" t="s">
        <v>17</v>
      </c>
      <c r="G11">
        <v>1</v>
      </c>
      <c r="H11" s="36"/>
      <c r="J11" t="s">
        <v>70</v>
      </c>
      <c r="O11">
        <f t="shared" si="0"/>
        <v>10</v>
      </c>
    </row>
    <row r="12" spans="1:15" x14ac:dyDescent="0.25">
      <c r="A12" t="s">
        <v>434</v>
      </c>
      <c r="B12" t="s">
        <v>1240</v>
      </c>
      <c r="C12" t="s">
        <v>152</v>
      </c>
      <c r="E12" t="s">
        <v>1242</v>
      </c>
      <c r="F12" t="s">
        <v>17</v>
      </c>
      <c r="G12">
        <v>1</v>
      </c>
      <c r="H12" s="36"/>
      <c r="J12" t="s">
        <v>70</v>
      </c>
      <c r="O12">
        <f t="shared" si="0"/>
        <v>11</v>
      </c>
    </row>
    <row r="13" spans="1:15" x14ac:dyDescent="0.25">
      <c r="A13" t="s">
        <v>434</v>
      </c>
      <c r="B13" t="s">
        <v>1240</v>
      </c>
      <c r="C13" t="s">
        <v>134</v>
      </c>
      <c r="E13" t="s">
        <v>1243</v>
      </c>
      <c r="F13" t="s">
        <v>17</v>
      </c>
      <c r="G13">
        <v>1</v>
      </c>
      <c r="H13" s="36"/>
      <c r="J13" t="s">
        <v>70</v>
      </c>
      <c r="O13">
        <f t="shared" si="0"/>
        <v>12</v>
      </c>
    </row>
    <row r="14" spans="1:15" x14ac:dyDescent="0.25">
      <c r="A14" t="s">
        <v>434</v>
      </c>
      <c r="B14" t="s">
        <v>1240</v>
      </c>
      <c r="C14" t="s">
        <v>163</v>
      </c>
      <c r="E14" t="s">
        <v>1244</v>
      </c>
      <c r="F14" t="s">
        <v>17</v>
      </c>
      <c r="G14">
        <v>1</v>
      </c>
      <c r="H14" s="36"/>
      <c r="J14" t="s">
        <v>70</v>
      </c>
      <c r="O14">
        <f t="shared" si="0"/>
        <v>13</v>
      </c>
    </row>
    <row r="15" spans="1:15" x14ac:dyDescent="0.25">
      <c r="A15" t="s">
        <v>434</v>
      </c>
      <c r="C15" t="s">
        <v>1245</v>
      </c>
      <c r="E15" t="s">
        <v>1246</v>
      </c>
      <c r="F15" t="s">
        <v>17</v>
      </c>
      <c r="G15">
        <v>1</v>
      </c>
      <c r="H15" s="36"/>
      <c r="J15" t="s">
        <v>70</v>
      </c>
      <c r="O15">
        <f t="shared" si="0"/>
        <v>14</v>
      </c>
    </row>
    <row r="16" spans="1:15" x14ac:dyDescent="0.25">
      <c r="A16" t="s">
        <v>434</v>
      </c>
      <c r="C16" t="s">
        <v>1247</v>
      </c>
      <c r="E16" t="s">
        <v>1248</v>
      </c>
      <c r="F16" t="s">
        <v>36</v>
      </c>
      <c r="G16">
        <v>1</v>
      </c>
      <c r="I16" t="s">
        <v>75</v>
      </c>
      <c r="O16">
        <f t="shared" si="0"/>
        <v>15</v>
      </c>
    </row>
    <row r="17" spans="1:12" x14ac:dyDescent="0.25">
      <c r="A17" t="s">
        <v>1249</v>
      </c>
      <c r="B17" t="s">
        <v>1250</v>
      </c>
      <c r="C17" t="str">
        <f ca="1">_xlfn.CONCAT("Evolution visée pour les ",INDIRECT("'Parcs types'!D"&amp;D17))</f>
        <v>Evolution visée pour les Nom</v>
      </c>
      <c r="D17" s="5">
        <v>7</v>
      </c>
      <c r="E17" t="str">
        <f>_xlfn.CONCAT(LEFT(B17,3),RIGHT(B17,1),"Vis")</f>
        <v>Evo1Vis</v>
      </c>
      <c r="F17" t="s">
        <v>17</v>
      </c>
      <c r="G17" s="5" cm="1">
        <f t="array" ref="G17">IF((INDEX('Remplissage - Sit. Init.'!$C$23:$I$472,MATCH((_xlfn.CONCAT("Catégorie "&amp;RIGHT(B17,1)))&amp;('Remplissage - Sit. Init.'!$D$30),('Remplissage - Sit. Init.'!$C$23:$C$472)&amp;('Remplissage - Sit. Init.'!$D$23:$D$472),0),7))&gt;0,1,0)</f>
        <v>0</v>
      </c>
      <c r="H17" s="36"/>
      <c r="J17" t="s">
        <v>70</v>
      </c>
      <c r="L17" s="32" t="s">
        <v>1251</v>
      </c>
    </row>
    <row r="18" spans="1:12" x14ac:dyDescent="0.25">
      <c r="A18" t="s">
        <v>1249</v>
      </c>
      <c r="B18" t="s">
        <v>1252</v>
      </c>
      <c r="C18" t="str">
        <f ca="1">_xlfn.CONCAT("Evolution visée du taux de remplissage pour les ",INDIRECT("'Parcs types'!D"&amp;D18))</f>
        <v>Evolution visée du taux de remplissage pour les Nom</v>
      </c>
      <c r="D18" s="5">
        <v>7</v>
      </c>
      <c r="E18" t="str">
        <f>_xlfn.CONCAT(LEFT(B18,3),RIGHT(B18,1),"VisTR")</f>
        <v>Evo1VisTR</v>
      </c>
      <c r="F18" t="s">
        <v>17</v>
      </c>
      <c r="G18" s="5" cm="1">
        <f t="array" ref="G18">IF((INDEX('Remplissage - Sit. Init.'!$C$23:$I$472,MATCH((_xlfn.CONCAT("Catégorie "&amp;RIGHT(B18,1)))&amp;('Remplissage - Sit. Init.'!$D$32),('Remplissage - Sit. Init.'!$C$23:$C$472)&amp;('Remplissage - Sit. Init.'!$D$23:$D$472),0),7))&gt;0,1,0)</f>
        <v>0</v>
      </c>
      <c r="H18" s="36"/>
      <c r="J18" t="s">
        <v>70</v>
      </c>
      <c r="K18" s="7"/>
      <c r="L18" s="32" t="s">
        <v>1253</v>
      </c>
    </row>
    <row r="19" spans="1:12" x14ac:dyDescent="0.25">
      <c r="A19" t="s">
        <v>1249</v>
      </c>
      <c r="B19" t="s">
        <v>1254</v>
      </c>
      <c r="C19" t="str">
        <f t="shared" ref="C19" ca="1" si="1">_xlfn.CONCAT("Evolution visée pour les ",INDIRECT("'Parcs types'!D"&amp;D19))</f>
        <v>Evolution visée pour les -</v>
      </c>
      <c r="D19" s="5">
        <v>8</v>
      </c>
      <c r="E19" t="str">
        <f>_xlfn.CONCAT(LEFT(B19,3),RIGHT(B19,1),"Vis")</f>
        <v>Evo2Vis</v>
      </c>
      <c r="F19" t="s">
        <v>17</v>
      </c>
      <c r="G19" s="5" cm="1">
        <f t="array" ref="G19">IF((INDEX('Remplissage - Sit. Init.'!$C$23:$I$472,MATCH((_xlfn.CONCAT("Catégorie "&amp;RIGHT(B19,1)))&amp;('Remplissage - Sit. Init.'!$D$30),('Remplissage - Sit. Init.'!$C$23:$C$472)&amp;('Remplissage - Sit. Init.'!$D$23:$D$472),0),7))&gt;0,1,0)</f>
        <v>0</v>
      </c>
      <c r="H19" s="36"/>
      <c r="J19" t="s">
        <v>70</v>
      </c>
      <c r="L19" s="32" t="s">
        <v>1251</v>
      </c>
    </row>
    <row r="20" spans="1:12" x14ac:dyDescent="0.25">
      <c r="A20" t="s">
        <v>1249</v>
      </c>
      <c r="B20" t="s">
        <v>1255</v>
      </c>
      <c r="C20" t="str">
        <f t="shared" ref="C20" ca="1" si="2">_xlfn.CONCAT("Evolution visée du taux de remplissage pour les ",INDIRECT("'Parcs types'!D"&amp;D20))</f>
        <v>Evolution visée du taux de remplissage pour les -</v>
      </c>
      <c r="D20" s="5">
        <v>8</v>
      </c>
      <c r="E20" t="str">
        <f>_xlfn.CONCAT(LEFT(B20,3),RIGHT(B20,1),"VisTR")</f>
        <v>Evo2VisTR</v>
      </c>
      <c r="F20" t="s">
        <v>17</v>
      </c>
      <c r="G20" s="5" cm="1">
        <f t="array" ref="G20">IF((INDEX('Remplissage - Sit. Init.'!$C$23:$I$472,MATCH((_xlfn.CONCAT("Catégorie "&amp;RIGHT(B20,1)))&amp;('Remplissage - Sit. Init.'!$D$32),('Remplissage - Sit. Init.'!$C$23:$C$472)&amp;('Remplissage - Sit. Init.'!$D$23:$D$472),0),7))&gt;0,1,0)</f>
        <v>0</v>
      </c>
      <c r="H20" s="36"/>
      <c r="J20" t="s">
        <v>70</v>
      </c>
      <c r="K20" s="7"/>
      <c r="L20" s="32" t="s">
        <v>1253</v>
      </c>
    </row>
    <row r="21" spans="1:12" x14ac:dyDescent="0.25">
      <c r="A21" t="s">
        <v>1249</v>
      </c>
      <c r="B21" t="s">
        <v>1256</v>
      </c>
      <c r="C21" t="str">
        <f t="shared" ref="C21" ca="1" si="3">_xlfn.CONCAT("Evolution visée pour les ",INDIRECT("'Parcs types'!D"&amp;D21))</f>
        <v>Evolution visée pour les Défaut</v>
      </c>
      <c r="D21" s="5">
        <v>9</v>
      </c>
      <c r="E21" t="str">
        <f t="shared" ref="E21" si="4">_xlfn.CONCAT(LEFT(B21,3),RIGHT(B21,1),"Vis")</f>
        <v>Evo3Vis</v>
      </c>
      <c r="F21" t="s">
        <v>17</v>
      </c>
      <c r="G21" s="5" cm="1">
        <f t="array" ref="G21">IF((INDEX('Remplissage - Sit. Init.'!$C$23:$I$472,MATCH((_xlfn.CONCAT("Catégorie "&amp;RIGHT(B21,1)))&amp;('Remplissage - Sit. Init.'!$D$30),('Remplissage - Sit. Init.'!$C$23:$C$472)&amp;('Remplissage - Sit. Init.'!$D$23:$D$472),0),7))&gt;0,1,0)</f>
        <v>0</v>
      </c>
      <c r="H21" s="36"/>
      <c r="J21" t="s">
        <v>70</v>
      </c>
      <c r="L21" s="32" t="s">
        <v>1251</v>
      </c>
    </row>
    <row r="22" spans="1:12" x14ac:dyDescent="0.25">
      <c r="A22" t="s">
        <v>1249</v>
      </c>
      <c r="B22" t="s">
        <v>1257</v>
      </c>
      <c r="C22" t="str">
        <f t="shared" ref="C22" ca="1" si="5">_xlfn.CONCAT("Evolution visée du taux de remplissage pour les ",INDIRECT("'Parcs types'!D"&amp;D22))</f>
        <v>Evolution visée du taux de remplissage pour les Défaut</v>
      </c>
      <c r="D22" s="5">
        <v>9</v>
      </c>
      <c r="E22" t="str">
        <f>_xlfn.CONCAT(LEFT(B22,3),RIGHT(B22,1),"VisTR")</f>
        <v>Evo3VisTR</v>
      </c>
      <c r="F22" t="s">
        <v>17</v>
      </c>
      <c r="G22" s="5" cm="1">
        <f t="array" ref="G22">IF((INDEX('Remplissage - Sit. Init.'!$C$23:$I$472,MATCH((_xlfn.CONCAT("Catégorie "&amp;RIGHT(B22,1)))&amp;('Remplissage - Sit. Init.'!$D$32),('Remplissage - Sit. Init.'!$C$23:$C$472)&amp;('Remplissage - Sit. Init.'!$D$23:$D$472),0),7))&gt;0,1,0)</f>
        <v>0</v>
      </c>
      <c r="H22" s="36"/>
      <c r="J22" t="s">
        <v>70</v>
      </c>
      <c r="K22" s="7"/>
      <c r="L22" s="32" t="s">
        <v>1253</v>
      </c>
    </row>
    <row r="23" spans="1:12" x14ac:dyDescent="0.25">
      <c r="A23" t="s">
        <v>1249</v>
      </c>
      <c r="B23" t="s">
        <v>1258</v>
      </c>
      <c r="C23" t="str">
        <f t="shared" ref="C23" ca="1" si="6">_xlfn.CONCAT("Evolution visée pour les ",INDIRECT("'Parcs types'!D"&amp;D23))</f>
        <v>Evolution visée pour les VUL Electrique (Crit'Air E)</v>
      </c>
      <c r="D23" s="5">
        <v>10</v>
      </c>
      <c r="E23" t="str">
        <f t="shared" ref="E23" si="7">_xlfn.CONCAT(LEFT(B23,3),RIGHT(B23,1),"Vis")</f>
        <v>Evo4Vis</v>
      </c>
      <c r="F23" t="s">
        <v>17</v>
      </c>
      <c r="G23" s="5" cm="1">
        <f t="array" ref="G23">IF((INDEX('Remplissage - Sit. Init.'!$C$23:$I$472,MATCH((_xlfn.CONCAT("Catégorie "&amp;RIGHT(B23,1)))&amp;('Remplissage - Sit. Init.'!$D$30),('Remplissage - Sit. Init.'!$C$23:$C$472)&amp;('Remplissage - Sit. Init.'!$D$23:$D$472),0),7))&gt;0,1,0)</f>
        <v>0</v>
      </c>
      <c r="H23" s="36"/>
      <c r="J23" t="s">
        <v>70</v>
      </c>
      <c r="L23" s="32" t="s">
        <v>1251</v>
      </c>
    </row>
    <row r="24" spans="1:12" x14ac:dyDescent="0.25">
      <c r="A24" t="s">
        <v>1249</v>
      </c>
      <c r="B24" t="s">
        <v>1259</v>
      </c>
      <c r="C24" t="str">
        <f t="shared" ref="C24" ca="1" si="8">_xlfn.CONCAT("Evolution visée du taux de remplissage pour les ",INDIRECT("'Parcs types'!D"&amp;D24))</f>
        <v>Evolution visée du taux de remplissage pour les VUL Electrique (Crit'Air E)</v>
      </c>
      <c r="D24" s="5">
        <v>10</v>
      </c>
      <c r="E24" t="str">
        <f>_xlfn.CONCAT(LEFT(B24,3),RIGHT(B24,1),"VisTR")</f>
        <v>Evo4VisTR</v>
      </c>
      <c r="F24" t="s">
        <v>17</v>
      </c>
      <c r="G24" s="5" cm="1">
        <f t="array" ref="G24">IF((INDEX('Remplissage - Sit. Init.'!$C$23:$I$472,MATCH((_xlfn.CONCAT("Catégorie "&amp;RIGHT(B24,1)))&amp;('Remplissage - Sit. Init.'!$D$32),('Remplissage - Sit. Init.'!$C$23:$C$472)&amp;('Remplissage - Sit. Init.'!$D$23:$D$472),0),7))&gt;0,1,0)</f>
        <v>0</v>
      </c>
      <c r="H24" s="36"/>
      <c r="J24" t="s">
        <v>70</v>
      </c>
      <c r="K24" s="7"/>
      <c r="L24" s="32" t="s">
        <v>1253</v>
      </c>
    </row>
    <row r="25" spans="1:12" x14ac:dyDescent="0.25">
      <c r="A25" t="s">
        <v>1249</v>
      </c>
      <c r="B25" t="s">
        <v>1260</v>
      </c>
      <c r="C25" t="str">
        <f t="shared" ref="C25" ca="1" si="9">_xlfn.CONCAT("Evolution visée pour les ",INDIRECT("'Parcs types'!D"&amp;D25))</f>
        <v>Evolution visée pour les VUL Diesel (Crit'Air 2)</v>
      </c>
      <c r="D25" s="5">
        <v>11</v>
      </c>
      <c r="E25" t="str">
        <f t="shared" ref="E25" si="10">_xlfn.CONCAT(LEFT(B25,3),RIGHT(B25,1),"Vis")</f>
        <v>Evo5Vis</v>
      </c>
      <c r="F25" t="s">
        <v>17</v>
      </c>
      <c r="G25" s="5" cm="1">
        <f t="array" ref="G25">IF((INDEX('Remplissage - Sit. Init.'!$C$23:$I$472,MATCH((_xlfn.CONCAT("Catégorie "&amp;RIGHT(B25,1)))&amp;('Remplissage - Sit. Init.'!$D$30),('Remplissage - Sit. Init.'!$C$23:$C$472)&amp;('Remplissage - Sit. Init.'!$D$23:$D$472),0),7))&gt;0,1,0)</f>
        <v>0</v>
      </c>
      <c r="H25" s="36"/>
      <c r="J25" t="s">
        <v>70</v>
      </c>
      <c r="L25" s="32" t="s">
        <v>1251</v>
      </c>
    </row>
    <row r="26" spans="1:12" x14ac:dyDescent="0.25">
      <c r="A26" t="s">
        <v>1249</v>
      </c>
      <c r="B26" t="s">
        <v>1261</v>
      </c>
      <c r="C26" t="str">
        <f t="shared" ref="C26" ca="1" si="11">_xlfn.CONCAT("Evolution visée du taux de remplissage pour les ",INDIRECT("'Parcs types'!D"&amp;D26))</f>
        <v>Evolution visée du taux de remplissage pour les VUL Diesel (Crit'Air 2)</v>
      </c>
      <c r="D26" s="5">
        <v>11</v>
      </c>
      <c r="E26" t="str">
        <f t="shared" ref="E26" si="12">_xlfn.CONCAT(LEFT(B26,3),RIGHT(B26,1),"VisTR")</f>
        <v>Evo5VisTR</v>
      </c>
      <c r="F26" t="s">
        <v>17</v>
      </c>
      <c r="G26" s="5" cm="1">
        <f t="array" ref="G26">IF((INDEX('Remplissage - Sit. Init.'!$C$23:$I$472,MATCH((_xlfn.CONCAT("Catégorie "&amp;RIGHT(B26,1)))&amp;('Remplissage - Sit. Init.'!$D$32),('Remplissage - Sit. Init.'!$C$23:$C$472)&amp;('Remplissage - Sit. Init.'!$D$23:$D$472),0),7))&gt;0,1,0)</f>
        <v>0</v>
      </c>
      <c r="H26" s="36"/>
      <c r="J26" t="s">
        <v>70</v>
      </c>
      <c r="L26" s="32" t="s">
        <v>1253</v>
      </c>
    </row>
    <row r="27" spans="1:12" x14ac:dyDescent="0.25">
      <c r="A27" t="s">
        <v>1249</v>
      </c>
      <c r="B27" t="s">
        <v>1262</v>
      </c>
      <c r="C27" t="str">
        <f t="shared" ref="C27" ca="1" si="13">_xlfn.CONCAT("Evolution visée pour les ",INDIRECT("'Parcs types'!D"&amp;D27))</f>
        <v>Evolution visée pour les VUL Diesel (Crit'Air 3)</v>
      </c>
      <c r="D27" s="5">
        <v>12</v>
      </c>
      <c r="E27" t="str">
        <f t="shared" ref="E27" si="14">_xlfn.CONCAT(LEFT(B27,3),RIGHT(B27,1),"Vis")</f>
        <v>Evo6Vis</v>
      </c>
      <c r="F27" t="s">
        <v>17</v>
      </c>
      <c r="G27" s="5" cm="1">
        <f t="array" ref="G27">IF((INDEX('Remplissage - Sit. Init.'!$C$23:$I$472,MATCH((_xlfn.CONCAT("Catégorie "&amp;RIGHT(B27,1)))&amp;('Remplissage - Sit. Init.'!$D$30),('Remplissage - Sit. Init.'!$C$23:$C$472)&amp;('Remplissage - Sit. Init.'!$D$23:$D$472),0),7))&gt;0,1,0)</f>
        <v>0</v>
      </c>
      <c r="H27" s="36"/>
      <c r="J27" t="s">
        <v>70</v>
      </c>
      <c r="L27" s="32" t="s">
        <v>1251</v>
      </c>
    </row>
    <row r="28" spans="1:12" x14ac:dyDescent="0.25">
      <c r="A28" t="s">
        <v>1249</v>
      </c>
      <c r="B28" t="s">
        <v>1263</v>
      </c>
      <c r="C28" t="str">
        <f t="shared" ref="C28" ca="1" si="15">_xlfn.CONCAT("Evolution visée du taux de remplissage pour les ",INDIRECT("'Parcs types'!D"&amp;D28))</f>
        <v>Evolution visée du taux de remplissage pour les VUL Diesel (Crit'Air 3)</v>
      </c>
      <c r="D28" s="5">
        <v>12</v>
      </c>
      <c r="E28" t="str">
        <f t="shared" ref="E28" si="16">_xlfn.CONCAT(LEFT(B28,3),RIGHT(B28,1),"VisTR")</f>
        <v>Evo6VisTR</v>
      </c>
      <c r="F28" t="s">
        <v>17</v>
      </c>
      <c r="G28" s="5" cm="1">
        <f t="array" ref="G28">IF((INDEX('Remplissage - Sit. Init.'!$C$23:$I$472,MATCH((_xlfn.CONCAT("Catégorie "&amp;RIGHT(B28,1)))&amp;('Remplissage - Sit. Init.'!$D$32),('Remplissage - Sit. Init.'!$C$23:$C$472)&amp;('Remplissage - Sit. Init.'!$D$23:$D$472),0),7))&gt;0,1,0)</f>
        <v>0</v>
      </c>
      <c r="H28" s="36"/>
      <c r="J28" t="s">
        <v>70</v>
      </c>
      <c r="L28" s="32" t="s">
        <v>1253</v>
      </c>
    </row>
    <row r="29" spans="1:12" x14ac:dyDescent="0.25">
      <c r="A29" t="s">
        <v>1249</v>
      </c>
      <c r="B29" t="s">
        <v>1264</v>
      </c>
      <c r="C29" t="str">
        <f t="shared" ref="C29" ca="1" si="17">_xlfn.CONCAT("Evolution visée pour les ",INDIRECT("'Parcs types'!D"&amp;D29))</f>
        <v>Evolution visée pour les VUL Diesel (Crit'Air 4)</v>
      </c>
      <c r="D29" s="5">
        <v>13</v>
      </c>
      <c r="E29" t="str">
        <f t="shared" ref="E29" si="18">_xlfn.CONCAT(LEFT(B29,3),RIGHT(B29,1),"Vis")</f>
        <v>Evo7Vis</v>
      </c>
      <c r="F29" t="s">
        <v>17</v>
      </c>
      <c r="G29" s="5" cm="1">
        <f t="array" ref="G29">IF((INDEX('Remplissage - Sit. Init.'!$C$23:$I$472,MATCH((_xlfn.CONCAT("Catégorie "&amp;RIGHT(B29,1)))&amp;('Remplissage - Sit. Init.'!$D$30),('Remplissage - Sit. Init.'!$C$23:$C$472)&amp;('Remplissage - Sit. Init.'!$D$23:$D$472),0),7))&gt;0,1,0)</f>
        <v>0</v>
      </c>
      <c r="H29" s="36"/>
      <c r="J29" t="s">
        <v>70</v>
      </c>
      <c r="L29" s="32" t="s">
        <v>1251</v>
      </c>
    </row>
    <row r="30" spans="1:12" x14ac:dyDescent="0.25">
      <c r="A30" t="s">
        <v>1249</v>
      </c>
      <c r="B30" t="s">
        <v>1265</v>
      </c>
      <c r="C30" t="str">
        <f t="shared" ref="C30" ca="1" si="19">_xlfn.CONCAT("Evolution visée du taux de remplissage pour les ",INDIRECT("'Parcs types'!D"&amp;D30))</f>
        <v>Evolution visée du taux de remplissage pour les VUL Diesel (Crit'Air 4)</v>
      </c>
      <c r="D30" s="5">
        <v>13</v>
      </c>
      <c r="E30" t="str">
        <f t="shared" ref="E30" si="20">_xlfn.CONCAT(LEFT(B30,3),RIGHT(B30,1),"VisTR")</f>
        <v>Evo7VisTR</v>
      </c>
      <c r="F30" t="s">
        <v>17</v>
      </c>
      <c r="G30" s="5" cm="1">
        <f t="array" ref="G30">IF((INDEX('Remplissage - Sit. Init.'!$C$23:$I$472,MATCH((_xlfn.CONCAT("Catégorie "&amp;RIGHT(B30,1)))&amp;('Remplissage - Sit. Init.'!$D$32),('Remplissage - Sit. Init.'!$C$23:$C$472)&amp;('Remplissage - Sit. Init.'!$D$23:$D$472),0),7))&gt;0,1,0)</f>
        <v>0</v>
      </c>
      <c r="H30" s="36"/>
      <c r="J30" t="s">
        <v>70</v>
      </c>
      <c r="L30" s="32" t="s">
        <v>1253</v>
      </c>
    </row>
    <row r="31" spans="1:12" x14ac:dyDescent="0.25">
      <c r="A31" t="s">
        <v>1249</v>
      </c>
      <c r="B31" t="s">
        <v>1266</v>
      </c>
      <c r="C31" t="str">
        <f t="shared" ref="C31" ca="1" si="21">_xlfn.CONCAT("Evolution visée pour les ",INDIRECT("'Parcs types'!D"&amp;D31))</f>
        <v>Evolution visée pour les VUL Diesel (Crit'Air 5)</v>
      </c>
      <c r="D31" s="5">
        <v>14</v>
      </c>
      <c r="E31" t="str">
        <f t="shared" ref="E31" si="22">_xlfn.CONCAT(LEFT(B31,3),RIGHT(B31,1),"Vis")</f>
        <v>Evo8Vis</v>
      </c>
      <c r="F31" t="s">
        <v>17</v>
      </c>
      <c r="G31" s="5" cm="1">
        <f t="array" ref="G31">IF((INDEX('Remplissage - Sit. Init.'!$C$23:$I$472,MATCH((_xlfn.CONCAT("Catégorie "&amp;RIGHT(B31,1)))&amp;('Remplissage - Sit. Init.'!$D$30),('Remplissage - Sit. Init.'!$C$23:$C$472)&amp;('Remplissage - Sit. Init.'!$D$23:$D$472),0),7))&gt;0,1,0)</f>
        <v>0</v>
      </c>
      <c r="H31" s="36"/>
      <c r="J31" t="s">
        <v>70</v>
      </c>
      <c r="L31" s="32" t="s">
        <v>1251</v>
      </c>
    </row>
    <row r="32" spans="1:12" x14ac:dyDescent="0.25">
      <c r="A32" t="s">
        <v>1249</v>
      </c>
      <c r="B32" t="s">
        <v>1267</v>
      </c>
      <c r="C32" t="str">
        <f t="shared" ref="C32" ca="1" si="23">_xlfn.CONCAT("Evolution visée du taux de remplissage pour les ",INDIRECT("'Parcs types'!D"&amp;D32))</f>
        <v>Evolution visée du taux de remplissage pour les VUL Diesel (Crit'Air 5)</v>
      </c>
      <c r="D32" s="5">
        <v>14</v>
      </c>
      <c r="E32" t="str">
        <f t="shared" ref="E32" si="24">_xlfn.CONCAT(LEFT(B32,3),RIGHT(B32,1),"VisTR")</f>
        <v>Evo8VisTR</v>
      </c>
      <c r="F32" t="s">
        <v>17</v>
      </c>
      <c r="G32" s="5" cm="1">
        <f t="array" ref="G32">IF((INDEX('Remplissage - Sit. Init.'!$C$23:$I$472,MATCH((_xlfn.CONCAT("Catégorie "&amp;RIGHT(B32,1)))&amp;('Remplissage - Sit. Init.'!$D$32),('Remplissage - Sit. Init.'!$C$23:$C$472)&amp;('Remplissage - Sit. Init.'!$D$23:$D$472),0),7))&gt;0,1,0)</f>
        <v>0</v>
      </c>
      <c r="H32" s="36"/>
      <c r="J32" t="s">
        <v>70</v>
      </c>
      <c r="L32" s="32" t="s">
        <v>1253</v>
      </c>
    </row>
    <row r="33" spans="1:12" x14ac:dyDescent="0.25">
      <c r="A33" t="s">
        <v>1249</v>
      </c>
      <c r="B33" t="s">
        <v>1268</v>
      </c>
      <c r="C33" t="str">
        <f t="shared" ref="C33" ca="1" si="25">_xlfn.CONCAT("Evolution visée pour les ",INDIRECT("'Parcs types'!D"&amp;D33))</f>
        <v>Evolution visée pour les VUL Essence (Crit'Air 1)</v>
      </c>
      <c r="D33" s="5">
        <v>15</v>
      </c>
      <c r="E33" t="str">
        <f t="shared" ref="E33" si="26">_xlfn.CONCAT(LEFT(B33,3),RIGHT(B33,1),"Vis")</f>
        <v>Evo9Vis</v>
      </c>
      <c r="F33" t="s">
        <v>17</v>
      </c>
      <c r="G33" s="5" cm="1">
        <f t="array" ref="G33">IF((INDEX('Remplissage - Sit. Init.'!$C$23:$I$472,MATCH((_xlfn.CONCAT("Catégorie "&amp;RIGHT(B33,1)))&amp;('Remplissage - Sit. Init.'!$D$30),('Remplissage - Sit. Init.'!$C$23:$C$472)&amp;('Remplissage - Sit. Init.'!$D$23:$D$472),0),7))&gt;0,1,0)</f>
        <v>0</v>
      </c>
      <c r="H33" s="36"/>
      <c r="J33" t="s">
        <v>70</v>
      </c>
      <c r="L33" s="32" t="s">
        <v>1251</v>
      </c>
    </row>
    <row r="34" spans="1:12" x14ac:dyDescent="0.25">
      <c r="A34" t="s">
        <v>1249</v>
      </c>
      <c r="B34" t="s">
        <v>1269</v>
      </c>
      <c r="C34" t="str">
        <f t="shared" ref="C34" ca="1" si="27">_xlfn.CONCAT("Evolution visée du taux de remplissage pour les ",INDIRECT("'Parcs types'!D"&amp;D34))</f>
        <v>Evolution visée du taux de remplissage pour les VUL Essence (Crit'Air 1)</v>
      </c>
      <c r="D34" s="5">
        <v>15</v>
      </c>
      <c r="E34" t="str">
        <f t="shared" ref="E34" si="28">_xlfn.CONCAT(LEFT(B34,3),RIGHT(B34,1),"VisTR")</f>
        <v>Evo9VisTR</v>
      </c>
      <c r="F34" t="s">
        <v>17</v>
      </c>
      <c r="G34" s="5" cm="1">
        <f t="array" ref="G34">IF((INDEX('Remplissage - Sit. Init.'!$C$23:$I$472,MATCH((_xlfn.CONCAT("Catégorie "&amp;RIGHT(B34,1)))&amp;('Remplissage - Sit. Init.'!$D$32),('Remplissage - Sit. Init.'!$C$23:$C$472)&amp;('Remplissage - Sit. Init.'!$D$23:$D$472),0),7))&gt;0,1,0)</f>
        <v>0</v>
      </c>
      <c r="H34" s="36"/>
      <c r="J34" t="s">
        <v>70</v>
      </c>
      <c r="L34" s="32" t="s">
        <v>1253</v>
      </c>
    </row>
    <row r="35" spans="1:12" x14ac:dyDescent="0.25">
      <c r="A35" t="s">
        <v>1249</v>
      </c>
      <c r="B35" t="s">
        <v>1270</v>
      </c>
      <c r="C35" t="str">
        <f t="shared" ref="C35" ca="1" si="29">_xlfn.CONCAT("Evolution visée pour les ",INDIRECT("'Parcs types'!D"&amp;D35))</f>
        <v>Evolution visée pour les VUL Essence &lt;=3,5t (Crit'Air 2)</v>
      </c>
      <c r="D35" s="5">
        <v>16</v>
      </c>
      <c r="E35" t="str">
        <f>_xlfn.CONCAT(LEFT(B35,3),RIGHT(B35,2),"Vis")</f>
        <v>Evo10Vis</v>
      </c>
      <c r="F35" t="s">
        <v>17</v>
      </c>
      <c r="G35" s="5" cm="1">
        <f t="array" ref="G35">IF((INDEX('Remplissage - Sit. Init.'!$C$23:$I$472,MATCH((_xlfn.CONCAT("Catégorie "&amp;RIGHT(B35,2)))&amp;('Remplissage - Sit. Init.'!$D$30),('Remplissage - Sit. Init.'!$C$23:$C$472)&amp;('Remplissage - Sit. Init.'!$D$23:$D$472),0),7))&gt;0,1,0)</f>
        <v>0</v>
      </c>
      <c r="H35" s="36"/>
      <c r="J35" t="s">
        <v>70</v>
      </c>
      <c r="L35" s="32" t="s">
        <v>1251</v>
      </c>
    </row>
    <row r="36" spans="1:12" x14ac:dyDescent="0.25">
      <c r="A36" t="s">
        <v>1249</v>
      </c>
      <c r="B36" t="s">
        <v>1271</v>
      </c>
      <c r="C36" t="str">
        <f t="shared" ref="C36" ca="1" si="30">_xlfn.CONCAT("Evolution visée du taux de remplissage pour les ",INDIRECT("'Parcs types'!D"&amp;D36))</f>
        <v>Evolution visée du taux de remplissage pour les VUL Essence &lt;=3,5t (Crit'Air 2)</v>
      </c>
      <c r="D36" s="5">
        <v>16</v>
      </c>
      <c r="E36" t="str">
        <f>_xlfn.CONCAT(LEFT(B36,3),RIGHT(B36,2),"VisTR")</f>
        <v>Evo10VisTR</v>
      </c>
      <c r="F36" t="s">
        <v>17</v>
      </c>
      <c r="G36" s="5" cm="1">
        <f t="array" ref="G36">IF((INDEX('Remplissage - Sit. Init.'!$C$23:$I$472,MATCH((_xlfn.CONCAT("Catégorie "&amp;RIGHT(B36,2)))&amp;('Remplissage - Sit. Init.'!$D$32),('Remplissage - Sit. Init.'!$C$23:$C$472)&amp;('Remplissage - Sit. Init.'!$D$23:$D$472),0),7))&gt;0,1,0)</f>
        <v>0</v>
      </c>
      <c r="H36" s="36"/>
      <c r="J36" t="s">
        <v>70</v>
      </c>
      <c r="L36" s="32" t="s">
        <v>1253</v>
      </c>
    </row>
    <row r="37" spans="1:12" x14ac:dyDescent="0.25">
      <c r="A37" t="s">
        <v>1249</v>
      </c>
      <c r="B37" t="s">
        <v>1272</v>
      </c>
      <c r="C37" t="str">
        <f t="shared" ref="C37" ca="1" si="31">_xlfn.CONCAT("Evolution visée pour les ",INDIRECT("'Parcs types'!D"&amp;D37))</f>
        <v>Evolution visée pour les VUL Essence &lt;=3,5t (Crit'Air 3)</v>
      </c>
      <c r="D37" s="5">
        <v>17</v>
      </c>
      <c r="E37" t="str">
        <f t="shared" ref="E37" si="32">_xlfn.CONCAT(LEFT(B37,3),RIGHT(B37,2),"Vis")</f>
        <v>Evo11Vis</v>
      </c>
      <c r="F37" t="s">
        <v>17</v>
      </c>
      <c r="G37" s="5" cm="1">
        <f t="array" ref="G37">IF((INDEX('Remplissage - Sit. Init.'!$C$23:$I$472,MATCH((_xlfn.CONCAT("Catégorie "&amp;RIGHT(B37,2)))&amp;('Remplissage - Sit. Init.'!$D$30),('Remplissage - Sit. Init.'!$C$23:$C$472)&amp;('Remplissage - Sit. Init.'!$D$23:$D$472),0),7))&gt;0,1,0)</f>
        <v>0</v>
      </c>
      <c r="H37" s="36"/>
      <c r="J37" t="s">
        <v>70</v>
      </c>
      <c r="L37" s="32" t="s">
        <v>1251</v>
      </c>
    </row>
    <row r="38" spans="1:12" x14ac:dyDescent="0.25">
      <c r="A38" t="s">
        <v>1249</v>
      </c>
      <c r="B38" t="s">
        <v>1273</v>
      </c>
      <c r="C38" t="str">
        <f t="shared" ref="C38" ca="1" si="33">_xlfn.CONCAT("Evolution visée du taux de remplissage pour les ",INDIRECT("'Parcs types'!D"&amp;D38))</f>
        <v>Evolution visée du taux de remplissage pour les VUL Essence &lt;=3,5t (Crit'Air 3)</v>
      </c>
      <c r="D38" s="5">
        <v>17</v>
      </c>
      <c r="E38" t="str">
        <f t="shared" ref="E38" si="34">_xlfn.CONCAT(LEFT(B38,3),RIGHT(B38,2),"VisTR")</f>
        <v>Evo11VisTR</v>
      </c>
      <c r="F38" t="s">
        <v>17</v>
      </c>
      <c r="G38" s="5" cm="1">
        <f t="array" ref="G38">IF((INDEX('Remplissage - Sit. Init.'!$C$23:$I$472,MATCH((_xlfn.CONCAT("Catégorie "&amp;RIGHT(B38,2)))&amp;('Remplissage - Sit. Init.'!$D$32),('Remplissage - Sit. Init.'!$C$23:$C$472)&amp;('Remplissage - Sit. Init.'!$D$23:$D$472),0),7))&gt;0,1,0)</f>
        <v>0</v>
      </c>
      <c r="H38" s="36"/>
      <c r="J38" t="s">
        <v>70</v>
      </c>
      <c r="L38" s="32" t="s">
        <v>1253</v>
      </c>
    </row>
    <row r="39" spans="1:12" x14ac:dyDescent="0.25">
      <c r="A39" t="s">
        <v>1249</v>
      </c>
      <c r="B39" t="s">
        <v>1274</v>
      </c>
      <c r="C39" t="str">
        <f t="shared" ref="C39" ca="1" si="35">_xlfn.CONCAT("Evolution visée pour les ",INDIRECT("'Parcs types'!D"&amp;D39))</f>
        <v>Evolution visée pour les VUL Gaz (GNC) (Crit'Air 1)</v>
      </c>
      <c r="D39" s="5">
        <v>18</v>
      </c>
      <c r="E39" t="str">
        <f t="shared" ref="E39" si="36">_xlfn.CONCAT(LEFT(B39,3),RIGHT(B39,2),"Vis")</f>
        <v>Evo12Vis</v>
      </c>
      <c r="F39" t="s">
        <v>17</v>
      </c>
      <c r="G39" s="5" cm="1">
        <f t="array" ref="G39">IF((INDEX('Remplissage - Sit. Init.'!$C$23:$I$472,MATCH((_xlfn.CONCAT("Catégorie "&amp;RIGHT(B39,2)))&amp;('Remplissage - Sit. Init.'!$D$30),('Remplissage - Sit. Init.'!$C$23:$C$472)&amp;('Remplissage - Sit. Init.'!$D$23:$D$472),0),7))&gt;0,1,0)</f>
        <v>0</v>
      </c>
      <c r="H39" s="36"/>
      <c r="J39" t="s">
        <v>70</v>
      </c>
      <c r="L39" s="32" t="s">
        <v>1251</v>
      </c>
    </row>
    <row r="40" spans="1:12" x14ac:dyDescent="0.25">
      <c r="A40" t="s">
        <v>1249</v>
      </c>
      <c r="B40" t="s">
        <v>1275</v>
      </c>
      <c r="C40" t="str">
        <f t="shared" ref="C40" ca="1" si="37">_xlfn.CONCAT("Evolution visée du taux de remplissage pour les ",INDIRECT("'Parcs types'!D"&amp;D40))</f>
        <v>Evolution visée du taux de remplissage pour les VUL Gaz (GNC) (Crit'Air 1)</v>
      </c>
      <c r="D40" s="5">
        <v>18</v>
      </c>
      <c r="E40" t="str">
        <f t="shared" ref="E40" si="38">_xlfn.CONCAT(LEFT(B40,3),RIGHT(B40,2),"VisTR")</f>
        <v>Evo12VisTR</v>
      </c>
      <c r="F40" t="s">
        <v>17</v>
      </c>
      <c r="G40" s="5" cm="1">
        <f t="array" ref="G40">IF((INDEX('Remplissage - Sit. Init.'!$C$23:$I$472,MATCH((_xlfn.CONCAT("Catégorie "&amp;RIGHT(B40,2)))&amp;('Remplissage - Sit. Init.'!$D$32),('Remplissage - Sit. Init.'!$C$23:$C$472)&amp;('Remplissage - Sit. Init.'!$D$23:$D$472),0),7))&gt;0,1,0)</f>
        <v>0</v>
      </c>
      <c r="H40" s="36"/>
      <c r="J40" t="s">
        <v>70</v>
      </c>
      <c r="L40" s="32" t="s">
        <v>1253</v>
      </c>
    </row>
    <row r="41" spans="1:12" x14ac:dyDescent="0.25">
      <c r="A41" t="s">
        <v>1249</v>
      </c>
      <c r="B41" t="s">
        <v>1276</v>
      </c>
      <c r="C41" t="str">
        <f t="shared" ref="C41" ca="1" si="39">_xlfn.CONCAT("Evolution visée pour les ",INDIRECT("'Parcs types'!D"&amp;D41))</f>
        <v>Evolution visée pour les PL Electrique &lt;=7.5t (Crit'Air E)</v>
      </c>
      <c r="D41" s="5">
        <v>19</v>
      </c>
      <c r="E41" t="str">
        <f t="shared" ref="E41" si="40">_xlfn.CONCAT(LEFT(B41,3),RIGHT(B41,2),"Vis")</f>
        <v>Evo13Vis</v>
      </c>
      <c r="F41" t="s">
        <v>17</v>
      </c>
      <c r="G41" s="5" cm="1">
        <f t="array" ref="G41">IF((INDEX('Remplissage - Sit. Init.'!$C$23:$I$472,MATCH((_xlfn.CONCAT("Catégorie "&amp;RIGHT(B41,2)))&amp;('Remplissage - Sit. Init.'!$D$30),('Remplissage - Sit. Init.'!$C$23:$C$472)&amp;('Remplissage - Sit. Init.'!$D$23:$D$472),0),7))&gt;0,1,0)</f>
        <v>0</v>
      </c>
      <c r="H41" s="36"/>
      <c r="J41" t="s">
        <v>70</v>
      </c>
      <c r="L41" s="32" t="s">
        <v>1251</v>
      </c>
    </row>
    <row r="42" spans="1:12" x14ac:dyDescent="0.25">
      <c r="A42" t="s">
        <v>1249</v>
      </c>
      <c r="B42" t="s">
        <v>1277</v>
      </c>
      <c r="C42" t="str">
        <f t="shared" ref="C42" ca="1" si="41">_xlfn.CONCAT("Evolution visée du taux de remplissage pour les ",INDIRECT("'Parcs types'!D"&amp;D42))</f>
        <v>Evolution visée du taux de remplissage pour les PL Electrique &lt;=7.5t (Crit'Air E)</v>
      </c>
      <c r="D42" s="5">
        <v>19</v>
      </c>
      <c r="E42" t="str">
        <f t="shared" ref="E42" si="42">_xlfn.CONCAT(LEFT(B42,3),RIGHT(B42,2),"VisTR")</f>
        <v>Evo13VisTR</v>
      </c>
      <c r="F42" t="s">
        <v>17</v>
      </c>
      <c r="G42" s="5" cm="1">
        <f t="array" ref="G42">IF((INDEX('Remplissage - Sit. Init.'!$C$23:$I$472,MATCH((_xlfn.CONCAT("Catégorie "&amp;RIGHT(B42,2)))&amp;('Remplissage - Sit. Init.'!$D$32),('Remplissage - Sit. Init.'!$C$23:$C$472)&amp;('Remplissage - Sit. Init.'!$D$23:$D$472),0),7))&gt;0,1,0)</f>
        <v>0</v>
      </c>
      <c r="H42" s="36"/>
      <c r="J42" t="s">
        <v>70</v>
      </c>
      <c r="L42" s="32" t="s">
        <v>1253</v>
      </c>
    </row>
    <row r="43" spans="1:12" x14ac:dyDescent="0.25">
      <c r="A43" t="s">
        <v>1249</v>
      </c>
      <c r="B43" t="s">
        <v>1278</v>
      </c>
      <c r="C43" t="str">
        <f t="shared" ref="C43" ca="1" si="43">_xlfn.CONCAT("Evolution visée pour les ",INDIRECT("'Parcs types'!D"&amp;D43))</f>
        <v>Evolution visée pour les PL Electrique &gt;7.5-12t (Crit'Air E)</v>
      </c>
      <c r="D43" s="5">
        <v>20</v>
      </c>
      <c r="E43" t="str">
        <f t="shared" ref="E43" si="44">_xlfn.CONCAT(LEFT(B43,3),RIGHT(B43,2),"Vis")</f>
        <v>Evo14Vis</v>
      </c>
      <c r="F43" t="s">
        <v>17</v>
      </c>
      <c r="G43" s="5" cm="1">
        <f t="array" ref="G43">IF((INDEX('Remplissage - Sit. Init.'!$C$23:$I$472,MATCH((_xlfn.CONCAT("Catégorie "&amp;RIGHT(B43,2)))&amp;('Remplissage - Sit. Init.'!$D$30),('Remplissage - Sit. Init.'!$C$23:$C$472)&amp;('Remplissage - Sit. Init.'!$D$23:$D$472),0),7))&gt;0,1,0)</f>
        <v>0</v>
      </c>
      <c r="H43" s="36"/>
      <c r="J43" t="s">
        <v>70</v>
      </c>
      <c r="L43" s="32" t="s">
        <v>1251</v>
      </c>
    </row>
    <row r="44" spans="1:12" x14ac:dyDescent="0.25">
      <c r="A44" t="s">
        <v>1249</v>
      </c>
      <c r="B44" t="s">
        <v>1279</v>
      </c>
      <c r="C44" t="str">
        <f t="shared" ref="C44" ca="1" si="45">_xlfn.CONCAT("Evolution visée du taux de remplissage pour les ",INDIRECT("'Parcs types'!D"&amp;D44))</f>
        <v>Evolution visée du taux de remplissage pour les PL Electrique &gt;7.5-12t (Crit'Air E)</v>
      </c>
      <c r="D44" s="5">
        <v>20</v>
      </c>
      <c r="E44" t="str">
        <f t="shared" ref="E44" si="46">_xlfn.CONCAT(LEFT(B44,3),RIGHT(B44,2),"VisTR")</f>
        <v>Evo14VisTR</v>
      </c>
      <c r="F44" t="s">
        <v>17</v>
      </c>
      <c r="G44" s="5" cm="1">
        <f t="array" ref="G44">IF((INDEX('Remplissage - Sit. Init.'!$C$23:$I$472,MATCH((_xlfn.CONCAT("Catégorie "&amp;RIGHT(B44,2)))&amp;('Remplissage - Sit. Init.'!$D$32),('Remplissage - Sit. Init.'!$C$23:$C$472)&amp;('Remplissage - Sit. Init.'!$D$23:$D$472),0),7))&gt;0,1,0)</f>
        <v>0</v>
      </c>
      <c r="H44" s="36"/>
      <c r="J44" t="s">
        <v>70</v>
      </c>
      <c r="L44" s="32" t="s">
        <v>1253</v>
      </c>
    </row>
    <row r="45" spans="1:12" x14ac:dyDescent="0.25">
      <c r="A45" t="s">
        <v>1249</v>
      </c>
      <c r="B45" t="s">
        <v>1280</v>
      </c>
      <c r="C45" t="str">
        <f t="shared" ref="C45" ca="1" si="47">_xlfn.CONCAT("Evolution visée pour les ",INDIRECT("'Parcs types'!D"&amp;D45))</f>
        <v>Evolution visée pour les PL Electrique &gt;14-20t (Crit'Air E)</v>
      </c>
      <c r="D45" s="5">
        <v>21</v>
      </c>
      <c r="E45" t="str">
        <f t="shared" ref="E45" si="48">_xlfn.CONCAT(LEFT(B45,3),RIGHT(B45,2),"Vis")</f>
        <v>Evo15Vis</v>
      </c>
      <c r="F45" t="s">
        <v>17</v>
      </c>
      <c r="G45" s="5" cm="1">
        <f t="array" ref="G45">IF((INDEX('Remplissage - Sit. Init.'!$C$23:$I$472,MATCH((_xlfn.CONCAT("Catégorie "&amp;RIGHT(B45,2)))&amp;('Remplissage - Sit. Init.'!$D$30),('Remplissage - Sit. Init.'!$C$23:$C$472)&amp;('Remplissage - Sit. Init.'!$D$23:$D$472),0),7))&gt;0,1,0)</f>
        <v>0</v>
      </c>
      <c r="H45" s="36"/>
      <c r="J45" t="s">
        <v>70</v>
      </c>
      <c r="L45" s="32" t="s">
        <v>1251</v>
      </c>
    </row>
    <row r="46" spans="1:12" x14ac:dyDescent="0.25">
      <c r="A46" t="s">
        <v>1249</v>
      </c>
      <c r="B46" t="s">
        <v>1281</v>
      </c>
      <c r="C46" t="str">
        <f t="shared" ref="C46" ca="1" si="49">_xlfn.CONCAT("Evolution visée du taux de remplissage pour les ",INDIRECT("'Parcs types'!D"&amp;D46))</f>
        <v>Evolution visée du taux de remplissage pour les PL Electrique &gt;14-20t (Crit'Air E)</v>
      </c>
      <c r="D46" s="5">
        <v>21</v>
      </c>
      <c r="E46" t="str">
        <f t="shared" ref="E46" si="50">_xlfn.CONCAT(LEFT(B46,3),RIGHT(B46,2),"VisTR")</f>
        <v>Evo15VisTR</v>
      </c>
      <c r="F46" t="s">
        <v>17</v>
      </c>
      <c r="G46" s="5" cm="1">
        <f t="array" ref="G46">IF((INDEX('Remplissage - Sit. Init.'!$C$23:$I$472,MATCH((_xlfn.CONCAT("Catégorie "&amp;RIGHT(B46,2)))&amp;('Remplissage - Sit. Init.'!$D$32),('Remplissage - Sit. Init.'!$C$23:$C$472)&amp;('Remplissage - Sit. Init.'!$D$23:$D$472),0),7))&gt;0,1,0)</f>
        <v>0</v>
      </c>
      <c r="H46" s="36"/>
      <c r="J46" t="s">
        <v>70</v>
      </c>
      <c r="L46" s="32" t="s">
        <v>1253</v>
      </c>
    </row>
    <row r="47" spans="1:12" x14ac:dyDescent="0.25">
      <c r="A47" t="s">
        <v>1249</v>
      </c>
      <c r="B47" t="s">
        <v>1282</v>
      </c>
      <c r="C47" t="str">
        <f t="shared" ref="C47" ca="1" si="51">_xlfn.CONCAT("Evolution visée pour les ",INDIRECT("'Parcs types'!D"&amp;D47))</f>
        <v>Evolution visée pour les PL Electrique &gt;20-26t (Crit'Air E)</v>
      </c>
      <c r="D47" s="5">
        <v>22</v>
      </c>
      <c r="E47" t="str">
        <f t="shared" ref="E47" si="52">_xlfn.CONCAT(LEFT(B47,3),RIGHT(B47,2),"Vis")</f>
        <v>Evo16Vis</v>
      </c>
      <c r="F47" t="s">
        <v>17</v>
      </c>
      <c r="G47" s="5" cm="1">
        <f t="array" ref="G47">IF((INDEX('Remplissage - Sit. Init.'!$C$23:$I$472,MATCH((_xlfn.CONCAT("Catégorie "&amp;RIGHT(B47,2)))&amp;('Remplissage - Sit. Init.'!$D$30),('Remplissage - Sit. Init.'!$C$23:$C$472)&amp;('Remplissage - Sit. Init.'!$D$23:$D$472),0),7))&gt;0,1,0)</f>
        <v>0</v>
      </c>
      <c r="H47" s="36"/>
      <c r="J47" t="s">
        <v>70</v>
      </c>
      <c r="L47" s="32" t="s">
        <v>1251</v>
      </c>
    </row>
    <row r="48" spans="1:12" x14ac:dyDescent="0.25">
      <c r="A48" t="s">
        <v>1249</v>
      </c>
      <c r="B48" t="s">
        <v>1283</v>
      </c>
      <c r="C48" t="str">
        <f t="shared" ref="C48" ca="1" si="53">_xlfn.CONCAT("Evolution visée du taux de remplissage pour les ",INDIRECT("'Parcs types'!D"&amp;D48))</f>
        <v>Evolution visée du taux de remplissage pour les PL Electrique &gt;20-26t (Crit'Air E)</v>
      </c>
      <c r="D48" s="5">
        <v>22</v>
      </c>
      <c r="E48" t="str">
        <f t="shared" ref="E48" si="54">_xlfn.CONCAT(LEFT(B48,3),RIGHT(B48,2),"VisTR")</f>
        <v>Evo16VisTR</v>
      </c>
      <c r="F48" t="s">
        <v>17</v>
      </c>
      <c r="G48" s="5" cm="1">
        <f t="array" ref="G48">IF((INDEX('Remplissage - Sit. Init.'!$C$23:$I$472,MATCH((_xlfn.CONCAT("Catégorie "&amp;RIGHT(B48,2)))&amp;('Remplissage - Sit. Init.'!$D$32),('Remplissage - Sit. Init.'!$C$23:$C$472)&amp;('Remplissage - Sit. Init.'!$D$23:$D$472),0),7))&gt;0,1,0)</f>
        <v>0</v>
      </c>
      <c r="H48" s="36"/>
      <c r="J48" t="s">
        <v>70</v>
      </c>
      <c r="L48" s="32" t="s">
        <v>1253</v>
      </c>
    </row>
    <row r="49" spans="1:12" x14ac:dyDescent="0.25">
      <c r="A49" t="s">
        <v>1249</v>
      </c>
      <c r="B49" t="s">
        <v>1284</v>
      </c>
      <c r="C49" t="str">
        <f t="shared" ref="C49" ca="1" si="55">_xlfn.CONCAT("Evolution visée pour les ",INDIRECT("'Parcs types'!D"&amp;D49))</f>
        <v>Evolution visée pour les PL Electrique &gt;28-34t (Crit'Air E)</v>
      </c>
      <c r="D49" s="5">
        <v>23</v>
      </c>
      <c r="E49" t="str">
        <f t="shared" ref="E49" si="56">_xlfn.CONCAT(LEFT(B49,3),RIGHT(B49,2),"Vis")</f>
        <v>Evo17Vis</v>
      </c>
      <c r="F49" t="s">
        <v>17</v>
      </c>
      <c r="G49" s="5" cm="1">
        <f t="array" ref="G49">IF((INDEX('Remplissage - Sit. Init.'!$C$23:$I$472,MATCH((_xlfn.CONCAT("Catégorie "&amp;RIGHT(B49,2)))&amp;('Remplissage - Sit. Init.'!$D$30),('Remplissage - Sit. Init.'!$C$23:$C$472)&amp;('Remplissage - Sit. Init.'!$D$23:$D$472),0),7))&gt;0,1,0)</f>
        <v>0</v>
      </c>
      <c r="H49" s="36"/>
      <c r="J49" t="s">
        <v>70</v>
      </c>
      <c r="L49" s="32" t="s">
        <v>1251</v>
      </c>
    </row>
    <row r="50" spans="1:12" x14ac:dyDescent="0.25">
      <c r="A50" t="s">
        <v>1249</v>
      </c>
      <c r="B50" t="s">
        <v>1285</v>
      </c>
      <c r="C50" t="str">
        <f t="shared" ref="C50" ca="1" si="57">_xlfn.CONCAT("Evolution visée du taux de remplissage pour les ",INDIRECT("'Parcs types'!D"&amp;D50))</f>
        <v>Evolution visée du taux de remplissage pour les PL Electrique &gt;28-34t (Crit'Air E)</v>
      </c>
      <c r="D50" s="5">
        <v>23</v>
      </c>
      <c r="E50" t="str">
        <f t="shared" ref="E50" si="58">_xlfn.CONCAT(LEFT(B50,3),RIGHT(B50,2),"VisTR")</f>
        <v>Evo17VisTR</v>
      </c>
      <c r="F50" t="s">
        <v>17</v>
      </c>
      <c r="G50" s="5" cm="1">
        <f t="array" ref="G50">IF((INDEX('Remplissage - Sit. Init.'!$C$23:$I$472,MATCH((_xlfn.CONCAT("Catégorie "&amp;RIGHT(B50,2)))&amp;('Remplissage - Sit. Init.'!$D$32),('Remplissage - Sit. Init.'!$C$23:$C$472)&amp;('Remplissage - Sit. Init.'!$D$23:$D$472),0),7))&gt;0,1,0)</f>
        <v>0</v>
      </c>
      <c r="H50" s="36"/>
      <c r="J50" t="s">
        <v>70</v>
      </c>
      <c r="L50" s="32" t="s">
        <v>1253</v>
      </c>
    </row>
    <row r="51" spans="1:12" x14ac:dyDescent="0.25">
      <c r="A51" t="s">
        <v>1249</v>
      </c>
      <c r="B51" t="s">
        <v>1286</v>
      </c>
      <c r="C51" t="str">
        <f t="shared" ref="C51" ca="1" si="59">_xlfn.CONCAT("Evolution visée pour les ",INDIRECT("'Parcs types'!D"&amp;D51))</f>
        <v>Evolution visée pour les PL Electrique &gt;34-40t (Crit'Air E)</v>
      </c>
      <c r="D51" s="5">
        <v>24</v>
      </c>
      <c r="E51" t="str">
        <f t="shared" ref="E51" si="60">_xlfn.CONCAT(LEFT(B51,3),RIGHT(B51,2),"Vis")</f>
        <v>Evo18Vis</v>
      </c>
      <c r="F51" t="s">
        <v>17</v>
      </c>
      <c r="G51" s="5" cm="1">
        <f t="array" ref="G51">IF((INDEX('Remplissage - Sit. Init.'!$C$23:$I$472,MATCH((_xlfn.CONCAT("Catégorie "&amp;RIGHT(B51,2)))&amp;('Remplissage - Sit. Init.'!$D$30),('Remplissage - Sit. Init.'!$C$23:$C$472)&amp;('Remplissage - Sit. Init.'!$D$23:$D$472),0),7))&gt;0,1,0)</f>
        <v>0</v>
      </c>
      <c r="H51" s="36"/>
      <c r="J51" t="s">
        <v>70</v>
      </c>
      <c r="L51" s="32" t="s">
        <v>1251</v>
      </c>
    </row>
    <row r="52" spans="1:12" x14ac:dyDescent="0.25">
      <c r="A52" t="s">
        <v>1249</v>
      </c>
      <c r="B52" t="s">
        <v>1287</v>
      </c>
      <c r="C52" t="str">
        <f t="shared" ref="C52" ca="1" si="61">_xlfn.CONCAT("Evolution visée du taux de remplissage pour les ",INDIRECT("'Parcs types'!D"&amp;D52))</f>
        <v>Evolution visée du taux de remplissage pour les PL Electrique &gt;34-40t (Crit'Air E)</v>
      </c>
      <c r="D52" s="5">
        <v>24</v>
      </c>
      <c r="E52" t="str">
        <f t="shared" ref="E52" si="62">_xlfn.CONCAT(LEFT(B52,3),RIGHT(B52,2),"VisTR")</f>
        <v>Evo18VisTR</v>
      </c>
      <c r="F52" t="s">
        <v>17</v>
      </c>
      <c r="G52" s="5" cm="1">
        <f t="array" ref="G52">IF((INDEX('Remplissage - Sit. Init.'!$C$23:$I$472,MATCH((_xlfn.CONCAT("Catégorie "&amp;RIGHT(B52,2)))&amp;('Remplissage - Sit. Init.'!$D$32),('Remplissage - Sit. Init.'!$C$23:$C$472)&amp;('Remplissage - Sit. Init.'!$D$23:$D$472),0),7))&gt;0,1,0)</f>
        <v>0</v>
      </c>
      <c r="H52" s="36"/>
      <c r="J52" t="s">
        <v>70</v>
      </c>
      <c r="L52" s="32" t="s">
        <v>1253</v>
      </c>
    </row>
    <row r="53" spans="1:12" x14ac:dyDescent="0.25">
      <c r="A53" t="s">
        <v>1249</v>
      </c>
      <c r="B53" t="s">
        <v>1288</v>
      </c>
      <c r="C53" t="str">
        <f t="shared" ref="C53" ca="1" si="63">_xlfn.CONCAT("Evolution visée pour les ",INDIRECT("'Parcs types'!D"&amp;D53))</f>
        <v>Evolution visée pour les PL Diesel &lt;=7.5t (Crit'Air 2)</v>
      </c>
      <c r="D53" s="5">
        <v>25</v>
      </c>
      <c r="E53" t="str">
        <f t="shared" ref="E53" si="64">_xlfn.CONCAT(LEFT(B53,3),RIGHT(B53,2),"Vis")</f>
        <v>Evo19Vis</v>
      </c>
      <c r="F53" t="s">
        <v>17</v>
      </c>
      <c r="G53" s="5" cm="1">
        <f t="array" ref="G53">IF((INDEX('Remplissage - Sit. Init.'!$C$23:$I$472,MATCH((_xlfn.CONCAT("Catégorie "&amp;RIGHT(B53,2)))&amp;('Remplissage - Sit. Init.'!$D$30),('Remplissage - Sit. Init.'!$C$23:$C$472)&amp;('Remplissage - Sit. Init.'!$D$23:$D$472),0),7))&gt;0,1,0)</f>
        <v>0</v>
      </c>
      <c r="H53" s="36"/>
      <c r="J53" t="s">
        <v>70</v>
      </c>
      <c r="L53" s="32" t="s">
        <v>1251</v>
      </c>
    </row>
    <row r="54" spans="1:12" x14ac:dyDescent="0.25">
      <c r="A54" t="s">
        <v>1249</v>
      </c>
      <c r="B54" t="s">
        <v>1289</v>
      </c>
      <c r="C54" t="str">
        <f t="shared" ref="C54" ca="1" si="65">_xlfn.CONCAT("Evolution visée du taux de remplissage pour les ",INDIRECT("'Parcs types'!D"&amp;D54))</f>
        <v>Evolution visée du taux de remplissage pour les PL Diesel &lt;=7.5t (Crit'Air 2)</v>
      </c>
      <c r="D54" s="5">
        <v>25</v>
      </c>
      <c r="E54" t="str">
        <f t="shared" ref="E54" si="66">_xlfn.CONCAT(LEFT(B54,3),RIGHT(B54,2),"VisTR")</f>
        <v>Evo19VisTR</v>
      </c>
      <c r="F54" t="s">
        <v>17</v>
      </c>
      <c r="G54" s="5" cm="1">
        <f t="array" ref="G54">IF((INDEX('Remplissage - Sit. Init.'!$C$23:$I$472,MATCH((_xlfn.CONCAT("Catégorie "&amp;RIGHT(B54,2)))&amp;('Remplissage - Sit. Init.'!$D$32),('Remplissage - Sit. Init.'!$C$23:$C$472)&amp;('Remplissage - Sit. Init.'!$D$23:$D$472),0),7))&gt;0,1,0)</f>
        <v>0</v>
      </c>
      <c r="H54" s="36"/>
      <c r="J54" t="s">
        <v>70</v>
      </c>
      <c r="L54" s="32" t="s">
        <v>1253</v>
      </c>
    </row>
    <row r="55" spans="1:12" x14ac:dyDescent="0.25">
      <c r="A55" t="s">
        <v>1249</v>
      </c>
      <c r="B55" t="s">
        <v>1290</v>
      </c>
      <c r="C55" t="str">
        <f t="shared" ref="C55" ca="1" si="67">_xlfn.CONCAT("Evolution visée pour les ",INDIRECT("'Parcs types'!D"&amp;D55))</f>
        <v>Evolution visée pour les PL Diesel &lt;=7.5t (Crit'Air 3)</v>
      </c>
      <c r="D55" s="5">
        <v>26</v>
      </c>
      <c r="E55" t="str">
        <f t="shared" ref="E55" si="68">_xlfn.CONCAT(LEFT(B55,3),RIGHT(B55,2),"Vis")</f>
        <v>Evo20Vis</v>
      </c>
      <c r="F55" t="s">
        <v>17</v>
      </c>
      <c r="G55" s="5" cm="1">
        <f t="array" ref="G55">IF((INDEX('Remplissage - Sit. Init.'!$C$23:$I$472,MATCH((_xlfn.CONCAT("Catégorie "&amp;RIGHT(B55,2)))&amp;('Remplissage - Sit. Init.'!$D$30),('Remplissage - Sit. Init.'!$C$23:$C$472)&amp;('Remplissage - Sit. Init.'!$D$23:$D$472),0),7))&gt;0,1,0)</f>
        <v>0</v>
      </c>
      <c r="H55" s="36"/>
      <c r="J55" t="s">
        <v>70</v>
      </c>
      <c r="L55" s="32" t="s">
        <v>1251</v>
      </c>
    </row>
    <row r="56" spans="1:12" x14ac:dyDescent="0.25">
      <c r="A56" t="s">
        <v>1249</v>
      </c>
      <c r="B56" t="s">
        <v>1291</v>
      </c>
      <c r="C56" t="str">
        <f t="shared" ref="C56" ca="1" si="69">_xlfn.CONCAT("Evolution visée du taux de remplissage pour les ",INDIRECT("'Parcs types'!D"&amp;D56))</f>
        <v>Evolution visée du taux de remplissage pour les PL Diesel &lt;=7.5t (Crit'Air 3)</v>
      </c>
      <c r="D56" s="5">
        <v>26</v>
      </c>
      <c r="E56" t="str">
        <f t="shared" ref="E56" si="70">_xlfn.CONCAT(LEFT(B56,3),RIGHT(B56,2),"VisTR")</f>
        <v>Evo20VisTR</v>
      </c>
      <c r="F56" t="s">
        <v>17</v>
      </c>
      <c r="G56" s="5" cm="1">
        <f t="array" ref="G56">IF((INDEX('Remplissage - Sit. Init.'!$C$23:$I$472,MATCH((_xlfn.CONCAT("Catégorie "&amp;RIGHT(B56,2)))&amp;('Remplissage - Sit. Init.'!$D$32),('Remplissage - Sit. Init.'!$C$23:$C$472)&amp;('Remplissage - Sit. Init.'!$D$23:$D$472),0),7))&gt;0,1,0)</f>
        <v>0</v>
      </c>
      <c r="H56" s="36"/>
      <c r="J56" t="s">
        <v>70</v>
      </c>
      <c r="L56" s="32" t="s">
        <v>1253</v>
      </c>
    </row>
    <row r="57" spans="1:12" x14ac:dyDescent="0.25">
      <c r="A57" t="s">
        <v>1249</v>
      </c>
      <c r="B57" t="s">
        <v>1292</v>
      </c>
      <c r="C57" t="str">
        <f t="shared" ref="C57" ca="1" si="71">_xlfn.CONCAT("Evolution visée pour les ",INDIRECT("'Parcs types'!D"&amp;D57))</f>
        <v>Evolution visée pour les PL Diesel &lt;=7.5t (Crit'Air 4)</v>
      </c>
      <c r="D57" s="5">
        <v>27</v>
      </c>
      <c r="E57" t="str">
        <f t="shared" ref="E57" si="72">_xlfn.CONCAT(LEFT(B57,3),RIGHT(B57,2),"Vis")</f>
        <v>Evo21Vis</v>
      </c>
      <c r="F57" t="s">
        <v>17</v>
      </c>
      <c r="G57" s="5" cm="1">
        <f t="array" ref="G57">IF((INDEX('Remplissage - Sit. Init.'!$C$23:$I$472,MATCH((_xlfn.CONCAT("Catégorie "&amp;RIGHT(B57,2)))&amp;('Remplissage - Sit. Init.'!$D$30),('Remplissage - Sit. Init.'!$C$23:$C$472)&amp;('Remplissage - Sit. Init.'!$D$23:$D$472),0),7))&gt;0,1,0)</f>
        <v>0</v>
      </c>
      <c r="H57" s="36"/>
      <c r="J57" t="s">
        <v>70</v>
      </c>
      <c r="L57" s="32" t="s">
        <v>1251</v>
      </c>
    </row>
    <row r="58" spans="1:12" x14ac:dyDescent="0.25">
      <c r="A58" t="s">
        <v>1249</v>
      </c>
      <c r="B58" t="s">
        <v>1293</v>
      </c>
      <c r="C58" t="str">
        <f t="shared" ref="C58" ca="1" si="73">_xlfn.CONCAT("Evolution visée du taux de remplissage pour les ",INDIRECT("'Parcs types'!D"&amp;D58))</f>
        <v>Evolution visée du taux de remplissage pour les PL Diesel &lt;=7.5t (Crit'Air 4)</v>
      </c>
      <c r="D58" s="5">
        <v>27</v>
      </c>
      <c r="E58" t="str">
        <f t="shared" ref="E58" si="74">_xlfn.CONCAT(LEFT(B58,3),RIGHT(B58,2),"VisTR")</f>
        <v>Evo21VisTR</v>
      </c>
      <c r="F58" t="s">
        <v>17</v>
      </c>
      <c r="G58" s="5" cm="1">
        <f t="array" ref="G58">IF((INDEX('Remplissage - Sit. Init.'!$C$23:$I$472,MATCH((_xlfn.CONCAT("Catégorie "&amp;RIGHT(B58,2)))&amp;('Remplissage - Sit. Init.'!$D$32),('Remplissage - Sit. Init.'!$C$23:$C$472)&amp;('Remplissage - Sit. Init.'!$D$23:$D$472),0),7))&gt;0,1,0)</f>
        <v>0</v>
      </c>
      <c r="H58" s="36"/>
      <c r="J58" t="s">
        <v>70</v>
      </c>
      <c r="L58" s="32" t="s">
        <v>1253</v>
      </c>
    </row>
    <row r="59" spans="1:12" x14ac:dyDescent="0.25">
      <c r="A59" t="s">
        <v>1249</v>
      </c>
      <c r="B59" t="s">
        <v>1294</v>
      </c>
      <c r="C59" t="str">
        <f t="shared" ref="C59" ca="1" si="75">_xlfn.CONCAT("Evolution visée pour les ",INDIRECT("'Parcs types'!D"&amp;D59))</f>
        <v>Evolution visée pour les PL Diesel &lt;=7.5t (Crit'Air 5)</v>
      </c>
      <c r="D59" s="5">
        <v>28</v>
      </c>
      <c r="E59" t="str">
        <f t="shared" ref="E59" si="76">_xlfn.CONCAT(LEFT(B59,3),RIGHT(B59,2),"Vis")</f>
        <v>Evo22Vis</v>
      </c>
      <c r="F59" t="s">
        <v>17</v>
      </c>
      <c r="G59" s="5" cm="1">
        <f t="array" ref="G59">IF((INDEX('Remplissage - Sit. Init.'!$C$23:$I$472,MATCH((_xlfn.CONCAT("Catégorie "&amp;RIGHT(B59,2)))&amp;('Remplissage - Sit. Init.'!$D$30),('Remplissage - Sit. Init.'!$C$23:$C$472)&amp;('Remplissage - Sit. Init.'!$D$23:$D$472),0),7))&gt;0,1,0)</f>
        <v>0</v>
      </c>
      <c r="H59" s="36"/>
      <c r="J59" t="s">
        <v>70</v>
      </c>
      <c r="L59" s="32" t="s">
        <v>1251</v>
      </c>
    </row>
    <row r="60" spans="1:12" x14ac:dyDescent="0.25">
      <c r="A60" t="s">
        <v>1249</v>
      </c>
      <c r="B60" t="s">
        <v>1295</v>
      </c>
      <c r="C60" t="str">
        <f t="shared" ref="C60" ca="1" si="77">_xlfn.CONCAT("Evolution visée du taux de remplissage pour les ",INDIRECT("'Parcs types'!D"&amp;D60))</f>
        <v>Evolution visée du taux de remplissage pour les PL Diesel &lt;=7.5t (Crit'Air 5)</v>
      </c>
      <c r="D60" s="5">
        <v>28</v>
      </c>
      <c r="E60" t="str">
        <f t="shared" ref="E60" si="78">_xlfn.CONCAT(LEFT(B60,3),RIGHT(B60,2),"VisTR")</f>
        <v>Evo22VisTR</v>
      </c>
      <c r="F60" t="s">
        <v>17</v>
      </c>
      <c r="G60" s="5" cm="1">
        <f t="array" ref="G60">IF((INDEX('Remplissage - Sit. Init.'!$C$23:$I$472,MATCH((_xlfn.CONCAT("Catégorie "&amp;RIGHT(B60,2)))&amp;('Remplissage - Sit. Init.'!$D$32),('Remplissage - Sit. Init.'!$C$23:$C$472)&amp;('Remplissage - Sit. Init.'!$D$23:$D$472),0),7))&gt;0,1,0)</f>
        <v>0</v>
      </c>
      <c r="H60" s="36"/>
      <c r="J60" t="s">
        <v>70</v>
      </c>
      <c r="L60" s="32" t="s">
        <v>1253</v>
      </c>
    </row>
    <row r="61" spans="1:12" x14ac:dyDescent="0.25">
      <c r="A61" t="s">
        <v>1249</v>
      </c>
      <c r="B61" t="s">
        <v>1296</v>
      </c>
      <c r="C61" t="str">
        <f t="shared" ref="C61" ca="1" si="79">_xlfn.CONCAT("Evolution visée pour les ",INDIRECT("'Parcs types'!D"&amp;D61))</f>
        <v>Evolution visée pour les PL Diesel &gt;7.5-12t (Crit'Air 2)</v>
      </c>
      <c r="D61" s="5">
        <v>29</v>
      </c>
      <c r="E61" t="str">
        <f t="shared" ref="E61" si="80">_xlfn.CONCAT(LEFT(B61,3),RIGHT(B61,2),"Vis")</f>
        <v>Evo23Vis</v>
      </c>
      <c r="F61" t="s">
        <v>17</v>
      </c>
      <c r="G61" s="5" cm="1">
        <f t="array" ref="G61">IF((INDEX('Remplissage - Sit. Init.'!$C$23:$I$472,MATCH((_xlfn.CONCAT("Catégorie "&amp;RIGHT(B61,2)))&amp;('Remplissage - Sit. Init.'!$D$30),('Remplissage - Sit. Init.'!$C$23:$C$472)&amp;('Remplissage - Sit. Init.'!$D$23:$D$472),0),7))&gt;0,1,0)</f>
        <v>0</v>
      </c>
      <c r="H61" s="36"/>
      <c r="J61" t="s">
        <v>70</v>
      </c>
      <c r="L61" s="32" t="s">
        <v>1251</v>
      </c>
    </row>
    <row r="62" spans="1:12" x14ac:dyDescent="0.25">
      <c r="A62" t="s">
        <v>1249</v>
      </c>
      <c r="B62" t="s">
        <v>1297</v>
      </c>
      <c r="C62" t="str">
        <f t="shared" ref="C62" ca="1" si="81">_xlfn.CONCAT("Evolution visée du taux de remplissage pour les ",INDIRECT("'Parcs types'!D"&amp;D62))</f>
        <v>Evolution visée du taux de remplissage pour les PL Diesel &gt;7.5-12t (Crit'Air 2)</v>
      </c>
      <c r="D62" s="5">
        <v>29</v>
      </c>
      <c r="E62" t="str">
        <f t="shared" ref="E62" si="82">_xlfn.CONCAT(LEFT(B62,3),RIGHT(B62,2),"VisTR")</f>
        <v>Evo23VisTR</v>
      </c>
      <c r="F62" t="s">
        <v>17</v>
      </c>
      <c r="G62" s="5" cm="1">
        <f t="array" ref="G62">IF((INDEX('Remplissage - Sit. Init.'!$C$23:$I$472,MATCH((_xlfn.CONCAT("Catégorie "&amp;RIGHT(B62,2)))&amp;('Remplissage - Sit. Init.'!$D$32),('Remplissage - Sit. Init.'!$C$23:$C$472)&amp;('Remplissage - Sit. Init.'!$D$23:$D$472),0),7))&gt;0,1,0)</f>
        <v>0</v>
      </c>
      <c r="H62" s="36"/>
      <c r="J62" t="s">
        <v>70</v>
      </c>
      <c r="L62" s="32" t="s">
        <v>1253</v>
      </c>
    </row>
    <row r="63" spans="1:12" x14ac:dyDescent="0.25">
      <c r="A63" t="s">
        <v>1249</v>
      </c>
      <c r="B63" t="s">
        <v>1298</v>
      </c>
      <c r="C63" t="str">
        <f t="shared" ref="C63" ca="1" si="83">_xlfn.CONCAT("Evolution visée pour les ",INDIRECT("'Parcs types'!D"&amp;D63))</f>
        <v>Evolution visée pour les PL Diesel &gt;7.5-12t (Crit'Air 3)</v>
      </c>
      <c r="D63" s="5">
        <v>30</v>
      </c>
      <c r="E63" t="str">
        <f t="shared" ref="E63" si="84">_xlfn.CONCAT(LEFT(B63,3),RIGHT(B63,2),"Vis")</f>
        <v>Evo24Vis</v>
      </c>
      <c r="F63" t="s">
        <v>17</v>
      </c>
      <c r="G63" s="5" cm="1">
        <f t="array" ref="G63">IF((INDEX('Remplissage - Sit. Init.'!$C$23:$I$472,MATCH((_xlfn.CONCAT("Catégorie "&amp;RIGHT(B63,2)))&amp;('Remplissage - Sit. Init.'!$D$30),('Remplissage - Sit. Init.'!$C$23:$C$472)&amp;('Remplissage - Sit. Init.'!$D$23:$D$472),0),7))&gt;0,1,0)</f>
        <v>0</v>
      </c>
      <c r="H63" s="36"/>
      <c r="J63" t="s">
        <v>70</v>
      </c>
      <c r="L63" s="32" t="s">
        <v>1251</v>
      </c>
    </row>
    <row r="64" spans="1:12" x14ac:dyDescent="0.25">
      <c r="A64" t="s">
        <v>1249</v>
      </c>
      <c r="B64" t="s">
        <v>1299</v>
      </c>
      <c r="C64" t="str">
        <f ca="1">_xlfn.CONCAT("Evolution visée pour les ",INDIRECT("'Parcs types'!D"&amp;D64))</f>
        <v>Evolution visée pour les PL Diesel &gt;7.5-12t (Crit'Air 3)</v>
      </c>
      <c r="D64" s="5">
        <v>30</v>
      </c>
      <c r="E64" t="str">
        <f t="shared" ref="E64" si="85">_xlfn.CONCAT(LEFT(B64,3),RIGHT(B64,2),"VisTR")</f>
        <v>Evo24VisTR</v>
      </c>
      <c r="F64" t="s">
        <v>17</v>
      </c>
      <c r="G64" s="5" cm="1">
        <f t="array" ref="G64">IF((INDEX('Remplissage - Sit. Init.'!$C$23:$I$472,MATCH((_xlfn.CONCAT("Catégorie "&amp;RIGHT(B64,2)))&amp;('Remplissage - Sit. Init.'!$D$32),('Remplissage - Sit. Init.'!$C$23:$C$472)&amp;('Remplissage - Sit. Init.'!$D$23:$D$472),0),7))&gt;0,1,0)</f>
        <v>0</v>
      </c>
      <c r="H64" s="36"/>
      <c r="J64" t="s">
        <v>70</v>
      </c>
      <c r="L64" s="32" t="s">
        <v>1253</v>
      </c>
    </row>
    <row r="65" spans="1:12" x14ac:dyDescent="0.25">
      <c r="A65" t="s">
        <v>1249</v>
      </c>
      <c r="B65" t="s">
        <v>1300</v>
      </c>
      <c r="C65" t="str">
        <f ca="1">_xlfn.CONCAT("Evolution visée du taux de remplissage pour les ",INDIRECT("'Parcs types'!D"&amp;D65))</f>
        <v>Evolution visée du taux de remplissage pour les PL Diesel &gt;7.5-12t (Crit'Air 4)</v>
      </c>
      <c r="D65" s="5">
        <v>31</v>
      </c>
      <c r="E65" t="str">
        <f t="shared" ref="E65" si="86">_xlfn.CONCAT(LEFT(B65,3),RIGHT(B65,2),"Vis")</f>
        <v>Evo25Vis</v>
      </c>
      <c r="F65" t="s">
        <v>17</v>
      </c>
      <c r="G65" s="5" cm="1">
        <f t="array" ref="G65">IF((INDEX('Remplissage - Sit. Init.'!$C$23:$I$472,MATCH((_xlfn.CONCAT("Catégorie "&amp;RIGHT(B65,2)))&amp;('Remplissage - Sit. Init.'!$D$30),('Remplissage - Sit. Init.'!$C$23:$C$472)&amp;('Remplissage - Sit. Init.'!$D$23:$D$472),0),7))&gt;0,1,0)</f>
        <v>0</v>
      </c>
      <c r="H65" s="36"/>
      <c r="J65" t="s">
        <v>70</v>
      </c>
      <c r="L65" s="32" t="s">
        <v>1251</v>
      </c>
    </row>
    <row r="66" spans="1:12" x14ac:dyDescent="0.25">
      <c r="A66" t="s">
        <v>1249</v>
      </c>
      <c r="B66" t="s">
        <v>1301</v>
      </c>
      <c r="C66" t="str">
        <f t="shared" ref="C66" ca="1" si="87">_xlfn.CONCAT("Evolution visée pour les ",INDIRECT("'Parcs types'!D"&amp;D66))</f>
        <v>Evolution visée pour les PL Diesel &gt;7.5-12t (Crit'Air 4)</v>
      </c>
      <c r="D66" s="5">
        <v>31</v>
      </c>
      <c r="E66" t="str">
        <f t="shared" ref="E66" si="88">_xlfn.CONCAT(LEFT(B66,3),RIGHT(B66,2),"VisTR")</f>
        <v>Evo25VisTR</v>
      </c>
      <c r="F66" t="s">
        <v>17</v>
      </c>
      <c r="G66" s="5" cm="1">
        <f t="array" ref="G66">IF((INDEX('Remplissage - Sit. Init.'!$C$23:$I$472,MATCH((_xlfn.CONCAT("Catégorie "&amp;RIGHT(B66,2)))&amp;('Remplissage - Sit. Init.'!$D$32),('Remplissage - Sit. Init.'!$C$23:$C$472)&amp;('Remplissage - Sit. Init.'!$D$23:$D$472),0),7))&gt;0,1,0)</f>
        <v>0</v>
      </c>
      <c r="H66" s="36"/>
      <c r="J66" t="s">
        <v>70</v>
      </c>
      <c r="L66" s="32" t="s">
        <v>1253</v>
      </c>
    </row>
    <row r="67" spans="1:12" x14ac:dyDescent="0.25">
      <c r="A67" t="s">
        <v>1249</v>
      </c>
      <c r="B67" t="s">
        <v>1302</v>
      </c>
      <c r="C67" t="str">
        <f t="shared" ref="C67" ca="1" si="89">_xlfn.CONCAT("Evolution visée du taux de remplissage pour les ",INDIRECT("'Parcs types'!D"&amp;D67))</f>
        <v>Evolution visée du taux de remplissage pour les PL Diesel &gt;7.5-12t (Crit'Air 5)</v>
      </c>
      <c r="D67" s="5">
        <v>32</v>
      </c>
      <c r="E67" t="str">
        <f t="shared" ref="E67" si="90">_xlfn.CONCAT(LEFT(B67,3),RIGHT(B67,2),"Vis")</f>
        <v>Evo26Vis</v>
      </c>
      <c r="F67" t="s">
        <v>17</v>
      </c>
      <c r="G67" s="5" cm="1">
        <f t="array" ref="G67">IF((INDEX('Remplissage - Sit. Init.'!$C$23:$I$472,MATCH((_xlfn.CONCAT("Catégorie "&amp;RIGHT(B67,2)))&amp;('Remplissage - Sit. Init.'!$D$30),('Remplissage - Sit. Init.'!$C$23:$C$472)&amp;('Remplissage - Sit. Init.'!$D$23:$D$472),0),7))&gt;0,1,0)</f>
        <v>0</v>
      </c>
      <c r="H67" s="36"/>
      <c r="J67" t="s">
        <v>70</v>
      </c>
      <c r="L67" s="32" t="s">
        <v>1251</v>
      </c>
    </row>
    <row r="68" spans="1:12" x14ac:dyDescent="0.25">
      <c r="A68" t="s">
        <v>1249</v>
      </c>
      <c r="B68" t="s">
        <v>1303</v>
      </c>
      <c r="C68" t="str">
        <f t="shared" ref="C68" ca="1" si="91">_xlfn.CONCAT("Evolution visée pour les ",INDIRECT("'Parcs types'!D"&amp;D68))</f>
        <v>Evolution visée pour les PL Diesel &gt;7.5-12t (Crit'Air 5)</v>
      </c>
      <c r="D68" s="5">
        <v>32</v>
      </c>
      <c r="E68" t="str">
        <f t="shared" ref="E68" si="92">_xlfn.CONCAT(LEFT(B68,3),RIGHT(B68,2),"VisTR")</f>
        <v>Evo26VisTR</v>
      </c>
      <c r="F68" t="s">
        <v>17</v>
      </c>
      <c r="G68" s="5" cm="1">
        <f t="array" ref="G68">IF((INDEX('Remplissage - Sit. Init.'!$C$23:$I$472,MATCH((_xlfn.CONCAT("Catégorie "&amp;RIGHT(B68,2)))&amp;('Remplissage - Sit. Init.'!$D$32),('Remplissage - Sit. Init.'!$C$23:$C$472)&amp;('Remplissage - Sit. Init.'!$D$23:$D$472),0),7))&gt;0,1,0)</f>
        <v>0</v>
      </c>
      <c r="H68" s="36"/>
      <c r="J68" t="s">
        <v>70</v>
      </c>
      <c r="L68" s="32" t="s">
        <v>1253</v>
      </c>
    </row>
    <row r="69" spans="1:12" x14ac:dyDescent="0.25">
      <c r="A69" t="s">
        <v>1249</v>
      </c>
      <c r="B69" t="s">
        <v>1304</v>
      </c>
      <c r="C69" t="str">
        <f t="shared" ref="C69" ca="1" si="93">_xlfn.CONCAT("Evolution visée du taux de remplissage pour les ",INDIRECT("'Parcs types'!D"&amp;D69))</f>
        <v>Evolution visée du taux de remplissage pour les PL Diesel &gt;14-20t (Crit'Air 2)</v>
      </c>
      <c r="D69" s="5">
        <v>33</v>
      </c>
      <c r="E69" t="str">
        <f t="shared" ref="E69" si="94">_xlfn.CONCAT(LEFT(B69,3),RIGHT(B69,2),"Vis")</f>
        <v>Evo27Vis</v>
      </c>
      <c r="F69" t="s">
        <v>17</v>
      </c>
      <c r="G69" s="5" cm="1">
        <f t="array" ref="G69">IF((INDEX('Remplissage - Sit. Init.'!$C$23:$I$472,MATCH((_xlfn.CONCAT("Catégorie "&amp;RIGHT(B69,2)))&amp;('Remplissage - Sit. Init.'!$D$30),('Remplissage - Sit. Init.'!$C$23:$C$472)&amp;('Remplissage - Sit. Init.'!$D$23:$D$472),0),7))&gt;0,1,0)</f>
        <v>0</v>
      </c>
      <c r="H69" s="36"/>
      <c r="J69" t="s">
        <v>70</v>
      </c>
      <c r="L69" s="32" t="s">
        <v>1251</v>
      </c>
    </row>
    <row r="70" spans="1:12" x14ac:dyDescent="0.25">
      <c r="A70" t="s">
        <v>1249</v>
      </c>
      <c r="B70" t="s">
        <v>1305</v>
      </c>
      <c r="C70" t="str">
        <f t="shared" ref="C70" ca="1" si="95">_xlfn.CONCAT("Evolution visée pour les ",INDIRECT("'Parcs types'!D"&amp;D70))</f>
        <v>Evolution visée pour les PL Diesel &gt;14-20t (Crit'Air 2)</v>
      </c>
      <c r="D70" s="5">
        <v>33</v>
      </c>
      <c r="E70" t="str">
        <f t="shared" ref="E70" si="96">_xlfn.CONCAT(LEFT(B70,3),RIGHT(B70,2),"VisTR")</f>
        <v>Evo27VisTR</v>
      </c>
      <c r="F70" t="s">
        <v>17</v>
      </c>
      <c r="G70" s="5" cm="1">
        <f t="array" ref="G70">IF((INDEX('Remplissage - Sit. Init.'!$C$23:$I$472,MATCH((_xlfn.CONCAT("Catégorie "&amp;RIGHT(B70,2)))&amp;('Remplissage - Sit. Init.'!$D$32),('Remplissage - Sit. Init.'!$C$23:$C$472)&amp;('Remplissage - Sit. Init.'!$D$23:$D$472),0),7))&gt;0,1,0)</f>
        <v>0</v>
      </c>
      <c r="H70" s="36"/>
      <c r="J70" t="s">
        <v>70</v>
      </c>
      <c r="L70" s="32" t="s">
        <v>1253</v>
      </c>
    </row>
    <row r="71" spans="1:12" x14ac:dyDescent="0.25">
      <c r="A71" t="s">
        <v>1249</v>
      </c>
      <c r="B71" t="s">
        <v>1306</v>
      </c>
      <c r="C71" t="str">
        <f t="shared" ref="C71" ca="1" si="97">_xlfn.CONCAT("Evolution visée du taux de remplissage pour les ",INDIRECT("'Parcs types'!D"&amp;D71))</f>
        <v>Evolution visée du taux de remplissage pour les PL Diesel &gt;14-20t (Crit'Air 3)</v>
      </c>
      <c r="D71" s="5">
        <v>34</v>
      </c>
      <c r="E71" t="str">
        <f t="shared" ref="E71" si="98">_xlfn.CONCAT(LEFT(B71,3),RIGHT(B71,2),"Vis")</f>
        <v>Evo28Vis</v>
      </c>
      <c r="F71" t="s">
        <v>17</v>
      </c>
      <c r="G71" s="5" cm="1">
        <f t="array" ref="G71">IF((INDEX('Remplissage - Sit. Init.'!$C$23:$I$472,MATCH((_xlfn.CONCAT("Catégorie "&amp;RIGHT(B71,2)))&amp;('Remplissage - Sit. Init.'!$D$30),('Remplissage - Sit. Init.'!$C$23:$C$472)&amp;('Remplissage - Sit. Init.'!$D$23:$D$472),0),7))&gt;0,1,0)</f>
        <v>0</v>
      </c>
      <c r="H71" s="36"/>
      <c r="J71" t="s">
        <v>70</v>
      </c>
      <c r="L71" s="32" t="s">
        <v>1251</v>
      </c>
    </row>
    <row r="72" spans="1:12" x14ac:dyDescent="0.25">
      <c r="A72" t="s">
        <v>1249</v>
      </c>
      <c r="B72" t="s">
        <v>1307</v>
      </c>
      <c r="C72" t="str">
        <f t="shared" ref="C72" ca="1" si="99">_xlfn.CONCAT("Evolution visée pour les ",INDIRECT("'Parcs types'!D"&amp;D72))</f>
        <v>Evolution visée pour les PL Diesel &gt;14-20t (Crit'Air 3)</v>
      </c>
      <c r="D72" s="5">
        <v>34</v>
      </c>
      <c r="E72" t="str">
        <f t="shared" ref="E72" si="100">_xlfn.CONCAT(LEFT(B72,3),RIGHT(B72,2),"VisTR")</f>
        <v>Evo28VisTR</v>
      </c>
      <c r="F72" t="s">
        <v>17</v>
      </c>
      <c r="G72" s="5" cm="1">
        <f t="array" ref="G72">IF((INDEX('Remplissage - Sit. Init.'!$C$23:$I$472,MATCH((_xlfn.CONCAT("Catégorie "&amp;RIGHT(B72,2)))&amp;('Remplissage - Sit. Init.'!$D$32),('Remplissage - Sit. Init.'!$C$23:$C$472)&amp;('Remplissage - Sit. Init.'!$D$23:$D$472),0),7))&gt;0,1,0)</f>
        <v>0</v>
      </c>
      <c r="H72" s="36"/>
      <c r="J72" t="s">
        <v>70</v>
      </c>
      <c r="L72" s="32" t="s">
        <v>1253</v>
      </c>
    </row>
    <row r="73" spans="1:12" x14ac:dyDescent="0.25">
      <c r="A73" t="s">
        <v>1249</v>
      </c>
      <c r="B73" t="s">
        <v>1308</v>
      </c>
      <c r="C73" t="str">
        <f t="shared" ref="C73" ca="1" si="101">_xlfn.CONCAT("Evolution visée du taux de remplissage pour les ",INDIRECT("'Parcs types'!D"&amp;D73))</f>
        <v>Evolution visée du taux de remplissage pour les PL Diesel &gt;14-20t (Crit'Air 4)</v>
      </c>
      <c r="D73" s="5">
        <v>35</v>
      </c>
      <c r="E73" t="str">
        <f t="shared" ref="E73" si="102">_xlfn.CONCAT(LEFT(B73,3),RIGHT(B73,2),"Vis")</f>
        <v>Evo29Vis</v>
      </c>
      <c r="F73" t="s">
        <v>17</v>
      </c>
      <c r="G73" s="5" cm="1">
        <f t="array" ref="G73">IF((INDEX('Remplissage - Sit. Init.'!$C$23:$I$472,MATCH((_xlfn.CONCAT("Catégorie "&amp;RIGHT(B73,2)))&amp;('Remplissage - Sit. Init.'!$D$30),('Remplissage - Sit. Init.'!$C$23:$C$472)&amp;('Remplissage - Sit. Init.'!$D$23:$D$472),0),7))&gt;0,1,0)</f>
        <v>0</v>
      </c>
      <c r="H73" s="36"/>
      <c r="J73" t="s">
        <v>70</v>
      </c>
      <c r="L73" s="32" t="s">
        <v>1251</v>
      </c>
    </row>
    <row r="74" spans="1:12" x14ac:dyDescent="0.25">
      <c r="A74" t="s">
        <v>1249</v>
      </c>
      <c r="B74" t="s">
        <v>1309</v>
      </c>
      <c r="C74" t="str">
        <f t="shared" ref="C74" ca="1" si="103">_xlfn.CONCAT("Evolution visée pour les ",INDIRECT("'Parcs types'!D"&amp;D74))</f>
        <v>Evolution visée pour les PL Diesel &gt;14-20t (Crit'Air 4)</v>
      </c>
      <c r="D74" s="5">
        <v>35</v>
      </c>
      <c r="E74" t="str">
        <f t="shared" ref="E74" si="104">_xlfn.CONCAT(LEFT(B74,3),RIGHT(B74,2),"VisTR")</f>
        <v>Evo29VisTR</v>
      </c>
      <c r="F74" t="s">
        <v>17</v>
      </c>
      <c r="G74" s="5" cm="1">
        <f t="array" ref="G74">IF((INDEX('Remplissage - Sit. Init.'!$C$23:$I$472,MATCH((_xlfn.CONCAT("Catégorie "&amp;RIGHT(B74,2)))&amp;('Remplissage - Sit. Init.'!$D$32),('Remplissage - Sit. Init.'!$C$23:$C$472)&amp;('Remplissage - Sit. Init.'!$D$23:$D$472),0),7))&gt;0,1,0)</f>
        <v>0</v>
      </c>
      <c r="H74" s="36"/>
      <c r="J74" t="s">
        <v>70</v>
      </c>
      <c r="L74" s="32" t="s">
        <v>1253</v>
      </c>
    </row>
    <row r="75" spans="1:12" x14ac:dyDescent="0.25">
      <c r="A75" t="s">
        <v>1249</v>
      </c>
      <c r="B75" t="s">
        <v>1310</v>
      </c>
      <c r="C75" t="str">
        <f t="shared" ref="C75" ca="1" si="105">_xlfn.CONCAT("Evolution visée du taux de remplissage pour les ",INDIRECT("'Parcs types'!D"&amp;D75))</f>
        <v>Evolution visée du taux de remplissage pour les PL Diesel &gt;14-20t (Crit'Air 5)</v>
      </c>
      <c r="D75" s="5">
        <v>36</v>
      </c>
      <c r="E75" t="str">
        <f t="shared" ref="E75" si="106">_xlfn.CONCAT(LEFT(B75,3),RIGHT(B75,2),"Vis")</f>
        <v>Evo30Vis</v>
      </c>
      <c r="F75" t="s">
        <v>17</v>
      </c>
      <c r="G75" s="5" cm="1">
        <f t="array" ref="G75">IF((INDEX('Remplissage - Sit. Init.'!$C$23:$I$472,MATCH((_xlfn.CONCAT("Catégorie "&amp;RIGHT(B75,2)))&amp;('Remplissage - Sit. Init.'!$D$30),('Remplissage - Sit. Init.'!$C$23:$C$472)&amp;('Remplissage - Sit. Init.'!$D$23:$D$472),0),7))&gt;0,1,0)</f>
        <v>0</v>
      </c>
      <c r="H75" s="36"/>
      <c r="J75" t="s">
        <v>70</v>
      </c>
      <c r="L75" s="32" t="s">
        <v>1251</v>
      </c>
    </row>
    <row r="76" spans="1:12" x14ac:dyDescent="0.25">
      <c r="A76" t="s">
        <v>1249</v>
      </c>
      <c r="B76" t="s">
        <v>1311</v>
      </c>
      <c r="C76" t="str">
        <f t="shared" ref="C76" ca="1" si="107">_xlfn.CONCAT("Evolution visée pour les ",INDIRECT("'Parcs types'!D"&amp;D76))</f>
        <v>Evolution visée pour les PL Diesel &gt;14-20t (Crit'Air 5)</v>
      </c>
      <c r="D76" s="5">
        <v>36</v>
      </c>
      <c r="E76" t="str">
        <f t="shared" ref="E76" si="108">_xlfn.CONCAT(LEFT(B76,3),RIGHT(B76,2),"VisTR")</f>
        <v>Evo30VisTR</v>
      </c>
      <c r="F76" t="s">
        <v>17</v>
      </c>
      <c r="G76" s="5" cm="1">
        <f t="array" ref="G76">IF((INDEX('Remplissage - Sit. Init.'!$C$23:$I$472,MATCH((_xlfn.CONCAT("Catégorie "&amp;RIGHT(B76,2)))&amp;('Remplissage - Sit. Init.'!$D$32),('Remplissage - Sit. Init.'!$C$23:$C$472)&amp;('Remplissage - Sit. Init.'!$D$23:$D$472),0),7))&gt;0,1,0)</f>
        <v>0</v>
      </c>
      <c r="H76" s="36"/>
      <c r="J76" t="s">
        <v>70</v>
      </c>
      <c r="L76" s="32" t="s">
        <v>1253</v>
      </c>
    </row>
    <row r="77" spans="1:12" x14ac:dyDescent="0.25">
      <c r="A77" t="s">
        <v>1249</v>
      </c>
      <c r="B77" t="s">
        <v>1312</v>
      </c>
      <c r="C77" t="str">
        <f t="shared" ref="C77" ca="1" si="109">_xlfn.CONCAT("Evolution visée du taux de remplissage pour les ",INDIRECT("'Parcs types'!D"&amp;D77))</f>
        <v>Evolution visée du taux de remplissage pour les PL Diesel &gt;20-26t (Crit'Air 2)</v>
      </c>
      <c r="D77" s="5">
        <v>37</v>
      </c>
      <c r="E77" t="str">
        <f t="shared" ref="E77" si="110">_xlfn.CONCAT(LEFT(B77,3),RIGHT(B77,2),"Vis")</f>
        <v>Evo31Vis</v>
      </c>
      <c r="F77" t="s">
        <v>17</v>
      </c>
      <c r="G77" s="5" cm="1">
        <f t="array" ref="G77">IF((INDEX('Remplissage - Sit. Init.'!$C$23:$I$472,MATCH((_xlfn.CONCAT("Catégorie "&amp;RIGHT(B77,2)))&amp;('Remplissage - Sit. Init.'!$D$30),('Remplissage - Sit. Init.'!$C$23:$C$472)&amp;('Remplissage - Sit. Init.'!$D$23:$D$472),0),7))&gt;0,1,0)</f>
        <v>0</v>
      </c>
      <c r="H77" s="36"/>
      <c r="J77" t="s">
        <v>70</v>
      </c>
      <c r="L77" s="32" t="s">
        <v>1251</v>
      </c>
    </row>
    <row r="78" spans="1:12" x14ac:dyDescent="0.25">
      <c r="A78" t="s">
        <v>1249</v>
      </c>
      <c r="B78" t="s">
        <v>1313</v>
      </c>
      <c r="C78" t="str">
        <f t="shared" ref="C78" ca="1" si="111">_xlfn.CONCAT("Evolution visée pour les ",INDIRECT("'Parcs types'!D"&amp;D78))</f>
        <v>Evolution visée pour les PL Diesel &gt;20-26t (Crit'Air 2)</v>
      </c>
      <c r="D78" s="5">
        <v>37</v>
      </c>
      <c r="E78" t="str">
        <f t="shared" ref="E78" si="112">_xlfn.CONCAT(LEFT(B78,3),RIGHT(B78,2),"VisTR")</f>
        <v>Evo31VisTR</v>
      </c>
      <c r="F78" t="s">
        <v>17</v>
      </c>
      <c r="G78" s="5" cm="1">
        <f t="array" ref="G78">IF((INDEX('Remplissage - Sit. Init.'!$C$23:$I$472,MATCH((_xlfn.CONCAT("Catégorie "&amp;RIGHT(B78,2)))&amp;('Remplissage - Sit. Init.'!$D$32),('Remplissage - Sit. Init.'!$C$23:$C$472)&amp;('Remplissage - Sit. Init.'!$D$23:$D$472),0),7))&gt;0,1,0)</f>
        <v>0</v>
      </c>
      <c r="H78" s="36"/>
      <c r="J78" t="s">
        <v>70</v>
      </c>
      <c r="L78" s="32" t="s">
        <v>1253</v>
      </c>
    </row>
    <row r="79" spans="1:12" x14ac:dyDescent="0.25">
      <c r="A79" t="s">
        <v>1249</v>
      </c>
      <c r="B79" t="s">
        <v>1314</v>
      </c>
      <c r="C79" t="str">
        <f t="shared" ref="C79" ca="1" si="113">_xlfn.CONCAT("Evolution visée du taux de remplissage pour les ",INDIRECT("'Parcs types'!D"&amp;D79))</f>
        <v>Evolution visée du taux de remplissage pour les PL Diesel &gt;20-26t (Crit'Air 3)</v>
      </c>
      <c r="D79" s="5">
        <v>38</v>
      </c>
      <c r="E79" t="str">
        <f t="shared" ref="E79" si="114">_xlfn.CONCAT(LEFT(B79,3),RIGHT(B79,2),"Vis")</f>
        <v>Evo32Vis</v>
      </c>
      <c r="F79" t="s">
        <v>17</v>
      </c>
      <c r="G79" s="5" cm="1">
        <f t="array" ref="G79">IF((INDEX('Remplissage - Sit. Init.'!$C$23:$I$472,MATCH((_xlfn.CONCAT("Catégorie "&amp;RIGHT(B79,2)))&amp;('Remplissage - Sit. Init.'!$D$30),('Remplissage - Sit. Init.'!$C$23:$C$472)&amp;('Remplissage - Sit. Init.'!$D$23:$D$472),0),7))&gt;0,1,0)</f>
        <v>0</v>
      </c>
      <c r="H79" s="36"/>
      <c r="J79" t="s">
        <v>70</v>
      </c>
      <c r="L79" s="32" t="s">
        <v>1251</v>
      </c>
    </row>
    <row r="80" spans="1:12" x14ac:dyDescent="0.25">
      <c r="A80" t="s">
        <v>1249</v>
      </c>
      <c r="B80" t="s">
        <v>1315</v>
      </c>
      <c r="C80" t="str">
        <f t="shared" ref="C80" ca="1" si="115">_xlfn.CONCAT("Evolution visée pour les ",INDIRECT("'Parcs types'!D"&amp;D80))</f>
        <v>Evolution visée pour les PL Diesel &gt;20-26t (Crit'Air 3)</v>
      </c>
      <c r="D80" s="5">
        <v>38</v>
      </c>
      <c r="E80" t="str">
        <f t="shared" ref="E80" si="116">_xlfn.CONCAT(LEFT(B80,3),RIGHT(B80,2),"VisTR")</f>
        <v>Evo32VisTR</v>
      </c>
      <c r="F80" t="s">
        <v>17</v>
      </c>
      <c r="G80" s="5" cm="1">
        <f t="array" ref="G80">IF((INDEX('Remplissage - Sit. Init.'!$C$23:$I$472,MATCH((_xlfn.CONCAT("Catégorie "&amp;RIGHT(B80,2)))&amp;('Remplissage - Sit. Init.'!$D$32),('Remplissage - Sit. Init.'!$C$23:$C$472)&amp;('Remplissage - Sit. Init.'!$D$23:$D$472),0),7))&gt;0,1,0)</f>
        <v>0</v>
      </c>
      <c r="H80" s="36"/>
      <c r="J80" t="s">
        <v>70</v>
      </c>
      <c r="L80" s="32" t="s">
        <v>1253</v>
      </c>
    </row>
    <row r="81" spans="1:12" x14ac:dyDescent="0.25">
      <c r="A81" t="s">
        <v>1249</v>
      </c>
      <c r="B81" t="s">
        <v>1316</v>
      </c>
      <c r="C81" t="str">
        <f t="shared" ref="C81" ca="1" si="117">_xlfn.CONCAT("Evolution visée du taux de remplissage pour les ",INDIRECT("'Parcs types'!D"&amp;D81))</f>
        <v>Evolution visée du taux de remplissage pour les PL Diesel &gt;20-26t (Crit'Air 4)</v>
      </c>
      <c r="D81" s="5">
        <v>39</v>
      </c>
      <c r="E81" t="str">
        <f t="shared" ref="E81" si="118">_xlfn.CONCAT(LEFT(B81,3),RIGHT(B81,2),"Vis")</f>
        <v>Evo33Vis</v>
      </c>
      <c r="F81" t="s">
        <v>17</v>
      </c>
      <c r="G81" s="5" cm="1">
        <f t="array" ref="G81">IF((INDEX('Remplissage - Sit. Init.'!$C$23:$I$472,MATCH((_xlfn.CONCAT("Catégorie "&amp;RIGHT(B81,2)))&amp;('Remplissage - Sit. Init.'!$D$30),('Remplissage - Sit. Init.'!$C$23:$C$472)&amp;('Remplissage - Sit. Init.'!$D$23:$D$472),0),7))&gt;0,1,0)</f>
        <v>0</v>
      </c>
      <c r="H81" s="36"/>
      <c r="J81" t="s">
        <v>70</v>
      </c>
      <c r="L81" s="32" t="s">
        <v>1251</v>
      </c>
    </row>
    <row r="82" spans="1:12" x14ac:dyDescent="0.25">
      <c r="A82" t="s">
        <v>1249</v>
      </c>
      <c r="B82" t="s">
        <v>1317</v>
      </c>
      <c r="C82" t="str">
        <f t="shared" ref="C82" ca="1" si="119">_xlfn.CONCAT("Evolution visée pour les ",INDIRECT("'Parcs types'!D"&amp;D82))</f>
        <v>Evolution visée pour les PL Diesel &gt;20-26t (Crit'Air 4)</v>
      </c>
      <c r="D82" s="5">
        <v>39</v>
      </c>
      <c r="E82" t="str">
        <f t="shared" ref="E82" si="120">_xlfn.CONCAT(LEFT(B82,3),RIGHT(B82,2),"VisTR")</f>
        <v>Evo33VisTR</v>
      </c>
      <c r="F82" t="s">
        <v>17</v>
      </c>
      <c r="G82" s="5" cm="1">
        <f t="array" ref="G82">IF((INDEX('Remplissage - Sit. Init.'!$C$23:$I$472,MATCH((_xlfn.CONCAT("Catégorie "&amp;RIGHT(B82,2)))&amp;('Remplissage - Sit. Init.'!$D$32),('Remplissage - Sit. Init.'!$C$23:$C$472)&amp;('Remplissage - Sit. Init.'!$D$23:$D$472),0),7))&gt;0,1,0)</f>
        <v>0</v>
      </c>
      <c r="H82" s="36"/>
      <c r="J82" t="s">
        <v>70</v>
      </c>
      <c r="L82" s="32" t="s">
        <v>1253</v>
      </c>
    </row>
    <row r="83" spans="1:12" x14ac:dyDescent="0.25">
      <c r="A83" t="s">
        <v>1249</v>
      </c>
      <c r="B83" t="s">
        <v>1318</v>
      </c>
      <c r="C83" t="str">
        <f t="shared" ref="C83" ca="1" si="121">_xlfn.CONCAT("Evolution visée du taux de remplissage pour les ",INDIRECT("'Parcs types'!D"&amp;D83))</f>
        <v>Evolution visée du taux de remplissage pour les PL Diesel &gt;20-26t (Crit'Air 5)</v>
      </c>
      <c r="D83" s="5">
        <v>40</v>
      </c>
      <c r="E83" t="str">
        <f t="shared" ref="E83" si="122">_xlfn.CONCAT(LEFT(B83,3),RIGHT(B83,2),"Vis")</f>
        <v>Evo34Vis</v>
      </c>
      <c r="F83" t="s">
        <v>17</v>
      </c>
      <c r="G83" s="5" cm="1">
        <f t="array" ref="G83">IF((INDEX('Remplissage - Sit. Init.'!$C$23:$I$472,MATCH((_xlfn.CONCAT("Catégorie "&amp;RIGHT(B83,2)))&amp;('Remplissage - Sit. Init.'!$D$30),('Remplissage - Sit. Init.'!$C$23:$C$472)&amp;('Remplissage - Sit. Init.'!$D$23:$D$472),0),7))&gt;0,1,0)</f>
        <v>0</v>
      </c>
      <c r="H83" s="36"/>
      <c r="J83" t="s">
        <v>70</v>
      </c>
      <c r="L83" s="32" t="s">
        <v>1251</v>
      </c>
    </row>
    <row r="84" spans="1:12" x14ac:dyDescent="0.25">
      <c r="A84" t="s">
        <v>1249</v>
      </c>
      <c r="B84" t="s">
        <v>1319</v>
      </c>
      <c r="C84" t="str">
        <f t="shared" ref="C84" ca="1" si="123">_xlfn.CONCAT("Evolution visée pour les ",INDIRECT("'Parcs types'!D"&amp;D84))</f>
        <v>Evolution visée pour les PL Diesel &gt;20-26t (Crit'Air 5)</v>
      </c>
      <c r="D84" s="5">
        <v>40</v>
      </c>
      <c r="E84" t="str">
        <f t="shared" ref="E84" si="124">_xlfn.CONCAT(LEFT(B84,3),RIGHT(B84,2),"VisTR")</f>
        <v>Evo34VisTR</v>
      </c>
      <c r="F84" t="s">
        <v>17</v>
      </c>
      <c r="G84" s="5" cm="1">
        <f t="array" ref="G84">IF((INDEX('Remplissage - Sit. Init.'!$C$23:$I$472,MATCH((_xlfn.CONCAT("Catégorie "&amp;RIGHT(B84,2)))&amp;('Remplissage - Sit. Init.'!$D$32),('Remplissage - Sit. Init.'!$C$23:$C$472)&amp;('Remplissage - Sit. Init.'!$D$23:$D$472),0),7))&gt;0,1,0)</f>
        <v>0</v>
      </c>
      <c r="H84" s="36"/>
      <c r="J84" t="s">
        <v>70</v>
      </c>
      <c r="L84" s="32" t="s">
        <v>1253</v>
      </c>
    </row>
    <row r="85" spans="1:12" x14ac:dyDescent="0.25">
      <c r="A85" t="s">
        <v>1249</v>
      </c>
      <c r="B85" t="s">
        <v>1320</v>
      </c>
      <c r="C85" t="str">
        <f t="shared" ref="C85" ca="1" si="125">_xlfn.CONCAT("Evolution visée du taux de remplissage pour les ",INDIRECT("'Parcs types'!D"&amp;D85))</f>
        <v>Evolution visée du taux de remplissage pour les PL Diesel &gt;28-34t (Crit'Air 2)</v>
      </c>
      <c r="D85" s="5">
        <v>41</v>
      </c>
      <c r="E85" t="str">
        <f t="shared" ref="E85" si="126">_xlfn.CONCAT(LEFT(B85,3),RIGHT(B85,2),"Vis")</f>
        <v>Evo35Vis</v>
      </c>
      <c r="F85" t="s">
        <v>17</v>
      </c>
      <c r="G85" s="5" cm="1">
        <f t="array" ref="G85">IF((INDEX('Remplissage - Sit. Init.'!$C$23:$I$472,MATCH((_xlfn.CONCAT("Catégorie "&amp;RIGHT(B85,2)))&amp;('Remplissage - Sit. Init.'!$D$30),('Remplissage - Sit. Init.'!$C$23:$C$472)&amp;('Remplissage - Sit. Init.'!$D$23:$D$472),0),7))&gt;0,1,0)</f>
        <v>0</v>
      </c>
      <c r="H85" s="36"/>
      <c r="J85" t="s">
        <v>70</v>
      </c>
      <c r="L85" s="32" t="s">
        <v>1251</v>
      </c>
    </row>
    <row r="86" spans="1:12" x14ac:dyDescent="0.25">
      <c r="A86" t="s">
        <v>1249</v>
      </c>
      <c r="B86" t="s">
        <v>1321</v>
      </c>
      <c r="C86" t="str">
        <f t="shared" ref="C86" ca="1" si="127">_xlfn.CONCAT("Evolution visée pour les ",INDIRECT("'Parcs types'!D"&amp;D86))</f>
        <v>Evolution visée pour les PL Diesel &gt;28-34t (Crit'Air 2)</v>
      </c>
      <c r="D86" s="5">
        <v>41</v>
      </c>
      <c r="E86" t="str">
        <f t="shared" ref="E86" si="128">_xlfn.CONCAT(LEFT(B86,3),RIGHT(B86,2),"VisTR")</f>
        <v>Evo35VisTR</v>
      </c>
      <c r="F86" t="s">
        <v>17</v>
      </c>
      <c r="G86" s="5" cm="1">
        <f t="array" ref="G86">IF((INDEX('Remplissage - Sit. Init.'!$C$23:$I$472,MATCH((_xlfn.CONCAT("Catégorie "&amp;RIGHT(B86,2)))&amp;('Remplissage - Sit. Init.'!$D$32),('Remplissage - Sit. Init.'!$C$23:$C$472)&amp;('Remplissage - Sit. Init.'!$D$23:$D$472),0),7))&gt;0,1,0)</f>
        <v>0</v>
      </c>
      <c r="H86" s="36"/>
      <c r="J86" t="s">
        <v>70</v>
      </c>
      <c r="L86" s="32" t="s">
        <v>1253</v>
      </c>
    </row>
    <row r="87" spans="1:12" x14ac:dyDescent="0.25">
      <c r="A87" t="s">
        <v>1249</v>
      </c>
      <c r="B87" t="s">
        <v>1322</v>
      </c>
      <c r="C87" t="str">
        <f t="shared" ref="C87" ca="1" si="129">_xlfn.CONCAT("Evolution visée du taux de remplissage pour les ",INDIRECT("'Parcs types'!D"&amp;D87))</f>
        <v>Evolution visée du taux de remplissage pour les PL Diesel &gt;28-34t (Crit'Air 3)</v>
      </c>
      <c r="D87" s="5">
        <v>42</v>
      </c>
      <c r="E87" t="str">
        <f t="shared" ref="E87" si="130">_xlfn.CONCAT(LEFT(B87,3),RIGHT(B87,2),"Vis")</f>
        <v>Evo36Vis</v>
      </c>
      <c r="F87" t="s">
        <v>17</v>
      </c>
      <c r="G87" s="5" cm="1">
        <f t="array" ref="G87">IF((INDEX('Remplissage - Sit. Init.'!$C$23:$I$472,MATCH((_xlfn.CONCAT("Catégorie "&amp;RIGHT(B87,2)))&amp;('Remplissage - Sit. Init.'!$D$30),('Remplissage - Sit. Init.'!$C$23:$C$472)&amp;('Remplissage - Sit. Init.'!$D$23:$D$472),0),7))&gt;0,1,0)</f>
        <v>0</v>
      </c>
      <c r="H87" s="36"/>
      <c r="J87" t="s">
        <v>70</v>
      </c>
      <c r="L87" s="32" t="s">
        <v>1251</v>
      </c>
    </row>
    <row r="88" spans="1:12" x14ac:dyDescent="0.25">
      <c r="A88" t="s">
        <v>1249</v>
      </c>
      <c r="B88" t="s">
        <v>1323</v>
      </c>
      <c r="C88" t="str">
        <f t="shared" ref="C88" ca="1" si="131">_xlfn.CONCAT("Evolution visée pour les ",INDIRECT("'Parcs types'!D"&amp;D88))</f>
        <v>Evolution visée pour les PL Diesel &gt;28-34t (Crit'Air 3)</v>
      </c>
      <c r="D88" s="5">
        <v>42</v>
      </c>
      <c r="E88" t="str">
        <f t="shared" ref="E88" si="132">_xlfn.CONCAT(LEFT(B88,3),RIGHT(B88,2),"VisTR")</f>
        <v>Evo36VisTR</v>
      </c>
      <c r="F88" t="s">
        <v>17</v>
      </c>
      <c r="G88" s="5" cm="1">
        <f t="array" ref="G88">IF((INDEX('Remplissage - Sit. Init.'!$C$23:$I$472,MATCH((_xlfn.CONCAT("Catégorie "&amp;RIGHT(B88,2)))&amp;('Remplissage - Sit. Init.'!$D$32),('Remplissage - Sit. Init.'!$C$23:$C$472)&amp;('Remplissage - Sit. Init.'!$D$23:$D$472),0),7))&gt;0,1,0)</f>
        <v>0</v>
      </c>
      <c r="H88" s="36"/>
      <c r="J88" t="s">
        <v>70</v>
      </c>
      <c r="L88" s="32" t="s">
        <v>1253</v>
      </c>
    </row>
    <row r="89" spans="1:12" x14ac:dyDescent="0.25">
      <c r="A89" t="s">
        <v>1249</v>
      </c>
      <c r="B89" t="s">
        <v>1324</v>
      </c>
      <c r="C89" t="str">
        <f t="shared" ref="C89" ca="1" si="133">_xlfn.CONCAT("Evolution visée du taux de remplissage pour les ",INDIRECT("'Parcs types'!D"&amp;D89))</f>
        <v>Evolution visée du taux de remplissage pour les PL Diesel &gt;28-34t (Crit'Air 4)</v>
      </c>
      <c r="D89" s="5">
        <v>43</v>
      </c>
      <c r="E89" t="str">
        <f t="shared" ref="E89" si="134">_xlfn.CONCAT(LEFT(B89,3),RIGHT(B89,2),"Vis")</f>
        <v>Evo37Vis</v>
      </c>
      <c r="F89" t="s">
        <v>17</v>
      </c>
      <c r="G89" s="5" cm="1">
        <f t="array" ref="G89">IF((INDEX('Remplissage - Sit. Init.'!$C$23:$I$472,MATCH((_xlfn.CONCAT("Catégorie "&amp;RIGHT(B89,2)))&amp;('Remplissage - Sit. Init.'!$D$30),('Remplissage - Sit. Init.'!$C$23:$C$472)&amp;('Remplissage - Sit. Init.'!$D$23:$D$472),0),7))&gt;0,1,0)</f>
        <v>0</v>
      </c>
      <c r="H89" s="36"/>
      <c r="J89" t="s">
        <v>70</v>
      </c>
      <c r="L89" s="32" t="s">
        <v>1251</v>
      </c>
    </row>
    <row r="90" spans="1:12" x14ac:dyDescent="0.25">
      <c r="A90" t="s">
        <v>1249</v>
      </c>
      <c r="B90" t="s">
        <v>1325</v>
      </c>
      <c r="C90" t="str">
        <f t="shared" ref="C90" ca="1" si="135">_xlfn.CONCAT("Evolution visée pour les ",INDIRECT("'Parcs types'!D"&amp;D90))</f>
        <v>Evolution visée pour les PL Diesel &gt;28-34t (Crit'Air 4)</v>
      </c>
      <c r="D90" s="5">
        <v>43</v>
      </c>
      <c r="E90" t="str">
        <f t="shared" ref="E90" si="136">_xlfn.CONCAT(LEFT(B90,3),RIGHT(B90,2),"VisTR")</f>
        <v>Evo37VisTR</v>
      </c>
      <c r="F90" t="s">
        <v>17</v>
      </c>
      <c r="G90" s="5" cm="1">
        <f t="array" ref="G90">IF((INDEX('Remplissage - Sit. Init.'!$C$23:$I$472,MATCH((_xlfn.CONCAT("Catégorie "&amp;RIGHT(B90,2)))&amp;('Remplissage - Sit. Init.'!$D$32),('Remplissage - Sit. Init.'!$C$23:$C$472)&amp;('Remplissage - Sit. Init.'!$D$23:$D$472),0),7))&gt;0,1,0)</f>
        <v>0</v>
      </c>
      <c r="H90" s="36"/>
      <c r="J90" t="s">
        <v>70</v>
      </c>
      <c r="L90" s="32" t="s">
        <v>1253</v>
      </c>
    </row>
    <row r="91" spans="1:12" x14ac:dyDescent="0.25">
      <c r="A91" t="s">
        <v>1249</v>
      </c>
      <c r="B91" t="s">
        <v>1326</v>
      </c>
      <c r="C91" t="str">
        <f t="shared" ref="C91" ca="1" si="137">_xlfn.CONCAT("Evolution visée du taux de remplissage pour les ",INDIRECT("'Parcs types'!D"&amp;D91))</f>
        <v>Evolution visée du taux de remplissage pour les PL Diesel &gt;28-34t (Crit'Air 5)</v>
      </c>
      <c r="D91" s="5">
        <v>44</v>
      </c>
      <c r="E91" t="str">
        <f t="shared" ref="E91" si="138">_xlfn.CONCAT(LEFT(B91,3),RIGHT(B91,2),"Vis")</f>
        <v>Evo38Vis</v>
      </c>
      <c r="F91" t="s">
        <v>17</v>
      </c>
      <c r="G91" s="5" cm="1">
        <f t="array" ref="G91">IF((INDEX('Remplissage - Sit. Init.'!$C$23:$I$472,MATCH((_xlfn.CONCAT("Catégorie "&amp;RIGHT(B91,2)))&amp;('Remplissage - Sit. Init.'!$D$30),('Remplissage - Sit. Init.'!$C$23:$C$472)&amp;('Remplissage - Sit. Init.'!$D$23:$D$472),0),7))&gt;0,1,0)</f>
        <v>0</v>
      </c>
      <c r="H91" s="36"/>
      <c r="J91" t="s">
        <v>70</v>
      </c>
      <c r="L91" s="32" t="s">
        <v>1251</v>
      </c>
    </row>
    <row r="92" spans="1:12" x14ac:dyDescent="0.25">
      <c r="A92" t="s">
        <v>1249</v>
      </c>
      <c r="B92" t="s">
        <v>1327</v>
      </c>
      <c r="C92" t="str">
        <f t="shared" ref="C92" ca="1" si="139">_xlfn.CONCAT("Evolution visée pour les ",INDIRECT("'Parcs types'!D"&amp;D92))</f>
        <v>Evolution visée pour les PL Diesel &gt;28-34t (Crit'Air 5)</v>
      </c>
      <c r="D92" s="5">
        <v>44</v>
      </c>
      <c r="E92" t="str">
        <f t="shared" ref="E92" si="140">_xlfn.CONCAT(LEFT(B92,3),RIGHT(B92,2),"VisTR")</f>
        <v>Evo38VisTR</v>
      </c>
      <c r="F92" t="s">
        <v>17</v>
      </c>
      <c r="G92" s="5" cm="1">
        <f t="array" ref="G92">IF((INDEX('Remplissage - Sit. Init.'!$C$23:$I$472,MATCH((_xlfn.CONCAT("Catégorie "&amp;RIGHT(B92,2)))&amp;('Remplissage - Sit. Init.'!$D$32),('Remplissage - Sit. Init.'!$C$23:$C$472)&amp;('Remplissage - Sit. Init.'!$D$23:$D$472),0),7))&gt;0,1,0)</f>
        <v>0</v>
      </c>
      <c r="H92" s="36"/>
      <c r="J92" t="s">
        <v>70</v>
      </c>
      <c r="L92" s="32" t="s">
        <v>1253</v>
      </c>
    </row>
    <row r="93" spans="1:12" x14ac:dyDescent="0.25">
      <c r="A93" t="s">
        <v>1249</v>
      </c>
      <c r="B93" t="s">
        <v>1328</v>
      </c>
      <c r="C93" t="str">
        <f t="shared" ref="C93" ca="1" si="141">_xlfn.CONCAT("Evolution visée du taux de remplissage pour les ",INDIRECT("'Parcs types'!D"&amp;D93))</f>
        <v>Evolution visée du taux de remplissage pour les PL Diesel &gt;34-40t (Crit'Air 2)</v>
      </c>
      <c r="D93" s="5">
        <v>45</v>
      </c>
      <c r="E93" t="str">
        <f t="shared" ref="E93" si="142">_xlfn.CONCAT(LEFT(B93,3),RIGHT(B93,2),"Vis")</f>
        <v>Evo39Vis</v>
      </c>
      <c r="F93" t="s">
        <v>17</v>
      </c>
      <c r="G93" s="5" cm="1">
        <f t="array" ref="G93">IF((INDEX('Remplissage - Sit. Init.'!$C$23:$I$472,MATCH((_xlfn.CONCAT("Catégorie "&amp;RIGHT(B93,2)))&amp;('Remplissage - Sit. Init.'!$D$30),('Remplissage - Sit. Init.'!$C$23:$C$472)&amp;('Remplissage - Sit. Init.'!$D$23:$D$472),0),7))&gt;0,1,0)</f>
        <v>0</v>
      </c>
      <c r="H93" s="36"/>
      <c r="J93" t="s">
        <v>70</v>
      </c>
      <c r="L93" s="32" t="s">
        <v>1251</v>
      </c>
    </row>
    <row r="94" spans="1:12" x14ac:dyDescent="0.25">
      <c r="A94" t="s">
        <v>1249</v>
      </c>
      <c r="B94" t="s">
        <v>1329</v>
      </c>
      <c r="C94" t="str">
        <f t="shared" ref="C94" ca="1" si="143">_xlfn.CONCAT("Evolution visée pour les ",INDIRECT("'Parcs types'!D"&amp;D94))</f>
        <v>Evolution visée pour les PL Diesel &gt;34-40t (Crit'Air 2)</v>
      </c>
      <c r="D94" s="5">
        <v>45</v>
      </c>
      <c r="E94" t="str">
        <f t="shared" ref="E94" si="144">_xlfn.CONCAT(LEFT(B94,3),RIGHT(B94,2),"VisTR")</f>
        <v>Evo39VisTR</v>
      </c>
      <c r="F94" t="s">
        <v>17</v>
      </c>
      <c r="G94" s="5" cm="1">
        <f t="array" ref="G94">IF((INDEX('Remplissage - Sit. Init.'!$C$23:$I$472,MATCH((_xlfn.CONCAT("Catégorie "&amp;RIGHT(B94,2)))&amp;('Remplissage - Sit. Init.'!$D$32),('Remplissage - Sit. Init.'!$C$23:$C$472)&amp;('Remplissage - Sit. Init.'!$D$23:$D$472),0),7))&gt;0,1,0)</f>
        <v>0</v>
      </c>
      <c r="H94" s="36"/>
      <c r="J94" t="s">
        <v>70</v>
      </c>
      <c r="L94" s="32" t="s">
        <v>1253</v>
      </c>
    </row>
    <row r="95" spans="1:12" x14ac:dyDescent="0.25">
      <c r="A95" t="s">
        <v>1249</v>
      </c>
      <c r="B95" t="s">
        <v>1330</v>
      </c>
      <c r="C95" t="str">
        <f t="shared" ref="C95" ca="1" si="145">_xlfn.CONCAT("Evolution visée du taux de remplissage pour les ",INDIRECT("'Parcs types'!D"&amp;D95))</f>
        <v>Evolution visée du taux de remplissage pour les PL Diesel &gt;34-40t (Crit'Air 3)</v>
      </c>
      <c r="D95" s="5">
        <v>46</v>
      </c>
      <c r="E95" t="str">
        <f t="shared" ref="E95" si="146">_xlfn.CONCAT(LEFT(B95,3),RIGHT(B95,2),"Vis")</f>
        <v>Evo40Vis</v>
      </c>
      <c r="F95" t="s">
        <v>17</v>
      </c>
      <c r="G95" s="5" cm="1">
        <f t="array" ref="G95">IF((INDEX('Remplissage - Sit. Init.'!$C$23:$I$472,MATCH((_xlfn.CONCAT("Catégorie "&amp;RIGHT(B95,2)))&amp;('Remplissage - Sit. Init.'!$D$30),('Remplissage - Sit. Init.'!$C$23:$C$472)&amp;('Remplissage - Sit. Init.'!$D$23:$D$472),0),7))&gt;0,1,0)</f>
        <v>0</v>
      </c>
      <c r="H95" s="36"/>
      <c r="J95" t="s">
        <v>70</v>
      </c>
      <c r="L95" s="32" t="s">
        <v>1251</v>
      </c>
    </row>
    <row r="96" spans="1:12" x14ac:dyDescent="0.25">
      <c r="A96" t="s">
        <v>1249</v>
      </c>
      <c r="B96" t="s">
        <v>1331</v>
      </c>
      <c r="C96" t="str">
        <f t="shared" ref="C96" ca="1" si="147">_xlfn.CONCAT("Evolution visée pour les ",INDIRECT("'Parcs types'!D"&amp;D96))</f>
        <v>Evolution visée pour les PL Diesel &gt;34-40t (Crit'Air 3)</v>
      </c>
      <c r="D96" s="5">
        <v>46</v>
      </c>
      <c r="E96" t="str">
        <f t="shared" ref="E96" si="148">_xlfn.CONCAT(LEFT(B96,3),RIGHT(B96,2),"VisTR")</f>
        <v>Evo40VisTR</v>
      </c>
      <c r="F96" t="s">
        <v>17</v>
      </c>
      <c r="G96" s="5" cm="1">
        <f t="array" ref="G96">IF((INDEX('Remplissage - Sit. Init.'!$C$23:$I$472,MATCH((_xlfn.CONCAT("Catégorie "&amp;RIGHT(B96,2)))&amp;('Remplissage - Sit. Init.'!$D$32),('Remplissage - Sit. Init.'!$C$23:$C$472)&amp;('Remplissage - Sit. Init.'!$D$23:$D$472),0),7))&gt;0,1,0)</f>
        <v>0</v>
      </c>
      <c r="H96" s="36"/>
      <c r="J96" t="s">
        <v>70</v>
      </c>
      <c r="L96" s="32" t="s">
        <v>1253</v>
      </c>
    </row>
    <row r="97" spans="1:12" x14ac:dyDescent="0.25">
      <c r="A97" t="s">
        <v>1249</v>
      </c>
      <c r="B97" t="s">
        <v>1332</v>
      </c>
      <c r="C97" t="str">
        <f t="shared" ref="C97" ca="1" si="149">_xlfn.CONCAT("Evolution visée du taux de remplissage pour les ",INDIRECT("'Parcs types'!D"&amp;D97))</f>
        <v>Evolution visée du taux de remplissage pour les PL Diesel &gt;34-40t (Crit'Air 4)</v>
      </c>
      <c r="D97" s="5">
        <v>47</v>
      </c>
      <c r="E97" t="str">
        <f t="shared" ref="E97" si="150">_xlfn.CONCAT(LEFT(B97,3),RIGHT(B97,2),"Vis")</f>
        <v>Evo41Vis</v>
      </c>
      <c r="F97" t="s">
        <v>17</v>
      </c>
      <c r="G97" s="5" cm="1">
        <f t="array" ref="G97">IF((INDEX('Remplissage - Sit. Init.'!$C$23:$I$472,MATCH((_xlfn.CONCAT("Catégorie "&amp;RIGHT(B97,2)))&amp;('Remplissage - Sit. Init.'!$D$30),('Remplissage - Sit. Init.'!$C$23:$C$472)&amp;('Remplissage - Sit. Init.'!$D$23:$D$472),0),7))&gt;0,1,0)</f>
        <v>0</v>
      </c>
      <c r="H97" s="36"/>
      <c r="J97" t="s">
        <v>70</v>
      </c>
      <c r="L97" s="32" t="s">
        <v>1251</v>
      </c>
    </row>
    <row r="98" spans="1:12" x14ac:dyDescent="0.25">
      <c r="A98" t="s">
        <v>1249</v>
      </c>
      <c r="B98" t="s">
        <v>1333</v>
      </c>
      <c r="C98" t="str">
        <f t="shared" ref="C98" ca="1" si="151">_xlfn.CONCAT("Evolution visée pour les ",INDIRECT("'Parcs types'!D"&amp;D98))</f>
        <v>Evolution visée pour les PL Diesel &gt;34-40t (Crit'Air 4)</v>
      </c>
      <c r="D98" s="5">
        <v>47</v>
      </c>
      <c r="E98" t="str">
        <f t="shared" ref="E98" si="152">_xlfn.CONCAT(LEFT(B98,3),RIGHT(B98,2),"VisTR")</f>
        <v>Evo41VisTR</v>
      </c>
      <c r="F98" t="s">
        <v>17</v>
      </c>
      <c r="G98" s="5" cm="1">
        <f t="array" ref="G98">IF((INDEX('Remplissage - Sit. Init.'!$C$23:$I$472,MATCH((_xlfn.CONCAT("Catégorie "&amp;RIGHT(B98,2)))&amp;('Remplissage - Sit. Init.'!$D$32),('Remplissage - Sit. Init.'!$C$23:$C$472)&amp;('Remplissage - Sit. Init.'!$D$23:$D$472),0),7))&gt;0,1,0)</f>
        <v>0</v>
      </c>
      <c r="H98" s="36"/>
      <c r="J98" t="s">
        <v>70</v>
      </c>
      <c r="L98" s="32" t="s">
        <v>1253</v>
      </c>
    </row>
    <row r="99" spans="1:12" x14ac:dyDescent="0.25">
      <c r="A99" t="s">
        <v>1249</v>
      </c>
      <c r="B99" t="s">
        <v>1334</v>
      </c>
      <c r="C99" t="str">
        <f t="shared" ref="C99" ca="1" si="153">_xlfn.CONCAT("Evolution visée du taux de remplissage pour les ",INDIRECT("'Parcs types'!D"&amp;D99))</f>
        <v>Evolution visée du taux de remplissage pour les PL Diesel &gt;34-40t (Crit'Air 5)</v>
      </c>
      <c r="D99" s="5">
        <v>48</v>
      </c>
      <c r="E99" t="str">
        <f t="shared" ref="E99" si="154">_xlfn.CONCAT(LEFT(B99,3),RIGHT(B99,2),"Vis")</f>
        <v>Evo42Vis</v>
      </c>
      <c r="F99" t="s">
        <v>17</v>
      </c>
      <c r="G99" s="5" cm="1">
        <f t="array" ref="G99">IF((INDEX('Remplissage - Sit. Init.'!$C$23:$I$472,MATCH((_xlfn.CONCAT("Catégorie "&amp;RIGHT(B99,2)))&amp;('Remplissage - Sit. Init.'!$D$30),('Remplissage - Sit. Init.'!$C$23:$C$472)&amp;('Remplissage - Sit. Init.'!$D$23:$D$472),0),7))&gt;0,1,0)</f>
        <v>0</v>
      </c>
      <c r="H99" s="36"/>
      <c r="J99" t="s">
        <v>70</v>
      </c>
      <c r="L99" s="32" t="s">
        <v>1251</v>
      </c>
    </row>
    <row r="100" spans="1:12" x14ac:dyDescent="0.25">
      <c r="A100" t="s">
        <v>1249</v>
      </c>
      <c r="B100" t="s">
        <v>1335</v>
      </c>
      <c r="C100" t="str">
        <f t="shared" ref="C100" ca="1" si="155">_xlfn.CONCAT("Evolution visée pour les ",INDIRECT("'Parcs types'!D"&amp;D100))</f>
        <v>Evolution visée pour les PL Diesel &gt;34-40t (Crit'Air 5)</v>
      </c>
      <c r="D100" s="5">
        <v>48</v>
      </c>
      <c r="E100" t="str">
        <f t="shared" ref="E100" si="156">_xlfn.CONCAT(LEFT(B100,3),RIGHT(B100,2),"VisTR")</f>
        <v>Evo42VisTR</v>
      </c>
      <c r="F100" t="s">
        <v>17</v>
      </c>
      <c r="G100" s="5" cm="1">
        <f t="array" ref="G100">IF((INDEX('Remplissage - Sit. Init.'!$C$23:$I$472,MATCH((_xlfn.CONCAT("Catégorie "&amp;RIGHT(B100,2)))&amp;('Remplissage - Sit. Init.'!$D$32),('Remplissage - Sit. Init.'!$C$23:$C$472)&amp;('Remplissage - Sit. Init.'!$D$23:$D$472),0),7))&gt;0,1,0)</f>
        <v>0</v>
      </c>
      <c r="H100" s="36"/>
      <c r="J100" t="s">
        <v>70</v>
      </c>
      <c r="L100" s="32" t="s">
        <v>1253</v>
      </c>
    </row>
    <row r="101" spans="1:12" x14ac:dyDescent="0.25">
      <c r="A101" t="s">
        <v>1249</v>
      </c>
      <c r="B101" t="s">
        <v>1336</v>
      </c>
      <c r="C101" t="str">
        <f t="shared" ref="C101" ca="1" si="157">_xlfn.CONCAT("Evolution visée du taux de remplissage pour les ",INDIRECT("'Parcs types'!D"&amp;D101))</f>
        <v>Evolution visée du taux de remplissage pour les PL Gaz (GNC) &gt;14-20t (Crit'Air 1)</v>
      </c>
      <c r="D101" s="5">
        <v>49</v>
      </c>
      <c r="E101" t="str">
        <f t="shared" ref="E101" si="158">_xlfn.CONCAT(LEFT(B101,3),RIGHT(B101,2),"Vis")</f>
        <v>Evo43Vis</v>
      </c>
      <c r="F101" t="s">
        <v>17</v>
      </c>
      <c r="G101" s="5" cm="1">
        <f t="array" ref="G101">IF((INDEX('Remplissage - Sit. Init.'!$C$23:$I$472,MATCH((_xlfn.CONCAT("Catégorie "&amp;RIGHT(B101,2)))&amp;('Remplissage - Sit. Init.'!$D$30),('Remplissage - Sit. Init.'!$C$23:$C$472)&amp;('Remplissage - Sit. Init.'!$D$23:$D$472),0),7))&gt;0,1,0)</f>
        <v>0</v>
      </c>
      <c r="H101" s="36"/>
      <c r="J101" t="s">
        <v>70</v>
      </c>
      <c r="L101" s="32" t="s">
        <v>1251</v>
      </c>
    </row>
    <row r="102" spans="1:12" x14ac:dyDescent="0.25">
      <c r="A102" t="s">
        <v>1249</v>
      </c>
      <c r="B102" t="s">
        <v>1337</v>
      </c>
      <c r="C102" t="str">
        <f t="shared" ref="C102" ca="1" si="159">_xlfn.CONCAT("Evolution visée pour les ",INDIRECT("'Parcs types'!D"&amp;D102))</f>
        <v>Evolution visée pour les PL Gaz (GNC) &gt;14-20t (Crit'Air 1)</v>
      </c>
      <c r="D102" s="5">
        <v>49</v>
      </c>
      <c r="E102" t="str">
        <f t="shared" ref="E102" si="160">_xlfn.CONCAT(LEFT(B102,3),RIGHT(B102,2),"VisTR")</f>
        <v>Evo43VisTR</v>
      </c>
      <c r="F102" t="s">
        <v>17</v>
      </c>
      <c r="G102" s="5" cm="1">
        <f t="array" ref="G102">IF((INDEX('Remplissage - Sit. Init.'!$C$23:$I$472,MATCH((_xlfn.CONCAT("Catégorie "&amp;RIGHT(B102,2)))&amp;('Remplissage - Sit. Init.'!$D$32),('Remplissage - Sit. Init.'!$C$23:$C$472)&amp;('Remplissage - Sit. Init.'!$D$23:$D$472),0),7))&gt;0,1,0)</f>
        <v>0</v>
      </c>
      <c r="H102" s="36"/>
      <c r="J102" t="s">
        <v>70</v>
      </c>
      <c r="L102" s="32" t="s">
        <v>1253</v>
      </c>
    </row>
    <row r="103" spans="1:12" x14ac:dyDescent="0.25">
      <c r="A103" t="s">
        <v>1249</v>
      </c>
      <c r="B103" t="s">
        <v>1338</v>
      </c>
      <c r="C103" t="str">
        <f t="shared" ref="C103" ca="1" si="161">_xlfn.CONCAT("Evolution visée du taux de remplissage pour les ",INDIRECT("'Parcs types'!D"&amp;D103))</f>
        <v>Evolution visée du taux de remplissage pour les PL Gaz (GNC) &gt;14-20t (Crit'Air 2)</v>
      </c>
      <c r="D103" s="5">
        <v>50</v>
      </c>
      <c r="E103" t="str">
        <f t="shared" ref="E103" si="162">_xlfn.CONCAT(LEFT(B103,3),RIGHT(B103,2),"Vis")</f>
        <v>Evo44Vis</v>
      </c>
      <c r="F103" t="s">
        <v>17</v>
      </c>
      <c r="G103" s="5" cm="1">
        <f t="array" ref="G103">IF((INDEX('Remplissage - Sit. Init.'!$C$23:$I$472,MATCH((_xlfn.CONCAT("Catégorie "&amp;RIGHT(B103,2)))&amp;('Remplissage - Sit. Init.'!$D$30),('Remplissage - Sit. Init.'!$C$23:$C$472)&amp;('Remplissage - Sit. Init.'!$D$23:$D$472),0),7))&gt;0,1,0)</f>
        <v>0</v>
      </c>
      <c r="H103" s="36"/>
      <c r="J103" t="s">
        <v>70</v>
      </c>
      <c r="L103" s="32" t="s">
        <v>1251</v>
      </c>
    </row>
    <row r="104" spans="1:12" x14ac:dyDescent="0.25">
      <c r="A104" t="s">
        <v>1249</v>
      </c>
      <c r="B104" t="s">
        <v>1339</v>
      </c>
      <c r="C104" t="str">
        <f t="shared" ref="C104" ca="1" si="163">_xlfn.CONCAT("Evolution visée pour les ",INDIRECT("'Parcs types'!D"&amp;D104))</f>
        <v>Evolution visée pour les PL Gaz (GNC) &gt;14-20t (Crit'Air 2)</v>
      </c>
      <c r="D104" s="5">
        <v>50</v>
      </c>
      <c r="E104" t="str">
        <f t="shared" ref="E104" si="164">_xlfn.CONCAT(LEFT(B104,3),RIGHT(B104,2),"VisTR")</f>
        <v>Evo44VisTR</v>
      </c>
      <c r="F104" t="s">
        <v>17</v>
      </c>
      <c r="G104" s="5" cm="1">
        <f t="array" ref="G104">IF((INDEX('Remplissage - Sit. Init.'!$C$23:$I$472,MATCH((_xlfn.CONCAT("Catégorie "&amp;RIGHT(B104,2)))&amp;('Remplissage - Sit. Init.'!$D$32),('Remplissage - Sit. Init.'!$C$23:$C$472)&amp;('Remplissage - Sit. Init.'!$D$23:$D$472),0),7))&gt;0,1,0)</f>
        <v>0</v>
      </c>
      <c r="H104" s="36"/>
      <c r="J104" t="s">
        <v>70</v>
      </c>
      <c r="L104" s="32" t="s">
        <v>1253</v>
      </c>
    </row>
    <row r="105" spans="1:12" x14ac:dyDescent="0.25">
      <c r="A105" t="s">
        <v>1249</v>
      </c>
      <c r="B105" t="s">
        <v>1340</v>
      </c>
      <c r="C105" t="str">
        <f t="shared" ref="C105" ca="1" si="165">_xlfn.CONCAT("Evolution visée du taux de remplissage pour les ",INDIRECT("'Parcs types'!D"&amp;D105))</f>
        <v>Evolution visée du taux de remplissage pour les PL Gaz (GNC) &gt;20-26t (Crit'Air 1)</v>
      </c>
      <c r="D105" s="5">
        <v>51</v>
      </c>
      <c r="E105" t="str">
        <f t="shared" ref="E105" si="166">_xlfn.CONCAT(LEFT(B105,3),RIGHT(B105,2),"Vis")</f>
        <v>Evo45Vis</v>
      </c>
      <c r="F105" t="s">
        <v>17</v>
      </c>
      <c r="G105" s="5" cm="1">
        <f t="array" ref="G105">IF((INDEX('Remplissage - Sit. Init.'!$C$23:$I$472,MATCH((_xlfn.CONCAT("Catégorie "&amp;RIGHT(B105,2)))&amp;('Remplissage - Sit. Init.'!$D$30),('Remplissage - Sit. Init.'!$C$23:$C$472)&amp;('Remplissage - Sit. Init.'!$D$23:$D$472),0),7))&gt;0,1,0)</f>
        <v>0</v>
      </c>
      <c r="H105" s="36"/>
      <c r="J105" t="s">
        <v>70</v>
      </c>
      <c r="L105" s="32" t="s">
        <v>1251</v>
      </c>
    </row>
    <row r="106" spans="1:12" x14ac:dyDescent="0.25">
      <c r="A106" t="s">
        <v>1249</v>
      </c>
      <c r="B106" t="s">
        <v>1341</v>
      </c>
      <c r="C106" t="str">
        <f t="shared" ref="C106" ca="1" si="167">_xlfn.CONCAT("Evolution visée pour les ",INDIRECT("'Parcs types'!D"&amp;D106))</f>
        <v>Evolution visée pour les PL Gaz (GNC) &gt;20-26t (Crit'Air 1)</v>
      </c>
      <c r="D106" s="5">
        <v>51</v>
      </c>
      <c r="E106" t="str">
        <f t="shared" ref="E106" si="168">_xlfn.CONCAT(LEFT(B106,3),RIGHT(B106,2),"VisTR")</f>
        <v>Evo45VisTR</v>
      </c>
      <c r="F106" t="s">
        <v>17</v>
      </c>
      <c r="G106" s="5" cm="1">
        <f t="array" ref="G106">IF((INDEX('Remplissage - Sit. Init.'!$C$23:$I$472,MATCH((_xlfn.CONCAT("Catégorie "&amp;RIGHT(B106,2)))&amp;('Remplissage - Sit. Init.'!$D$32),('Remplissage - Sit. Init.'!$C$23:$C$472)&amp;('Remplissage - Sit. Init.'!$D$23:$D$472),0),7))&gt;0,1,0)</f>
        <v>0</v>
      </c>
      <c r="H106" s="36"/>
      <c r="J106" t="s">
        <v>70</v>
      </c>
      <c r="L106" s="32" t="s">
        <v>1253</v>
      </c>
    </row>
    <row r="107" spans="1:12" x14ac:dyDescent="0.25">
      <c r="A107" t="s">
        <v>1342</v>
      </c>
      <c r="B107" t="s">
        <v>77</v>
      </c>
      <c r="C107" t="s">
        <v>78</v>
      </c>
      <c r="E107" t="str">
        <f>_xlfn.CONCAT(LEFT(A107,3),"RoutCat",RIGHT(B107,1),"Nom")</f>
        <v>DévRoutCat1Nom</v>
      </c>
      <c r="F107" t="s">
        <v>20</v>
      </c>
      <c r="G107" s="5" cm="1">
        <f t="array" ref="G107">IF((INDEX('Remplissage - Sit. Init.'!$C$23:$I$472,MATCH((B107)&amp;('Remplissage - Sit. Init.'!$D$30),('Remplissage - Sit. Init.'!$C$23:$C$472)&amp;('Remplissage - Sit. Init.'!$D$23:$D$472),0),7))&gt;0,0,1)</f>
        <v>1</v>
      </c>
      <c r="H107" s="4"/>
      <c r="I107" s="4" t="str">
        <f>'Parcs types'!D10</f>
        <v>VUL Electrique (Crit'Air E)</v>
      </c>
      <c r="K107" s="4" t="str">
        <f>I107</f>
        <v>VUL Electrique (Crit'Air E)</v>
      </c>
    </row>
    <row r="108" spans="1:12" x14ac:dyDescent="0.25">
      <c r="A108" t="s">
        <v>1342</v>
      </c>
      <c r="B108" t="s">
        <v>77</v>
      </c>
      <c r="C108" t="s">
        <v>79</v>
      </c>
      <c r="E108" t="str">
        <f>_xlfn.CONCAT(LEFT(A107,3),"RoutCat",RIGHT(B107,1),"Type")</f>
        <v>DévRoutCat1Type</v>
      </c>
      <c r="F108" t="s">
        <v>20</v>
      </c>
      <c r="G108" s="5" cm="1">
        <f t="array" ref="G108">IF((INDEX('Remplissage - Sit. Init.'!$C$23:$I$472,MATCH((B108)&amp;('Remplissage - Sit. Init.'!$D$30),('Remplissage - Sit. Init.'!$C$23:$C$472)&amp;('Remplissage - Sit. Init.'!$D$23:$D$472),0),7))&gt;0,0,1)</f>
        <v>1</v>
      </c>
      <c r="I108" t="str">
        <f>IF(K109='Parcs types'!$E$10,"VUL",LEFT('Remplissage - Sit. Prev.'!K107,SEARCH('Remplissage - Sit. Prev.'!K110,'Remplissage - Sit. Prev.'!K107)-2))</f>
        <v>VUL</v>
      </c>
      <c r="K108" s="4" t="str">
        <f t="shared" ref="K108:K113" si="169">I108</f>
        <v>VUL</v>
      </c>
    </row>
    <row r="109" spans="1:12" x14ac:dyDescent="0.25">
      <c r="A109" t="s">
        <v>1342</v>
      </c>
      <c r="B109" t="s">
        <v>77</v>
      </c>
      <c r="C109" t="s">
        <v>80</v>
      </c>
      <c r="E109" t="str">
        <f>_xlfn.CONCAT(LEFT(A107,3),"RoutCat",RIGHT(B107,1),"PTAC")</f>
        <v>DévRoutCat1PTAC</v>
      </c>
      <c r="F109" t="s">
        <v>36</v>
      </c>
      <c r="G109" s="5" cm="1">
        <f t="array" ref="G109">IF((INDEX('Remplissage - Sit. Init.'!$C$23:$I$472,MATCH((B109)&amp;('Remplissage - Sit. Init.'!$D$30),('Remplissage - Sit. Init.'!$C$23:$C$472)&amp;('Remplissage - Sit. Init.'!$D$23:$D$472),0),7))&gt;0,0,1)</f>
        <v>1</v>
      </c>
      <c r="I109" t="str">
        <f>VLOOKUP(I107,'Parcs types'!$D$7:$M$54,2,FALSE)</f>
        <v>&lt;=3,5t</v>
      </c>
      <c r="K109" s="4" t="str">
        <f t="shared" si="169"/>
        <v>&lt;=3,5t</v>
      </c>
    </row>
    <row r="110" spans="1:12" x14ac:dyDescent="0.25">
      <c r="A110" t="s">
        <v>1342</v>
      </c>
      <c r="B110" t="s">
        <v>77</v>
      </c>
      <c r="C110" t="s">
        <v>81</v>
      </c>
      <c r="E110" t="str">
        <f>_xlfn.CONCAT(LEFT(A107,3),"RoutCat",RIGHT(B107,1),"Mot")</f>
        <v>DévRoutCat1Mot</v>
      </c>
      <c r="F110" t="s">
        <v>36</v>
      </c>
      <c r="G110" s="5" cm="1">
        <f t="array" ref="G110">IF((INDEX('Remplissage - Sit. Init.'!$C$23:$I$472,MATCH((B110)&amp;('Remplissage - Sit. Init.'!$D$30),('Remplissage - Sit. Init.'!$C$23:$C$472)&amp;('Remplissage - Sit. Init.'!$D$23:$D$472),0),7))&gt;0,0,1)</f>
        <v>1</v>
      </c>
      <c r="H110" s="32"/>
      <c r="I110" t="str">
        <f>VLOOKUP(I107,'Parcs types'!$D$7:$M$54,3,FALSE)</f>
        <v>Electrique</v>
      </c>
      <c r="K110" s="4" t="str">
        <f t="shared" si="169"/>
        <v>Electrique</v>
      </c>
    </row>
    <row r="111" spans="1:12" x14ac:dyDescent="0.25">
      <c r="A111" t="s">
        <v>1342</v>
      </c>
      <c r="B111" t="s">
        <v>77</v>
      </c>
      <c r="C111" t="s">
        <v>82</v>
      </c>
      <c r="E111" t="str">
        <f>_xlfn.CONCAT(LEFT(A107,3),"RoutCat",RIGHT(B107,1),"Carb")</f>
        <v>DévRoutCat1Carb</v>
      </c>
      <c r="F111" t="s">
        <v>36</v>
      </c>
      <c r="G111" s="5" cm="1">
        <f t="array" ref="G111">IF((INDEX('Remplissage - Sit. Init.'!$C$23:$I$472,MATCH((B111)&amp;('Remplissage - Sit. Init.'!$D$30),('Remplissage - Sit. Init.'!$C$23:$C$472)&amp;('Remplissage - Sit. Init.'!$D$23:$D$472),0),7))&gt;0,0,1)</f>
        <v>1</v>
      </c>
      <c r="I111" t="str">
        <f>VLOOKUP(I107,'Parcs types'!$D$7:$M$54,4,FALSE)</f>
        <v xml:space="preserve"> -   </v>
      </c>
      <c r="K111" s="4" t="str">
        <f t="shared" si="169"/>
        <v xml:space="preserve"> -   </v>
      </c>
    </row>
    <row r="112" spans="1:12" x14ac:dyDescent="0.25">
      <c r="A112" t="s">
        <v>1342</v>
      </c>
      <c r="B112" t="s">
        <v>77</v>
      </c>
      <c r="C112" t="s">
        <v>83</v>
      </c>
      <c r="E112" t="str">
        <f>_xlfn.CONCAT(LEFT(A107,3),"RoutCat",RIGHT(B107,1),"Euro")</f>
        <v>DévRoutCat1Euro</v>
      </c>
      <c r="F112" t="s">
        <v>36</v>
      </c>
      <c r="G112" s="5" cm="1">
        <f t="array" ref="G112">IF((INDEX('Remplissage - Sit. Init.'!$C$23:$I$472,MATCH((B112)&amp;('Remplissage - Sit. Init.'!$D$30),('Remplissage - Sit. Init.'!$C$23:$C$472)&amp;('Remplissage - Sit. Init.'!$D$23:$D$472),0),7))&gt;0,0,1)</f>
        <v>1</v>
      </c>
      <c r="I112">
        <f>VLOOKUP(I107,'Parcs types'!$D$7:$M$54,5,FALSE)</f>
        <v>0</v>
      </c>
      <c r="K112" s="4">
        <f t="shared" si="169"/>
        <v>0</v>
      </c>
    </row>
    <row r="113" spans="1:11" x14ac:dyDescent="0.25">
      <c r="A113" t="s">
        <v>1342</v>
      </c>
      <c r="B113" t="s">
        <v>77</v>
      </c>
      <c r="C113" t="s">
        <v>84</v>
      </c>
      <c r="E113" t="str">
        <f>_xlfn.CONCAT(LEFT(A107,3),"RoutCat",RIGHT(B107,1),"CritAir")</f>
        <v>DévRoutCat1CritAir</v>
      </c>
      <c r="F113" t="s">
        <v>36</v>
      </c>
      <c r="G113" s="5" cm="1">
        <f t="array" ref="G113">IF((INDEX('Remplissage - Sit. Init.'!$C$23:$I$472,MATCH((B113)&amp;('Remplissage - Sit. Init.'!$D$30),('Remplissage - Sit. Init.'!$C$23:$C$472)&amp;('Remplissage - Sit. Init.'!$D$23:$D$472),0),7))&gt;0,0,1)</f>
        <v>1</v>
      </c>
      <c r="H113" s="32"/>
      <c r="I113" t="str">
        <f>VLOOKUP(I107,'Parcs types'!$D$7:$M$54,6,FALSE)</f>
        <v>E</v>
      </c>
      <c r="K113" s="4" t="str">
        <f t="shared" si="169"/>
        <v>E</v>
      </c>
    </row>
    <row r="114" spans="1:11" x14ac:dyDescent="0.25">
      <c r="A114" t="s">
        <v>1342</v>
      </c>
      <c r="B114" t="s">
        <v>77</v>
      </c>
      <c r="C114" t="s">
        <v>85</v>
      </c>
      <c r="E114" t="str">
        <f>_xlfn.CONCAT(LEFT(A107,3),"RoutCat",RIGHT(B107,1),"Nb")</f>
        <v>DévRoutCat1Nb</v>
      </c>
      <c r="F114" t="s">
        <v>17</v>
      </c>
      <c r="G114" s="5" cm="1">
        <f t="array" ref="G114">IF((INDEX('Remplissage - Sit. Init.'!$C$23:$I$472,MATCH((B114)&amp;('Remplissage - Sit. Init.'!$D$30),('Remplissage - Sit. Init.'!$C$23:$C$472)&amp;('Remplissage - Sit. Init.'!$D$23:$D$472),0),7))&gt;0,0,1)</f>
        <v>1</v>
      </c>
      <c r="J114" t="s">
        <v>86</v>
      </c>
      <c r="K114">
        <f>VLOOKUP($I107,'Parcs types'!$D$7:$M$54,9,FALSE)</f>
        <v>0</v>
      </c>
    </row>
    <row r="115" spans="1:11" x14ac:dyDescent="0.25">
      <c r="A115" t="s">
        <v>1342</v>
      </c>
      <c r="B115" t="s">
        <v>77</v>
      </c>
      <c r="C115" t="s">
        <v>87</v>
      </c>
      <c r="E115" t="str">
        <f>_xlfn.CONCAT(LEFT(A107,3),"RoutCat",RIGHT(B107,1),"Dist")</f>
        <v>DévRoutCat1Dist</v>
      </c>
      <c r="F115" t="s">
        <v>17</v>
      </c>
      <c r="G115" s="5" cm="1">
        <f t="array" ref="G115">IF((INDEX('Remplissage - Sit. Init.'!$C$23:$I$472,MATCH((B115)&amp;('Remplissage - Sit. Init.'!$D$30),('Remplissage - Sit. Init.'!$C$23:$C$472)&amp;('Remplissage - Sit. Init.'!$D$23:$D$472),0),7))&gt;0,0,1)</f>
        <v>1</v>
      </c>
      <c r="H115" s="32"/>
      <c r="J115" t="s">
        <v>88</v>
      </c>
      <c r="K115">
        <f>VLOOKUP($I107,'Parcs types'!$D$7:$M$54,7,FALSE)</f>
        <v>7694</v>
      </c>
    </row>
    <row r="116" spans="1:11" x14ac:dyDescent="0.25">
      <c r="A116" t="s">
        <v>1342</v>
      </c>
      <c r="B116" t="s">
        <v>77</v>
      </c>
      <c r="C116" s="32" t="s">
        <v>89</v>
      </c>
      <c r="E116" t="str">
        <f>_xlfn.CONCAT(LEFT(A107,3),"RoutCat",RIGHT(B107,1),"Rempl")</f>
        <v>DévRoutCat1Rempl</v>
      </c>
      <c r="F116" t="s">
        <v>17</v>
      </c>
      <c r="G116" s="5" cm="1">
        <f t="array" ref="G116">IF((INDEX('Remplissage - Sit. Init.'!$C$23:$I$472,MATCH((B116)&amp;('Remplissage - Sit. Init.'!$D$30),('Remplissage - Sit. Init.'!$C$23:$C$472)&amp;('Remplissage - Sit. Init.'!$D$23:$D$472),0),7))&gt;0,0,1)</f>
        <v>1</v>
      </c>
      <c r="H116" s="36"/>
      <c r="J116" t="s">
        <v>70</v>
      </c>
      <c r="K116">
        <f>VLOOKUP($I107,'Parcs types'!$D$7:$M$54,8,FALSE)</f>
        <v>0</v>
      </c>
    </row>
    <row r="117" spans="1:11" x14ac:dyDescent="0.25">
      <c r="A117" t="s">
        <v>1342</v>
      </c>
      <c r="B117" s="32" t="s">
        <v>90</v>
      </c>
      <c r="C117" t="s">
        <v>78</v>
      </c>
      <c r="E117" t="str">
        <f t="shared" ref="E117" si="170">_xlfn.CONCAT(LEFT(A117,3),"RoutCat",RIGHT(B117,1),"Nom")</f>
        <v>DévRoutCat2Nom</v>
      </c>
      <c r="F117" t="s">
        <v>20</v>
      </c>
      <c r="G117" s="5" cm="1">
        <f t="array" ref="G117">IF((INDEX('Remplissage - Sit. Init.'!$C$23:$I$472,MATCH((B117)&amp;('Remplissage - Sit. Init.'!$D$30),('Remplissage - Sit. Init.'!$C$23:$C$472)&amp;('Remplissage - Sit. Init.'!$D$23:$D$472),0),7))&gt;0,0,1)</f>
        <v>1</v>
      </c>
      <c r="H117" s="4"/>
      <c r="I117" s="4" t="str">
        <f>'Parcs types'!D11</f>
        <v>VUL Diesel (Crit'Air 2)</v>
      </c>
      <c r="K117" s="4" t="str">
        <f>I117</f>
        <v>VUL Diesel (Crit'Air 2)</v>
      </c>
    </row>
    <row r="118" spans="1:11" x14ac:dyDescent="0.25">
      <c r="A118" t="s">
        <v>1342</v>
      </c>
      <c r="B118" s="32" t="s">
        <v>90</v>
      </c>
      <c r="C118" t="s">
        <v>79</v>
      </c>
      <c r="E118" t="str">
        <f t="shared" ref="E118" si="171">_xlfn.CONCAT(LEFT(A117,3),"RoutCat",RIGHT(B117,1),"Type")</f>
        <v>DévRoutCat2Type</v>
      </c>
      <c r="F118" t="s">
        <v>20</v>
      </c>
      <c r="G118" s="5" cm="1">
        <f t="array" ref="G118">IF((INDEX('Remplissage - Sit. Init.'!$C$23:$I$472,MATCH((B118)&amp;('Remplissage - Sit. Init.'!$D$30),('Remplissage - Sit. Init.'!$C$23:$C$472)&amp;('Remplissage - Sit. Init.'!$D$23:$D$472),0),7))&gt;0,0,1)</f>
        <v>1</v>
      </c>
      <c r="I118" t="str">
        <f>IF(K119='Parcs types'!$E$10,"VUL",LEFT('Remplissage - Sit. Prev.'!K117,SEARCH('Remplissage - Sit. Prev.'!K120,'Remplissage - Sit. Prev.'!K117)-2))</f>
        <v>VUL</v>
      </c>
      <c r="K118" s="4" t="str">
        <f t="shared" ref="K118:K123" si="172">I118</f>
        <v>VUL</v>
      </c>
    </row>
    <row r="119" spans="1:11" x14ac:dyDescent="0.25">
      <c r="A119" t="s">
        <v>1342</v>
      </c>
      <c r="B119" s="32" t="s">
        <v>90</v>
      </c>
      <c r="C119" t="s">
        <v>80</v>
      </c>
      <c r="E119" t="str">
        <f t="shared" ref="E119" si="173">_xlfn.CONCAT(LEFT(A117,3),"RoutCat",RIGHT(B117,1),"PTAC")</f>
        <v>DévRoutCat2PTAC</v>
      </c>
      <c r="F119" t="s">
        <v>36</v>
      </c>
      <c r="G119" s="5" cm="1">
        <f t="array" ref="G119">IF((INDEX('Remplissage - Sit. Init.'!$C$23:$I$472,MATCH((B119)&amp;('Remplissage - Sit. Init.'!$D$30),('Remplissage - Sit. Init.'!$C$23:$C$472)&amp;('Remplissage - Sit. Init.'!$D$23:$D$472),0),7))&gt;0,0,1)</f>
        <v>1</v>
      </c>
      <c r="I119" t="str">
        <f>VLOOKUP(I117,'Parcs types'!$D$7:$M$54,2,FALSE)</f>
        <v>&lt;=3,5t</v>
      </c>
      <c r="K119" s="4" t="str">
        <f t="shared" si="172"/>
        <v>&lt;=3,5t</v>
      </c>
    </row>
    <row r="120" spans="1:11" x14ac:dyDescent="0.25">
      <c r="A120" t="s">
        <v>1342</v>
      </c>
      <c r="B120" s="32" t="s">
        <v>90</v>
      </c>
      <c r="C120" t="s">
        <v>81</v>
      </c>
      <c r="E120" t="str">
        <f t="shared" ref="E120" si="174">_xlfn.CONCAT(LEFT(A117,3),"RoutCat",RIGHT(B117,1),"Mot")</f>
        <v>DévRoutCat2Mot</v>
      </c>
      <c r="F120" t="s">
        <v>36</v>
      </c>
      <c r="G120" s="5" cm="1">
        <f t="array" ref="G120">IF((INDEX('Remplissage - Sit. Init.'!$C$23:$I$472,MATCH((B120)&amp;('Remplissage - Sit. Init.'!$D$30),('Remplissage - Sit. Init.'!$C$23:$C$472)&amp;('Remplissage - Sit. Init.'!$D$23:$D$472),0),7))&gt;0,0,1)</f>
        <v>1</v>
      </c>
      <c r="H120" s="32"/>
      <c r="I120" t="str">
        <f>VLOOKUP(I117,'Parcs types'!$D$7:$M$54,3,FALSE)</f>
        <v>Diesel</v>
      </c>
      <c r="K120" s="4" t="str">
        <f t="shared" si="172"/>
        <v>Diesel</v>
      </c>
    </row>
    <row r="121" spans="1:11" x14ac:dyDescent="0.25">
      <c r="A121" t="s">
        <v>1342</v>
      </c>
      <c r="B121" s="32" t="s">
        <v>90</v>
      </c>
      <c r="C121" t="s">
        <v>82</v>
      </c>
      <c r="E121" t="str">
        <f t="shared" ref="E121" si="175">_xlfn.CONCAT(LEFT(A117,3),"RoutCat",RIGHT(B117,1),"Carb")</f>
        <v>DévRoutCat2Carb</v>
      </c>
      <c r="F121" t="s">
        <v>36</v>
      </c>
      <c r="G121" s="5" cm="1">
        <f t="array" ref="G121">IF((INDEX('Remplissage - Sit. Init.'!$C$23:$I$472,MATCH((B121)&amp;('Remplissage - Sit. Init.'!$D$30),('Remplissage - Sit. Init.'!$C$23:$C$472)&amp;('Remplissage - Sit. Init.'!$D$23:$D$472),0),7))&gt;0,0,1)</f>
        <v>1</v>
      </c>
      <c r="I121" t="str">
        <f>VLOOKUP(I117,'Parcs types'!$D$7:$M$54,4,FALSE)</f>
        <v>Gazole à la pompe</v>
      </c>
      <c r="K121" s="4" t="str">
        <f t="shared" si="172"/>
        <v>Gazole à la pompe</v>
      </c>
    </row>
    <row r="122" spans="1:11" x14ac:dyDescent="0.25">
      <c r="A122" t="s">
        <v>1342</v>
      </c>
      <c r="B122" s="32" t="s">
        <v>90</v>
      </c>
      <c r="C122" t="s">
        <v>83</v>
      </c>
      <c r="E122" t="str">
        <f t="shared" ref="E122" si="176">_xlfn.CONCAT(LEFT(A117,3),"RoutCat",RIGHT(B117,1),"Euro")</f>
        <v>DévRoutCat2Euro</v>
      </c>
      <c r="F122" t="s">
        <v>36</v>
      </c>
      <c r="G122" s="5" cm="1">
        <f t="array" ref="G122">IF((INDEX('Remplissage - Sit. Init.'!$C$23:$I$472,MATCH((B122)&amp;('Remplissage - Sit. Init.'!$D$30),('Remplissage - Sit. Init.'!$C$23:$C$472)&amp;('Remplissage - Sit. Init.'!$D$23:$D$472),0),7))&gt;0,0,1)</f>
        <v>1</v>
      </c>
      <c r="I122">
        <f>VLOOKUP(I117,'Parcs types'!$D$7:$M$54,5,FALSE)</f>
        <v>0</v>
      </c>
      <c r="K122" s="4">
        <f t="shared" si="172"/>
        <v>0</v>
      </c>
    </row>
    <row r="123" spans="1:11" x14ac:dyDescent="0.25">
      <c r="A123" t="s">
        <v>1342</v>
      </c>
      <c r="B123" s="32" t="s">
        <v>90</v>
      </c>
      <c r="C123" t="s">
        <v>84</v>
      </c>
      <c r="E123" t="str">
        <f t="shared" ref="E123" si="177">_xlfn.CONCAT(LEFT(A117,3),"RoutCat",RIGHT(B117,1),"CritAir")</f>
        <v>DévRoutCat2CritAir</v>
      </c>
      <c r="F123" t="s">
        <v>36</v>
      </c>
      <c r="G123" s="5" cm="1">
        <f t="array" ref="G123">IF((INDEX('Remplissage - Sit. Init.'!$C$23:$I$472,MATCH((B123)&amp;('Remplissage - Sit. Init.'!$D$30),('Remplissage - Sit. Init.'!$C$23:$C$472)&amp;('Remplissage - Sit. Init.'!$D$23:$D$472),0),7))&gt;0,0,1)</f>
        <v>1</v>
      </c>
      <c r="H123" s="32"/>
      <c r="I123">
        <f>VLOOKUP(I117,'Parcs types'!$D$7:$M$54,6,FALSE)</f>
        <v>2</v>
      </c>
      <c r="K123" s="4">
        <f t="shared" si="172"/>
        <v>2</v>
      </c>
    </row>
    <row r="124" spans="1:11" x14ac:dyDescent="0.25">
      <c r="A124" t="s">
        <v>1342</v>
      </c>
      <c r="B124" s="32" t="s">
        <v>90</v>
      </c>
      <c r="C124" t="s">
        <v>85</v>
      </c>
      <c r="E124" t="str">
        <f t="shared" ref="E124" si="178">_xlfn.CONCAT(LEFT(A117,3),"RoutCat",RIGHT(B117,1),"Nb")</f>
        <v>DévRoutCat2Nb</v>
      </c>
      <c r="F124" t="s">
        <v>17</v>
      </c>
      <c r="G124" s="5" cm="1">
        <f t="array" ref="G124">IF((INDEX('Remplissage - Sit. Init.'!$C$23:$I$472,MATCH((B124)&amp;('Remplissage - Sit. Init.'!$D$30),('Remplissage - Sit. Init.'!$C$23:$C$472)&amp;('Remplissage - Sit. Init.'!$D$23:$D$472),0),7))&gt;0,0,1)</f>
        <v>1</v>
      </c>
      <c r="J124" t="s">
        <v>86</v>
      </c>
      <c r="K124">
        <f>VLOOKUP($I117,'Parcs types'!$D$7:$M$54,9,FALSE)</f>
        <v>0</v>
      </c>
    </row>
    <row r="125" spans="1:11" x14ac:dyDescent="0.25">
      <c r="A125" t="s">
        <v>1342</v>
      </c>
      <c r="B125" s="32" t="s">
        <v>90</v>
      </c>
      <c r="C125" t="s">
        <v>87</v>
      </c>
      <c r="E125" t="str">
        <f t="shared" ref="E125" si="179">_xlfn.CONCAT(LEFT(A117,3),"RoutCat",RIGHT(B117,1),"Dist")</f>
        <v>DévRoutCat2Dist</v>
      </c>
      <c r="F125" t="s">
        <v>17</v>
      </c>
      <c r="G125" s="5" cm="1">
        <f t="array" ref="G125">IF((INDEX('Remplissage - Sit. Init.'!$C$23:$I$472,MATCH((B125)&amp;('Remplissage - Sit. Init.'!$D$30),('Remplissage - Sit. Init.'!$C$23:$C$472)&amp;('Remplissage - Sit. Init.'!$D$23:$D$472),0),7))&gt;0,0,1)</f>
        <v>1</v>
      </c>
      <c r="H125" s="32"/>
      <c r="J125" t="s">
        <v>88</v>
      </c>
      <c r="K125">
        <f>VLOOKUP($I117,'Parcs types'!$D$7:$M$54,7,FALSE)</f>
        <v>17855</v>
      </c>
    </row>
    <row r="126" spans="1:11" x14ac:dyDescent="0.25">
      <c r="A126" t="s">
        <v>1342</v>
      </c>
      <c r="B126" s="32" t="s">
        <v>90</v>
      </c>
      <c r="C126" s="32" t="s">
        <v>89</v>
      </c>
      <c r="E126" t="str">
        <f t="shared" ref="E126" si="180">_xlfn.CONCAT(LEFT(A117,3),"RoutCat",RIGHT(B117,1),"Rempl")</f>
        <v>DévRoutCat2Rempl</v>
      </c>
      <c r="F126" t="s">
        <v>17</v>
      </c>
      <c r="G126" s="5" cm="1">
        <f t="array" ref="G126">IF((INDEX('Remplissage - Sit. Init.'!$C$23:$I$472,MATCH((B126)&amp;('Remplissage - Sit. Init.'!$D$30),('Remplissage - Sit. Init.'!$C$23:$C$472)&amp;('Remplissage - Sit. Init.'!$D$23:$D$472),0),7))&gt;0,0,1)</f>
        <v>1</v>
      </c>
      <c r="H126" s="36"/>
      <c r="J126" t="s">
        <v>70</v>
      </c>
      <c r="K126">
        <f>VLOOKUP($I117,'Parcs types'!$D$7:$M$54,8,FALSE)</f>
        <v>0</v>
      </c>
    </row>
    <row r="127" spans="1:11" x14ac:dyDescent="0.25">
      <c r="A127" t="s">
        <v>1342</v>
      </c>
      <c r="B127" s="32" t="s">
        <v>91</v>
      </c>
      <c r="C127" t="s">
        <v>78</v>
      </c>
      <c r="E127" t="str">
        <f t="shared" ref="E127" si="181">_xlfn.CONCAT(LEFT(A127,3),"RoutCat",RIGHT(B127,1),"Nom")</f>
        <v>DévRoutCat3Nom</v>
      </c>
      <c r="F127" t="s">
        <v>20</v>
      </c>
      <c r="G127" s="5" cm="1">
        <f t="array" ref="G127">IF((INDEX('Remplissage - Sit. Init.'!$C$23:$I$472,MATCH((B127)&amp;('Remplissage - Sit. Init.'!$D$30),('Remplissage - Sit. Init.'!$C$23:$C$472)&amp;('Remplissage - Sit. Init.'!$D$23:$D$472),0),7))&gt;0,0,1)</f>
        <v>1</v>
      </c>
      <c r="H127" s="4"/>
      <c r="I127" s="4" t="str">
        <f>'Parcs types'!D12</f>
        <v>VUL Diesel (Crit'Air 3)</v>
      </c>
      <c r="K127" s="4" t="str">
        <f>I127</f>
        <v>VUL Diesel (Crit'Air 3)</v>
      </c>
    </row>
    <row r="128" spans="1:11" x14ac:dyDescent="0.25">
      <c r="A128" t="s">
        <v>1342</v>
      </c>
      <c r="B128" s="32" t="s">
        <v>91</v>
      </c>
      <c r="C128" t="s">
        <v>79</v>
      </c>
      <c r="E128" t="str">
        <f t="shared" ref="E128" si="182">_xlfn.CONCAT(LEFT(A127,3),"RoutCat",RIGHT(B127,1),"Type")</f>
        <v>DévRoutCat3Type</v>
      </c>
      <c r="F128" t="s">
        <v>20</v>
      </c>
      <c r="G128" s="5" cm="1">
        <f t="array" ref="G128">IF((INDEX('Remplissage - Sit. Init.'!$C$23:$I$472,MATCH((B128)&amp;('Remplissage - Sit. Init.'!$D$30),('Remplissage - Sit. Init.'!$C$23:$C$472)&amp;('Remplissage - Sit. Init.'!$D$23:$D$472),0),7))&gt;0,0,1)</f>
        <v>1</v>
      </c>
      <c r="I128" t="str">
        <f>IF(K129='Parcs types'!$E$10,"VUL",LEFT('Remplissage - Sit. Prev.'!K127,SEARCH('Remplissage - Sit. Prev.'!K130,'Remplissage - Sit. Prev.'!K127)-2))</f>
        <v>VUL</v>
      </c>
      <c r="K128" s="4" t="str">
        <f t="shared" ref="K128:K133" si="183">I128</f>
        <v>VUL</v>
      </c>
    </row>
    <row r="129" spans="1:11" x14ac:dyDescent="0.25">
      <c r="A129" t="s">
        <v>1342</v>
      </c>
      <c r="B129" s="32" t="s">
        <v>91</v>
      </c>
      <c r="C129" t="s">
        <v>80</v>
      </c>
      <c r="E129" t="str">
        <f t="shared" ref="E129" si="184">_xlfn.CONCAT(LEFT(A127,3),"RoutCat",RIGHT(B127,1),"PTAC")</f>
        <v>DévRoutCat3PTAC</v>
      </c>
      <c r="F129" t="s">
        <v>36</v>
      </c>
      <c r="G129" s="5" cm="1">
        <f t="array" ref="G129">IF((INDEX('Remplissage - Sit. Init.'!$C$23:$I$472,MATCH((B129)&amp;('Remplissage - Sit. Init.'!$D$30),('Remplissage - Sit. Init.'!$C$23:$C$472)&amp;('Remplissage - Sit. Init.'!$D$23:$D$472),0),7))&gt;0,0,1)</f>
        <v>1</v>
      </c>
      <c r="I129" t="str">
        <f>VLOOKUP(I127,'Parcs types'!$D$7:$M$54,2,FALSE)</f>
        <v>&lt;=3,5t</v>
      </c>
      <c r="K129" s="4" t="str">
        <f t="shared" si="183"/>
        <v>&lt;=3,5t</v>
      </c>
    </row>
    <row r="130" spans="1:11" x14ac:dyDescent="0.25">
      <c r="A130" t="s">
        <v>1342</v>
      </c>
      <c r="B130" s="32" t="s">
        <v>91</v>
      </c>
      <c r="C130" t="s">
        <v>81</v>
      </c>
      <c r="E130" t="str">
        <f t="shared" ref="E130" si="185">_xlfn.CONCAT(LEFT(A127,3),"RoutCat",RIGHT(B127,1),"Mot")</f>
        <v>DévRoutCat3Mot</v>
      </c>
      <c r="F130" t="s">
        <v>36</v>
      </c>
      <c r="G130" s="5" cm="1">
        <f t="array" ref="G130">IF((INDEX('Remplissage - Sit. Init.'!$C$23:$I$472,MATCH((B130)&amp;('Remplissage - Sit. Init.'!$D$30),('Remplissage - Sit. Init.'!$C$23:$C$472)&amp;('Remplissage - Sit. Init.'!$D$23:$D$472),0),7))&gt;0,0,1)</f>
        <v>1</v>
      </c>
      <c r="H130" s="32"/>
      <c r="I130" t="str">
        <f>VLOOKUP(I127,'Parcs types'!$D$7:$M$54,3,FALSE)</f>
        <v>Diesel</v>
      </c>
      <c r="K130" s="4" t="str">
        <f t="shared" si="183"/>
        <v>Diesel</v>
      </c>
    </row>
    <row r="131" spans="1:11" x14ac:dyDescent="0.25">
      <c r="A131" t="s">
        <v>1342</v>
      </c>
      <c r="B131" s="32" t="s">
        <v>91</v>
      </c>
      <c r="C131" t="s">
        <v>82</v>
      </c>
      <c r="E131" t="str">
        <f t="shared" ref="E131" si="186">_xlfn.CONCAT(LEFT(A127,3),"RoutCat",RIGHT(B127,1),"Carb")</f>
        <v>DévRoutCat3Carb</v>
      </c>
      <c r="F131" t="s">
        <v>36</v>
      </c>
      <c r="G131" s="5" cm="1">
        <f t="array" ref="G131">IF((INDEX('Remplissage - Sit. Init.'!$C$23:$I$472,MATCH((B131)&amp;('Remplissage - Sit. Init.'!$D$30),('Remplissage - Sit. Init.'!$C$23:$C$472)&amp;('Remplissage - Sit. Init.'!$D$23:$D$472),0),7))&gt;0,0,1)</f>
        <v>1</v>
      </c>
      <c r="I131" t="str">
        <f>VLOOKUP(I127,'Parcs types'!$D$7:$M$54,4,FALSE)</f>
        <v>Gazole à la pompe</v>
      </c>
      <c r="K131" s="4" t="str">
        <f t="shared" si="183"/>
        <v>Gazole à la pompe</v>
      </c>
    </row>
    <row r="132" spans="1:11" x14ac:dyDescent="0.25">
      <c r="A132" t="s">
        <v>1342</v>
      </c>
      <c r="B132" s="32" t="s">
        <v>91</v>
      </c>
      <c r="C132" t="s">
        <v>83</v>
      </c>
      <c r="E132" t="str">
        <f t="shared" ref="E132" si="187">_xlfn.CONCAT(LEFT(A127,3),"RoutCat",RIGHT(B127,1),"Euro")</f>
        <v>DévRoutCat3Euro</v>
      </c>
      <c r="F132" t="s">
        <v>36</v>
      </c>
      <c r="G132" s="5" cm="1">
        <f t="array" ref="G132">IF((INDEX('Remplissage - Sit. Init.'!$C$23:$I$472,MATCH((B132)&amp;('Remplissage - Sit. Init.'!$D$30),('Remplissage - Sit. Init.'!$C$23:$C$472)&amp;('Remplissage - Sit. Init.'!$D$23:$D$472),0),7))&gt;0,0,1)</f>
        <v>1</v>
      </c>
      <c r="I132">
        <f>VLOOKUP(I127,'Parcs types'!$D$7:$M$54,5,FALSE)</f>
        <v>0</v>
      </c>
      <c r="K132" s="4">
        <f t="shared" si="183"/>
        <v>0</v>
      </c>
    </row>
    <row r="133" spans="1:11" x14ac:dyDescent="0.25">
      <c r="A133" t="s">
        <v>1342</v>
      </c>
      <c r="B133" s="32" t="s">
        <v>91</v>
      </c>
      <c r="C133" t="s">
        <v>84</v>
      </c>
      <c r="E133" t="str">
        <f t="shared" ref="E133" si="188">_xlfn.CONCAT(LEFT(A127,3),"RoutCat",RIGHT(B127,1),"CritAir")</f>
        <v>DévRoutCat3CritAir</v>
      </c>
      <c r="F133" t="s">
        <v>36</v>
      </c>
      <c r="G133" s="5" cm="1">
        <f t="array" ref="G133">IF((INDEX('Remplissage - Sit. Init.'!$C$23:$I$472,MATCH((B133)&amp;('Remplissage - Sit. Init.'!$D$30),('Remplissage - Sit. Init.'!$C$23:$C$472)&amp;('Remplissage - Sit. Init.'!$D$23:$D$472),0),7))&gt;0,0,1)</f>
        <v>1</v>
      </c>
      <c r="H133" s="32"/>
      <c r="I133">
        <f>VLOOKUP(I127,'Parcs types'!$D$7:$M$54,6,FALSE)</f>
        <v>3</v>
      </c>
      <c r="K133" s="4">
        <f t="shared" si="183"/>
        <v>3</v>
      </c>
    </row>
    <row r="134" spans="1:11" x14ac:dyDescent="0.25">
      <c r="A134" t="s">
        <v>1342</v>
      </c>
      <c r="B134" s="32" t="s">
        <v>91</v>
      </c>
      <c r="C134" t="s">
        <v>85</v>
      </c>
      <c r="E134" t="str">
        <f t="shared" ref="E134" si="189">_xlfn.CONCAT(LEFT(A127,3),"RoutCat",RIGHT(B127,1),"Nb")</f>
        <v>DévRoutCat3Nb</v>
      </c>
      <c r="F134" t="s">
        <v>17</v>
      </c>
      <c r="G134" s="5" cm="1">
        <f t="array" ref="G134">IF((INDEX('Remplissage - Sit. Init.'!$C$23:$I$472,MATCH((B134)&amp;('Remplissage - Sit. Init.'!$D$30),('Remplissage - Sit. Init.'!$C$23:$C$472)&amp;('Remplissage - Sit. Init.'!$D$23:$D$472),0),7))&gt;0,0,1)</f>
        <v>1</v>
      </c>
      <c r="J134" t="s">
        <v>86</v>
      </c>
      <c r="K134">
        <f>VLOOKUP($I127,'Parcs types'!$D$7:$M$54,9,FALSE)</f>
        <v>0</v>
      </c>
    </row>
    <row r="135" spans="1:11" x14ac:dyDescent="0.25">
      <c r="A135" t="s">
        <v>1342</v>
      </c>
      <c r="B135" s="32" t="s">
        <v>91</v>
      </c>
      <c r="C135" t="s">
        <v>87</v>
      </c>
      <c r="E135" t="str">
        <f t="shared" ref="E135" si="190">_xlfn.CONCAT(LEFT(A127,3),"RoutCat",RIGHT(B127,1),"Dist")</f>
        <v>DévRoutCat3Dist</v>
      </c>
      <c r="F135" t="s">
        <v>17</v>
      </c>
      <c r="G135" s="5" cm="1">
        <f t="array" ref="G135">IF((INDEX('Remplissage - Sit. Init.'!$C$23:$I$472,MATCH((B135)&amp;('Remplissage - Sit. Init.'!$D$30),('Remplissage - Sit. Init.'!$C$23:$C$472)&amp;('Remplissage - Sit. Init.'!$D$23:$D$472),0),7))&gt;0,0,1)</f>
        <v>1</v>
      </c>
      <c r="H135" s="32"/>
      <c r="J135" t="s">
        <v>88</v>
      </c>
      <c r="K135">
        <f>VLOOKUP($I127,'Parcs types'!$D$7:$M$54,7,FALSE)</f>
        <v>17855</v>
      </c>
    </row>
    <row r="136" spans="1:11" x14ac:dyDescent="0.25">
      <c r="A136" t="s">
        <v>1342</v>
      </c>
      <c r="B136" s="32" t="s">
        <v>91</v>
      </c>
      <c r="C136" s="32" t="s">
        <v>89</v>
      </c>
      <c r="E136" t="str">
        <f t="shared" ref="E136" si="191">_xlfn.CONCAT(LEFT(A127,3),"RoutCat",RIGHT(B127,1),"Rempl")</f>
        <v>DévRoutCat3Rempl</v>
      </c>
      <c r="F136" t="s">
        <v>17</v>
      </c>
      <c r="G136" s="5" cm="1">
        <f t="array" ref="G136">IF((INDEX('Remplissage - Sit. Init.'!$C$23:$I$472,MATCH((B136)&amp;('Remplissage - Sit. Init.'!$D$30),('Remplissage - Sit. Init.'!$C$23:$C$472)&amp;('Remplissage - Sit. Init.'!$D$23:$D$472),0),7))&gt;0,0,1)</f>
        <v>1</v>
      </c>
      <c r="H136" s="36"/>
      <c r="J136" t="s">
        <v>70</v>
      </c>
      <c r="K136">
        <f>VLOOKUP($I127,'Parcs types'!$D$7:$M$54,8,FALSE)</f>
        <v>0</v>
      </c>
    </row>
    <row r="137" spans="1:11" x14ac:dyDescent="0.25">
      <c r="A137" t="s">
        <v>1342</v>
      </c>
      <c r="B137" s="32" t="s">
        <v>92</v>
      </c>
      <c r="C137" t="s">
        <v>78</v>
      </c>
      <c r="E137" t="str">
        <f t="shared" ref="E137" si="192">_xlfn.CONCAT(LEFT(A137,3),"RoutCat",RIGHT(B137,1),"Nom")</f>
        <v>DévRoutCat4Nom</v>
      </c>
      <c r="F137" t="s">
        <v>20</v>
      </c>
      <c r="G137" s="5" cm="1">
        <f t="array" ref="G137">IF((INDEX('Remplissage - Sit. Init.'!$C$23:$I$472,MATCH((B137)&amp;('Remplissage - Sit. Init.'!$D$30),('Remplissage - Sit. Init.'!$C$23:$C$472)&amp;('Remplissage - Sit. Init.'!$D$23:$D$472),0),7))&gt;0,0,1)</f>
        <v>1</v>
      </c>
      <c r="H137" s="4"/>
      <c r="I137" s="4" t="str">
        <f>'Parcs types'!D13</f>
        <v>VUL Diesel (Crit'Air 4)</v>
      </c>
      <c r="K137" s="4" t="str">
        <f t="shared" ref="K137:K143" si="193">I137</f>
        <v>VUL Diesel (Crit'Air 4)</v>
      </c>
    </row>
    <row r="138" spans="1:11" x14ac:dyDescent="0.25">
      <c r="A138" t="s">
        <v>1342</v>
      </c>
      <c r="B138" s="32" t="s">
        <v>92</v>
      </c>
      <c r="C138" t="s">
        <v>79</v>
      </c>
      <c r="E138" t="str">
        <f t="shared" ref="E138" si="194">_xlfn.CONCAT(LEFT(A137,3),"RoutCat",RIGHT(B137,1),"Type")</f>
        <v>DévRoutCat4Type</v>
      </c>
      <c r="F138" t="s">
        <v>20</v>
      </c>
      <c r="G138" s="5" cm="1">
        <f t="array" ref="G138">IF((INDEX('Remplissage - Sit. Init.'!$C$23:$I$472,MATCH((B138)&amp;('Remplissage - Sit. Init.'!$D$30),('Remplissage - Sit. Init.'!$C$23:$C$472)&amp;('Remplissage - Sit. Init.'!$D$23:$D$472),0),7))&gt;0,0,1)</f>
        <v>1</v>
      </c>
      <c r="I138" t="str">
        <f>IF(K139='Parcs types'!$E$10,"VUL",LEFT('Remplissage - Sit. Prev.'!K137,SEARCH('Remplissage - Sit. Prev.'!K140,'Remplissage - Sit. Prev.'!K137)-2))</f>
        <v>VUL</v>
      </c>
      <c r="K138" s="4" t="str">
        <f t="shared" si="193"/>
        <v>VUL</v>
      </c>
    </row>
    <row r="139" spans="1:11" x14ac:dyDescent="0.25">
      <c r="A139" t="s">
        <v>1342</v>
      </c>
      <c r="B139" s="32" t="s">
        <v>92</v>
      </c>
      <c r="C139" t="s">
        <v>80</v>
      </c>
      <c r="E139" t="str">
        <f t="shared" ref="E139" si="195">_xlfn.CONCAT(LEFT(A137,3),"RoutCat",RIGHT(B137,1),"PTAC")</f>
        <v>DévRoutCat4PTAC</v>
      </c>
      <c r="F139" t="s">
        <v>36</v>
      </c>
      <c r="G139" s="5" cm="1">
        <f t="array" ref="G139">IF((INDEX('Remplissage - Sit. Init.'!$C$23:$I$472,MATCH((B139)&amp;('Remplissage - Sit. Init.'!$D$30),('Remplissage - Sit. Init.'!$C$23:$C$472)&amp;('Remplissage - Sit. Init.'!$D$23:$D$472),0),7))&gt;0,0,1)</f>
        <v>1</v>
      </c>
      <c r="I139" t="str">
        <f>VLOOKUP(I137,'Parcs types'!$D$7:$M$54,2,FALSE)</f>
        <v>&lt;=3,5t</v>
      </c>
      <c r="K139" s="4" t="str">
        <f t="shared" si="193"/>
        <v>&lt;=3,5t</v>
      </c>
    </row>
    <row r="140" spans="1:11" x14ac:dyDescent="0.25">
      <c r="A140" t="s">
        <v>1342</v>
      </c>
      <c r="B140" s="32" t="s">
        <v>92</v>
      </c>
      <c r="C140" t="s">
        <v>81</v>
      </c>
      <c r="E140" t="str">
        <f t="shared" ref="E140" si="196">_xlfn.CONCAT(LEFT(A137,3),"RoutCat",RIGHT(B137,1),"Mot")</f>
        <v>DévRoutCat4Mot</v>
      </c>
      <c r="F140" t="s">
        <v>36</v>
      </c>
      <c r="G140" s="5" cm="1">
        <f t="array" ref="G140">IF((INDEX('Remplissage - Sit. Init.'!$C$23:$I$472,MATCH((B140)&amp;('Remplissage - Sit. Init.'!$D$30),('Remplissage - Sit. Init.'!$C$23:$C$472)&amp;('Remplissage - Sit. Init.'!$D$23:$D$472),0),7))&gt;0,0,1)</f>
        <v>1</v>
      </c>
      <c r="H140" s="32"/>
      <c r="I140" t="str">
        <f>VLOOKUP(I137,'Parcs types'!$D$7:$M$54,3,FALSE)</f>
        <v>Diesel</v>
      </c>
      <c r="K140" s="4" t="str">
        <f t="shared" si="193"/>
        <v>Diesel</v>
      </c>
    </row>
    <row r="141" spans="1:11" x14ac:dyDescent="0.25">
      <c r="A141" t="s">
        <v>1342</v>
      </c>
      <c r="B141" s="32" t="s">
        <v>92</v>
      </c>
      <c r="C141" t="s">
        <v>82</v>
      </c>
      <c r="E141" t="str">
        <f t="shared" ref="E141" si="197">_xlfn.CONCAT(LEFT(A137,3),"RoutCat",RIGHT(B137,1),"Carb")</f>
        <v>DévRoutCat4Carb</v>
      </c>
      <c r="F141" t="s">
        <v>36</v>
      </c>
      <c r="G141" s="5" cm="1">
        <f t="array" ref="G141">IF((INDEX('Remplissage - Sit. Init.'!$C$23:$I$472,MATCH((B141)&amp;('Remplissage - Sit. Init.'!$D$30),('Remplissage - Sit. Init.'!$C$23:$C$472)&amp;('Remplissage - Sit. Init.'!$D$23:$D$472),0),7))&gt;0,0,1)</f>
        <v>1</v>
      </c>
      <c r="I141" t="str">
        <f>VLOOKUP(I137,'Parcs types'!$D$7:$M$54,4,FALSE)</f>
        <v>Gazole à la pompe</v>
      </c>
      <c r="K141" s="4" t="str">
        <f t="shared" si="193"/>
        <v>Gazole à la pompe</v>
      </c>
    </row>
    <row r="142" spans="1:11" x14ac:dyDescent="0.25">
      <c r="A142" t="s">
        <v>1342</v>
      </c>
      <c r="B142" s="32" t="s">
        <v>92</v>
      </c>
      <c r="C142" t="s">
        <v>83</v>
      </c>
      <c r="E142" t="str">
        <f t="shared" ref="E142" si="198">_xlfn.CONCAT(LEFT(A137,3),"RoutCat",RIGHT(B137,1),"Euro")</f>
        <v>DévRoutCat4Euro</v>
      </c>
      <c r="F142" t="s">
        <v>36</v>
      </c>
      <c r="G142" s="5" cm="1">
        <f t="array" ref="G142">IF((INDEX('Remplissage - Sit. Init.'!$C$23:$I$472,MATCH((B142)&amp;('Remplissage - Sit. Init.'!$D$30),('Remplissage - Sit. Init.'!$C$23:$C$472)&amp;('Remplissage - Sit. Init.'!$D$23:$D$472),0),7))&gt;0,0,1)</f>
        <v>1</v>
      </c>
      <c r="I142">
        <f>VLOOKUP(I137,'Parcs types'!$D$7:$M$54,5,FALSE)</f>
        <v>0</v>
      </c>
      <c r="K142" s="4">
        <f t="shared" si="193"/>
        <v>0</v>
      </c>
    </row>
    <row r="143" spans="1:11" x14ac:dyDescent="0.25">
      <c r="A143" t="s">
        <v>1342</v>
      </c>
      <c r="B143" s="32" t="s">
        <v>92</v>
      </c>
      <c r="C143" t="s">
        <v>84</v>
      </c>
      <c r="E143" t="str">
        <f t="shared" ref="E143" si="199">_xlfn.CONCAT(LEFT(A137,3),"RoutCat",RIGHT(B137,1),"CritAir")</f>
        <v>DévRoutCat4CritAir</v>
      </c>
      <c r="F143" t="s">
        <v>36</v>
      </c>
      <c r="G143" s="5" cm="1">
        <f t="array" ref="G143">IF((INDEX('Remplissage - Sit. Init.'!$C$23:$I$472,MATCH((B143)&amp;('Remplissage - Sit. Init.'!$D$30),('Remplissage - Sit. Init.'!$C$23:$C$472)&amp;('Remplissage - Sit. Init.'!$D$23:$D$472),0),7))&gt;0,0,1)</f>
        <v>1</v>
      </c>
      <c r="H143" s="32"/>
      <c r="I143">
        <f>VLOOKUP(I137,'Parcs types'!$D$7:$M$54,6,FALSE)</f>
        <v>4</v>
      </c>
      <c r="K143" s="4">
        <f t="shared" si="193"/>
        <v>4</v>
      </c>
    </row>
    <row r="144" spans="1:11" x14ac:dyDescent="0.25">
      <c r="A144" t="s">
        <v>1342</v>
      </c>
      <c r="B144" s="32" t="s">
        <v>92</v>
      </c>
      <c r="C144" t="s">
        <v>85</v>
      </c>
      <c r="E144" t="str">
        <f t="shared" ref="E144" si="200">_xlfn.CONCAT(LEFT(A137,3),"RoutCat",RIGHT(B137,1),"Nb")</f>
        <v>DévRoutCat4Nb</v>
      </c>
      <c r="F144" t="s">
        <v>17</v>
      </c>
      <c r="G144" s="5" cm="1">
        <f t="array" ref="G144">IF((INDEX('Remplissage - Sit. Init.'!$C$23:$I$472,MATCH((B144)&amp;('Remplissage - Sit. Init.'!$D$30),('Remplissage - Sit. Init.'!$C$23:$C$472)&amp;('Remplissage - Sit. Init.'!$D$23:$D$472),0),7))&gt;0,0,1)</f>
        <v>1</v>
      </c>
      <c r="J144" t="s">
        <v>86</v>
      </c>
      <c r="K144">
        <f>VLOOKUP($I137,'Parcs types'!$D$7:$M$54,9,FALSE)</f>
        <v>0</v>
      </c>
    </row>
    <row r="145" spans="1:11" x14ac:dyDescent="0.25">
      <c r="A145" t="s">
        <v>1342</v>
      </c>
      <c r="B145" s="32" t="s">
        <v>92</v>
      </c>
      <c r="C145" t="s">
        <v>87</v>
      </c>
      <c r="E145" t="str">
        <f t="shared" ref="E145" si="201">_xlfn.CONCAT(LEFT(A137,3),"RoutCat",RIGHT(B137,1),"Dist")</f>
        <v>DévRoutCat4Dist</v>
      </c>
      <c r="F145" t="s">
        <v>17</v>
      </c>
      <c r="G145" s="5" cm="1">
        <f t="array" ref="G145">IF((INDEX('Remplissage - Sit. Init.'!$C$23:$I$472,MATCH((B145)&amp;('Remplissage - Sit. Init.'!$D$30),('Remplissage - Sit. Init.'!$C$23:$C$472)&amp;('Remplissage - Sit. Init.'!$D$23:$D$472),0),7))&gt;0,0,1)</f>
        <v>1</v>
      </c>
      <c r="H145" s="32"/>
      <c r="J145" t="s">
        <v>88</v>
      </c>
      <c r="K145">
        <f>VLOOKUP($I137,'Parcs types'!$D$7:$M$54,7,FALSE)</f>
        <v>17855</v>
      </c>
    </row>
    <row r="146" spans="1:11" x14ac:dyDescent="0.25">
      <c r="A146" t="s">
        <v>1342</v>
      </c>
      <c r="B146" s="32" t="s">
        <v>92</v>
      </c>
      <c r="C146" s="32" t="s">
        <v>89</v>
      </c>
      <c r="E146" t="str">
        <f t="shared" ref="E146" si="202">_xlfn.CONCAT(LEFT(A137,3),"RoutCat",RIGHT(B137,1),"Rempl")</f>
        <v>DévRoutCat4Rempl</v>
      </c>
      <c r="F146" t="s">
        <v>17</v>
      </c>
      <c r="G146" s="5" cm="1">
        <f t="array" ref="G146">IF((INDEX('Remplissage - Sit. Init.'!$C$23:$I$472,MATCH((B146)&amp;('Remplissage - Sit. Init.'!$D$30),('Remplissage - Sit. Init.'!$C$23:$C$472)&amp;('Remplissage - Sit. Init.'!$D$23:$D$472),0),7))&gt;0,0,1)</f>
        <v>1</v>
      </c>
      <c r="H146" s="36"/>
      <c r="J146" t="s">
        <v>70</v>
      </c>
      <c r="K146">
        <f>VLOOKUP($I137,'Parcs types'!$D$7:$M$54,8,FALSE)</f>
        <v>0</v>
      </c>
    </row>
    <row r="147" spans="1:11" x14ac:dyDescent="0.25">
      <c r="A147" t="s">
        <v>1342</v>
      </c>
      <c r="B147" s="32" t="s">
        <v>93</v>
      </c>
      <c r="C147" t="s">
        <v>78</v>
      </c>
      <c r="E147" t="str">
        <f t="shared" ref="E147" si="203">_xlfn.CONCAT(LEFT(A147,3),"RoutCat",RIGHT(B147,1),"Nom")</f>
        <v>DévRoutCat5Nom</v>
      </c>
      <c r="F147" t="s">
        <v>20</v>
      </c>
      <c r="G147" s="5" cm="1">
        <f t="array" ref="G147">IF((INDEX('Remplissage - Sit. Init.'!$C$23:$I$472,MATCH((B147)&amp;('Remplissage - Sit. Init.'!$D$30),('Remplissage - Sit. Init.'!$C$23:$C$472)&amp;('Remplissage - Sit. Init.'!$D$23:$D$472),0),7))&gt;0,0,1)</f>
        <v>1</v>
      </c>
      <c r="H147" s="4"/>
      <c r="I147" s="4" t="str">
        <f>'Parcs types'!D14</f>
        <v>VUL Diesel (Crit'Air 5)</v>
      </c>
      <c r="K147" s="4" t="str">
        <f t="shared" ref="K147:K153" si="204">I147</f>
        <v>VUL Diesel (Crit'Air 5)</v>
      </c>
    </row>
    <row r="148" spans="1:11" x14ac:dyDescent="0.25">
      <c r="A148" t="s">
        <v>1342</v>
      </c>
      <c r="B148" s="32" t="s">
        <v>93</v>
      </c>
      <c r="C148" t="s">
        <v>79</v>
      </c>
      <c r="E148" t="str">
        <f t="shared" ref="E148" si="205">_xlfn.CONCAT(LEFT(A147,3),"RoutCat",RIGHT(B147,1),"Type")</f>
        <v>DévRoutCat5Type</v>
      </c>
      <c r="F148" t="s">
        <v>20</v>
      </c>
      <c r="G148" s="5" cm="1">
        <f t="array" ref="G148">IF((INDEX('Remplissage - Sit. Init.'!$C$23:$I$472,MATCH((B148)&amp;('Remplissage - Sit. Init.'!$D$30),('Remplissage - Sit. Init.'!$C$23:$C$472)&amp;('Remplissage - Sit. Init.'!$D$23:$D$472),0),7))&gt;0,0,1)</f>
        <v>1</v>
      </c>
      <c r="I148" t="str">
        <f>IF(K149='Parcs types'!$E$10,"VUL",LEFT('Remplissage - Sit. Prev.'!K147,SEARCH('Remplissage - Sit. Prev.'!K150,'Remplissage - Sit. Prev.'!K147)-2))</f>
        <v>VUL</v>
      </c>
      <c r="K148" s="4" t="str">
        <f t="shared" si="204"/>
        <v>VUL</v>
      </c>
    </row>
    <row r="149" spans="1:11" x14ac:dyDescent="0.25">
      <c r="A149" t="s">
        <v>1342</v>
      </c>
      <c r="B149" s="32" t="s">
        <v>93</v>
      </c>
      <c r="C149" t="s">
        <v>80</v>
      </c>
      <c r="E149" t="str">
        <f t="shared" ref="E149" si="206">_xlfn.CONCAT(LEFT(A147,3),"RoutCat",RIGHT(B147,1),"PTAC")</f>
        <v>DévRoutCat5PTAC</v>
      </c>
      <c r="F149" t="s">
        <v>36</v>
      </c>
      <c r="G149" s="5" cm="1">
        <f t="array" ref="G149">IF((INDEX('Remplissage - Sit. Init.'!$C$23:$I$472,MATCH((B149)&amp;('Remplissage - Sit. Init.'!$D$30),('Remplissage - Sit. Init.'!$C$23:$C$472)&amp;('Remplissage - Sit. Init.'!$D$23:$D$472),0),7))&gt;0,0,1)</f>
        <v>1</v>
      </c>
      <c r="I149" t="str">
        <f>VLOOKUP(I147,'Parcs types'!$D$7:$M$54,2,FALSE)</f>
        <v>&lt;=3,5t</v>
      </c>
      <c r="K149" s="4" t="str">
        <f t="shared" si="204"/>
        <v>&lt;=3,5t</v>
      </c>
    </row>
    <row r="150" spans="1:11" x14ac:dyDescent="0.25">
      <c r="A150" t="s">
        <v>1342</v>
      </c>
      <c r="B150" s="32" t="s">
        <v>93</v>
      </c>
      <c r="C150" t="s">
        <v>81</v>
      </c>
      <c r="E150" t="str">
        <f t="shared" ref="E150" si="207">_xlfn.CONCAT(LEFT(A147,3),"RoutCat",RIGHT(B147,1),"Mot")</f>
        <v>DévRoutCat5Mot</v>
      </c>
      <c r="F150" t="s">
        <v>36</v>
      </c>
      <c r="G150" s="5" cm="1">
        <f t="array" ref="G150">IF((INDEX('Remplissage - Sit. Init.'!$C$23:$I$472,MATCH((B150)&amp;('Remplissage - Sit. Init.'!$D$30),('Remplissage - Sit. Init.'!$C$23:$C$472)&amp;('Remplissage - Sit. Init.'!$D$23:$D$472),0),7))&gt;0,0,1)</f>
        <v>1</v>
      </c>
      <c r="H150" s="32"/>
      <c r="I150" t="str">
        <f>VLOOKUP(I147,'Parcs types'!$D$7:$M$54,3,FALSE)</f>
        <v>Diesel</v>
      </c>
      <c r="K150" s="4" t="str">
        <f t="shared" si="204"/>
        <v>Diesel</v>
      </c>
    </row>
    <row r="151" spans="1:11" x14ac:dyDescent="0.25">
      <c r="A151" t="s">
        <v>1342</v>
      </c>
      <c r="B151" s="32" t="s">
        <v>93</v>
      </c>
      <c r="C151" t="s">
        <v>82</v>
      </c>
      <c r="E151" t="str">
        <f t="shared" ref="E151" si="208">_xlfn.CONCAT(LEFT(A147,3),"RoutCat",RIGHT(B147,1),"Carb")</f>
        <v>DévRoutCat5Carb</v>
      </c>
      <c r="F151" t="s">
        <v>36</v>
      </c>
      <c r="G151" s="5" cm="1">
        <f t="array" ref="G151">IF((INDEX('Remplissage - Sit. Init.'!$C$23:$I$472,MATCH((B151)&amp;('Remplissage - Sit. Init.'!$D$30),('Remplissage - Sit. Init.'!$C$23:$C$472)&amp;('Remplissage - Sit. Init.'!$D$23:$D$472),0),7))&gt;0,0,1)</f>
        <v>1</v>
      </c>
      <c r="I151" t="str">
        <f>VLOOKUP(I147,'Parcs types'!$D$7:$M$54,4,FALSE)</f>
        <v>Gazole à la pompe</v>
      </c>
      <c r="K151" s="4" t="str">
        <f t="shared" si="204"/>
        <v>Gazole à la pompe</v>
      </c>
    </row>
    <row r="152" spans="1:11" x14ac:dyDescent="0.25">
      <c r="A152" t="s">
        <v>1342</v>
      </c>
      <c r="B152" s="32" t="s">
        <v>93</v>
      </c>
      <c r="C152" t="s">
        <v>83</v>
      </c>
      <c r="E152" t="str">
        <f t="shared" ref="E152" si="209">_xlfn.CONCAT(LEFT(A147,3),"RoutCat",RIGHT(B147,1),"Euro")</f>
        <v>DévRoutCat5Euro</v>
      </c>
      <c r="F152" t="s">
        <v>36</v>
      </c>
      <c r="G152" s="5" cm="1">
        <f t="array" ref="G152">IF((INDEX('Remplissage - Sit. Init.'!$C$23:$I$472,MATCH((B152)&amp;('Remplissage - Sit. Init.'!$D$30),('Remplissage - Sit. Init.'!$C$23:$C$472)&amp;('Remplissage - Sit. Init.'!$D$23:$D$472),0),7))&gt;0,0,1)</f>
        <v>1</v>
      </c>
      <c r="I152">
        <f>VLOOKUP(I147,'Parcs types'!$D$7:$M$54,5,FALSE)</f>
        <v>0</v>
      </c>
      <c r="K152" s="4">
        <f t="shared" si="204"/>
        <v>0</v>
      </c>
    </row>
    <row r="153" spans="1:11" x14ac:dyDescent="0.25">
      <c r="A153" t="s">
        <v>1342</v>
      </c>
      <c r="B153" s="32" t="s">
        <v>93</v>
      </c>
      <c r="C153" t="s">
        <v>84</v>
      </c>
      <c r="E153" t="str">
        <f t="shared" ref="E153" si="210">_xlfn.CONCAT(LEFT(A147,3),"RoutCat",RIGHT(B147,1),"CritAir")</f>
        <v>DévRoutCat5CritAir</v>
      </c>
      <c r="F153" t="s">
        <v>36</v>
      </c>
      <c r="G153" s="5" cm="1">
        <f t="array" ref="G153">IF((INDEX('Remplissage - Sit. Init.'!$C$23:$I$472,MATCH((B153)&amp;('Remplissage - Sit. Init.'!$D$30),('Remplissage - Sit. Init.'!$C$23:$C$472)&amp;('Remplissage - Sit. Init.'!$D$23:$D$472),0),7))&gt;0,0,1)</f>
        <v>1</v>
      </c>
      <c r="H153" s="32"/>
      <c r="I153">
        <f>VLOOKUP(I147,'Parcs types'!$D$7:$M$54,6,FALSE)</f>
        <v>5</v>
      </c>
      <c r="K153" s="4">
        <f t="shared" si="204"/>
        <v>5</v>
      </c>
    </row>
    <row r="154" spans="1:11" x14ac:dyDescent="0.25">
      <c r="A154" t="s">
        <v>1342</v>
      </c>
      <c r="B154" s="32" t="s">
        <v>93</v>
      </c>
      <c r="C154" t="s">
        <v>85</v>
      </c>
      <c r="E154" t="str">
        <f t="shared" ref="E154" si="211">_xlfn.CONCAT(LEFT(A147,3),"RoutCat",RIGHT(B147,1),"Nb")</f>
        <v>DévRoutCat5Nb</v>
      </c>
      <c r="F154" t="s">
        <v>17</v>
      </c>
      <c r="G154" s="5" cm="1">
        <f t="array" ref="G154">IF((INDEX('Remplissage - Sit. Init.'!$C$23:$I$472,MATCH((B154)&amp;('Remplissage - Sit. Init.'!$D$30),('Remplissage - Sit. Init.'!$C$23:$C$472)&amp;('Remplissage - Sit. Init.'!$D$23:$D$472),0),7))&gt;0,0,1)</f>
        <v>1</v>
      </c>
      <c r="J154" t="s">
        <v>86</v>
      </c>
      <c r="K154">
        <f>VLOOKUP($I147,'Parcs types'!$D$7:$M$54,9,FALSE)</f>
        <v>0</v>
      </c>
    </row>
    <row r="155" spans="1:11" x14ac:dyDescent="0.25">
      <c r="A155" t="s">
        <v>1342</v>
      </c>
      <c r="B155" s="32" t="s">
        <v>93</v>
      </c>
      <c r="C155" t="s">
        <v>87</v>
      </c>
      <c r="E155" t="str">
        <f t="shared" ref="E155" si="212">_xlfn.CONCAT(LEFT(A147,3),"RoutCat",RIGHT(B147,1),"Dist")</f>
        <v>DévRoutCat5Dist</v>
      </c>
      <c r="F155" t="s">
        <v>17</v>
      </c>
      <c r="G155" s="5" cm="1">
        <f t="array" ref="G155">IF((INDEX('Remplissage - Sit. Init.'!$C$23:$I$472,MATCH((B155)&amp;('Remplissage - Sit. Init.'!$D$30),('Remplissage - Sit. Init.'!$C$23:$C$472)&amp;('Remplissage - Sit. Init.'!$D$23:$D$472),0),7))&gt;0,0,1)</f>
        <v>1</v>
      </c>
      <c r="H155" s="32"/>
      <c r="J155" t="s">
        <v>88</v>
      </c>
      <c r="K155">
        <f>VLOOKUP($I147,'Parcs types'!$D$7:$M$54,7,FALSE)</f>
        <v>17855</v>
      </c>
    </row>
    <row r="156" spans="1:11" x14ac:dyDescent="0.25">
      <c r="A156" t="s">
        <v>1342</v>
      </c>
      <c r="B156" s="32" t="s">
        <v>93</v>
      </c>
      <c r="C156" s="32" t="s">
        <v>89</v>
      </c>
      <c r="E156" t="str">
        <f t="shared" ref="E156" si="213">_xlfn.CONCAT(LEFT(A147,3),"RoutCat",RIGHT(B147,1),"Rempl")</f>
        <v>DévRoutCat5Rempl</v>
      </c>
      <c r="F156" t="s">
        <v>17</v>
      </c>
      <c r="G156" s="5" cm="1">
        <f t="array" ref="G156">IF((INDEX('Remplissage - Sit. Init.'!$C$23:$I$472,MATCH((B156)&amp;('Remplissage - Sit. Init.'!$D$30),('Remplissage - Sit. Init.'!$C$23:$C$472)&amp;('Remplissage - Sit. Init.'!$D$23:$D$472),0),7))&gt;0,0,1)</f>
        <v>1</v>
      </c>
      <c r="H156" s="36"/>
      <c r="J156" t="s">
        <v>70</v>
      </c>
      <c r="K156">
        <f>VLOOKUP($I147,'Parcs types'!$D$7:$M$54,8,FALSE)</f>
        <v>0</v>
      </c>
    </row>
    <row r="157" spans="1:11" x14ac:dyDescent="0.25">
      <c r="A157" t="s">
        <v>1342</v>
      </c>
      <c r="B157" s="32" t="s">
        <v>94</v>
      </c>
      <c r="C157" t="s">
        <v>78</v>
      </c>
      <c r="E157" t="str">
        <f t="shared" ref="E157" si="214">_xlfn.CONCAT(LEFT(A157,3),"RoutCat",RIGHT(B157,1),"Nom")</f>
        <v>DévRoutCat6Nom</v>
      </c>
      <c r="F157" t="s">
        <v>20</v>
      </c>
      <c r="G157" s="5" cm="1">
        <f t="array" ref="G157">IF((INDEX('Remplissage - Sit. Init.'!$C$23:$I$472,MATCH((B157)&amp;('Remplissage - Sit. Init.'!$D$30),('Remplissage - Sit. Init.'!$C$23:$C$472)&amp;('Remplissage - Sit. Init.'!$D$23:$D$472),0),7))&gt;0,0,1)</f>
        <v>1</v>
      </c>
      <c r="H157" s="4"/>
      <c r="I157" s="4" t="str">
        <f>'Parcs types'!D15</f>
        <v>VUL Essence (Crit'Air 1)</v>
      </c>
      <c r="K157" s="4" t="str">
        <f t="shared" ref="K157:K163" si="215">I157</f>
        <v>VUL Essence (Crit'Air 1)</v>
      </c>
    </row>
    <row r="158" spans="1:11" x14ac:dyDescent="0.25">
      <c r="A158" t="s">
        <v>1342</v>
      </c>
      <c r="B158" s="32" t="s">
        <v>94</v>
      </c>
      <c r="C158" t="s">
        <v>79</v>
      </c>
      <c r="E158" t="str">
        <f t="shared" ref="E158" si="216">_xlfn.CONCAT(LEFT(A157,3),"RoutCat",RIGHT(B157,1),"Type")</f>
        <v>DévRoutCat6Type</v>
      </c>
      <c r="F158" t="s">
        <v>20</v>
      </c>
      <c r="G158" s="5" cm="1">
        <f t="array" ref="G158">IF((INDEX('Remplissage - Sit. Init.'!$C$23:$I$472,MATCH((B158)&amp;('Remplissage - Sit. Init.'!$D$30),('Remplissage - Sit. Init.'!$C$23:$C$472)&amp;('Remplissage - Sit. Init.'!$D$23:$D$472),0),7))&gt;0,0,1)</f>
        <v>1</v>
      </c>
      <c r="I158" t="str">
        <f>IF(K159='Parcs types'!$E$10,"VUL",LEFT('Remplissage - Sit. Prev.'!K157,SEARCH('Remplissage - Sit. Prev.'!K160,'Remplissage - Sit. Prev.'!K157)-2))</f>
        <v>VUL</v>
      </c>
      <c r="K158" s="4" t="str">
        <f t="shared" si="215"/>
        <v>VUL</v>
      </c>
    </row>
    <row r="159" spans="1:11" x14ac:dyDescent="0.25">
      <c r="A159" t="s">
        <v>1342</v>
      </c>
      <c r="B159" s="32" t="s">
        <v>94</v>
      </c>
      <c r="C159" t="s">
        <v>80</v>
      </c>
      <c r="E159" t="str">
        <f t="shared" ref="E159" si="217">_xlfn.CONCAT(LEFT(A157,3),"RoutCat",RIGHT(B157,1),"PTAC")</f>
        <v>DévRoutCat6PTAC</v>
      </c>
      <c r="F159" t="s">
        <v>36</v>
      </c>
      <c r="G159" s="5" cm="1">
        <f t="array" ref="G159">IF((INDEX('Remplissage - Sit. Init.'!$C$23:$I$472,MATCH((B159)&amp;('Remplissage - Sit. Init.'!$D$30),('Remplissage - Sit. Init.'!$C$23:$C$472)&amp;('Remplissage - Sit. Init.'!$D$23:$D$472),0),7))&gt;0,0,1)</f>
        <v>1</v>
      </c>
      <c r="I159" t="str">
        <f>VLOOKUP(I157,'Parcs types'!$D$7:$M$54,2,FALSE)</f>
        <v>&lt;=3,5t</v>
      </c>
      <c r="K159" s="4" t="str">
        <f t="shared" si="215"/>
        <v>&lt;=3,5t</v>
      </c>
    </row>
    <row r="160" spans="1:11" x14ac:dyDescent="0.25">
      <c r="A160" t="s">
        <v>1342</v>
      </c>
      <c r="B160" s="32" t="s">
        <v>94</v>
      </c>
      <c r="C160" t="s">
        <v>81</v>
      </c>
      <c r="E160" t="str">
        <f t="shared" ref="E160" si="218">_xlfn.CONCAT(LEFT(A157,3),"RoutCat",RIGHT(B157,1),"Mot")</f>
        <v>DévRoutCat6Mot</v>
      </c>
      <c r="F160" t="s">
        <v>36</v>
      </c>
      <c r="G160" s="5" cm="1">
        <f t="array" ref="G160">IF((INDEX('Remplissage - Sit. Init.'!$C$23:$I$472,MATCH((B160)&amp;('Remplissage - Sit. Init.'!$D$30),('Remplissage - Sit. Init.'!$C$23:$C$472)&amp;('Remplissage - Sit. Init.'!$D$23:$D$472),0),7))&gt;0,0,1)</f>
        <v>1</v>
      </c>
      <c r="H160" s="32"/>
      <c r="I160" t="str">
        <f>VLOOKUP(I157,'Parcs types'!$D$7:$M$54,3,FALSE)</f>
        <v>Essence</v>
      </c>
      <c r="K160" s="4" t="str">
        <f t="shared" si="215"/>
        <v>Essence</v>
      </c>
    </row>
    <row r="161" spans="1:11" x14ac:dyDescent="0.25">
      <c r="A161" t="s">
        <v>1342</v>
      </c>
      <c r="B161" s="32" t="s">
        <v>94</v>
      </c>
      <c r="C161" t="s">
        <v>82</v>
      </c>
      <c r="E161" t="str">
        <f t="shared" ref="E161" si="219">_xlfn.CONCAT(LEFT(A157,3),"RoutCat",RIGHT(B157,1),"Carb")</f>
        <v>DévRoutCat6Carb</v>
      </c>
      <c r="F161" t="s">
        <v>36</v>
      </c>
      <c r="G161" s="5" cm="1">
        <f t="array" ref="G161">IF((INDEX('Remplissage - Sit. Init.'!$C$23:$I$472,MATCH((B161)&amp;('Remplissage - Sit. Init.'!$D$30),('Remplissage - Sit. Init.'!$C$23:$C$472)&amp;('Remplissage - Sit. Init.'!$D$23:$D$472),0),7))&gt;0,0,1)</f>
        <v>1</v>
      </c>
      <c r="I161" t="str">
        <f>VLOOKUP(I157,'Parcs types'!$D$7:$M$54,4,FALSE)</f>
        <v>Essence à la pompe</v>
      </c>
      <c r="K161" s="4" t="str">
        <f t="shared" si="215"/>
        <v>Essence à la pompe</v>
      </c>
    </row>
    <row r="162" spans="1:11" x14ac:dyDescent="0.25">
      <c r="A162" t="s">
        <v>1342</v>
      </c>
      <c r="B162" s="32" t="s">
        <v>94</v>
      </c>
      <c r="C162" t="s">
        <v>83</v>
      </c>
      <c r="E162" t="str">
        <f t="shared" ref="E162" si="220">_xlfn.CONCAT(LEFT(A157,3),"RoutCat",RIGHT(B157,1),"Euro")</f>
        <v>DévRoutCat6Euro</v>
      </c>
      <c r="F162" t="s">
        <v>36</v>
      </c>
      <c r="G162" s="5" cm="1">
        <f t="array" ref="G162">IF((INDEX('Remplissage - Sit. Init.'!$C$23:$I$472,MATCH((B162)&amp;('Remplissage - Sit. Init.'!$D$30),('Remplissage - Sit. Init.'!$C$23:$C$472)&amp;('Remplissage - Sit. Init.'!$D$23:$D$472),0),7))&gt;0,0,1)</f>
        <v>1</v>
      </c>
      <c r="I162">
        <f>VLOOKUP(I157,'Parcs types'!$D$7:$M$54,5,FALSE)</f>
        <v>0</v>
      </c>
      <c r="K162" s="4">
        <f t="shared" si="215"/>
        <v>0</v>
      </c>
    </row>
    <row r="163" spans="1:11" x14ac:dyDescent="0.25">
      <c r="A163" t="s">
        <v>1342</v>
      </c>
      <c r="B163" s="32" t="s">
        <v>94</v>
      </c>
      <c r="C163" t="s">
        <v>84</v>
      </c>
      <c r="E163" t="str">
        <f t="shared" ref="E163" si="221">_xlfn.CONCAT(LEFT(A157,3),"RoutCat",RIGHT(B157,1),"CritAir")</f>
        <v>DévRoutCat6CritAir</v>
      </c>
      <c r="F163" t="s">
        <v>36</v>
      </c>
      <c r="G163" s="5" cm="1">
        <f t="array" ref="G163">IF((INDEX('Remplissage - Sit. Init.'!$C$23:$I$472,MATCH((B163)&amp;('Remplissage - Sit. Init.'!$D$30),('Remplissage - Sit. Init.'!$C$23:$C$472)&amp;('Remplissage - Sit. Init.'!$D$23:$D$472),0),7))&gt;0,0,1)</f>
        <v>1</v>
      </c>
      <c r="H163" s="32"/>
      <c r="I163">
        <f>VLOOKUP(I157,'Parcs types'!$D$7:$M$54,6,FALSE)</f>
        <v>1</v>
      </c>
      <c r="K163" s="4">
        <f t="shared" si="215"/>
        <v>1</v>
      </c>
    </row>
    <row r="164" spans="1:11" x14ac:dyDescent="0.25">
      <c r="A164" t="s">
        <v>1342</v>
      </c>
      <c r="B164" s="32" t="s">
        <v>94</v>
      </c>
      <c r="C164" t="s">
        <v>85</v>
      </c>
      <c r="E164" t="str">
        <f t="shared" ref="E164" si="222">_xlfn.CONCAT(LEFT(A157,3),"RoutCat",RIGHT(B157,1),"Nb")</f>
        <v>DévRoutCat6Nb</v>
      </c>
      <c r="F164" t="s">
        <v>17</v>
      </c>
      <c r="G164" s="5" cm="1">
        <f t="array" ref="G164">IF((INDEX('Remplissage - Sit. Init.'!$C$23:$I$472,MATCH((B164)&amp;('Remplissage - Sit. Init.'!$D$30),('Remplissage - Sit. Init.'!$C$23:$C$472)&amp;('Remplissage - Sit. Init.'!$D$23:$D$472),0),7))&gt;0,0,1)</f>
        <v>1</v>
      </c>
      <c r="J164" t="s">
        <v>86</v>
      </c>
      <c r="K164">
        <f>VLOOKUP($I157,'Parcs types'!$D$7:$M$54,9,FALSE)</f>
        <v>0</v>
      </c>
    </row>
    <row r="165" spans="1:11" x14ac:dyDescent="0.25">
      <c r="A165" t="s">
        <v>1342</v>
      </c>
      <c r="B165" s="32" t="s">
        <v>94</v>
      </c>
      <c r="C165" t="s">
        <v>87</v>
      </c>
      <c r="E165" t="str">
        <f t="shared" ref="E165" si="223">_xlfn.CONCAT(LEFT(A157,3),"RoutCat",RIGHT(B157,1),"Dist")</f>
        <v>DévRoutCat6Dist</v>
      </c>
      <c r="F165" t="s">
        <v>17</v>
      </c>
      <c r="G165" s="5" cm="1">
        <f t="array" ref="G165">IF((INDEX('Remplissage - Sit. Init.'!$C$23:$I$472,MATCH((B165)&amp;('Remplissage - Sit. Init.'!$D$30),('Remplissage - Sit. Init.'!$C$23:$C$472)&amp;('Remplissage - Sit. Init.'!$D$23:$D$472),0),7))&gt;0,0,1)</f>
        <v>1</v>
      </c>
      <c r="H165" s="32"/>
      <c r="J165" t="s">
        <v>88</v>
      </c>
      <c r="K165">
        <f>VLOOKUP($I157,'Parcs types'!$D$7:$M$54,7,FALSE)</f>
        <v>11201</v>
      </c>
    </row>
    <row r="166" spans="1:11" x14ac:dyDescent="0.25">
      <c r="A166" t="s">
        <v>1342</v>
      </c>
      <c r="B166" s="32" t="s">
        <v>94</v>
      </c>
      <c r="C166" s="32" t="s">
        <v>89</v>
      </c>
      <c r="E166" t="str">
        <f t="shared" ref="E166" si="224">_xlfn.CONCAT(LEFT(A157,3),"RoutCat",RIGHT(B157,1),"Rempl")</f>
        <v>DévRoutCat6Rempl</v>
      </c>
      <c r="F166" t="s">
        <v>17</v>
      </c>
      <c r="G166" s="5" cm="1">
        <f t="array" ref="G166">IF((INDEX('Remplissage - Sit. Init.'!$C$23:$I$472,MATCH((B166)&amp;('Remplissage - Sit. Init.'!$D$30),('Remplissage - Sit. Init.'!$C$23:$C$472)&amp;('Remplissage - Sit. Init.'!$D$23:$D$472),0),7))&gt;0,0,1)</f>
        <v>1</v>
      </c>
      <c r="H166" s="36"/>
      <c r="J166" t="s">
        <v>70</v>
      </c>
      <c r="K166">
        <f>VLOOKUP($I157,'Parcs types'!$D$7:$M$54,8,FALSE)</f>
        <v>0</v>
      </c>
    </row>
    <row r="167" spans="1:11" x14ac:dyDescent="0.25">
      <c r="A167" t="s">
        <v>1342</v>
      </c>
      <c r="B167" s="32" t="s">
        <v>95</v>
      </c>
      <c r="C167" t="s">
        <v>78</v>
      </c>
      <c r="E167" t="str">
        <f t="shared" ref="E167" si="225">_xlfn.CONCAT(LEFT(A167,3),"RoutCat",RIGHT(B167,1),"Nom")</f>
        <v>DévRoutCat7Nom</v>
      </c>
      <c r="F167" t="s">
        <v>20</v>
      </c>
      <c r="G167" s="5" cm="1">
        <f t="array" ref="G167">IF((INDEX('Remplissage - Sit. Init.'!$C$23:$I$472,MATCH((B167)&amp;('Remplissage - Sit. Init.'!$D$30),('Remplissage - Sit. Init.'!$C$23:$C$472)&amp;('Remplissage - Sit. Init.'!$D$23:$D$472),0),7))&gt;0,0,1)</f>
        <v>1</v>
      </c>
      <c r="H167" s="4"/>
      <c r="I167" s="4" t="str">
        <f>'Parcs types'!D16</f>
        <v>VUL Essence &lt;=3,5t (Crit'Air 2)</v>
      </c>
      <c r="K167" s="4" t="str">
        <f t="shared" ref="K167:K173" si="226">I167</f>
        <v>VUL Essence &lt;=3,5t (Crit'Air 2)</v>
      </c>
    </row>
    <row r="168" spans="1:11" x14ac:dyDescent="0.25">
      <c r="A168" t="s">
        <v>1342</v>
      </c>
      <c r="B168" s="32" t="s">
        <v>95</v>
      </c>
      <c r="C168" t="s">
        <v>79</v>
      </c>
      <c r="E168" t="str">
        <f t="shared" ref="E168" si="227">_xlfn.CONCAT(LEFT(A167,3),"RoutCat",RIGHT(B167,1),"Type")</f>
        <v>DévRoutCat7Type</v>
      </c>
      <c r="F168" t="s">
        <v>20</v>
      </c>
      <c r="G168" s="5" cm="1">
        <f t="array" ref="G168">IF((INDEX('Remplissage - Sit. Init.'!$C$23:$I$472,MATCH((B168)&amp;('Remplissage - Sit. Init.'!$D$30),('Remplissage - Sit. Init.'!$C$23:$C$472)&amp;('Remplissage - Sit. Init.'!$D$23:$D$472),0),7))&gt;0,0,1)</f>
        <v>1</v>
      </c>
      <c r="I168" t="str">
        <f>IF(K169='Parcs types'!$E$10,"VUL",LEFT('Remplissage - Sit. Prev.'!K167,SEARCH('Remplissage - Sit. Prev.'!K170,'Remplissage - Sit. Prev.'!K167)-2))</f>
        <v>VUL</v>
      </c>
      <c r="K168" s="4" t="str">
        <f t="shared" si="226"/>
        <v>VUL</v>
      </c>
    </row>
    <row r="169" spans="1:11" x14ac:dyDescent="0.25">
      <c r="A169" t="s">
        <v>1342</v>
      </c>
      <c r="B169" s="32" t="s">
        <v>95</v>
      </c>
      <c r="C169" t="s">
        <v>80</v>
      </c>
      <c r="E169" t="str">
        <f t="shared" ref="E169" si="228">_xlfn.CONCAT(LEFT(A167,3),"RoutCat",RIGHT(B167,1),"PTAC")</f>
        <v>DévRoutCat7PTAC</v>
      </c>
      <c r="F169" t="s">
        <v>36</v>
      </c>
      <c r="G169" s="5" cm="1">
        <f t="array" ref="G169">IF((INDEX('Remplissage - Sit. Init.'!$C$23:$I$472,MATCH((B169)&amp;('Remplissage - Sit. Init.'!$D$30),('Remplissage - Sit. Init.'!$C$23:$C$472)&amp;('Remplissage - Sit. Init.'!$D$23:$D$472),0),7))&gt;0,0,1)</f>
        <v>1</v>
      </c>
      <c r="I169" t="str">
        <f>VLOOKUP(I167,'Parcs types'!$D$7:$M$54,2,FALSE)</f>
        <v>&lt;=3,5t</v>
      </c>
      <c r="K169" s="4" t="str">
        <f t="shared" si="226"/>
        <v>&lt;=3,5t</v>
      </c>
    </row>
    <row r="170" spans="1:11" x14ac:dyDescent="0.25">
      <c r="A170" t="s">
        <v>1342</v>
      </c>
      <c r="B170" s="32" t="s">
        <v>95</v>
      </c>
      <c r="C170" t="s">
        <v>81</v>
      </c>
      <c r="E170" t="str">
        <f t="shared" ref="E170" si="229">_xlfn.CONCAT(LEFT(A167,3),"RoutCat",RIGHT(B167,1),"Mot")</f>
        <v>DévRoutCat7Mot</v>
      </c>
      <c r="F170" t="s">
        <v>36</v>
      </c>
      <c r="G170" s="5" cm="1">
        <f t="array" ref="G170">IF((INDEX('Remplissage - Sit. Init.'!$C$23:$I$472,MATCH((B170)&amp;('Remplissage - Sit. Init.'!$D$30),('Remplissage - Sit. Init.'!$C$23:$C$472)&amp;('Remplissage - Sit. Init.'!$D$23:$D$472),0),7))&gt;0,0,1)</f>
        <v>1</v>
      </c>
      <c r="H170" s="32"/>
      <c r="I170" t="str">
        <f>VLOOKUP(I167,'Parcs types'!$D$7:$M$54,3,FALSE)</f>
        <v>Essence</v>
      </c>
      <c r="K170" s="4" t="str">
        <f t="shared" si="226"/>
        <v>Essence</v>
      </c>
    </row>
    <row r="171" spans="1:11" x14ac:dyDescent="0.25">
      <c r="A171" t="s">
        <v>1342</v>
      </c>
      <c r="B171" s="32" t="s">
        <v>95</v>
      </c>
      <c r="C171" t="s">
        <v>82</v>
      </c>
      <c r="E171" t="str">
        <f t="shared" ref="E171" si="230">_xlfn.CONCAT(LEFT(A167,3),"RoutCat",RIGHT(B167,1),"Carb")</f>
        <v>DévRoutCat7Carb</v>
      </c>
      <c r="F171" t="s">
        <v>36</v>
      </c>
      <c r="G171" s="5" cm="1">
        <f t="array" ref="G171">IF((INDEX('Remplissage - Sit. Init.'!$C$23:$I$472,MATCH((B171)&amp;('Remplissage - Sit. Init.'!$D$30),('Remplissage - Sit. Init.'!$C$23:$C$472)&amp;('Remplissage - Sit. Init.'!$D$23:$D$472),0),7))&gt;0,0,1)</f>
        <v>1</v>
      </c>
      <c r="I171" t="str">
        <f>VLOOKUP(I167,'Parcs types'!$D$7:$M$54,4,FALSE)</f>
        <v>Essence à la pompe</v>
      </c>
      <c r="K171" s="4" t="str">
        <f t="shared" si="226"/>
        <v>Essence à la pompe</v>
      </c>
    </row>
    <row r="172" spans="1:11" x14ac:dyDescent="0.25">
      <c r="A172" t="s">
        <v>1342</v>
      </c>
      <c r="B172" s="32" t="s">
        <v>95</v>
      </c>
      <c r="C172" t="s">
        <v>83</v>
      </c>
      <c r="E172" t="str">
        <f t="shared" ref="E172" si="231">_xlfn.CONCAT(LEFT(A167,3),"RoutCat",RIGHT(B167,1),"Euro")</f>
        <v>DévRoutCat7Euro</v>
      </c>
      <c r="F172" t="s">
        <v>36</v>
      </c>
      <c r="G172" s="5" cm="1">
        <f t="array" ref="G172">IF((INDEX('Remplissage - Sit. Init.'!$C$23:$I$472,MATCH((B172)&amp;('Remplissage - Sit. Init.'!$D$30),('Remplissage - Sit. Init.'!$C$23:$C$472)&amp;('Remplissage - Sit. Init.'!$D$23:$D$472),0),7))&gt;0,0,1)</f>
        <v>1</v>
      </c>
      <c r="I172">
        <f>VLOOKUP(I167,'Parcs types'!$D$7:$M$54,5,FALSE)</f>
        <v>0</v>
      </c>
      <c r="K172" s="4">
        <f t="shared" si="226"/>
        <v>0</v>
      </c>
    </row>
    <row r="173" spans="1:11" x14ac:dyDescent="0.25">
      <c r="A173" t="s">
        <v>1342</v>
      </c>
      <c r="B173" s="32" t="s">
        <v>95</v>
      </c>
      <c r="C173" t="s">
        <v>84</v>
      </c>
      <c r="E173" t="str">
        <f t="shared" ref="E173" si="232">_xlfn.CONCAT(LEFT(A167,3),"RoutCat",RIGHT(B167,1),"CritAir")</f>
        <v>DévRoutCat7CritAir</v>
      </c>
      <c r="F173" t="s">
        <v>36</v>
      </c>
      <c r="G173" s="5" cm="1">
        <f t="array" ref="G173">IF((INDEX('Remplissage - Sit. Init.'!$C$23:$I$472,MATCH((B173)&amp;('Remplissage - Sit. Init.'!$D$30),('Remplissage - Sit. Init.'!$C$23:$C$472)&amp;('Remplissage - Sit. Init.'!$D$23:$D$472),0),7))&gt;0,0,1)</f>
        <v>1</v>
      </c>
      <c r="H173" s="32"/>
      <c r="I173">
        <f>VLOOKUP(I167,'Parcs types'!$D$7:$M$54,6,FALSE)</f>
        <v>2</v>
      </c>
      <c r="K173" s="4">
        <f t="shared" si="226"/>
        <v>2</v>
      </c>
    </row>
    <row r="174" spans="1:11" x14ac:dyDescent="0.25">
      <c r="A174" t="s">
        <v>1342</v>
      </c>
      <c r="B174" s="32" t="s">
        <v>95</v>
      </c>
      <c r="C174" t="s">
        <v>85</v>
      </c>
      <c r="E174" t="str">
        <f t="shared" ref="E174" si="233">_xlfn.CONCAT(LEFT(A167,3),"RoutCat",RIGHT(B167,1),"Nb")</f>
        <v>DévRoutCat7Nb</v>
      </c>
      <c r="F174" t="s">
        <v>17</v>
      </c>
      <c r="G174" s="5" cm="1">
        <f t="array" ref="G174">IF((INDEX('Remplissage - Sit. Init.'!$C$23:$I$472,MATCH((B174)&amp;('Remplissage - Sit. Init.'!$D$30),('Remplissage - Sit. Init.'!$C$23:$C$472)&amp;('Remplissage - Sit. Init.'!$D$23:$D$472),0),7))&gt;0,0,1)</f>
        <v>1</v>
      </c>
      <c r="J174" t="s">
        <v>86</v>
      </c>
      <c r="K174">
        <f>VLOOKUP($I167,'Parcs types'!$D$7:$M$54,9,FALSE)</f>
        <v>0</v>
      </c>
    </row>
    <row r="175" spans="1:11" x14ac:dyDescent="0.25">
      <c r="A175" t="s">
        <v>1342</v>
      </c>
      <c r="B175" s="32" t="s">
        <v>95</v>
      </c>
      <c r="C175" t="s">
        <v>87</v>
      </c>
      <c r="E175" t="str">
        <f t="shared" ref="E175" si="234">_xlfn.CONCAT(LEFT(A167,3),"RoutCat",RIGHT(B167,1),"Dist")</f>
        <v>DévRoutCat7Dist</v>
      </c>
      <c r="F175" t="s">
        <v>17</v>
      </c>
      <c r="G175" s="5" cm="1">
        <f t="array" ref="G175">IF((INDEX('Remplissage - Sit. Init.'!$C$23:$I$472,MATCH((B175)&amp;('Remplissage - Sit. Init.'!$D$30),('Remplissage - Sit. Init.'!$C$23:$C$472)&amp;('Remplissage - Sit. Init.'!$D$23:$D$472),0),7))&gt;0,0,1)</f>
        <v>1</v>
      </c>
      <c r="H175" s="32"/>
      <c r="J175" t="s">
        <v>88</v>
      </c>
      <c r="K175">
        <f>VLOOKUP($I167,'Parcs types'!$D$7:$M$54,7,FALSE)</f>
        <v>11201</v>
      </c>
    </row>
    <row r="176" spans="1:11" x14ac:dyDescent="0.25">
      <c r="A176" t="s">
        <v>1342</v>
      </c>
      <c r="B176" s="32" t="s">
        <v>95</v>
      </c>
      <c r="C176" s="32" t="s">
        <v>89</v>
      </c>
      <c r="E176" t="str">
        <f t="shared" ref="E176" si="235">_xlfn.CONCAT(LEFT(A167,3),"RoutCat",RIGHT(B167,1),"Rempl")</f>
        <v>DévRoutCat7Rempl</v>
      </c>
      <c r="F176" t="s">
        <v>17</v>
      </c>
      <c r="G176" s="5" cm="1">
        <f t="array" ref="G176">IF((INDEX('Remplissage - Sit. Init.'!$C$23:$I$472,MATCH((B176)&amp;('Remplissage - Sit. Init.'!$D$30),('Remplissage - Sit. Init.'!$C$23:$C$472)&amp;('Remplissage - Sit. Init.'!$D$23:$D$472),0),7))&gt;0,0,1)</f>
        <v>1</v>
      </c>
      <c r="H176" s="36"/>
      <c r="J176" t="s">
        <v>70</v>
      </c>
      <c r="K176">
        <f>VLOOKUP($I167,'Parcs types'!$D$7:$M$54,8,FALSE)</f>
        <v>0</v>
      </c>
    </row>
    <row r="177" spans="1:11" x14ac:dyDescent="0.25">
      <c r="A177" t="s">
        <v>1342</v>
      </c>
      <c r="B177" s="32" t="s">
        <v>96</v>
      </c>
      <c r="C177" t="s">
        <v>78</v>
      </c>
      <c r="E177" t="str">
        <f t="shared" ref="E177" si="236">_xlfn.CONCAT(LEFT(A177,3),"RoutCat",RIGHT(B177,1),"Nom")</f>
        <v>DévRoutCat8Nom</v>
      </c>
      <c r="F177" t="s">
        <v>20</v>
      </c>
      <c r="G177" s="5" cm="1">
        <f t="array" ref="G177">IF((INDEX('Remplissage - Sit. Init.'!$C$23:$I$472,MATCH((B177)&amp;('Remplissage - Sit. Init.'!$D$30),('Remplissage - Sit. Init.'!$C$23:$C$472)&amp;('Remplissage - Sit. Init.'!$D$23:$D$472),0),7))&gt;0,0,1)</f>
        <v>1</v>
      </c>
      <c r="H177" s="4"/>
      <c r="I177" s="4" t="str">
        <f>'Parcs types'!D17</f>
        <v>VUL Essence &lt;=3,5t (Crit'Air 3)</v>
      </c>
      <c r="K177" s="4" t="str">
        <f t="shared" ref="K177:K183" si="237">I177</f>
        <v>VUL Essence &lt;=3,5t (Crit'Air 3)</v>
      </c>
    </row>
    <row r="178" spans="1:11" x14ac:dyDescent="0.25">
      <c r="A178" t="s">
        <v>1342</v>
      </c>
      <c r="B178" s="32" t="s">
        <v>96</v>
      </c>
      <c r="C178" t="s">
        <v>79</v>
      </c>
      <c r="E178" t="str">
        <f t="shared" ref="E178" si="238">_xlfn.CONCAT(LEFT(A177,3),"RoutCat",RIGHT(B177,1),"Type")</f>
        <v>DévRoutCat8Type</v>
      </c>
      <c r="F178" t="s">
        <v>20</v>
      </c>
      <c r="G178" s="5" cm="1">
        <f t="array" ref="G178">IF((INDEX('Remplissage - Sit. Init.'!$C$23:$I$472,MATCH((B178)&amp;('Remplissage - Sit. Init.'!$D$30),('Remplissage - Sit. Init.'!$C$23:$C$472)&amp;('Remplissage - Sit. Init.'!$D$23:$D$472),0),7))&gt;0,0,1)</f>
        <v>1</v>
      </c>
      <c r="I178" t="str">
        <f>IF(K179='Parcs types'!$E$10,"VUL",LEFT('Remplissage - Sit. Prev.'!K177,SEARCH('Remplissage - Sit. Prev.'!K180,'Remplissage - Sit. Prev.'!K177)-2))</f>
        <v>VUL</v>
      </c>
      <c r="K178" s="4" t="str">
        <f t="shared" si="237"/>
        <v>VUL</v>
      </c>
    </row>
    <row r="179" spans="1:11" x14ac:dyDescent="0.25">
      <c r="A179" t="s">
        <v>1342</v>
      </c>
      <c r="B179" s="32" t="s">
        <v>96</v>
      </c>
      <c r="C179" t="s">
        <v>80</v>
      </c>
      <c r="E179" t="str">
        <f t="shared" ref="E179" si="239">_xlfn.CONCAT(LEFT(A177,3),"RoutCat",RIGHT(B177,1),"PTAC")</f>
        <v>DévRoutCat8PTAC</v>
      </c>
      <c r="F179" t="s">
        <v>36</v>
      </c>
      <c r="G179" s="5" cm="1">
        <f t="array" ref="G179">IF((INDEX('Remplissage - Sit. Init.'!$C$23:$I$472,MATCH((B179)&amp;('Remplissage - Sit. Init.'!$D$30),('Remplissage - Sit. Init.'!$C$23:$C$472)&amp;('Remplissage - Sit. Init.'!$D$23:$D$472),0),7))&gt;0,0,1)</f>
        <v>1</v>
      </c>
      <c r="I179" t="str">
        <f>VLOOKUP(I177,'Parcs types'!$D$7:$M$54,2,FALSE)</f>
        <v>&lt;=3,5t</v>
      </c>
      <c r="K179" s="4" t="str">
        <f t="shared" si="237"/>
        <v>&lt;=3,5t</v>
      </c>
    </row>
    <row r="180" spans="1:11" x14ac:dyDescent="0.25">
      <c r="A180" t="s">
        <v>1342</v>
      </c>
      <c r="B180" s="32" t="s">
        <v>96</v>
      </c>
      <c r="C180" t="s">
        <v>81</v>
      </c>
      <c r="E180" t="str">
        <f t="shared" ref="E180" si="240">_xlfn.CONCAT(LEFT(A177,3),"RoutCat",RIGHT(B177,1),"Mot")</f>
        <v>DévRoutCat8Mot</v>
      </c>
      <c r="F180" t="s">
        <v>36</v>
      </c>
      <c r="G180" s="5" cm="1">
        <f t="array" ref="G180">IF((INDEX('Remplissage - Sit. Init.'!$C$23:$I$472,MATCH((B180)&amp;('Remplissage - Sit. Init.'!$D$30),('Remplissage - Sit. Init.'!$C$23:$C$472)&amp;('Remplissage - Sit. Init.'!$D$23:$D$472),0),7))&gt;0,0,1)</f>
        <v>1</v>
      </c>
      <c r="H180" s="32"/>
      <c r="I180" t="str">
        <f>VLOOKUP(I177,'Parcs types'!$D$7:$M$54,3,FALSE)</f>
        <v>Essence</v>
      </c>
      <c r="K180" s="4" t="str">
        <f t="shared" si="237"/>
        <v>Essence</v>
      </c>
    </row>
    <row r="181" spans="1:11" x14ac:dyDescent="0.25">
      <c r="A181" t="s">
        <v>1342</v>
      </c>
      <c r="B181" s="32" t="s">
        <v>96</v>
      </c>
      <c r="C181" t="s">
        <v>82</v>
      </c>
      <c r="E181" t="str">
        <f t="shared" ref="E181" si="241">_xlfn.CONCAT(LEFT(A177,3),"RoutCat",RIGHT(B177,1),"Carb")</f>
        <v>DévRoutCat8Carb</v>
      </c>
      <c r="F181" t="s">
        <v>36</v>
      </c>
      <c r="G181" s="5" cm="1">
        <f t="array" ref="G181">IF((INDEX('Remplissage - Sit. Init.'!$C$23:$I$472,MATCH((B181)&amp;('Remplissage - Sit. Init.'!$D$30),('Remplissage - Sit. Init.'!$C$23:$C$472)&amp;('Remplissage - Sit. Init.'!$D$23:$D$472),0),7))&gt;0,0,1)</f>
        <v>1</v>
      </c>
      <c r="I181" t="str">
        <f>VLOOKUP(I177,'Parcs types'!$D$7:$M$54,4,FALSE)</f>
        <v>Essence à la pompe</v>
      </c>
      <c r="K181" s="4" t="str">
        <f t="shared" si="237"/>
        <v>Essence à la pompe</v>
      </c>
    </row>
    <row r="182" spans="1:11" x14ac:dyDescent="0.25">
      <c r="A182" t="s">
        <v>1342</v>
      </c>
      <c r="B182" s="32" t="s">
        <v>96</v>
      </c>
      <c r="C182" t="s">
        <v>83</v>
      </c>
      <c r="E182" t="str">
        <f t="shared" ref="E182" si="242">_xlfn.CONCAT(LEFT(A177,3),"RoutCat",RIGHT(B177,1),"Euro")</f>
        <v>DévRoutCat8Euro</v>
      </c>
      <c r="F182" t="s">
        <v>36</v>
      </c>
      <c r="G182" s="5" cm="1">
        <f t="array" ref="G182">IF((INDEX('Remplissage - Sit. Init.'!$C$23:$I$472,MATCH((B182)&amp;('Remplissage - Sit. Init.'!$D$30),('Remplissage - Sit. Init.'!$C$23:$C$472)&amp;('Remplissage - Sit. Init.'!$D$23:$D$472),0),7))&gt;0,0,1)</f>
        <v>1</v>
      </c>
      <c r="I182">
        <f>VLOOKUP(I177,'Parcs types'!$D$7:$M$54,5,FALSE)</f>
        <v>0</v>
      </c>
      <c r="K182" s="4">
        <f t="shared" si="237"/>
        <v>0</v>
      </c>
    </row>
    <row r="183" spans="1:11" x14ac:dyDescent="0.25">
      <c r="A183" t="s">
        <v>1342</v>
      </c>
      <c r="B183" s="32" t="s">
        <v>96</v>
      </c>
      <c r="C183" t="s">
        <v>84</v>
      </c>
      <c r="E183" t="str">
        <f t="shared" ref="E183" si="243">_xlfn.CONCAT(LEFT(A177,3),"RoutCat",RIGHT(B177,1),"CritAir")</f>
        <v>DévRoutCat8CritAir</v>
      </c>
      <c r="F183" t="s">
        <v>36</v>
      </c>
      <c r="G183" s="5" cm="1">
        <f t="array" ref="G183">IF((INDEX('Remplissage - Sit. Init.'!$C$23:$I$472,MATCH((B183)&amp;('Remplissage - Sit. Init.'!$D$30),('Remplissage - Sit. Init.'!$C$23:$C$472)&amp;('Remplissage - Sit. Init.'!$D$23:$D$472),0),7))&gt;0,0,1)</f>
        <v>1</v>
      </c>
      <c r="H183" s="32"/>
      <c r="I183">
        <f>VLOOKUP(I177,'Parcs types'!$D$7:$M$54,6,FALSE)</f>
        <v>3</v>
      </c>
      <c r="K183" s="4">
        <f t="shared" si="237"/>
        <v>3</v>
      </c>
    </row>
    <row r="184" spans="1:11" x14ac:dyDescent="0.25">
      <c r="A184" t="s">
        <v>1342</v>
      </c>
      <c r="B184" s="32" t="s">
        <v>96</v>
      </c>
      <c r="C184" t="s">
        <v>85</v>
      </c>
      <c r="E184" t="str">
        <f t="shared" ref="E184" si="244">_xlfn.CONCAT(LEFT(A177,3),"RoutCat",RIGHT(B177,1),"Nb")</f>
        <v>DévRoutCat8Nb</v>
      </c>
      <c r="F184" t="s">
        <v>17</v>
      </c>
      <c r="G184" s="5" cm="1">
        <f t="array" ref="G184">IF((INDEX('Remplissage - Sit. Init.'!$C$23:$I$472,MATCH((B184)&amp;('Remplissage - Sit. Init.'!$D$30),('Remplissage - Sit. Init.'!$C$23:$C$472)&amp;('Remplissage - Sit. Init.'!$D$23:$D$472),0),7))&gt;0,0,1)</f>
        <v>1</v>
      </c>
      <c r="J184" t="s">
        <v>86</v>
      </c>
      <c r="K184">
        <f>VLOOKUP($I177,'Parcs types'!$D$7:$M$54,9,FALSE)</f>
        <v>0</v>
      </c>
    </row>
    <row r="185" spans="1:11" x14ac:dyDescent="0.25">
      <c r="A185" t="s">
        <v>1342</v>
      </c>
      <c r="B185" s="32" t="s">
        <v>96</v>
      </c>
      <c r="C185" t="s">
        <v>87</v>
      </c>
      <c r="E185" t="str">
        <f t="shared" ref="E185" si="245">_xlfn.CONCAT(LEFT(A177,3),"RoutCat",RIGHT(B177,1),"Dist")</f>
        <v>DévRoutCat8Dist</v>
      </c>
      <c r="F185" t="s">
        <v>17</v>
      </c>
      <c r="G185" s="5" cm="1">
        <f t="array" ref="G185">IF((INDEX('Remplissage - Sit. Init.'!$C$23:$I$472,MATCH((B185)&amp;('Remplissage - Sit. Init.'!$D$30),('Remplissage - Sit. Init.'!$C$23:$C$472)&amp;('Remplissage - Sit. Init.'!$D$23:$D$472),0),7))&gt;0,0,1)</f>
        <v>1</v>
      </c>
      <c r="H185" s="32"/>
      <c r="J185" t="s">
        <v>88</v>
      </c>
      <c r="K185">
        <f>VLOOKUP($I177,'Parcs types'!$D$7:$M$54,7,FALSE)</f>
        <v>11201</v>
      </c>
    </row>
    <row r="186" spans="1:11" x14ac:dyDescent="0.25">
      <c r="A186" t="s">
        <v>1342</v>
      </c>
      <c r="B186" s="32" t="s">
        <v>96</v>
      </c>
      <c r="C186" s="32" t="s">
        <v>89</v>
      </c>
      <c r="E186" t="str">
        <f t="shared" ref="E186" si="246">_xlfn.CONCAT(LEFT(A177,3),"RoutCat",RIGHT(B177,1),"Rempl")</f>
        <v>DévRoutCat8Rempl</v>
      </c>
      <c r="F186" t="s">
        <v>17</v>
      </c>
      <c r="G186" s="5" cm="1">
        <f t="array" ref="G186">IF((INDEX('Remplissage - Sit. Init.'!$C$23:$I$472,MATCH((B186)&amp;('Remplissage - Sit. Init.'!$D$30),('Remplissage - Sit. Init.'!$C$23:$C$472)&amp;('Remplissage - Sit. Init.'!$D$23:$D$472),0),7))&gt;0,0,1)</f>
        <v>1</v>
      </c>
      <c r="H186" s="36"/>
      <c r="J186" t="s">
        <v>70</v>
      </c>
      <c r="K186">
        <f>VLOOKUP($I177,'Parcs types'!$D$7:$M$54,8,FALSE)</f>
        <v>0</v>
      </c>
    </row>
    <row r="187" spans="1:11" x14ac:dyDescent="0.25">
      <c r="A187" t="s">
        <v>1342</v>
      </c>
      <c r="B187" s="32" t="s">
        <v>97</v>
      </c>
      <c r="C187" t="s">
        <v>78</v>
      </c>
      <c r="E187" t="str">
        <f t="shared" ref="E187" si="247">_xlfn.CONCAT(LEFT(A187,3),"RoutCat",RIGHT(B187,1),"Nom")</f>
        <v>DévRoutCat9Nom</v>
      </c>
      <c r="F187" t="s">
        <v>20</v>
      </c>
      <c r="G187" s="5" cm="1">
        <f t="array" ref="G187">IF((INDEX('Remplissage - Sit. Init.'!$C$23:$I$472,MATCH((B187)&amp;('Remplissage - Sit. Init.'!$D$30),('Remplissage - Sit. Init.'!$C$23:$C$472)&amp;('Remplissage - Sit. Init.'!$D$23:$D$472),0),7))&gt;0,0,1)</f>
        <v>1</v>
      </c>
      <c r="H187" s="4"/>
      <c r="I187" s="4" t="str">
        <f>'Parcs types'!D18</f>
        <v>VUL Gaz (GNC) (Crit'Air 1)</v>
      </c>
      <c r="K187" s="4" t="str">
        <f t="shared" ref="K187:K193" si="248">I187</f>
        <v>VUL Gaz (GNC) (Crit'Air 1)</v>
      </c>
    </row>
    <row r="188" spans="1:11" x14ac:dyDescent="0.25">
      <c r="A188" t="s">
        <v>1342</v>
      </c>
      <c r="B188" s="32" t="s">
        <v>97</v>
      </c>
      <c r="C188" t="s">
        <v>79</v>
      </c>
      <c r="E188" t="str">
        <f t="shared" ref="E188" si="249">_xlfn.CONCAT(LEFT(A187,3),"RoutCat",RIGHT(B187,1),"Type")</f>
        <v>DévRoutCat9Type</v>
      </c>
      <c r="F188" t="s">
        <v>20</v>
      </c>
      <c r="G188" s="5" cm="1">
        <f t="array" ref="G188">IF((INDEX('Remplissage - Sit. Init.'!$C$23:$I$472,MATCH((B188)&amp;('Remplissage - Sit. Init.'!$D$30),('Remplissage - Sit. Init.'!$C$23:$C$472)&amp;('Remplissage - Sit. Init.'!$D$23:$D$472),0),7))&gt;0,0,1)</f>
        <v>1</v>
      </c>
      <c r="I188" t="str">
        <f>IF(K189='Parcs types'!$E$10,"VUL",LEFT('Remplissage - Sit. Prev.'!K187,SEARCH('Remplissage - Sit. Prev.'!K190,'Remplissage - Sit. Prev.'!K187)-2))</f>
        <v>VUL</v>
      </c>
      <c r="K188" s="4" t="str">
        <f t="shared" si="248"/>
        <v>VUL</v>
      </c>
    </row>
    <row r="189" spans="1:11" x14ac:dyDescent="0.25">
      <c r="A189" t="s">
        <v>1342</v>
      </c>
      <c r="B189" s="32" t="s">
        <v>97</v>
      </c>
      <c r="C189" t="s">
        <v>80</v>
      </c>
      <c r="E189" t="str">
        <f t="shared" ref="E189" si="250">_xlfn.CONCAT(LEFT(A187,3),"RoutCat",RIGHT(B187,1),"PTAC")</f>
        <v>DévRoutCat9PTAC</v>
      </c>
      <c r="F189" t="s">
        <v>36</v>
      </c>
      <c r="G189" s="5" cm="1">
        <f t="array" ref="G189">IF((INDEX('Remplissage - Sit. Init.'!$C$23:$I$472,MATCH((B189)&amp;('Remplissage - Sit. Init.'!$D$30),('Remplissage - Sit. Init.'!$C$23:$C$472)&amp;('Remplissage - Sit. Init.'!$D$23:$D$472),0),7))&gt;0,0,1)</f>
        <v>1</v>
      </c>
      <c r="I189" t="str">
        <f>VLOOKUP(I187,'Parcs types'!$D$7:$M$54,2,FALSE)</f>
        <v>&lt;=3,5t</v>
      </c>
      <c r="K189" s="4" t="str">
        <f t="shared" si="248"/>
        <v>&lt;=3,5t</v>
      </c>
    </row>
    <row r="190" spans="1:11" x14ac:dyDescent="0.25">
      <c r="A190" t="s">
        <v>1342</v>
      </c>
      <c r="B190" s="32" t="s">
        <v>97</v>
      </c>
      <c r="C190" t="s">
        <v>81</v>
      </c>
      <c r="E190" t="str">
        <f t="shared" ref="E190" si="251">_xlfn.CONCAT(LEFT(A187,3),"RoutCat",RIGHT(B187,1),"Mot")</f>
        <v>DévRoutCat9Mot</v>
      </c>
      <c r="F190" t="s">
        <v>36</v>
      </c>
      <c r="G190" s="5" cm="1">
        <f t="array" ref="G190">IF((INDEX('Remplissage - Sit. Init.'!$C$23:$I$472,MATCH((B190)&amp;('Remplissage - Sit. Init.'!$D$30),('Remplissage - Sit. Init.'!$C$23:$C$472)&amp;('Remplissage - Sit. Init.'!$D$23:$D$472),0),7))&gt;0,0,1)</f>
        <v>1</v>
      </c>
      <c r="H190" s="32"/>
      <c r="I190" t="str">
        <f>VLOOKUP(I187,'Parcs types'!$D$7:$M$54,3,FALSE)</f>
        <v>Gaz (GNC)</v>
      </c>
      <c r="K190" s="4" t="str">
        <f t="shared" si="248"/>
        <v>Gaz (GNC)</v>
      </c>
    </row>
    <row r="191" spans="1:11" x14ac:dyDescent="0.25">
      <c r="A191" t="s">
        <v>1342</v>
      </c>
      <c r="B191" s="32" t="s">
        <v>97</v>
      </c>
      <c r="C191" t="s">
        <v>82</v>
      </c>
      <c r="E191" t="str">
        <f t="shared" ref="E191" si="252">_xlfn.CONCAT(LEFT(A187,3),"RoutCat",RIGHT(B187,1),"Carb")</f>
        <v>DévRoutCat9Carb</v>
      </c>
      <c r="F191" t="s">
        <v>36</v>
      </c>
      <c r="G191" s="5" cm="1">
        <f t="array" ref="G191">IF((INDEX('Remplissage - Sit. Init.'!$C$23:$I$472,MATCH((B191)&amp;('Remplissage - Sit. Init.'!$D$30),('Remplissage - Sit. Init.'!$C$23:$C$472)&amp;('Remplissage - Sit. Init.'!$D$23:$D$472),0),7))&gt;0,0,1)</f>
        <v>1</v>
      </c>
      <c r="I191">
        <f>VLOOKUP(I187,'Parcs types'!$D$7:$M$54,4,FALSE)</f>
        <v>0</v>
      </c>
      <c r="K191" s="4">
        <f t="shared" si="248"/>
        <v>0</v>
      </c>
    </row>
    <row r="192" spans="1:11" x14ac:dyDescent="0.25">
      <c r="A192" t="s">
        <v>1342</v>
      </c>
      <c r="B192" s="32" t="s">
        <v>97</v>
      </c>
      <c r="C192" t="s">
        <v>83</v>
      </c>
      <c r="E192" t="str">
        <f t="shared" ref="E192" si="253">_xlfn.CONCAT(LEFT(A187,3),"RoutCat",RIGHT(B187,1),"Euro")</f>
        <v>DévRoutCat9Euro</v>
      </c>
      <c r="F192" t="s">
        <v>36</v>
      </c>
      <c r="G192" s="5" cm="1">
        <f t="array" ref="G192">IF((INDEX('Remplissage - Sit. Init.'!$C$23:$I$472,MATCH((B192)&amp;('Remplissage - Sit. Init.'!$D$30),('Remplissage - Sit. Init.'!$C$23:$C$472)&amp;('Remplissage - Sit. Init.'!$D$23:$D$472),0),7))&gt;0,0,1)</f>
        <v>1</v>
      </c>
      <c r="I192">
        <f>VLOOKUP(I187,'Parcs types'!$D$7:$M$54,5,FALSE)</f>
        <v>0</v>
      </c>
      <c r="K192" s="4">
        <f t="shared" si="248"/>
        <v>0</v>
      </c>
    </row>
    <row r="193" spans="1:11" x14ac:dyDescent="0.25">
      <c r="A193" t="s">
        <v>1342</v>
      </c>
      <c r="B193" s="32" t="s">
        <v>97</v>
      </c>
      <c r="C193" t="s">
        <v>84</v>
      </c>
      <c r="E193" t="str">
        <f t="shared" ref="E193" si="254">_xlfn.CONCAT(LEFT(A187,3),"RoutCat",RIGHT(B187,1),"CritAir")</f>
        <v>DévRoutCat9CritAir</v>
      </c>
      <c r="F193" t="s">
        <v>36</v>
      </c>
      <c r="G193" s="5" cm="1">
        <f t="array" ref="G193">IF((INDEX('Remplissage - Sit. Init.'!$C$23:$I$472,MATCH((B193)&amp;('Remplissage - Sit. Init.'!$D$30),('Remplissage - Sit. Init.'!$C$23:$C$472)&amp;('Remplissage - Sit. Init.'!$D$23:$D$472),0),7))&gt;0,0,1)</f>
        <v>1</v>
      </c>
      <c r="H193" s="32"/>
      <c r="I193">
        <f>VLOOKUP(I187,'Parcs types'!$D$7:$M$54,6,FALSE)</f>
        <v>1</v>
      </c>
      <c r="K193" s="4">
        <f t="shared" si="248"/>
        <v>1</v>
      </c>
    </row>
    <row r="194" spans="1:11" x14ac:dyDescent="0.25">
      <c r="A194" t="s">
        <v>1342</v>
      </c>
      <c r="B194" s="32" t="s">
        <v>97</v>
      </c>
      <c r="C194" t="s">
        <v>85</v>
      </c>
      <c r="E194" t="str">
        <f t="shared" ref="E194" si="255">_xlfn.CONCAT(LEFT(A187,3),"RoutCat",RIGHT(B187,1),"Nb")</f>
        <v>DévRoutCat9Nb</v>
      </c>
      <c r="F194" t="s">
        <v>17</v>
      </c>
      <c r="G194" s="5" cm="1">
        <f t="array" ref="G194">IF((INDEX('Remplissage - Sit. Init.'!$C$23:$I$472,MATCH((B194)&amp;('Remplissage - Sit. Init.'!$D$30),('Remplissage - Sit. Init.'!$C$23:$C$472)&amp;('Remplissage - Sit. Init.'!$D$23:$D$472),0),7))&gt;0,0,1)</f>
        <v>1</v>
      </c>
      <c r="J194" t="s">
        <v>86</v>
      </c>
      <c r="K194">
        <f>VLOOKUP($I187,'Parcs types'!$D$7:$M$54,9,FALSE)</f>
        <v>0</v>
      </c>
    </row>
    <row r="195" spans="1:11" x14ac:dyDescent="0.25">
      <c r="A195" t="s">
        <v>1342</v>
      </c>
      <c r="B195" s="32" t="s">
        <v>97</v>
      </c>
      <c r="C195" t="s">
        <v>87</v>
      </c>
      <c r="E195" t="str">
        <f t="shared" ref="E195" si="256">_xlfn.CONCAT(LEFT(A187,3),"RoutCat",RIGHT(B187,1),"Dist")</f>
        <v>DévRoutCat9Dist</v>
      </c>
      <c r="F195" t="s">
        <v>17</v>
      </c>
      <c r="G195" s="5" cm="1">
        <f t="array" ref="G195">IF((INDEX('Remplissage - Sit. Init.'!$C$23:$I$472,MATCH((B195)&amp;('Remplissage - Sit. Init.'!$D$30),('Remplissage - Sit. Init.'!$C$23:$C$472)&amp;('Remplissage - Sit. Init.'!$D$23:$D$472),0),7))&gt;0,0,1)</f>
        <v>1</v>
      </c>
      <c r="H195" s="32"/>
      <c r="J195" t="s">
        <v>88</v>
      </c>
      <c r="K195">
        <f>VLOOKUP($I187,'Parcs types'!$D$7:$M$54,7,FALSE)</f>
        <v>11205</v>
      </c>
    </row>
    <row r="196" spans="1:11" x14ac:dyDescent="0.25">
      <c r="A196" t="s">
        <v>1342</v>
      </c>
      <c r="B196" s="32" t="s">
        <v>97</v>
      </c>
      <c r="C196" s="32" t="s">
        <v>89</v>
      </c>
      <c r="E196" t="str">
        <f t="shared" ref="E196" si="257">_xlfn.CONCAT(LEFT(A187,3),"RoutCat",RIGHT(B187,1),"Rempl")</f>
        <v>DévRoutCat9Rempl</v>
      </c>
      <c r="F196" t="s">
        <v>17</v>
      </c>
      <c r="G196" s="5" cm="1">
        <f t="array" ref="G196">IF((INDEX('Remplissage - Sit. Init.'!$C$23:$I$472,MATCH((B196)&amp;('Remplissage - Sit. Init.'!$D$30),('Remplissage - Sit. Init.'!$C$23:$C$472)&amp;('Remplissage - Sit. Init.'!$D$23:$D$472),0),7))&gt;0,0,1)</f>
        <v>1</v>
      </c>
      <c r="H196" s="36"/>
      <c r="J196" t="s">
        <v>70</v>
      </c>
      <c r="K196">
        <f>VLOOKUP($I187,'Parcs types'!$D$7:$M$54,8,FALSE)</f>
        <v>0</v>
      </c>
    </row>
    <row r="197" spans="1:11" x14ac:dyDescent="0.25">
      <c r="A197" t="s">
        <v>1342</v>
      </c>
      <c r="B197" s="32" t="s">
        <v>98</v>
      </c>
      <c r="C197" t="s">
        <v>78</v>
      </c>
      <c r="E197" t="str">
        <f>_xlfn.CONCAT(LEFT(A197,3),"RoutCat",RIGHT(B197,2),"Nom")</f>
        <v>DévRoutCat10Nom</v>
      </c>
      <c r="F197" t="s">
        <v>20</v>
      </c>
      <c r="G197" s="5" cm="1">
        <f t="array" ref="G197">IF((INDEX('Remplissage - Sit. Init.'!$C$23:$I$472,MATCH((B197)&amp;('Remplissage - Sit. Init.'!$D$30),('Remplissage - Sit. Init.'!$C$23:$C$472)&amp;('Remplissage - Sit. Init.'!$D$23:$D$472),0),7))&gt;0,0,1)</f>
        <v>1</v>
      </c>
      <c r="H197" s="4"/>
      <c r="I197" s="4" t="str">
        <f>'Parcs types'!D19</f>
        <v>PL Electrique &lt;=7.5t (Crit'Air E)</v>
      </c>
      <c r="K197" s="4" t="str">
        <f t="shared" ref="K197" si="258">I197</f>
        <v>PL Electrique &lt;=7.5t (Crit'Air E)</v>
      </c>
    </row>
    <row r="198" spans="1:11" x14ac:dyDescent="0.25">
      <c r="A198" t="s">
        <v>1342</v>
      </c>
      <c r="B198" s="32" t="s">
        <v>98</v>
      </c>
      <c r="C198" t="s">
        <v>79</v>
      </c>
      <c r="E198" t="str">
        <f>_xlfn.CONCAT(LEFT(A197,3),"RoutCat",RIGHT(B197,2),"Type")</f>
        <v>DévRoutCat10Type</v>
      </c>
      <c r="F198" t="s">
        <v>20</v>
      </c>
      <c r="G198" s="5" cm="1">
        <f t="array" ref="G198">IF((INDEX('Remplissage - Sit. Init.'!$C$23:$I$472,MATCH((B198)&amp;('Remplissage - Sit. Init.'!$D$30),('Remplissage - Sit. Init.'!$C$23:$C$472)&amp;('Remplissage - Sit. Init.'!$D$23:$D$472),0),7))&gt;0,0,1)</f>
        <v>1</v>
      </c>
      <c r="I198" t="str">
        <f>IF(K199='Parcs types'!$E$10,"VUL",LEFT('Remplissage - Sit. Prev.'!K197,SEARCH('Remplissage - Sit. Prev.'!K200,'Remplissage - Sit. Prev.'!K197)-2))</f>
        <v>PL</v>
      </c>
      <c r="K198" s="4" t="str">
        <f>I198</f>
        <v>PL</v>
      </c>
    </row>
    <row r="199" spans="1:11" x14ac:dyDescent="0.25">
      <c r="A199" t="s">
        <v>1342</v>
      </c>
      <c r="B199" s="32" t="s">
        <v>98</v>
      </c>
      <c r="C199" t="s">
        <v>80</v>
      </c>
      <c r="E199" t="str">
        <f>_xlfn.CONCAT(LEFT(A197,3),"RoutCat",RIGHT(B197,2),"PTAC")</f>
        <v>DévRoutCat10PTAC</v>
      </c>
      <c r="F199" t="s">
        <v>36</v>
      </c>
      <c r="G199" s="5" cm="1">
        <f t="array" ref="G199">IF((INDEX('Remplissage - Sit. Init.'!$C$23:$I$472,MATCH((B199)&amp;('Remplissage - Sit. Init.'!$D$30),('Remplissage - Sit. Init.'!$C$23:$C$472)&amp;('Remplissage - Sit. Init.'!$D$23:$D$472),0),7))&gt;0,0,1)</f>
        <v>1</v>
      </c>
      <c r="I199" t="str">
        <f>VLOOKUP(I197,'Parcs types'!$D$7:$M$54,2,FALSE)</f>
        <v>&lt;=7.5t</v>
      </c>
      <c r="K199" s="4" t="str">
        <f t="shared" ref="K199:K203" si="259">I199</f>
        <v>&lt;=7.5t</v>
      </c>
    </row>
    <row r="200" spans="1:11" x14ac:dyDescent="0.25">
      <c r="A200" t="s">
        <v>1342</v>
      </c>
      <c r="B200" s="32" t="s">
        <v>98</v>
      </c>
      <c r="C200" t="s">
        <v>81</v>
      </c>
      <c r="E200" t="str">
        <f>_xlfn.CONCAT(LEFT(A197,3),"RoutCat",RIGHT(B197,2),"Mot")</f>
        <v>DévRoutCat10Mot</v>
      </c>
      <c r="F200" t="s">
        <v>36</v>
      </c>
      <c r="G200" s="5" cm="1">
        <f t="array" ref="G200">IF((INDEX('Remplissage - Sit. Init.'!$C$23:$I$472,MATCH((B200)&amp;('Remplissage - Sit. Init.'!$D$30),('Remplissage - Sit. Init.'!$C$23:$C$472)&amp;('Remplissage - Sit. Init.'!$D$23:$D$472),0),7))&gt;0,0,1)</f>
        <v>1</v>
      </c>
      <c r="H200" s="32"/>
      <c r="I200" t="str">
        <f>VLOOKUP(I197,'Parcs types'!$D$7:$M$54,3,FALSE)</f>
        <v>Electrique</v>
      </c>
      <c r="K200" s="4" t="str">
        <f t="shared" si="259"/>
        <v>Electrique</v>
      </c>
    </row>
    <row r="201" spans="1:11" x14ac:dyDescent="0.25">
      <c r="A201" t="s">
        <v>1342</v>
      </c>
      <c r="B201" s="32" t="s">
        <v>98</v>
      </c>
      <c r="C201" t="s">
        <v>82</v>
      </c>
      <c r="E201" t="str">
        <f>_xlfn.CONCAT(LEFT(A197,3),"RoutCat",RIGHT(B197,2),"Carb")</f>
        <v>DévRoutCat10Carb</v>
      </c>
      <c r="F201" t="s">
        <v>36</v>
      </c>
      <c r="G201" s="5" cm="1">
        <f t="array" ref="G201">IF((INDEX('Remplissage - Sit. Init.'!$C$23:$I$472,MATCH((B201)&amp;('Remplissage - Sit. Init.'!$D$30),('Remplissage - Sit. Init.'!$C$23:$C$472)&amp;('Remplissage - Sit. Init.'!$D$23:$D$472),0),7))&gt;0,0,1)</f>
        <v>1</v>
      </c>
      <c r="I201">
        <f>VLOOKUP(I197,'Parcs types'!$D$7:$M$54,4,FALSE)</f>
        <v>0</v>
      </c>
      <c r="K201" s="4">
        <f t="shared" si="259"/>
        <v>0</v>
      </c>
    </row>
    <row r="202" spans="1:11" x14ac:dyDescent="0.25">
      <c r="A202" t="s">
        <v>1342</v>
      </c>
      <c r="B202" s="32" t="s">
        <v>98</v>
      </c>
      <c r="C202" t="s">
        <v>83</v>
      </c>
      <c r="E202" t="str">
        <f>_xlfn.CONCAT(LEFT(A197,3),"RoutCat",RIGHT(B197,2),"Euro")</f>
        <v>DévRoutCat10Euro</v>
      </c>
      <c r="F202" t="s">
        <v>36</v>
      </c>
      <c r="G202" s="5" cm="1">
        <f t="array" ref="G202">IF((INDEX('Remplissage - Sit. Init.'!$C$23:$I$472,MATCH((B202)&amp;('Remplissage - Sit. Init.'!$D$30),('Remplissage - Sit. Init.'!$C$23:$C$472)&amp;('Remplissage - Sit. Init.'!$D$23:$D$472),0),7))&gt;0,0,1)</f>
        <v>1</v>
      </c>
      <c r="I202">
        <f>VLOOKUP(I197,'Parcs types'!$D$7:$M$54,5,FALSE)</f>
        <v>0</v>
      </c>
      <c r="K202" s="4">
        <f t="shared" si="259"/>
        <v>0</v>
      </c>
    </row>
    <row r="203" spans="1:11" x14ac:dyDescent="0.25">
      <c r="A203" t="s">
        <v>1342</v>
      </c>
      <c r="B203" s="32" t="s">
        <v>98</v>
      </c>
      <c r="C203" t="s">
        <v>84</v>
      </c>
      <c r="E203" t="str">
        <f>_xlfn.CONCAT(LEFT(A197,3),"RoutCat",RIGHT(B197,2),"CritAir")</f>
        <v>DévRoutCat10CritAir</v>
      </c>
      <c r="F203" t="s">
        <v>36</v>
      </c>
      <c r="G203" s="5" cm="1">
        <f t="array" ref="G203">IF((INDEX('Remplissage - Sit. Init.'!$C$23:$I$472,MATCH((B203)&amp;('Remplissage - Sit. Init.'!$D$30),('Remplissage - Sit. Init.'!$C$23:$C$472)&amp;('Remplissage - Sit. Init.'!$D$23:$D$472),0),7))&gt;0,0,1)</f>
        <v>1</v>
      </c>
      <c r="H203" s="32"/>
      <c r="I203" t="str">
        <f>VLOOKUP(I197,'Parcs types'!$D$7:$M$54,6,FALSE)</f>
        <v>E</v>
      </c>
      <c r="K203" s="4" t="str">
        <f t="shared" si="259"/>
        <v>E</v>
      </c>
    </row>
    <row r="204" spans="1:11" x14ac:dyDescent="0.25">
      <c r="A204" t="s">
        <v>1342</v>
      </c>
      <c r="B204" s="32" t="s">
        <v>98</v>
      </c>
      <c r="C204" t="s">
        <v>85</v>
      </c>
      <c r="E204" t="str">
        <f>_xlfn.CONCAT(LEFT(A197,3),"RoutCat",RIGHT(B197,2),"Nb")</f>
        <v>DévRoutCat10Nb</v>
      </c>
      <c r="F204" t="s">
        <v>17</v>
      </c>
      <c r="G204" s="5" cm="1">
        <f t="array" ref="G204">IF((INDEX('Remplissage - Sit. Init.'!$C$23:$I$472,MATCH((B204)&amp;('Remplissage - Sit. Init.'!$D$30),('Remplissage - Sit. Init.'!$C$23:$C$472)&amp;('Remplissage - Sit. Init.'!$D$23:$D$472),0),7))&gt;0,0,1)</f>
        <v>1</v>
      </c>
      <c r="J204" t="s">
        <v>86</v>
      </c>
      <c r="K204">
        <f>VLOOKUP($I197,'Parcs types'!$D$7:$M$54,9,FALSE)</f>
        <v>0</v>
      </c>
    </row>
    <row r="205" spans="1:11" x14ac:dyDescent="0.25">
      <c r="A205" t="s">
        <v>1342</v>
      </c>
      <c r="B205" s="32" t="s">
        <v>98</v>
      </c>
      <c r="C205" t="s">
        <v>87</v>
      </c>
      <c r="E205" t="str">
        <f>_xlfn.CONCAT(LEFT(A197,3),"RoutCat",RIGHT(B197,2),"Dist")</f>
        <v>DévRoutCat10Dist</v>
      </c>
      <c r="F205" t="s">
        <v>17</v>
      </c>
      <c r="G205" s="5" cm="1">
        <f t="array" ref="G205">IF((INDEX('Remplissage - Sit. Init.'!$C$23:$I$472,MATCH((B205)&amp;('Remplissage - Sit. Init.'!$D$30),('Remplissage - Sit. Init.'!$C$23:$C$472)&amp;('Remplissage - Sit. Init.'!$D$23:$D$472),0),7))&gt;0,0,1)</f>
        <v>1</v>
      </c>
      <c r="H205" s="32"/>
      <c r="J205" t="s">
        <v>88</v>
      </c>
      <c r="K205">
        <f>VLOOKUP($I197,'Parcs types'!$D$7:$M$54,7,FALSE)</f>
        <v>12015</v>
      </c>
    </row>
    <row r="206" spans="1:11" x14ac:dyDescent="0.25">
      <c r="A206" t="s">
        <v>1342</v>
      </c>
      <c r="B206" s="32" t="s">
        <v>98</v>
      </c>
      <c r="C206" s="32" t="s">
        <v>89</v>
      </c>
      <c r="E206" t="str">
        <f>_xlfn.CONCAT(LEFT(A197,3),"RoutCat",RIGHT(B197,2),"Rempl")</f>
        <v>DévRoutCat10Rempl</v>
      </c>
      <c r="F206" t="s">
        <v>17</v>
      </c>
      <c r="G206" s="5" cm="1">
        <f t="array" ref="G206">IF((INDEX('Remplissage - Sit. Init.'!$C$23:$I$472,MATCH((B206)&amp;('Remplissage - Sit. Init.'!$D$30),('Remplissage - Sit. Init.'!$C$23:$C$472)&amp;('Remplissage - Sit. Init.'!$D$23:$D$472),0),7))&gt;0,0,1)</f>
        <v>1</v>
      </c>
      <c r="H206" s="36"/>
      <c r="J206" t="s">
        <v>70</v>
      </c>
      <c r="K206">
        <f>VLOOKUP($I197,'Parcs types'!$D$7:$M$54,8,FALSE)</f>
        <v>0</v>
      </c>
    </row>
    <row r="207" spans="1:11" x14ac:dyDescent="0.25">
      <c r="A207" t="s">
        <v>1342</v>
      </c>
      <c r="B207" s="32" t="s">
        <v>99</v>
      </c>
      <c r="C207" t="s">
        <v>78</v>
      </c>
      <c r="E207" t="str">
        <f t="shared" ref="E207" si="260">_xlfn.CONCAT(LEFT(A207,3),"RoutCat",RIGHT(B207,2),"Nom")</f>
        <v>DévRoutCat11Nom</v>
      </c>
      <c r="F207" t="s">
        <v>20</v>
      </c>
      <c r="G207" s="5" cm="1">
        <f t="array" ref="G207">IF((INDEX('Remplissage - Sit. Init.'!$C$23:$I$472,MATCH((B207)&amp;('Remplissage - Sit. Init.'!$D$30),('Remplissage - Sit. Init.'!$C$23:$C$472)&amp;('Remplissage - Sit. Init.'!$D$23:$D$472),0),7))&gt;0,0,1)</f>
        <v>1</v>
      </c>
      <c r="H207" s="4"/>
      <c r="I207" s="4" t="str">
        <f>'Parcs types'!D20</f>
        <v>PL Electrique &gt;7.5-12t (Crit'Air E)</v>
      </c>
      <c r="K207" s="4" t="str">
        <f t="shared" ref="K207:K213" si="261">I207</f>
        <v>PL Electrique &gt;7.5-12t (Crit'Air E)</v>
      </c>
    </row>
    <row r="208" spans="1:11" x14ac:dyDescent="0.25">
      <c r="A208" t="s">
        <v>1342</v>
      </c>
      <c r="B208" s="32" t="s">
        <v>99</v>
      </c>
      <c r="C208" t="s">
        <v>79</v>
      </c>
      <c r="E208" t="str">
        <f t="shared" ref="E208" si="262">_xlfn.CONCAT(LEFT(A207,3),"RoutCat",RIGHT(B207,2),"Type")</f>
        <v>DévRoutCat11Type</v>
      </c>
      <c r="F208" t="s">
        <v>20</v>
      </c>
      <c r="G208" s="5" cm="1">
        <f t="array" ref="G208">IF((INDEX('Remplissage - Sit. Init.'!$C$23:$I$472,MATCH((B208)&amp;('Remplissage - Sit. Init.'!$D$30),('Remplissage - Sit. Init.'!$C$23:$C$472)&amp;('Remplissage - Sit. Init.'!$D$23:$D$472),0),7))&gt;0,0,1)</f>
        <v>1</v>
      </c>
      <c r="I208" t="str">
        <f>IF(K209='Parcs types'!$E$10,"VUL",LEFT('Remplissage - Sit. Prev.'!K207,SEARCH('Remplissage - Sit. Prev.'!K210,'Remplissage - Sit. Prev.'!K207)-2))</f>
        <v>PL</v>
      </c>
      <c r="K208" s="4" t="str">
        <f t="shared" si="261"/>
        <v>PL</v>
      </c>
    </row>
    <row r="209" spans="1:11" x14ac:dyDescent="0.25">
      <c r="A209" t="s">
        <v>1342</v>
      </c>
      <c r="B209" s="32" t="s">
        <v>99</v>
      </c>
      <c r="C209" t="s">
        <v>80</v>
      </c>
      <c r="E209" t="str">
        <f t="shared" ref="E209" si="263">_xlfn.CONCAT(LEFT(A207,3),"RoutCat",RIGHT(B207,2),"PTAC")</f>
        <v>DévRoutCat11PTAC</v>
      </c>
      <c r="F209" t="s">
        <v>36</v>
      </c>
      <c r="G209" s="5" cm="1">
        <f t="array" ref="G209">IF((INDEX('Remplissage - Sit. Init.'!$C$23:$I$472,MATCH((B209)&amp;('Remplissage - Sit. Init.'!$D$30),('Remplissage - Sit. Init.'!$C$23:$C$472)&amp;('Remplissage - Sit. Init.'!$D$23:$D$472),0),7))&gt;0,0,1)</f>
        <v>1</v>
      </c>
      <c r="I209" t="str">
        <f>VLOOKUP(I207,'Parcs types'!$D$7:$M$54,2,FALSE)</f>
        <v>&gt;7.5-12t</v>
      </c>
      <c r="K209" s="4" t="str">
        <f t="shared" si="261"/>
        <v>&gt;7.5-12t</v>
      </c>
    </row>
    <row r="210" spans="1:11" x14ac:dyDescent="0.25">
      <c r="A210" t="s">
        <v>1342</v>
      </c>
      <c r="B210" s="32" t="s">
        <v>99</v>
      </c>
      <c r="C210" t="s">
        <v>81</v>
      </c>
      <c r="E210" t="str">
        <f t="shared" ref="E210" si="264">_xlfn.CONCAT(LEFT(A207,3),"RoutCat",RIGHT(B207,2),"Mot")</f>
        <v>DévRoutCat11Mot</v>
      </c>
      <c r="F210" t="s">
        <v>36</v>
      </c>
      <c r="G210" s="5" cm="1">
        <f t="array" ref="G210">IF((INDEX('Remplissage - Sit. Init.'!$C$23:$I$472,MATCH((B210)&amp;('Remplissage - Sit. Init.'!$D$30),('Remplissage - Sit. Init.'!$C$23:$C$472)&amp;('Remplissage - Sit. Init.'!$D$23:$D$472),0),7))&gt;0,0,1)</f>
        <v>1</v>
      </c>
      <c r="H210" s="32"/>
      <c r="I210" t="str">
        <f>VLOOKUP(I207,'Parcs types'!$D$7:$M$54,3,FALSE)</f>
        <v>Electrique</v>
      </c>
      <c r="K210" s="4" t="str">
        <f t="shared" si="261"/>
        <v>Electrique</v>
      </c>
    </row>
    <row r="211" spans="1:11" x14ac:dyDescent="0.25">
      <c r="A211" t="s">
        <v>1342</v>
      </c>
      <c r="B211" s="32" t="s">
        <v>99</v>
      </c>
      <c r="C211" t="s">
        <v>82</v>
      </c>
      <c r="E211" t="str">
        <f t="shared" ref="E211" si="265">_xlfn.CONCAT(LEFT(A207,3),"RoutCat",RIGHT(B207,2),"Carb")</f>
        <v>DévRoutCat11Carb</v>
      </c>
      <c r="F211" t="s">
        <v>36</v>
      </c>
      <c r="G211" s="5" cm="1">
        <f t="array" ref="G211">IF((INDEX('Remplissage - Sit. Init.'!$C$23:$I$472,MATCH((B211)&amp;('Remplissage - Sit. Init.'!$D$30),('Remplissage - Sit. Init.'!$C$23:$C$472)&amp;('Remplissage - Sit. Init.'!$D$23:$D$472),0),7))&gt;0,0,1)</f>
        <v>1</v>
      </c>
      <c r="I211">
        <f>VLOOKUP(I207,'Parcs types'!$D$7:$M$54,4,FALSE)</f>
        <v>0</v>
      </c>
      <c r="K211" s="4">
        <f t="shared" si="261"/>
        <v>0</v>
      </c>
    </row>
    <row r="212" spans="1:11" x14ac:dyDescent="0.25">
      <c r="A212" t="s">
        <v>1342</v>
      </c>
      <c r="B212" s="32" t="s">
        <v>99</v>
      </c>
      <c r="C212" t="s">
        <v>83</v>
      </c>
      <c r="E212" t="str">
        <f t="shared" ref="E212" si="266">_xlfn.CONCAT(LEFT(A207,3),"RoutCat",RIGHT(B207,2),"Euro")</f>
        <v>DévRoutCat11Euro</v>
      </c>
      <c r="F212" t="s">
        <v>36</v>
      </c>
      <c r="G212" s="5" cm="1">
        <f t="array" ref="G212">IF((INDEX('Remplissage - Sit. Init.'!$C$23:$I$472,MATCH((B212)&amp;('Remplissage - Sit. Init.'!$D$30),('Remplissage - Sit. Init.'!$C$23:$C$472)&amp;('Remplissage - Sit. Init.'!$D$23:$D$472),0),7))&gt;0,0,1)</f>
        <v>1</v>
      </c>
      <c r="I212">
        <f>VLOOKUP(I207,'Parcs types'!$D$7:$M$54,5,FALSE)</f>
        <v>0</v>
      </c>
      <c r="K212" s="4">
        <f t="shared" si="261"/>
        <v>0</v>
      </c>
    </row>
    <row r="213" spans="1:11" x14ac:dyDescent="0.25">
      <c r="A213" t="s">
        <v>1342</v>
      </c>
      <c r="B213" s="32" t="s">
        <v>99</v>
      </c>
      <c r="C213" t="s">
        <v>84</v>
      </c>
      <c r="E213" t="str">
        <f t="shared" ref="E213" si="267">_xlfn.CONCAT(LEFT(A207,3),"RoutCat",RIGHT(B207,2),"CritAir")</f>
        <v>DévRoutCat11CritAir</v>
      </c>
      <c r="F213" t="s">
        <v>36</v>
      </c>
      <c r="G213" s="5" cm="1">
        <f t="array" ref="G213">IF((INDEX('Remplissage - Sit. Init.'!$C$23:$I$472,MATCH((B213)&amp;('Remplissage - Sit. Init.'!$D$30),('Remplissage - Sit. Init.'!$C$23:$C$472)&amp;('Remplissage - Sit. Init.'!$D$23:$D$472),0),7))&gt;0,0,1)</f>
        <v>1</v>
      </c>
      <c r="H213" s="32"/>
      <c r="I213" t="str">
        <f>VLOOKUP(I207,'Parcs types'!$D$7:$M$54,6,FALSE)</f>
        <v>E</v>
      </c>
      <c r="K213" s="4" t="str">
        <f t="shared" si="261"/>
        <v>E</v>
      </c>
    </row>
    <row r="214" spans="1:11" x14ac:dyDescent="0.25">
      <c r="A214" t="s">
        <v>1342</v>
      </c>
      <c r="B214" s="32" t="s">
        <v>99</v>
      </c>
      <c r="C214" t="s">
        <v>85</v>
      </c>
      <c r="E214" t="str">
        <f t="shared" ref="E214" si="268">_xlfn.CONCAT(LEFT(A207,3),"RoutCat",RIGHT(B207,2),"Nb")</f>
        <v>DévRoutCat11Nb</v>
      </c>
      <c r="F214" t="s">
        <v>17</v>
      </c>
      <c r="G214" s="5" cm="1">
        <f t="array" ref="G214">IF((INDEX('Remplissage - Sit. Init.'!$C$23:$I$472,MATCH((B214)&amp;('Remplissage - Sit. Init.'!$D$30),('Remplissage - Sit. Init.'!$C$23:$C$472)&amp;('Remplissage - Sit. Init.'!$D$23:$D$472),0),7))&gt;0,0,1)</f>
        <v>1</v>
      </c>
      <c r="J214" t="s">
        <v>86</v>
      </c>
      <c r="K214">
        <f>VLOOKUP($I207,'Parcs types'!$D$7:$M$54,9,FALSE)</f>
        <v>0</v>
      </c>
    </row>
    <row r="215" spans="1:11" x14ac:dyDescent="0.25">
      <c r="A215" t="s">
        <v>1342</v>
      </c>
      <c r="B215" s="32" t="s">
        <v>99</v>
      </c>
      <c r="C215" t="s">
        <v>87</v>
      </c>
      <c r="E215" t="str">
        <f t="shared" ref="E215" si="269">_xlfn.CONCAT(LEFT(A207,3),"RoutCat",RIGHT(B207,2),"Dist")</f>
        <v>DévRoutCat11Dist</v>
      </c>
      <c r="F215" t="s">
        <v>17</v>
      </c>
      <c r="G215" s="5" cm="1">
        <f t="array" ref="G215">IF((INDEX('Remplissage - Sit. Init.'!$C$23:$I$472,MATCH((B215)&amp;('Remplissage - Sit. Init.'!$D$30),('Remplissage - Sit. Init.'!$C$23:$C$472)&amp;('Remplissage - Sit. Init.'!$D$23:$D$472),0),7))&gt;0,0,1)</f>
        <v>1</v>
      </c>
      <c r="H215" s="32"/>
      <c r="J215" t="s">
        <v>88</v>
      </c>
      <c r="K215">
        <f>VLOOKUP($I207,'Parcs types'!$D$7:$M$54,7,FALSE)</f>
        <v>12015</v>
      </c>
    </row>
    <row r="216" spans="1:11" x14ac:dyDescent="0.25">
      <c r="A216" t="s">
        <v>1342</v>
      </c>
      <c r="B216" s="32" t="s">
        <v>99</v>
      </c>
      <c r="C216" s="32" t="s">
        <v>89</v>
      </c>
      <c r="E216" t="str">
        <f t="shared" ref="E216" si="270">_xlfn.CONCAT(LEFT(A207,3),"RoutCat",RIGHT(B207,2),"Rempl")</f>
        <v>DévRoutCat11Rempl</v>
      </c>
      <c r="F216" t="s">
        <v>17</v>
      </c>
      <c r="G216" s="5" cm="1">
        <f t="array" ref="G216">IF((INDEX('Remplissage - Sit. Init.'!$C$23:$I$472,MATCH((B216)&amp;('Remplissage - Sit. Init.'!$D$30),('Remplissage - Sit. Init.'!$C$23:$C$472)&amp;('Remplissage - Sit. Init.'!$D$23:$D$472),0),7))&gt;0,0,1)</f>
        <v>1</v>
      </c>
      <c r="H216" s="36"/>
      <c r="J216" t="s">
        <v>70</v>
      </c>
      <c r="K216">
        <f>VLOOKUP($I207,'Parcs types'!$D$7:$M$54,8,FALSE)</f>
        <v>0</v>
      </c>
    </row>
    <row r="217" spans="1:11" x14ac:dyDescent="0.25">
      <c r="A217" t="s">
        <v>1342</v>
      </c>
      <c r="B217" s="32" t="s">
        <v>100</v>
      </c>
      <c r="C217" t="s">
        <v>78</v>
      </c>
      <c r="E217" t="str">
        <f t="shared" ref="E217" si="271">_xlfn.CONCAT(LEFT(A217,3),"RoutCat",RIGHT(B217,2),"Nom")</f>
        <v>DévRoutCat12Nom</v>
      </c>
      <c r="F217" t="s">
        <v>20</v>
      </c>
      <c r="G217" s="5" cm="1">
        <f t="array" ref="G217">IF((INDEX('Remplissage - Sit. Init.'!$C$23:$I$472,MATCH((B217)&amp;('Remplissage - Sit. Init.'!$D$30),('Remplissage - Sit. Init.'!$C$23:$C$472)&amp;('Remplissage - Sit. Init.'!$D$23:$D$472),0),7))&gt;0,0,1)</f>
        <v>1</v>
      </c>
      <c r="H217" s="4"/>
      <c r="I217" s="4" t="str">
        <f>'Parcs types'!D21</f>
        <v>PL Electrique &gt;14-20t (Crit'Air E)</v>
      </c>
      <c r="K217" s="4" t="str">
        <f t="shared" ref="K217:K223" si="272">I217</f>
        <v>PL Electrique &gt;14-20t (Crit'Air E)</v>
      </c>
    </row>
    <row r="218" spans="1:11" x14ac:dyDescent="0.25">
      <c r="A218" t="s">
        <v>1342</v>
      </c>
      <c r="B218" s="32" t="s">
        <v>100</v>
      </c>
      <c r="C218" t="s">
        <v>79</v>
      </c>
      <c r="E218" t="str">
        <f t="shared" ref="E218" si="273">_xlfn.CONCAT(LEFT(A217,3),"RoutCat",RIGHT(B217,2),"Type")</f>
        <v>DévRoutCat12Type</v>
      </c>
      <c r="F218" t="s">
        <v>20</v>
      </c>
      <c r="G218" s="5" cm="1">
        <f t="array" ref="G218">IF((INDEX('Remplissage - Sit. Init.'!$C$23:$I$472,MATCH((B218)&amp;('Remplissage - Sit. Init.'!$D$30),('Remplissage - Sit. Init.'!$C$23:$C$472)&amp;('Remplissage - Sit. Init.'!$D$23:$D$472),0),7))&gt;0,0,1)</f>
        <v>1</v>
      </c>
      <c r="I218" t="str">
        <f>IF(K219='Parcs types'!$E$10,"VUL",LEFT('Remplissage - Sit. Prev.'!K217,SEARCH('Remplissage - Sit. Prev.'!K220,'Remplissage - Sit. Prev.'!K217)-2))</f>
        <v>PL</v>
      </c>
      <c r="K218" s="4" t="str">
        <f t="shared" si="272"/>
        <v>PL</v>
      </c>
    </row>
    <row r="219" spans="1:11" x14ac:dyDescent="0.25">
      <c r="A219" t="s">
        <v>1342</v>
      </c>
      <c r="B219" s="32" t="s">
        <v>100</v>
      </c>
      <c r="C219" t="s">
        <v>80</v>
      </c>
      <c r="E219" t="str">
        <f t="shared" ref="E219" si="274">_xlfn.CONCAT(LEFT(A217,3),"RoutCat",RIGHT(B217,2),"PTAC")</f>
        <v>DévRoutCat12PTAC</v>
      </c>
      <c r="F219" t="s">
        <v>36</v>
      </c>
      <c r="G219" s="5" cm="1">
        <f t="array" ref="G219">IF((INDEX('Remplissage - Sit. Init.'!$C$23:$I$472,MATCH((B219)&amp;('Remplissage - Sit. Init.'!$D$30),('Remplissage - Sit. Init.'!$C$23:$C$472)&amp;('Remplissage - Sit. Init.'!$D$23:$D$472),0),7))&gt;0,0,1)</f>
        <v>1</v>
      </c>
      <c r="I219" t="str">
        <f>VLOOKUP(I217,'Parcs types'!$D$7:$M$54,2,FALSE)</f>
        <v>&gt;14-20t</v>
      </c>
      <c r="K219" s="4" t="str">
        <f t="shared" si="272"/>
        <v>&gt;14-20t</v>
      </c>
    </row>
    <row r="220" spans="1:11" x14ac:dyDescent="0.25">
      <c r="A220" t="s">
        <v>1342</v>
      </c>
      <c r="B220" s="32" t="s">
        <v>100</v>
      </c>
      <c r="C220" t="s">
        <v>81</v>
      </c>
      <c r="E220" t="str">
        <f t="shared" ref="E220" si="275">_xlfn.CONCAT(LEFT(A217,3),"RoutCat",RIGHT(B217,2),"Mot")</f>
        <v>DévRoutCat12Mot</v>
      </c>
      <c r="F220" t="s">
        <v>36</v>
      </c>
      <c r="G220" s="5" cm="1">
        <f t="array" ref="G220">IF((INDEX('Remplissage - Sit. Init.'!$C$23:$I$472,MATCH((B220)&amp;('Remplissage - Sit. Init.'!$D$30),('Remplissage - Sit. Init.'!$C$23:$C$472)&amp;('Remplissage - Sit. Init.'!$D$23:$D$472),0),7))&gt;0,0,1)</f>
        <v>1</v>
      </c>
      <c r="H220" s="32"/>
      <c r="I220" t="str">
        <f>VLOOKUP(I217,'Parcs types'!$D$7:$M$54,3,FALSE)</f>
        <v>Electrique</v>
      </c>
      <c r="K220" s="4" t="str">
        <f t="shared" si="272"/>
        <v>Electrique</v>
      </c>
    </row>
    <row r="221" spans="1:11" x14ac:dyDescent="0.25">
      <c r="A221" t="s">
        <v>1342</v>
      </c>
      <c r="B221" s="32" t="s">
        <v>100</v>
      </c>
      <c r="C221" t="s">
        <v>82</v>
      </c>
      <c r="E221" t="str">
        <f t="shared" ref="E221" si="276">_xlfn.CONCAT(LEFT(A217,3),"RoutCat",RIGHT(B217,2),"Carb")</f>
        <v>DévRoutCat12Carb</v>
      </c>
      <c r="F221" t="s">
        <v>36</v>
      </c>
      <c r="G221" s="5" cm="1">
        <f t="array" ref="G221">IF((INDEX('Remplissage - Sit. Init.'!$C$23:$I$472,MATCH((B221)&amp;('Remplissage - Sit. Init.'!$D$30),('Remplissage - Sit. Init.'!$C$23:$C$472)&amp;('Remplissage - Sit. Init.'!$D$23:$D$472),0),7))&gt;0,0,1)</f>
        <v>1</v>
      </c>
      <c r="I221">
        <f>VLOOKUP(I217,'Parcs types'!$D$7:$M$54,4,FALSE)</f>
        <v>0</v>
      </c>
      <c r="K221" s="4">
        <f t="shared" si="272"/>
        <v>0</v>
      </c>
    </row>
    <row r="222" spans="1:11" x14ac:dyDescent="0.25">
      <c r="A222" t="s">
        <v>1342</v>
      </c>
      <c r="B222" s="32" t="s">
        <v>100</v>
      </c>
      <c r="C222" t="s">
        <v>83</v>
      </c>
      <c r="E222" t="str">
        <f t="shared" ref="E222" si="277">_xlfn.CONCAT(LEFT(A217,3),"RoutCat",RIGHT(B217,2),"Euro")</f>
        <v>DévRoutCat12Euro</v>
      </c>
      <c r="F222" t="s">
        <v>36</v>
      </c>
      <c r="G222" s="5" cm="1">
        <f t="array" ref="G222">IF((INDEX('Remplissage - Sit. Init.'!$C$23:$I$472,MATCH((B222)&amp;('Remplissage - Sit. Init.'!$D$30),('Remplissage - Sit. Init.'!$C$23:$C$472)&amp;('Remplissage - Sit. Init.'!$D$23:$D$472),0),7))&gt;0,0,1)</f>
        <v>1</v>
      </c>
      <c r="I222">
        <f>VLOOKUP(I217,'Parcs types'!$D$7:$M$54,5,FALSE)</f>
        <v>0</v>
      </c>
      <c r="K222" s="4">
        <f t="shared" si="272"/>
        <v>0</v>
      </c>
    </row>
    <row r="223" spans="1:11" x14ac:dyDescent="0.25">
      <c r="A223" t="s">
        <v>1342</v>
      </c>
      <c r="B223" s="32" t="s">
        <v>100</v>
      </c>
      <c r="C223" t="s">
        <v>84</v>
      </c>
      <c r="E223" t="str">
        <f t="shared" ref="E223" si="278">_xlfn.CONCAT(LEFT(A217,3),"RoutCat",RIGHT(B217,2),"CritAir")</f>
        <v>DévRoutCat12CritAir</v>
      </c>
      <c r="F223" t="s">
        <v>36</v>
      </c>
      <c r="G223" s="5" cm="1">
        <f t="array" ref="G223">IF((INDEX('Remplissage - Sit. Init.'!$C$23:$I$472,MATCH((B223)&amp;('Remplissage - Sit. Init.'!$D$30),('Remplissage - Sit. Init.'!$C$23:$C$472)&amp;('Remplissage - Sit. Init.'!$D$23:$D$472),0),7))&gt;0,0,1)</f>
        <v>1</v>
      </c>
      <c r="H223" s="32"/>
      <c r="I223" t="str">
        <f>VLOOKUP(I217,'Parcs types'!$D$7:$M$54,6,FALSE)</f>
        <v>E</v>
      </c>
      <c r="K223" s="4" t="str">
        <f t="shared" si="272"/>
        <v>E</v>
      </c>
    </row>
    <row r="224" spans="1:11" x14ac:dyDescent="0.25">
      <c r="A224" t="s">
        <v>1342</v>
      </c>
      <c r="B224" s="32" t="s">
        <v>100</v>
      </c>
      <c r="C224" t="s">
        <v>85</v>
      </c>
      <c r="E224" t="str">
        <f t="shared" ref="E224" si="279">_xlfn.CONCAT(LEFT(A217,3),"RoutCat",RIGHT(B217,2),"Nb")</f>
        <v>DévRoutCat12Nb</v>
      </c>
      <c r="F224" t="s">
        <v>17</v>
      </c>
      <c r="G224" s="5" cm="1">
        <f t="array" ref="G224">IF((INDEX('Remplissage - Sit. Init.'!$C$23:$I$472,MATCH((B224)&amp;('Remplissage - Sit. Init.'!$D$30),('Remplissage - Sit. Init.'!$C$23:$C$472)&amp;('Remplissage - Sit. Init.'!$D$23:$D$472),0),7))&gt;0,0,1)</f>
        <v>1</v>
      </c>
      <c r="J224" t="s">
        <v>86</v>
      </c>
      <c r="K224">
        <f>VLOOKUP($I217,'Parcs types'!$D$7:$M$54,9,FALSE)</f>
        <v>0</v>
      </c>
    </row>
    <row r="225" spans="1:11" x14ac:dyDescent="0.25">
      <c r="A225" t="s">
        <v>1342</v>
      </c>
      <c r="B225" s="32" t="s">
        <v>100</v>
      </c>
      <c r="C225" t="s">
        <v>87</v>
      </c>
      <c r="E225" t="str">
        <f t="shared" ref="E225" si="280">_xlfn.CONCAT(LEFT(A217,3),"RoutCat",RIGHT(B217,2),"Dist")</f>
        <v>DévRoutCat12Dist</v>
      </c>
      <c r="F225" t="s">
        <v>17</v>
      </c>
      <c r="G225" s="5" cm="1">
        <f t="array" ref="G225">IF((INDEX('Remplissage - Sit. Init.'!$C$23:$I$472,MATCH((B225)&amp;('Remplissage - Sit. Init.'!$D$30),('Remplissage - Sit. Init.'!$C$23:$C$472)&amp;('Remplissage - Sit. Init.'!$D$23:$D$472),0),7))&gt;0,0,1)</f>
        <v>1</v>
      </c>
      <c r="H225" s="32"/>
      <c r="J225" t="s">
        <v>88</v>
      </c>
      <c r="K225">
        <f>VLOOKUP($I217,'Parcs types'!$D$7:$M$54,7,FALSE)</f>
        <v>12015</v>
      </c>
    </row>
    <row r="226" spans="1:11" x14ac:dyDescent="0.25">
      <c r="A226" t="s">
        <v>1342</v>
      </c>
      <c r="B226" s="32" t="s">
        <v>100</v>
      </c>
      <c r="C226" s="32" t="s">
        <v>89</v>
      </c>
      <c r="E226" t="str">
        <f t="shared" ref="E226" si="281">_xlfn.CONCAT(LEFT(A217,3),"RoutCat",RIGHT(B217,2),"Rempl")</f>
        <v>DévRoutCat12Rempl</v>
      </c>
      <c r="F226" t="s">
        <v>17</v>
      </c>
      <c r="G226" s="5" cm="1">
        <f t="array" ref="G226">IF((INDEX('Remplissage - Sit. Init.'!$C$23:$I$472,MATCH((B226)&amp;('Remplissage - Sit. Init.'!$D$30),('Remplissage - Sit. Init.'!$C$23:$C$472)&amp;('Remplissage - Sit. Init.'!$D$23:$D$472),0),7))&gt;0,0,1)</f>
        <v>1</v>
      </c>
      <c r="H226" s="36"/>
      <c r="J226" t="s">
        <v>70</v>
      </c>
      <c r="K226">
        <f>VLOOKUP($I217,'Parcs types'!$D$7:$M$54,8,FALSE)</f>
        <v>0</v>
      </c>
    </row>
    <row r="227" spans="1:11" x14ac:dyDescent="0.25">
      <c r="A227" t="s">
        <v>1342</v>
      </c>
      <c r="B227" s="32" t="s">
        <v>101</v>
      </c>
      <c r="C227" t="s">
        <v>78</v>
      </c>
      <c r="E227" t="str">
        <f t="shared" ref="E227" si="282">_xlfn.CONCAT(LEFT(A227,3),"RoutCat",RIGHT(B227,2),"Nom")</f>
        <v>DévRoutCat13Nom</v>
      </c>
      <c r="F227" t="s">
        <v>20</v>
      </c>
      <c r="G227" s="5" cm="1">
        <f t="array" ref="G227">IF((INDEX('Remplissage - Sit. Init.'!$C$23:$I$472,MATCH((B227)&amp;('Remplissage - Sit. Init.'!$D$30),('Remplissage - Sit. Init.'!$C$23:$C$472)&amp;('Remplissage - Sit. Init.'!$D$23:$D$472),0),7))&gt;0,0,1)</f>
        <v>1</v>
      </c>
      <c r="H227" s="4"/>
      <c r="I227" s="4" t="str">
        <f>'Parcs types'!D22</f>
        <v>PL Electrique &gt;20-26t (Crit'Air E)</v>
      </c>
      <c r="K227" s="4" t="str">
        <f t="shared" ref="K227:K233" si="283">I227</f>
        <v>PL Electrique &gt;20-26t (Crit'Air E)</v>
      </c>
    </row>
    <row r="228" spans="1:11" x14ac:dyDescent="0.25">
      <c r="A228" t="s">
        <v>1342</v>
      </c>
      <c r="B228" s="32" t="s">
        <v>101</v>
      </c>
      <c r="C228" t="s">
        <v>79</v>
      </c>
      <c r="E228" t="str">
        <f t="shared" ref="E228" si="284">_xlfn.CONCAT(LEFT(A227,3),"RoutCat",RIGHT(B227,2),"Type")</f>
        <v>DévRoutCat13Type</v>
      </c>
      <c r="F228" t="s">
        <v>20</v>
      </c>
      <c r="G228" s="5" cm="1">
        <f t="array" ref="G228">IF((INDEX('Remplissage - Sit. Init.'!$C$23:$I$472,MATCH((B228)&amp;('Remplissage - Sit. Init.'!$D$30),('Remplissage - Sit. Init.'!$C$23:$C$472)&amp;('Remplissage - Sit. Init.'!$D$23:$D$472),0),7))&gt;0,0,1)</f>
        <v>1</v>
      </c>
      <c r="I228" t="str">
        <f>IF(K229='Parcs types'!$E$10,"VUL",LEFT('Remplissage - Sit. Prev.'!K227,SEARCH('Remplissage - Sit. Prev.'!K230,'Remplissage - Sit. Prev.'!K227)-2))</f>
        <v>PL</v>
      </c>
      <c r="K228" s="4" t="str">
        <f t="shared" si="283"/>
        <v>PL</v>
      </c>
    </row>
    <row r="229" spans="1:11" x14ac:dyDescent="0.25">
      <c r="A229" t="s">
        <v>1342</v>
      </c>
      <c r="B229" s="32" t="s">
        <v>101</v>
      </c>
      <c r="C229" t="s">
        <v>80</v>
      </c>
      <c r="E229" t="str">
        <f t="shared" ref="E229" si="285">_xlfn.CONCAT(LEFT(A227,3),"RoutCat",RIGHT(B227,2),"PTAC")</f>
        <v>DévRoutCat13PTAC</v>
      </c>
      <c r="F229" t="s">
        <v>36</v>
      </c>
      <c r="G229" s="5" cm="1">
        <f t="array" ref="G229">IF((INDEX('Remplissage - Sit. Init.'!$C$23:$I$472,MATCH((B229)&amp;('Remplissage - Sit. Init.'!$D$30),('Remplissage - Sit. Init.'!$C$23:$C$472)&amp;('Remplissage - Sit. Init.'!$D$23:$D$472),0),7))&gt;0,0,1)</f>
        <v>1</v>
      </c>
      <c r="I229" t="str">
        <f>VLOOKUP(I227,'Parcs types'!$D$7:$M$54,2,FALSE)</f>
        <v>&gt;20-26t</v>
      </c>
      <c r="K229" s="4" t="str">
        <f t="shared" si="283"/>
        <v>&gt;20-26t</v>
      </c>
    </row>
    <row r="230" spans="1:11" x14ac:dyDescent="0.25">
      <c r="A230" t="s">
        <v>1342</v>
      </c>
      <c r="B230" s="32" t="s">
        <v>101</v>
      </c>
      <c r="C230" t="s">
        <v>81</v>
      </c>
      <c r="E230" t="str">
        <f t="shared" ref="E230" si="286">_xlfn.CONCAT(LEFT(A227,3),"RoutCat",RIGHT(B227,2),"Mot")</f>
        <v>DévRoutCat13Mot</v>
      </c>
      <c r="F230" t="s">
        <v>36</v>
      </c>
      <c r="G230" s="5" cm="1">
        <f t="array" ref="G230">IF((INDEX('Remplissage - Sit. Init.'!$C$23:$I$472,MATCH((B230)&amp;('Remplissage - Sit. Init.'!$D$30),('Remplissage - Sit. Init.'!$C$23:$C$472)&amp;('Remplissage - Sit. Init.'!$D$23:$D$472),0),7))&gt;0,0,1)</f>
        <v>1</v>
      </c>
      <c r="H230" s="32"/>
      <c r="I230" t="str">
        <f>VLOOKUP(I227,'Parcs types'!$D$7:$M$54,3,FALSE)</f>
        <v>Electrique</v>
      </c>
      <c r="K230" s="4" t="str">
        <f t="shared" si="283"/>
        <v>Electrique</v>
      </c>
    </row>
    <row r="231" spans="1:11" x14ac:dyDescent="0.25">
      <c r="A231" t="s">
        <v>1342</v>
      </c>
      <c r="B231" s="32" t="s">
        <v>101</v>
      </c>
      <c r="C231" t="s">
        <v>82</v>
      </c>
      <c r="E231" t="str">
        <f t="shared" ref="E231" si="287">_xlfn.CONCAT(LEFT(A227,3),"RoutCat",RIGHT(B227,2),"Carb")</f>
        <v>DévRoutCat13Carb</v>
      </c>
      <c r="F231" t="s">
        <v>36</v>
      </c>
      <c r="G231" s="5" cm="1">
        <f t="array" ref="G231">IF((INDEX('Remplissage - Sit. Init.'!$C$23:$I$472,MATCH((B231)&amp;('Remplissage - Sit. Init.'!$D$30),('Remplissage - Sit. Init.'!$C$23:$C$472)&amp;('Remplissage - Sit. Init.'!$D$23:$D$472),0),7))&gt;0,0,1)</f>
        <v>1</v>
      </c>
      <c r="I231">
        <f>VLOOKUP(I227,'Parcs types'!$D$7:$M$54,4,FALSE)</f>
        <v>0</v>
      </c>
      <c r="K231" s="4">
        <f t="shared" si="283"/>
        <v>0</v>
      </c>
    </row>
    <row r="232" spans="1:11" x14ac:dyDescent="0.25">
      <c r="A232" t="s">
        <v>1342</v>
      </c>
      <c r="B232" s="32" t="s">
        <v>101</v>
      </c>
      <c r="C232" t="s">
        <v>83</v>
      </c>
      <c r="E232" t="str">
        <f t="shared" ref="E232" si="288">_xlfn.CONCAT(LEFT(A227,3),"RoutCat",RIGHT(B227,2),"Euro")</f>
        <v>DévRoutCat13Euro</v>
      </c>
      <c r="F232" t="s">
        <v>36</v>
      </c>
      <c r="G232" s="5" cm="1">
        <f t="array" ref="G232">IF((INDEX('Remplissage - Sit. Init.'!$C$23:$I$472,MATCH((B232)&amp;('Remplissage - Sit. Init.'!$D$30),('Remplissage - Sit. Init.'!$C$23:$C$472)&amp;('Remplissage - Sit. Init.'!$D$23:$D$472),0),7))&gt;0,0,1)</f>
        <v>1</v>
      </c>
      <c r="I232">
        <f>VLOOKUP(I227,'Parcs types'!$D$7:$M$54,5,FALSE)</f>
        <v>0</v>
      </c>
      <c r="K232" s="4">
        <f t="shared" si="283"/>
        <v>0</v>
      </c>
    </row>
    <row r="233" spans="1:11" x14ac:dyDescent="0.25">
      <c r="A233" t="s">
        <v>1342</v>
      </c>
      <c r="B233" s="32" t="s">
        <v>101</v>
      </c>
      <c r="C233" t="s">
        <v>84</v>
      </c>
      <c r="E233" t="str">
        <f t="shared" ref="E233" si="289">_xlfn.CONCAT(LEFT(A227,3),"RoutCat",RIGHT(B227,2),"CritAir")</f>
        <v>DévRoutCat13CritAir</v>
      </c>
      <c r="F233" t="s">
        <v>36</v>
      </c>
      <c r="G233" s="5" cm="1">
        <f t="array" ref="G233">IF((INDEX('Remplissage - Sit. Init.'!$C$23:$I$472,MATCH((B233)&amp;('Remplissage - Sit. Init.'!$D$30),('Remplissage - Sit. Init.'!$C$23:$C$472)&amp;('Remplissage - Sit. Init.'!$D$23:$D$472),0),7))&gt;0,0,1)</f>
        <v>1</v>
      </c>
      <c r="H233" s="32"/>
      <c r="I233" t="str">
        <f>VLOOKUP(I227,'Parcs types'!$D$7:$M$54,6,FALSE)</f>
        <v>E</v>
      </c>
      <c r="K233" s="4" t="str">
        <f t="shared" si="283"/>
        <v>E</v>
      </c>
    </row>
    <row r="234" spans="1:11" x14ac:dyDescent="0.25">
      <c r="A234" t="s">
        <v>1342</v>
      </c>
      <c r="B234" s="32" t="s">
        <v>101</v>
      </c>
      <c r="C234" t="s">
        <v>85</v>
      </c>
      <c r="E234" t="str">
        <f t="shared" ref="E234" si="290">_xlfn.CONCAT(LEFT(A227,3),"RoutCat",RIGHT(B227,2),"Nb")</f>
        <v>DévRoutCat13Nb</v>
      </c>
      <c r="F234" t="s">
        <v>17</v>
      </c>
      <c r="G234" s="5" cm="1">
        <f t="array" ref="G234">IF((INDEX('Remplissage - Sit. Init.'!$C$23:$I$472,MATCH((B234)&amp;('Remplissage - Sit. Init.'!$D$30),('Remplissage - Sit. Init.'!$C$23:$C$472)&amp;('Remplissage - Sit. Init.'!$D$23:$D$472),0),7))&gt;0,0,1)</f>
        <v>1</v>
      </c>
      <c r="J234" t="s">
        <v>86</v>
      </c>
      <c r="K234">
        <f>VLOOKUP($I227,'Parcs types'!$D$7:$M$54,9,FALSE)</f>
        <v>0</v>
      </c>
    </row>
    <row r="235" spans="1:11" x14ac:dyDescent="0.25">
      <c r="A235" t="s">
        <v>1342</v>
      </c>
      <c r="B235" s="32" t="s">
        <v>101</v>
      </c>
      <c r="C235" t="s">
        <v>87</v>
      </c>
      <c r="E235" t="str">
        <f t="shared" ref="E235" si="291">_xlfn.CONCAT(LEFT(A227,3),"RoutCat",RIGHT(B227,2),"Dist")</f>
        <v>DévRoutCat13Dist</v>
      </c>
      <c r="F235" t="s">
        <v>17</v>
      </c>
      <c r="G235" s="5" cm="1">
        <f t="array" ref="G235">IF((INDEX('Remplissage - Sit. Init.'!$C$23:$I$472,MATCH((B235)&amp;('Remplissage - Sit. Init.'!$D$30),('Remplissage - Sit. Init.'!$C$23:$C$472)&amp;('Remplissage - Sit. Init.'!$D$23:$D$472),0),7))&gt;0,0,1)</f>
        <v>1</v>
      </c>
      <c r="H235" s="32"/>
      <c r="J235" t="s">
        <v>88</v>
      </c>
      <c r="K235">
        <f>VLOOKUP($I227,'Parcs types'!$D$7:$M$54,7,FALSE)</f>
        <v>12015</v>
      </c>
    </row>
    <row r="236" spans="1:11" x14ac:dyDescent="0.25">
      <c r="A236" t="s">
        <v>1342</v>
      </c>
      <c r="B236" s="32" t="s">
        <v>101</v>
      </c>
      <c r="C236" s="32" t="s">
        <v>89</v>
      </c>
      <c r="E236" t="str">
        <f t="shared" ref="E236" si="292">_xlfn.CONCAT(LEFT(A227,3),"RoutCat",RIGHT(B227,2),"Rempl")</f>
        <v>DévRoutCat13Rempl</v>
      </c>
      <c r="F236" t="s">
        <v>17</v>
      </c>
      <c r="G236" s="5" cm="1">
        <f t="array" ref="G236">IF((INDEX('Remplissage - Sit. Init.'!$C$23:$I$472,MATCH((B236)&amp;('Remplissage - Sit. Init.'!$D$30),('Remplissage - Sit. Init.'!$C$23:$C$472)&amp;('Remplissage - Sit. Init.'!$D$23:$D$472),0),7))&gt;0,0,1)</f>
        <v>1</v>
      </c>
      <c r="H236" s="36"/>
      <c r="J236" t="s">
        <v>70</v>
      </c>
      <c r="K236">
        <f>VLOOKUP($I227,'Parcs types'!$D$7:$M$54,8,FALSE)</f>
        <v>0</v>
      </c>
    </row>
    <row r="237" spans="1:11" x14ac:dyDescent="0.25">
      <c r="A237" t="s">
        <v>1342</v>
      </c>
      <c r="B237" s="32" t="s">
        <v>102</v>
      </c>
      <c r="C237" t="s">
        <v>78</v>
      </c>
      <c r="E237" t="str">
        <f t="shared" ref="E237" si="293">_xlfn.CONCAT(LEFT(A237,3),"RoutCat",RIGHT(B237,2),"Nom")</f>
        <v>DévRoutCat14Nom</v>
      </c>
      <c r="F237" t="s">
        <v>20</v>
      </c>
      <c r="G237" s="5" cm="1">
        <f t="array" ref="G237">IF((INDEX('Remplissage - Sit. Init.'!$C$23:$I$472,MATCH((B237)&amp;('Remplissage - Sit. Init.'!$D$30),('Remplissage - Sit. Init.'!$C$23:$C$472)&amp;('Remplissage - Sit. Init.'!$D$23:$D$472),0),7))&gt;0,0,1)</f>
        <v>1</v>
      </c>
      <c r="H237" s="4"/>
      <c r="I237" s="4" t="str">
        <f>'Parcs types'!D23</f>
        <v>PL Electrique &gt;28-34t (Crit'Air E)</v>
      </c>
      <c r="K237" s="4" t="str">
        <f t="shared" ref="K237:K243" si="294">I237</f>
        <v>PL Electrique &gt;28-34t (Crit'Air E)</v>
      </c>
    </row>
    <row r="238" spans="1:11" x14ac:dyDescent="0.25">
      <c r="A238" t="s">
        <v>1342</v>
      </c>
      <c r="B238" s="32" t="s">
        <v>102</v>
      </c>
      <c r="C238" t="s">
        <v>79</v>
      </c>
      <c r="E238" t="str">
        <f t="shared" ref="E238" si="295">_xlfn.CONCAT(LEFT(A237,3),"RoutCat",RIGHT(B237,2),"Type")</f>
        <v>DévRoutCat14Type</v>
      </c>
      <c r="F238" t="s">
        <v>20</v>
      </c>
      <c r="G238" s="5" cm="1">
        <f t="array" ref="G238">IF((INDEX('Remplissage - Sit. Init.'!$C$23:$I$472,MATCH((B238)&amp;('Remplissage - Sit. Init.'!$D$30),('Remplissage - Sit. Init.'!$C$23:$C$472)&amp;('Remplissage - Sit. Init.'!$D$23:$D$472),0),7))&gt;0,0,1)</f>
        <v>1</v>
      </c>
      <c r="I238" t="str">
        <f>IF(K239='Parcs types'!$E$10,"VUL",LEFT('Remplissage - Sit. Prev.'!K237,SEARCH('Remplissage - Sit. Prev.'!K240,'Remplissage - Sit. Prev.'!K237)-2))</f>
        <v>PL</v>
      </c>
      <c r="K238" s="4" t="str">
        <f t="shared" si="294"/>
        <v>PL</v>
      </c>
    </row>
    <row r="239" spans="1:11" x14ac:dyDescent="0.25">
      <c r="A239" t="s">
        <v>1342</v>
      </c>
      <c r="B239" s="32" t="s">
        <v>102</v>
      </c>
      <c r="C239" t="s">
        <v>80</v>
      </c>
      <c r="E239" t="str">
        <f t="shared" ref="E239" si="296">_xlfn.CONCAT(LEFT(A237,3),"RoutCat",RIGHT(B237,2),"PTAC")</f>
        <v>DévRoutCat14PTAC</v>
      </c>
      <c r="F239" t="s">
        <v>36</v>
      </c>
      <c r="G239" s="5" cm="1">
        <f t="array" ref="G239">IF((INDEX('Remplissage - Sit. Init.'!$C$23:$I$472,MATCH((B239)&amp;('Remplissage - Sit. Init.'!$D$30),('Remplissage - Sit. Init.'!$C$23:$C$472)&amp;('Remplissage - Sit. Init.'!$D$23:$D$472),0),7))&gt;0,0,1)</f>
        <v>1</v>
      </c>
      <c r="I239" t="str">
        <f>VLOOKUP(I237,'Parcs types'!$D$7:$M$54,2,FALSE)</f>
        <v>&gt;28-34t</v>
      </c>
      <c r="K239" s="4" t="str">
        <f t="shared" si="294"/>
        <v>&gt;28-34t</v>
      </c>
    </row>
    <row r="240" spans="1:11" x14ac:dyDescent="0.25">
      <c r="A240" t="s">
        <v>1342</v>
      </c>
      <c r="B240" s="32" t="s">
        <v>102</v>
      </c>
      <c r="C240" t="s">
        <v>81</v>
      </c>
      <c r="E240" t="str">
        <f t="shared" ref="E240" si="297">_xlfn.CONCAT(LEFT(A237,3),"RoutCat",RIGHT(B237,2),"Mot")</f>
        <v>DévRoutCat14Mot</v>
      </c>
      <c r="F240" t="s">
        <v>36</v>
      </c>
      <c r="G240" s="5" cm="1">
        <f t="array" ref="G240">IF((INDEX('Remplissage - Sit. Init.'!$C$23:$I$472,MATCH((B240)&amp;('Remplissage - Sit. Init.'!$D$30),('Remplissage - Sit. Init.'!$C$23:$C$472)&amp;('Remplissage - Sit. Init.'!$D$23:$D$472),0),7))&gt;0,0,1)</f>
        <v>1</v>
      </c>
      <c r="H240" s="32"/>
      <c r="I240" t="str">
        <f>VLOOKUP(I237,'Parcs types'!$D$7:$M$54,3,FALSE)</f>
        <v>Electrique</v>
      </c>
      <c r="K240" s="4" t="str">
        <f t="shared" si="294"/>
        <v>Electrique</v>
      </c>
    </row>
    <row r="241" spans="1:11" x14ac:dyDescent="0.25">
      <c r="A241" t="s">
        <v>1342</v>
      </c>
      <c r="B241" s="32" t="s">
        <v>102</v>
      </c>
      <c r="C241" t="s">
        <v>82</v>
      </c>
      <c r="E241" t="str">
        <f t="shared" ref="E241" si="298">_xlfn.CONCAT(LEFT(A237,3),"RoutCat",RIGHT(B237,2),"Carb")</f>
        <v>DévRoutCat14Carb</v>
      </c>
      <c r="F241" t="s">
        <v>36</v>
      </c>
      <c r="G241" s="5" cm="1">
        <f t="array" ref="G241">IF((INDEX('Remplissage - Sit. Init.'!$C$23:$I$472,MATCH((B241)&amp;('Remplissage - Sit. Init.'!$D$30),('Remplissage - Sit. Init.'!$C$23:$C$472)&amp;('Remplissage - Sit. Init.'!$D$23:$D$472),0),7))&gt;0,0,1)</f>
        <v>1</v>
      </c>
      <c r="I241">
        <f>VLOOKUP(I237,'Parcs types'!$D$7:$M$54,4,FALSE)</f>
        <v>0</v>
      </c>
      <c r="K241" s="4">
        <f t="shared" si="294"/>
        <v>0</v>
      </c>
    </row>
    <row r="242" spans="1:11" x14ac:dyDescent="0.25">
      <c r="A242" t="s">
        <v>1342</v>
      </c>
      <c r="B242" s="32" t="s">
        <v>102</v>
      </c>
      <c r="C242" t="s">
        <v>83</v>
      </c>
      <c r="E242" t="str">
        <f t="shared" ref="E242" si="299">_xlfn.CONCAT(LEFT(A237,3),"RoutCat",RIGHT(B237,2),"Euro")</f>
        <v>DévRoutCat14Euro</v>
      </c>
      <c r="F242" t="s">
        <v>36</v>
      </c>
      <c r="G242" s="5" cm="1">
        <f t="array" ref="G242">IF((INDEX('Remplissage - Sit. Init.'!$C$23:$I$472,MATCH((B242)&amp;('Remplissage - Sit. Init.'!$D$30),('Remplissage - Sit. Init.'!$C$23:$C$472)&amp;('Remplissage - Sit. Init.'!$D$23:$D$472),0),7))&gt;0,0,1)</f>
        <v>1</v>
      </c>
      <c r="I242">
        <f>VLOOKUP(I237,'Parcs types'!$D$7:$M$54,5,FALSE)</f>
        <v>0</v>
      </c>
      <c r="K242" s="4">
        <f t="shared" si="294"/>
        <v>0</v>
      </c>
    </row>
    <row r="243" spans="1:11" x14ac:dyDescent="0.25">
      <c r="A243" t="s">
        <v>1342</v>
      </c>
      <c r="B243" s="32" t="s">
        <v>102</v>
      </c>
      <c r="C243" t="s">
        <v>84</v>
      </c>
      <c r="E243" t="str">
        <f t="shared" ref="E243" si="300">_xlfn.CONCAT(LEFT(A237,3),"RoutCat",RIGHT(B237,2),"CritAir")</f>
        <v>DévRoutCat14CritAir</v>
      </c>
      <c r="F243" t="s">
        <v>36</v>
      </c>
      <c r="G243" s="5" cm="1">
        <f t="array" ref="G243">IF((INDEX('Remplissage - Sit. Init.'!$C$23:$I$472,MATCH((B243)&amp;('Remplissage - Sit. Init.'!$D$30),('Remplissage - Sit. Init.'!$C$23:$C$472)&amp;('Remplissage - Sit. Init.'!$D$23:$D$472),0),7))&gt;0,0,1)</f>
        <v>1</v>
      </c>
      <c r="H243" s="32"/>
      <c r="I243" t="str">
        <f>VLOOKUP(I237,'Parcs types'!$D$7:$M$54,6,FALSE)</f>
        <v>E</v>
      </c>
      <c r="K243" s="4" t="str">
        <f t="shared" si="294"/>
        <v>E</v>
      </c>
    </row>
    <row r="244" spans="1:11" x14ac:dyDescent="0.25">
      <c r="A244" t="s">
        <v>1342</v>
      </c>
      <c r="B244" s="32" t="s">
        <v>102</v>
      </c>
      <c r="C244" t="s">
        <v>85</v>
      </c>
      <c r="E244" t="str">
        <f t="shared" ref="E244" si="301">_xlfn.CONCAT(LEFT(A237,3),"RoutCat",RIGHT(B237,2),"Nb")</f>
        <v>DévRoutCat14Nb</v>
      </c>
      <c r="F244" t="s">
        <v>17</v>
      </c>
      <c r="G244" s="5" cm="1">
        <f t="array" ref="G244">IF((INDEX('Remplissage - Sit. Init.'!$C$23:$I$472,MATCH((B244)&amp;('Remplissage - Sit. Init.'!$D$30),('Remplissage - Sit. Init.'!$C$23:$C$472)&amp;('Remplissage - Sit. Init.'!$D$23:$D$472),0),7))&gt;0,0,1)</f>
        <v>1</v>
      </c>
      <c r="J244" t="s">
        <v>86</v>
      </c>
      <c r="K244">
        <f>VLOOKUP($I237,'Parcs types'!$D$7:$M$54,9,FALSE)</f>
        <v>0</v>
      </c>
    </row>
    <row r="245" spans="1:11" x14ac:dyDescent="0.25">
      <c r="A245" t="s">
        <v>1342</v>
      </c>
      <c r="B245" s="32" t="s">
        <v>102</v>
      </c>
      <c r="C245" t="s">
        <v>87</v>
      </c>
      <c r="E245" t="str">
        <f t="shared" ref="E245" si="302">_xlfn.CONCAT(LEFT(A237,3),"RoutCat",RIGHT(B237,2),"Dist")</f>
        <v>DévRoutCat14Dist</v>
      </c>
      <c r="F245" t="s">
        <v>17</v>
      </c>
      <c r="G245" s="5" cm="1">
        <f t="array" ref="G245">IF((INDEX('Remplissage - Sit. Init.'!$C$23:$I$472,MATCH((B245)&amp;('Remplissage - Sit. Init.'!$D$30),('Remplissage - Sit. Init.'!$C$23:$C$472)&amp;('Remplissage - Sit. Init.'!$D$23:$D$472),0),7))&gt;0,0,1)</f>
        <v>1</v>
      </c>
      <c r="H245" s="32"/>
      <c r="J245" t="s">
        <v>88</v>
      </c>
      <c r="K245">
        <f>VLOOKUP($I237,'Parcs types'!$D$7:$M$54,7,FALSE)</f>
        <v>12015</v>
      </c>
    </row>
    <row r="246" spans="1:11" x14ac:dyDescent="0.25">
      <c r="A246" t="s">
        <v>1342</v>
      </c>
      <c r="B246" s="32" t="s">
        <v>102</v>
      </c>
      <c r="C246" s="32" t="s">
        <v>89</v>
      </c>
      <c r="E246" t="str">
        <f t="shared" ref="E246" si="303">_xlfn.CONCAT(LEFT(A237,3),"RoutCat",RIGHT(B237,2),"Rempl")</f>
        <v>DévRoutCat14Rempl</v>
      </c>
      <c r="F246" t="s">
        <v>17</v>
      </c>
      <c r="G246" s="5" cm="1">
        <f t="array" ref="G246">IF((INDEX('Remplissage - Sit. Init.'!$C$23:$I$472,MATCH((B246)&amp;('Remplissage - Sit. Init.'!$D$30),('Remplissage - Sit. Init.'!$C$23:$C$472)&amp;('Remplissage - Sit. Init.'!$D$23:$D$472),0),7))&gt;0,0,1)</f>
        <v>1</v>
      </c>
      <c r="H246" s="36"/>
      <c r="J246" t="s">
        <v>70</v>
      </c>
      <c r="K246">
        <f>VLOOKUP($I237,'Parcs types'!$D$7:$M$54,8,FALSE)</f>
        <v>0</v>
      </c>
    </row>
    <row r="247" spans="1:11" x14ac:dyDescent="0.25">
      <c r="A247" t="s">
        <v>1342</v>
      </c>
      <c r="B247" s="32" t="s">
        <v>103</v>
      </c>
      <c r="C247" t="s">
        <v>78</v>
      </c>
      <c r="E247" t="str">
        <f t="shared" ref="E247" si="304">_xlfn.CONCAT(LEFT(A247,3),"RoutCat",RIGHT(B247,2),"Nom")</f>
        <v>DévRoutCat15Nom</v>
      </c>
      <c r="F247" t="s">
        <v>20</v>
      </c>
      <c r="G247" s="5" cm="1">
        <f t="array" ref="G247">IF((INDEX('Remplissage - Sit. Init.'!$C$23:$I$472,MATCH((B247)&amp;('Remplissage - Sit. Init.'!$D$30),('Remplissage - Sit. Init.'!$C$23:$C$472)&amp;('Remplissage - Sit. Init.'!$D$23:$D$472),0),7))&gt;0,0,1)</f>
        <v>1</v>
      </c>
      <c r="H247" s="4"/>
      <c r="I247" s="4" t="str">
        <f>'Parcs types'!D24</f>
        <v>PL Electrique &gt;34-40t (Crit'Air E)</v>
      </c>
      <c r="K247" s="4" t="str">
        <f t="shared" ref="K247:K253" si="305">I247</f>
        <v>PL Electrique &gt;34-40t (Crit'Air E)</v>
      </c>
    </row>
    <row r="248" spans="1:11" x14ac:dyDescent="0.25">
      <c r="A248" t="s">
        <v>1342</v>
      </c>
      <c r="B248" s="32" t="s">
        <v>103</v>
      </c>
      <c r="C248" t="s">
        <v>79</v>
      </c>
      <c r="E248" t="str">
        <f t="shared" ref="E248" si="306">_xlfn.CONCAT(LEFT(A247,3),"RoutCat",RIGHT(B247,2),"Type")</f>
        <v>DévRoutCat15Type</v>
      </c>
      <c r="F248" t="s">
        <v>20</v>
      </c>
      <c r="G248" s="5" cm="1">
        <f t="array" ref="G248">IF((INDEX('Remplissage - Sit. Init.'!$C$23:$I$472,MATCH((B248)&amp;('Remplissage - Sit. Init.'!$D$30),('Remplissage - Sit. Init.'!$C$23:$C$472)&amp;('Remplissage - Sit. Init.'!$D$23:$D$472),0),7))&gt;0,0,1)</f>
        <v>1</v>
      </c>
      <c r="I248" t="str">
        <f>IF(K249='Parcs types'!$E$10,"VUL",LEFT('Remplissage - Sit. Prev.'!K247,SEARCH('Remplissage - Sit. Prev.'!K250,'Remplissage - Sit. Prev.'!K247)-2))</f>
        <v>PL</v>
      </c>
      <c r="K248" s="4" t="str">
        <f t="shared" si="305"/>
        <v>PL</v>
      </c>
    </row>
    <row r="249" spans="1:11" x14ac:dyDescent="0.25">
      <c r="A249" t="s">
        <v>1342</v>
      </c>
      <c r="B249" s="32" t="s">
        <v>103</v>
      </c>
      <c r="C249" t="s">
        <v>80</v>
      </c>
      <c r="E249" t="str">
        <f t="shared" ref="E249" si="307">_xlfn.CONCAT(LEFT(A247,3),"RoutCat",RIGHT(B247,2),"PTAC")</f>
        <v>DévRoutCat15PTAC</v>
      </c>
      <c r="F249" t="s">
        <v>36</v>
      </c>
      <c r="G249" s="5" cm="1">
        <f t="array" ref="G249">IF((INDEX('Remplissage - Sit. Init.'!$C$23:$I$472,MATCH((B249)&amp;('Remplissage - Sit. Init.'!$D$30),('Remplissage - Sit. Init.'!$C$23:$C$472)&amp;('Remplissage - Sit. Init.'!$D$23:$D$472),0),7))&gt;0,0,1)</f>
        <v>1</v>
      </c>
      <c r="I249" t="str">
        <f>VLOOKUP(I247,'Parcs types'!$D$7:$M$54,2,FALSE)</f>
        <v>&gt;34-40t</v>
      </c>
      <c r="K249" s="4" t="str">
        <f t="shared" si="305"/>
        <v>&gt;34-40t</v>
      </c>
    </row>
    <row r="250" spans="1:11" x14ac:dyDescent="0.25">
      <c r="A250" t="s">
        <v>1342</v>
      </c>
      <c r="B250" s="32" t="s">
        <v>103</v>
      </c>
      <c r="C250" t="s">
        <v>81</v>
      </c>
      <c r="E250" t="str">
        <f t="shared" ref="E250" si="308">_xlfn.CONCAT(LEFT(A247,3),"RoutCat",RIGHT(B247,2),"Mot")</f>
        <v>DévRoutCat15Mot</v>
      </c>
      <c r="F250" t="s">
        <v>36</v>
      </c>
      <c r="G250" s="5" cm="1">
        <f t="array" ref="G250">IF((INDEX('Remplissage - Sit. Init.'!$C$23:$I$472,MATCH((B250)&amp;('Remplissage - Sit. Init.'!$D$30),('Remplissage - Sit. Init.'!$C$23:$C$472)&amp;('Remplissage - Sit. Init.'!$D$23:$D$472),0),7))&gt;0,0,1)</f>
        <v>1</v>
      </c>
      <c r="H250" s="32"/>
      <c r="I250" t="str">
        <f>VLOOKUP(I247,'Parcs types'!$D$7:$M$54,3,FALSE)</f>
        <v>Electrique</v>
      </c>
      <c r="K250" s="4" t="str">
        <f t="shared" si="305"/>
        <v>Electrique</v>
      </c>
    </row>
    <row r="251" spans="1:11" x14ac:dyDescent="0.25">
      <c r="A251" t="s">
        <v>1342</v>
      </c>
      <c r="B251" s="32" t="s">
        <v>103</v>
      </c>
      <c r="C251" t="s">
        <v>82</v>
      </c>
      <c r="E251" t="str">
        <f t="shared" ref="E251" si="309">_xlfn.CONCAT(LEFT(A247,3),"RoutCat",RIGHT(B247,2),"Carb")</f>
        <v>DévRoutCat15Carb</v>
      </c>
      <c r="F251" t="s">
        <v>36</v>
      </c>
      <c r="G251" s="5" cm="1">
        <f t="array" ref="G251">IF((INDEX('Remplissage - Sit. Init.'!$C$23:$I$472,MATCH((B251)&amp;('Remplissage - Sit. Init.'!$D$30),('Remplissage - Sit. Init.'!$C$23:$C$472)&amp;('Remplissage - Sit. Init.'!$D$23:$D$472),0),7))&gt;0,0,1)</f>
        <v>1</v>
      </c>
      <c r="I251">
        <f>VLOOKUP(I247,'Parcs types'!$D$7:$M$54,4,FALSE)</f>
        <v>0</v>
      </c>
      <c r="K251" s="4">
        <f t="shared" si="305"/>
        <v>0</v>
      </c>
    </row>
    <row r="252" spans="1:11" x14ac:dyDescent="0.25">
      <c r="A252" t="s">
        <v>1342</v>
      </c>
      <c r="B252" s="32" t="s">
        <v>103</v>
      </c>
      <c r="C252" t="s">
        <v>83</v>
      </c>
      <c r="E252" t="str">
        <f t="shared" ref="E252" si="310">_xlfn.CONCAT(LEFT(A247,3),"RoutCat",RIGHT(B247,2),"Euro")</f>
        <v>DévRoutCat15Euro</v>
      </c>
      <c r="F252" t="s">
        <v>36</v>
      </c>
      <c r="G252" s="5" cm="1">
        <f t="array" ref="G252">IF((INDEX('Remplissage - Sit. Init.'!$C$23:$I$472,MATCH((B252)&amp;('Remplissage - Sit. Init.'!$D$30),('Remplissage - Sit. Init.'!$C$23:$C$472)&amp;('Remplissage - Sit. Init.'!$D$23:$D$472),0),7))&gt;0,0,1)</f>
        <v>1</v>
      </c>
      <c r="I252">
        <f>VLOOKUP(I247,'Parcs types'!$D$7:$M$54,5,FALSE)</f>
        <v>0</v>
      </c>
      <c r="K252" s="4">
        <f t="shared" si="305"/>
        <v>0</v>
      </c>
    </row>
    <row r="253" spans="1:11" x14ac:dyDescent="0.25">
      <c r="A253" t="s">
        <v>1342</v>
      </c>
      <c r="B253" s="32" t="s">
        <v>103</v>
      </c>
      <c r="C253" t="s">
        <v>84</v>
      </c>
      <c r="E253" t="str">
        <f t="shared" ref="E253" si="311">_xlfn.CONCAT(LEFT(A247,3),"RoutCat",RIGHT(B247,2),"CritAir")</f>
        <v>DévRoutCat15CritAir</v>
      </c>
      <c r="F253" t="s">
        <v>36</v>
      </c>
      <c r="G253" s="5" cm="1">
        <f t="array" ref="G253">IF((INDEX('Remplissage - Sit. Init.'!$C$23:$I$472,MATCH((B253)&amp;('Remplissage - Sit. Init.'!$D$30),('Remplissage - Sit. Init.'!$C$23:$C$472)&amp;('Remplissage - Sit. Init.'!$D$23:$D$472),0),7))&gt;0,0,1)</f>
        <v>1</v>
      </c>
      <c r="H253" s="32"/>
      <c r="I253" t="str">
        <f>VLOOKUP(I247,'Parcs types'!$D$7:$M$54,6,FALSE)</f>
        <v>E</v>
      </c>
      <c r="K253" s="4" t="str">
        <f t="shared" si="305"/>
        <v>E</v>
      </c>
    </row>
    <row r="254" spans="1:11" x14ac:dyDescent="0.25">
      <c r="A254" t="s">
        <v>1342</v>
      </c>
      <c r="B254" s="32" t="s">
        <v>103</v>
      </c>
      <c r="C254" t="s">
        <v>85</v>
      </c>
      <c r="E254" t="str">
        <f t="shared" ref="E254" si="312">_xlfn.CONCAT(LEFT(A247,3),"RoutCat",RIGHT(B247,2),"Nb")</f>
        <v>DévRoutCat15Nb</v>
      </c>
      <c r="F254" t="s">
        <v>17</v>
      </c>
      <c r="G254" s="5" cm="1">
        <f t="array" ref="G254">IF((INDEX('Remplissage - Sit. Init.'!$C$23:$I$472,MATCH((B254)&amp;('Remplissage - Sit. Init.'!$D$30),('Remplissage - Sit. Init.'!$C$23:$C$472)&amp;('Remplissage - Sit. Init.'!$D$23:$D$472),0),7))&gt;0,0,1)</f>
        <v>1</v>
      </c>
      <c r="J254" t="s">
        <v>86</v>
      </c>
      <c r="K254">
        <f>VLOOKUP($I247,'Parcs types'!$D$7:$M$54,9,FALSE)</f>
        <v>0</v>
      </c>
    </row>
    <row r="255" spans="1:11" x14ac:dyDescent="0.25">
      <c r="A255" t="s">
        <v>1342</v>
      </c>
      <c r="B255" s="32" t="s">
        <v>103</v>
      </c>
      <c r="C255" t="s">
        <v>87</v>
      </c>
      <c r="E255" t="str">
        <f t="shared" ref="E255" si="313">_xlfn.CONCAT(LEFT(A247,3),"RoutCat",RIGHT(B247,2),"Dist")</f>
        <v>DévRoutCat15Dist</v>
      </c>
      <c r="F255" t="s">
        <v>17</v>
      </c>
      <c r="G255" s="5" cm="1">
        <f t="array" ref="G255">IF((INDEX('Remplissage - Sit. Init.'!$C$23:$I$472,MATCH((B255)&amp;('Remplissage - Sit. Init.'!$D$30),('Remplissage - Sit. Init.'!$C$23:$C$472)&amp;('Remplissage - Sit. Init.'!$D$23:$D$472),0),7))&gt;0,0,1)</f>
        <v>1</v>
      </c>
      <c r="H255" s="32"/>
      <c r="J255" t="s">
        <v>88</v>
      </c>
      <c r="K255">
        <f>VLOOKUP($I247,'Parcs types'!$D$7:$M$54,7,FALSE)</f>
        <v>12015</v>
      </c>
    </row>
    <row r="256" spans="1:11" x14ac:dyDescent="0.25">
      <c r="A256" t="s">
        <v>1342</v>
      </c>
      <c r="B256" s="32" t="s">
        <v>103</v>
      </c>
      <c r="C256" s="32" t="s">
        <v>89</v>
      </c>
      <c r="E256" t="str">
        <f t="shared" ref="E256" si="314">_xlfn.CONCAT(LEFT(A247,3),"RoutCat",RIGHT(B247,2),"Rempl")</f>
        <v>DévRoutCat15Rempl</v>
      </c>
      <c r="F256" t="s">
        <v>17</v>
      </c>
      <c r="G256" s="5" cm="1">
        <f t="array" ref="G256">IF((INDEX('Remplissage - Sit. Init.'!$C$23:$I$472,MATCH((B256)&amp;('Remplissage - Sit. Init.'!$D$30),('Remplissage - Sit. Init.'!$C$23:$C$472)&amp;('Remplissage - Sit. Init.'!$D$23:$D$472),0),7))&gt;0,0,1)</f>
        <v>1</v>
      </c>
      <c r="H256" s="36"/>
      <c r="J256" t="s">
        <v>70</v>
      </c>
      <c r="K256">
        <f>VLOOKUP($I247,'Parcs types'!$D$7:$M$54,8,FALSE)</f>
        <v>0</v>
      </c>
    </row>
    <row r="257" spans="1:11" x14ac:dyDescent="0.25">
      <c r="A257" t="s">
        <v>1342</v>
      </c>
      <c r="B257" s="32" t="s">
        <v>104</v>
      </c>
      <c r="C257" t="s">
        <v>78</v>
      </c>
      <c r="E257" t="str">
        <f t="shared" ref="E257" si="315">_xlfn.CONCAT(LEFT(A257,3),"RoutCat",RIGHT(B257,2),"Nom")</f>
        <v>DévRoutCat16Nom</v>
      </c>
      <c r="F257" t="s">
        <v>20</v>
      </c>
      <c r="G257" s="5" cm="1">
        <f t="array" ref="G257">IF((INDEX('Remplissage - Sit. Init.'!$C$23:$I$472,MATCH((B257)&amp;('Remplissage - Sit. Init.'!$D$30),('Remplissage - Sit. Init.'!$C$23:$C$472)&amp;('Remplissage - Sit. Init.'!$D$23:$D$472),0),7))&gt;0,0,1)</f>
        <v>1</v>
      </c>
      <c r="H257" s="4"/>
      <c r="I257" s="4" t="str">
        <f>'Parcs types'!D25</f>
        <v>PL Diesel &lt;=7.5t (Crit'Air 2)</v>
      </c>
      <c r="K257" s="4" t="str">
        <f t="shared" ref="K257:K263" si="316">I257</f>
        <v>PL Diesel &lt;=7.5t (Crit'Air 2)</v>
      </c>
    </row>
    <row r="258" spans="1:11" x14ac:dyDescent="0.25">
      <c r="A258" t="s">
        <v>1342</v>
      </c>
      <c r="B258" s="32" t="s">
        <v>104</v>
      </c>
      <c r="C258" t="s">
        <v>79</v>
      </c>
      <c r="E258" t="str">
        <f t="shared" ref="E258" si="317">_xlfn.CONCAT(LEFT(A257,3),"RoutCat",RIGHT(B257,2),"Type")</f>
        <v>DévRoutCat16Type</v>
      </c>
      <c r="F258" t="s">
        <v>20</v>
      </c>
      <c r="G258" s="5" cm="1">
        <f t="array" ref="G258">IF((INDEX('Remplissage - Sit. Init.'!$C$23:$I$472,MATCH((B258)&amp;('Remplissage - Sit. Init.'!$D$30),('Remplissage - Sit. Init.'!$C$23:$C$472)&amp;('Remplissage - Sit. Init.'!$D$23:$D$472),0),7))&gt;0,0,1)</f>
        <v>1</v>
      </c>
      <c r="I258" t="str">
        <f>IF(K259='Parcs types'!$E$10,"VUL",LEFT('Remplissage - Sit. Prev.'!K257,SEARCH('Remplissage - Sit. Prev.'!K260,'Remplissage - Sit. Prev.'!K257)-2))</f>
        <v>PL</v>
      </c>
      <c r="K258" s="4" t="str">
        <f t="shared" si="316"/>
        <v>PL</v>
      </c>
    </row>
    <row r="259" spans="1:11" x14ac:dyDescent="0.25">
      <c r="A259" t="s">
        <v>1342</v>
      </c>
      <c r="B259" s="32" t="s">
        <v>104</v>
      </c>
      <c r="C259" t="s">
        <v>80</v>
      </c>
      <c r="E259" t="str">
        <f t="shared" ref="E259" si="318">_xlfn.CONCAT(LEFT(A257,3),"RoutCat",RIGHT(B257,2),"PTAC")</f>
        <v>DévRoutCat16PTAC</v>
      </c>
      <c r="F259" t="s">
        <v>36</v>
      </c>
      <c r="G259" s="5" cm="1">
        <f t="array" ref="G259">IF((INDEX('Remplissage - Sit. Init.'!$C$23:$I$472,MATCH((B259)&amp;('Remplissage - Sit. Init.'!$D$30),('Remplissage - Sit. Init.'!$C$23:$C$472)&amp;('Remplissage - Sit. Init.'!$D$23:$D$472),0),7))&gt;0,0,1)</f>
        <v>1</v>
      </c>
      <c r="I259" t="str">
        <f>VLOOKUP(I257,'Parcs types'!$D$7:$M$54,2,FALSE)</f>
        <v>&lt;=7.5t</v>
      </c>
      <c r="K259" s="4" t="str">
        <f t="shared" si="316"/>
        <v>&lt;=7.5t</v>
      </c>
    </row>
    <row r="260" spans="1:11" x14ac:dyDescent="0.25">
      <c r="A260" t="s">
        <v>1342</v>
      </c>
      <c r="B260" s="32" t="s">
        <v>104</v>
      </c>
      <c r="C260" t="s">
        <v>81</v>
      </c>
      <c r="E260" t="str">
        <f t="shared" ref="E260" si="319">_xlfn.CONCAT(LEFT(A257,3),"RoutCat",RIGHT(B257,2),"Mot")</f>
        <v>DévRoutCat16Mot</v>
      </c>
      <c r="F260" t="s">
        <v>36</v>
      </c>
      <c r="G260" s="5" cm="1">
        <f t="array" ref="G260">IF((INDEX('Remplissage - Sit. Init.'!$C$23:$I$472,MATCH((B260)&amp;('Remplissage - Sit. Init.'!$D$30),('Remplissage - Sit. Init.'!$C$23:$C$472)&amp;('Remplissage - Sit. Init.'!$D$23:$D$472),0),7))&gt;0,0,1)</f>
        <v>1</v>
      </c>
      <c r="H260" s="32"/>
      <c r="I260" t="str">
        <f>VLOOKUP(I257,'Parcs types'!$D$7:$M$54,3,FALSE)</f>
        <v>Diesel</v>
      </c>
      <c r="K260" s="4" t="str">
        <f t="shared" si="316"/>
        <v>Diesel</v>
      </c>
    </row>
    <row r="261" spans="1:11" x14ac:dyDescent="0.25">
      <c r="A261" t="s">
        <v>1342</v>
      </c>
      <c r="B261" s="32" t="s">
        <v>104</v>
      </c>
      <c r="C261" t="s">
        <v>82</v>
      </c>
      <c r="E261" t="str">
        <f t="shared" ref="E261" si="320">_xlfn.CONCAT(LEFT(A257,3),"RoutCat",RIGHT(B257,2),"Carb")</f>
        <v>DévRoutCat16Carb</v>
      </c>
      <c r="F261" t="s">
        <v>36</v>
      </c>
      <c r="G261" s="5" cm="1">
        <f t="array" ref="G261">IF((INDEX('Remplissage - Sit. Init.'!$C$23:$I$472,MATCH((B261)&amp;('Remplissage - Sit. Init.'!$D$30),('Remplissage - Sit. Init.'!$C$23:$C$472)&amp;('Remplissage - Sit. Init.'!$D$23:$D$472),0),7))&gt;0,0,1)</f>
        <v>1</v>
      </c>
      <c r="I261" t="str">
        <f>VLOOKUP(I257,'Parcs types'!$D$7:$M$54,4,FALSE)</f>
        <v>Gazole à la pompe</v>
      </c>
      <c r="K261" s="4" t="str">
        <f t="shared" si="316"/>
        <v>Gazole à la pompe</v>
      </c>
    </row>
    <row r="262" spans="1:11" x14ac:dyDescent="0.25">
      <c r="A262" t="s">
        <v>1342</v>
      </c>
      <c r="B262" s="32" t="s">
        <v>104</v>
      </c>
      <c r="C262" t="s">
        <v>83</v>
      </c>
      <c r="E262" t="str">
        <f t="shared" ref="E262" si="321">_xlfn.CONCAT(LEFT(A257,3),"RoutCat",RIGHT(B257,2),"Euro")</f>
        <v>DévRoutCat16Euro</v>
      </c>
      <c r="F262" t="s">
        <v>36</v>
      </c>
      <c r="G262" s="5" cm="1">
        <f t="array" ref="G262">IF((INDEX('Remplissage - Sit. Init.'!$C$23:$I$472,MATCH((B262)&amp;('Remplissage - Sit. Init.'!$D$30),('Remplissage - Sit. Init.'!$C$23:$C$472)&amp;('Remplissage - Sit. Init.'!$D$23:$D$472),0),7))&gt;0,0,1)</f>
        <v>1</v>
      </c>
      <c r="I262">
        <f>VLOOKUP(I257,'Parcs types'!$D$7:$M$54,5,FALSE)</f>
        <v>0</v>
      </c>
      <c r="K262" s="4">
        <f t="shared" si="316"/>
        <v>0</v>
      </c>
    </row>
    <row r="263" spans="1:11" x14ac:dyDescent="0.25">
      <c r="A263" t="s">
        <v>1342</v>
      </c>
      <c r="B263" s="32" t="s">
        <v>104</v>
      </c>
      <c r="C263" t="s">
        <v>84</v>
      </c>
      <c r="E263" t="str">
        <f t="shared" ref="E263" si="322">_xlfn.CONCAT(LEFT(A257,3),"RoutCat",RIGHT(B257,2),"CritAir")</f>
        <v>DévRoutCat16CritAir</v>
      </c>
      <c r="F263" t="s">
        <v>36</v>
      </c>
      <c r="G263" s="5" cm="1">
        <f t="array" ref="G263">IF((INDEX('Remplissage - Sit. Init.'!$C$23:$I$472,MATCH((B263)&amp;('Remplissage - Sit. Init.'!$D$30),('Remplissage - Sit. Init.'!$C$23:$C$472)&amp;('Remplissage - Sit. Init.'!$D$23:$D$472),0),7))&gt;0,0,1)</f>
        <v>1</v>
      </c>
      <c r="H263" s="32"/>
      <c r="I263">
        <f>VLOOKUP(I257,'Parcs types'!$D$7:$M$54,6,FALSE)</f>
        <v>2</v>
      </c>
      <c r="K263" s="4">
        <f t="shared" si="316"/>
        <v>2</v>
      </c>
    </row>
    <row r="264" spans="1:11" x14ac:dyDescent="0.25">
      <c r="A264" t="s">
        <v>1342</v>
      </c>
      <c r="B264" s="32" t="s">
        <v>104</v>
      </c>
      <c r="C264" t="s">
        <v>85</v>
      </c>
      <c r="E264" t="str">
        <f t="shared" ref="E264" si="323">_xlfn.CONCAT(LEFT(A257,3),"RoutCat",RIGHT(B257,2),"Nb")</f>
        <v>DévRoutCat16Nb</v>
      </c>
      <c r="F264" t="s">
        <v>17</v>
      </c>
      <c r="G264" s="5" cm="1">
        <f t="array" ref="G264">IF((INDEX('Remplissage - Sit. Init.'!$C$23:$I$472,MATCH((B264)&amp;('Remplissage - Sit. Init.'!$D$30),('Remplissage - Sit. Init.'!$C$23:$C$472)&amp;('Remplissage - Sit. Init.'!$D$23:$D$472),0),7))&gt;0,0,1)</f>
        <v>1</v>
      </c>
      <c r="J264" t="s">
        <v>86</v>
      </c>
      <c r="K264">
        <f>VLOOKUP($I257,'Parcs types'!$D$7:$M$54,9,FALSE)</f>
        <v>0</v>
      </c>
    </row>
    <row r="265" spans="1:11" x14ac:dyDescent="0.25">
      <c r="A265" t="s">
        <v>1342</v>
      </c>
      <c r="B265" s="32" t="s">
        <v>104</v>
      </c>
      <c r="C265" t="s">
        <v>87</v>
      </c>
      <c r="E265" t="str">
        <f t="shared" ref="E265" si="324">_xlfn.CONCAT(LEFT(A257,3),"RoutCat",RIGHT(B257,2),"Dist")</f>
        <v>DévRoutCat16Dist</v>
      </c>
      <c r="F265" t="s">
        <v>17</v>
      </c>
      <c r="G265" s="5" cm="1">
        <f t="array" ref="G265">IF((INDEX('Remplissage - Sit. Init.'!$C$23:$I$472,MATCH((B265)&amp;('Remplissage - Sit. Init.'!$D$30),('Remplissage - Sit. Init.'!$C$23:$C$472)&amp;('Remplissage - Sit. Init.'!$D$23:$D$472),0),7))&gt;0,0,1)</f>
        <v>1</v>
      </c>
      <c r="H265" s="32"/>
      <c r="J265" t="s">
        <v>88</v>
      </c>
      <c r="K265">
        <f>VLOOKUP($I257,'Parcs types'!$D$7:$M$54,7,FALSE)</f>
        <v>42385.998762263436</v>
      </c>
    </row>
    <row r="266" spans="1:11" x14ac:dyDescent="0.25">
      <c r="A266" t="s">
        <v>1342</v>
      </c>
      <c r="B266" s="32" t="s">
        <v>104</v>
      </c>
      <c r="C266" s="32" t="s">
        <v>89</v>
      </c>
      <c r="E266" t="str">
        <f t="shared" ref="E266" si="325">_xlfn.CONCAT(LEFT(A257,3),"RoutCat",RIGHT(B257,2),"Rempl")</f>
        <v>DévRoutCat16Rempl</v>
      </c>
      <c r="F266" t="s">
        <v>17</v>
      </c>
      <c r="G266" s="5" cm="1">
        <f t="array" ref="G266">IF((INDEX('Remplissage - Sit. Init.'!$C$23:$I$472,MATCH((B266)&amp;('Remplissage - Sit. Init.'!$D$30),('Remplissage - Sit. Init.'!$C$23:$C$472)&amp;('Remplissage - Sit. Init.'!$D$23:$D$472),0),7))&gt;0,0,1)</f>
        <v>1</v>
      </c>
      <c r="H266" s="36"/>
      <c r="J266" t="s">
        <v>70</v>
      </c>
      <c r="K266">
        <f>VLOOKUP($I257,'Parcs types'!$D$7:$M$54,8,FALSE)</f>
        <v>0</v>
      </c>
    </row>
    <row r="267" spans="1:11" x14ac:dyDescent="0.25">
      <c r="A267" t="s">
        <v>1342</v>
      </c>
      <c r="B267" s="32" t="s">
        <v>105</v>
      </c>
      <c r="C267" t="s">
        <v>78</v>
      </c>
      <c r="E267" t="str">
        <f t="shared" ref="E267" si="326">_xlfn.CONCAT(LEFT(A267,3),"RoutCat",RIGHT(B267,2),"Nom")</f>
        <v>DévRoutCat17Nom</v>
      </c>
      <c r="F267" t="s">
        <v>20</v>
      </c>
      <c r="G267" s="5" cm="1">
        <f t="array" ref="G267">IF((INDEX('Remplissage - Sit. Init.'!$C$23:$I$472,MATCH((B267)&amp;('Remplissage - Sit. Init.'!$D$30),('Remplissage - Sit. Init.'!$C$23:$C$472)&amp;('Remplissage - Sit. Init.'!$D$23:$D$472),0),7))&gt;0,0,1)</f>
        <v>1</v>
      </c>
      <c r="H267" s="4"/>
      <c r="I267" s="4" t="str">
        <f>'Parcs types'!D26</f>
        <v>PL Diesel &lt;=7.5t (Crit'Air 3)</v>
      </c>
      <c r="K267" s="4" t="str">
        <f t="shared" ref="K267:K273" si="327">I267</f>
        <v>PL Diesel &lt;=7.5t (Crit'Air 3)</v>
      </c>
    </row>
    <row r="268" spans="1:11" x14ac:dyDescent="0.25">
      <c r="A268" t="s">
        <v>1342</v>
      </c>
      <c r="B268" s="32" t="s">
        <v>105</v>
      </c>
      <c r="C268" t="s">
        <v>79</v>
      </c>
      <c r="E268" t="str">
        <f t="shared" ref="E268" si="328">_xlfn.CONCAT(LEFT(A267,3),"RoutCat",RIGHT(B267,2),"Type")</f>
        <v>DévRoutCat17Type</v>
      </c>
      <c r="F268" t="s">
        <v>20</v>
      </c>
      <c r="G268" s="5" cm="1">
        <f t="array" ref="G268">IF((INDEX('Remplissage - Sit. Init.'!$C$23:$I$472,MATCH((B268)&amp;('Remplissage - Sit. Init.'!$D$30),('Remplissage - Sit. Init.'!$C$23:$C$472)&amp;('Remplissage - Sit. Init.'!$D$23:$D$472),0),7))&gt;0,0,1)</f>
        <v>1</v>
      </c>
      <c r="I268" t="str">
        <f>IF(K269='Parcs types'!$E$10,"VUL",LEFT('Remplissage - Sit. Prev.'!K267,SEARCH('Remplissage - Sit. Prev.'!K270,'Remplissage - Sit. Prev.'!K267)-2))</f>
        <v>PL</v>
      </c>
      <c r="K268" s="4" t="str">
        <f t="shared" si="327"/>
        <v>PL</v>
      </c>
    </row>
    <row r="269" spans="1:11" x14ac:dyDescent="0.25">
      <c r="A269" t="s">
        <v>1342</v>
      </c>
      <c r="B269" s="32" t="s">
        <v>105</v>
      </c>
      <c r="C269" t="s">
        <v>80</v>
      </c>
      <c r="E269" t="str">
        <f t="shared" ref="E269" si="329">_xlfn.CONCAT(LEFT(A267,3),"RoutCat",RIGHT(B267,2),"PTAC")</f>
        <v>DévRoutCat17PTAC</v>
      </c>
      <c r="F269" t="s">
        <v>36</v>
      </c>
      <c r="G269" s="5" cm="1">
        <f t="array" ref="G269">IF((INDEX('Remplissage - Sit. Init.'!$C$23:$I$472,MATCH((B269)&amp;('Remplissage - Sit. Init.'!$D$30),('Remplissage - Sit. Init.'!$C$23:$C$472)&amp;('Remplissage - Sit. Init.'!$D$23:$D$472),0),7))&gt;0,0,1)</f>
        <v>1</v>
      </c>
      <c r="I269" t="str">
        <f>VLOOKUP(I267,'Parcs types'!$D$7:$M$54,2,FALSE)</f>
        <v>&lt;=7.5t</v>
      </c>
      <c r="K269" s="4" t="str">
        <f t="shared" si="327"/>
        <v>&lt;=7.5t</v>
      </c>
    </row>
    <row r="270" spans="1:11" x14ac:dyDescent="0.25">
      <c r="A270" t="s">
        <v>1342</v>
      </c>
      <c r="B270" s="32" t="s">
        <v>105</v>
      </c>
      <c r="C270" t="s">
        <v>81</v>
      </c>
      <c r="E270" t="str">
        <f t="shared" ref="E270" si="330">_xlfn.CONCAT(LEFT(A267,3),"RoutCat",RIGHT(B267,2),"Mot")</f>
        <v>DévRoutCat17Mot</v>
      </c>
      <c r="F270" t="s">
        <v>36</v>
      </c>
      <c r="G270" s="5" cm="1">
        <f t="array" ref="G270">IF((INDEX('Remplissage - Sit. Init.'!$C$23:$I$472,MATCH((B270)&amp;('Remplissage - Sit. Init.'!$D$30),('Remplissage - Sit. Init.'!$C$23:$C$472)&amp;('Remplissage - Sit. Init.'!$D$23:$D$472),0),7))&gt;0,0,1)</f>
        <v>1</v>
      </c>
      <c r="H270" s="32"/>
      <c r="I270" t="str">
        <f>VLOOKUP(I267,'Parcs types'!$D$7:$M$54,3,FALSE)</f>
        <v>Diesel</v>
      </c>
      <c r="K270" s="4" t="str">
        <f t="shared" si="327"/>
        <v>Diesel</v>
      </c>
    </row>
    <row r="271" spans="1:11" x14ac:dyDescent="0.25">
      <c r="A271" t="s">
        <v>1342</v>
      </c>
      <c r="B271" s="32" t="s">
        <v>105</v>
      </c>
      <c r="C271" t="s">
        <v>82</v>
      </c>
      <c r="E271" t="str">
        <f t="shared" ref="E271" si="331">_xlfn.CONCAT(LEFT(A267,3),"RoutCat",RIGHT(B267,2),"Carb")</f>
        <v>DévRoutCat17Carb</v>
      </c>
      <c r="F271" t="s">
        <v>36</v>
      </c>
      <c r="G271" s="5" cm="1">
        <f t="array" ref="G271">IF((INDEX('Remplissage - Sit. Init.'!$C$23:$I$472,MATCH((B271)&amp;('Remplissage - Sit. Init.'!$D$30),('Remplissage - Sit. Init.'!$C$23:$C$472)&amp;('Remplissage - Sit. Init.'!$D$23:$D$472),0),7))&gt;0,0,1)</f>
        <v>1</v>
      </c>
      <c r="I271" t="str">
        <f>VLOOKUP(I267,'Parcs types'!$D$7:$M$54,4,FALSE)</f>
        <v>Gazole à la pompe</v>
      </c>
      <c r="K271" s="4" t="str">
        <f t="shared" si="327"/>
        <v>Gazole à la pompe</v>
      </c>
    </row>
    <row r="272" spans="1:11" x14ac:dyDescent="0.25">
      <c r="A272" t="s">
        <v>1342</v>
      </c>
      <c r="B272" s="32" t="s">
        <v>105</v>
      </c>
      <c r="C272" t="s">
        <v>83</v>
      </c>
      <c r="E272" t="str">
        <f t="shared" ref="E272" si="332">_xlfn.CONCAT(LEFT(A267,3),"RoutCat",RIGHT(B267,2),"Euro")</f>
        <v>DévRoutCat17Euro</v>
      </c>
      <c r="F272" t="s">
        <v>36</v>
      </c>
      <c r="G272" s="5" cm="1">
        <f t="array" ref="G272">IF((INDEX('Remplissage - Sit. Init.'!$C$23:$I$472,MATCH((B272)&amp;('Remplissage - Sit. Init.'!$D$30),('Remplissage - Sit. Init.'!$C$23:$C$472)&amp;('Remplissage - Sit. Init.'!$D$23:$D$472),0),7))&gt;0,0,1)</f>
        <v>1</v>
      </c>
      <c r="I272">
        <f>VLOOKUP(I267,'Parcs types'!$D$7:$M$54,5,FALSE)</f>
        <v>0</v>
      </c>
      <c r="K272" s="4">
        <f t="shared" si="327"/>
        <v>0</v>
      </c>
    </row>
    <row r="273" spans="1:11" x14ac:dyDescent="0.25">
      <c r="A273" t="s">
        <v>1342</v>
      </c>
      <c r="B273" s="32" t="s">
        <v>105</v>
      </c>
      <c r="C273" t="s">
        <v>84</v>
      </c>
      <c r="E273" t="str">
        <f t="shared" ref="E273" si="333">_xlfn.CONCAT(LEFT(A267,3),"RoutCat",RIGHT(B267,2),"CritAir")</f>
        <v>DévRoutCat17CritAir</v>
      </c>
      <c r="F273" t="s">
        <v>36</v>
      </c>
      <c r="G273" s="5" cm="1">
        <f t="array" ref="G273">IF((INDEX('Remplissage - Sit. Init.'!$C$23:$I$472,MATCH((B273)&amp;('Remplissage - Sit. Init.'!$D$30),('Remplissage - Sit. Init.'!$C$23:$C$472)&amp;('Remplissage - Sit. Init.'!$D$23:$D$472),0),7))&gt;0,0,1)</f>
        <v>1</v>
      </c>
      <c r="H273" s="32"/>
      <c r="I273">
        <f>VLOOKUP(I267,'Parcs types'!$D$7:$M$54,6,FALSE)</f>
        <v>3</v>
      </c>
      <c r="K273" s="4">
        <f t="shared" si="327"/>
        <v>3</v>
      </c>
    </row>
    <row r="274" spans="1:11" x14ac:dyDescent="0.25">
      <c r="A274" t="s">
        <v>1342</v>
      </c>
      <c r="B274" s="32" t="s">
        <v>105</v>
      </c>
      <c r="C274" t="s">
        <v>85</v>
      </c>
      <c r="E274" t="str">
        <f t="shared" ref="E274" si="334">_xlfn.CONCAT(LEFT(A267,3),"RoutCat",RIGHT(B267,2),"Nb")</f>
        <v>DévRoutCat17Nb</v>
      </c>
      <c r="F274" t="s">
        <v>17</v>
      </c>
      <c r="G274" s="5" cm="1">
        <f t="array" ref="G274">IF((INDEX('Remplissage - Sit. Init.'!$C$23:$I$472,MATCH((B274)&amp;('Remplissage - Sit. Init.'!$D$30),('Remplissage - Sit. Init.'!$C$23:$C$472)&amp;('Remplissage - Sit. Init.'!$D$23:$D$472),0),7))&gt;0,0,1)</f>
        <v>1</v>
      </c>
      <c r="J274" t="s">
        <v>86</v>
      </c>
      <c r="K274">
        <f>VLOOKUP($I267,'Parcs types'!$D$7:$M$54,9,FALSE)</f>
        <v>0</v>
      </c>
    </row>
    <row r="275" spans="1:11" x14ac:dyDescent="0.25">
      <c r="A275" t="s">
        <v>1342</v>
      </c>
      <c r="B275" s="32" t="s">
        <v>105</v>
      </c>
      <c r="C275" t="s">
        <v>87</v>
      </c>
      <c r="E275" t="str">
        <f t="shared" ref="E275" si="335">_xlfn.CONCAT(LEFT(A267,3),"RoutCat",RIGHT(B267,2),"Dist")</f>
        <v>DévRoutCat17Dist</v>
      </c>
      <c r="F275" t="s">
        <v>17</v>
      </c>
      <c r="G275" s="5" cm="1">
        <f t="array" ref="G275">IF((INDEX('Remplissage - Sit. Init.'!$C$23:$I$472,MATCH((B275)&amp;('Remplissage - Sit. Init.'!$D$30),('Remplissage - Sit. Init.'!$C$23:$C$472)&amp;('Remplissage - Sit. Init.'!$D$23:$D$472),0),7))&gt;0,0,1)</f>
        <v>1</v>
      </c>
      <c r="H275" s="32"/>
      <c r="J275" t="s">
        <v>88</v>
      </c>
      <c r="K275">
        <f>VLOOKUP($I267,'Parcs types'!$D$7:$M$54,7,FALSE)</f>
        <v>42385.998762263436</v>
      </c>
    </row>
    <row r="276" spans="1:11" x14ac:dyDescent="0.25">
      <c r="A276" t="s">
        <v>1342</v>
      </c>
      <c r="B276" s="32" t="s">
        <v>105</v>
      </c>
      <c r="C276" s="32" t="s">
        <v>89</v>
      </c>
      <c r="E276" t="str">
        <f t="shared" ref="E276" si="336">_xlfn.CONCAT(LEFT(A267,3),"RoutCat",RIGHT(B267,2),"Rempl")</f>
        <v>DévRoutCat17Rempl</v>
      </c>
      <c r="F276" t="s">
        <v>17</v>
      </c>
      <c r="G276" s="5" cm="1">
        <f t="array" ref="G276">IF((INDEX('Remplissage - Sit. Init.'!$C$23:$I$472,MATCH((B276)&amp;('Remplissage - Sit. Init.'!$D$30),('Remplissage - Sit. Init.'!$C$23:$C$472)&amp;('Remplissage - Sit. Init.'!$D$23:$D$472),0),7))&gt;0,0,1)</f>
        <v>1</v>
      </c>
      <c r="H276" s="36"/>
      <c r="J276" t="s">
        <v>70</v>
      </c>
      <c r="K276">
        <f>VLOOKUP($I267,'Parcs types'!$D$7:$M$54,8,FALSE)</f>
        <v>0</v>
      </c>
    </row>
    <row r="277" spans="1:11" x14ac:dyDescent="0.25">
      <c r="A277" t="s">
        <v>1342</v>
      </c>
      <c r="B277" s="32" t="s">
        <v>106</v>
      </c>
      <c r="C277" t="s">
        <v>78</v>
      </c>
      <c r="E277" t="str">
        <f t="shared" ref="E277" si="337">_xlfn.CONCAT(LEFT(A277,3),"RoutCat",RIGHT(B277,2),"Nom")</f>
        <v>DévRoutCat18Nom</v>
      </c>
      <c r="F277" t="s">
        <v>20</v>
      </c>
      <c r="G277" s="5" cm="1">
        <f t="array" ref="G277">IF((INDEX('Remplissage - Sit. Init.'!$C$23:$I$472,MATCH((B277)&amp;('Remplissage - Sit. Init.'!$D$30),('Remplissage - Sit. Init.'!$C$23:$C$472)&amp;('Remplissage - Sit. Init.'!$D$23:$D$472),0),7))&gt;0,0,1)</f>
        <v>1</v>
      </c>
      <c r="H277" s="4"/>
      <c r="I277" s="4" t="str">
        <f>'Parcs types'!D27</f>
        <v>PL Diesel &lt;=7.5t (Crit'Air 4)</v>
      </c>
      <c r="K277" s="4" t="str">
        <f t="shared" ref="K277:K283" si="338">I277</f>
        <v>PL Diesel &lt;=7.5t (Crit'Air 4)</v>
      </c>
    </row>
    <row r="278" spans="1:11" x14ac:dyDescent="0.25">
      <c r="A278" t="s">
        <v>1342</v>
      </c>
      <c r="B278" s="32" t="s">
        <v>106</v>
      </c>
      <c r="C278" t="s">
        <v>79</v>
      </c>
      <c r="E278" t="str">
        <f t="shared" ref="E278" si="339">_xlfn.CONCAT(LEFT(A277,3),"RoutCat",RIGHT(B277,2),"Type")</f>
        <v>DévRoutCat18Type</v>
      </c>
      <c r="F278" t="s">
        <v>20</v>
      </c>
      <c r="G278" s="5" cm="1">
        <f t="array" ref="G278">IF((INDEX('Remplissage - Sit. Init.'!$C$23:$I$472,MATCH((B278)&amp;('Remplissage - Sit. Init.'!$D$30),('Remplissage - Sit. Init.'!$C$23:$C$472)&amp;('Remplissage - Sit. Init.'!$D$23:$D$472),0),7))&gt;0,0,1)</f>
        <v>1</v>
      </c>
      <c r="I278" t="str">
        <f>IF(K279='Parcs types'!$E$10,"VUL",LEFT('Remplissage - Sit. Prev.'!K277,SEARCH('Remplissage - Sit. Prev.'!K280,'Remplissage - Sit. Prev.'!K277)-2))</f>
        <v>PL</v>
      </c>
      <c r="K278" s="4" t="str">
        <f t="shared" si="338"/>
        <v>PL</v>
      </c>
    </row>
    <row r="279" spans="1:11" x14ac:dyDescent="0.25">
      <c r="A279" t="s">
        <v>1342</v>
      </c>
      <c r="B279" s="32" t="s">
        <v>106</v>
      </c>
      <c r="C279" t="s">
        <v>80</v>
      </c>
      <c r="E279" t="str">
        <f t="shared" ref="E279" si="340">_xlfn.CONCAT(LEFT(A277,3),"RoutCat",RIGHT(B277,2),"PTAC")</f>
        <v>DévRoutCat18PTAC</v>
      </c>
      <c r="F279" t="s">
        <v>36</v>
      </c>
      <c r="G279" s="5" cm="1">
        <f t="array" ref="G279">IF((INDEX('Remplissage - Sit. Init.'!$C$23:$I$472,MATCH((B279)&amp;('Remplissage - Sit. Init.'!$D$30),('Remplissage - Sit. Init.'!$C$23:$C$472)&amp;('Remplissage - Sit. Init.'!$D$23:$D$472),0),7))&gt;0,0,1)</f>
        <v>1</v>
      </c>
      <c r="I279" t="str">
        <f>VLOOKUP(I277,'Parcs types'!$D$7:$M$54,2,FALSE)</f>
        <v>&lt;=7.5t</v>
      </c>
      <c r="K279" s="4" t="str">
        <f t="shared" si="338"/>
        <v>&lt;=7.5t</v>
      </c>
    </row>
    <row r="280" spans="1:11" x14ac:dyDescent="0.25">
      <c r="A280" t="s">
        <v>1342</v>
      </c>
      <c r="B280" s="32" t="s">
        <v>106</v>
      </c>
      <c r="C280" t="s">
        <v>81</v>
      </c>
      <c r="E280" t="str">
        <f t="shared" ref="E280" si="341">_xlfn.CONCAT(LEFT(A277,3),"RoutCat",RIGHT(B277,2),"Mot")</f>
        <v>DévRoutCat18Mot</v>
      </c>
      <c r="F280" t="s">
        <v>36</v>
      </c>
      <c r="G280" s="5" cm="1">
        <f t="array" ref="G280">IF((INDEX('Remplissage - Sit. Init.'!$C$23:$I$472,MATCH((B280)&amp;('Remplissage - Sit. Init.'!$D$30),('Remplissage - Sit. Init.'!$C$23:$C$472)&amp;('Remplissage - Sit. Init.'!$D$23:$D$472),0),7))&gt;0,0,1)</f>
        <v>1</v>
      </c>
      <c r="H280" s="32"/>
      <c r="I280" t="str">
        <f>VLOOKUP(I277,'Parcs types'!$D$7:$M$54,3,FALSE)</f>
        <v>Diesel</v>
      </c>
      <c r="K280" s="4" t="str">
        <f t="shared" si="338"/>
        <v>Diesel</v>
      </c>
    </row>
    <row r="281" spans="1:11" x14ac:dyDescent="0.25">
      <c r="A281" t="s">
        <v>1342</v>
      </c>
      <c r="B281" s="32" t="s">
        <v>106</v>
      </c>
      <c r="C281" t="s">
        <v>82</v>
      </c>
      <c r="E281" t="str">
        <f t="shared" ref="E281" si="342">_xlfn.CONCAT(LEFT(A277,3),"RoutCat",RIGHT(B277,2),"Carb")</f>
        <v>DévRoutCat18Carb</v>
      </c>
      <c r="F281" t="s">
        <v>36</v>
      </c>
      <c r="G281" s="5" cm="1">
        <f t="array" ref="G281">IF((INDEX('Remplissage - Sit. Init.'!$C$23:$I$472,MATCH((B281)&amp;('Remplissage - Sit. Init.'!$D$30),('Remplissage - Sit. Init.'!$C$23:$C$472)&amp;('Remplissage - Sit. Init.'!$D$23:$D$472),0),7))&gt;0,0,1)</f>
        <v>1</v>
      </c>
      <c r="I281" t="str">
        <f>VLOOKUP(I277,'Parcs types'!$D$7:$M$54,4,FALSE)</f>
        <v>Gazole à la pompe</v>
      </c>
      <c r="K281" s="4" t="str">
        <f t="shared" si="338"/>
        <v>Gazole à la pompe</v>
      </c>
    </row>
    <row r="282" spans="1:11" x14ac:dyDescent="0.25">
      <c r="A282" t="s">
        <v>1342</v>
      </c>
      <c r="B282" s="32" t="s">
        <v>106</v>
      </c>
      <c r="C282" t="s">
        <v>83</v>
      </c>
      <c r="E282" t="str">
        <f t="shared" ref="E282" si="343">_xlfn.CONCAT(LEFT(A277,3),"RoutCat",RIGHT(B277,2),"Euro")</f>
        <v>DévRoutCat18Euro</v>
      </c>
      <c r="F282" t="s">
        <v>36</v>
      </c>
      <c r="G282" s="5" cm="1">
        <f t="array" ref="G282">IF((INDEX('Remplissage - Sit. Init.'!$C$23:$I$472,MATCH((B282)&amp;('Remplissage - Sit. Init.'!$D$30),('Remplissage - Sit. Init.'!$C$23:$C$472)&amp;('Remplissage - Sit. Init.'!$D$23:$D$472),0),7))&gt;0,0,1)</f>
        <v>1</v>
      </c>
      <c r="I282">
        <f>VLOOKUP(I277,'Parcs types'!$D$7:$M$54,5,FALSE)</f>
        <v>0</v>
      </c>
      <c r="K282" s="4">
        <f t="shared" si="338"/>
        <v>0</v>
      </c>
    </row>
    <row r="283" spans="1:11" x14ac:dyDescent="0.25">
      <c r="A283" t="s">
        <v>1342</v>
      </c>
      <c r="B283" s="32" t="s">
        <v>106</v>
      </c>
      <c r="C283" t="s">
        <v>84</v>
      </c>
      <c r="E283" t="str">
        <f t="shared" ref="E283" si="344">_xlfn.CONCAT(LEFT(A277,3),"RoutCat",RIGHT(B277,2),"CritAir")</f>
        <v>DévRoutCat18CritAir</v>
      </c>
      <c r="F283" t="s">
        <v>36</v>
      </c>
      <c r="G283" s="5" cm="1">
        <f t="array" ref="G283">IF((INDEX('Remplissage - Sit. Init.'!$C$23:$I$472,MATCH((B283)&amp;('Remplissage - Sit. Init.'!$D$30),('Remplissage - Sit. Init.'!$C$23:$C$472)&amp;('Remplissage - Sit. Init.'!$D$23:$D$472),0),7))&gt;0,0,1)</f>
        <v>1</v>
      </c>
      <c r="H283" s="32"/>
      <c r="I283">
        <f>VLOOKUP(I277,'Parcs types'!$D$7:$M$54,6,FALSE)</f>
        <v>4</v>
      </c>
      <c r="K283" s="4">
        <f t="shared" si="338"/>
        <v>4</v>
      </c>
    </row>
    <row r="284" spans="1:11" x14ac:dyDescent="0.25">
      <c r="A284" t="s">
        <v>1342</v>
      </c>
      <c r="B284" s="32" t="s">
        <v>106</v>
      </c>
      <c r="C284" t="s">
        <v>85</v>
      </c>
      <c r="E284" t="str">
        <f t="shared" ref="E284" si="345">_xlfn.CONCAT(LEFT(A277,3),"RoutCat",RIGHT(B277,2),"Nb")</f>
        <v>DévRoutCat18Nb</v>
      </c>
      <c r="F284" t="s">
        <v>17</v>
      </c>
      <c r="G284" s="5" cm="1">
        <f t="array" ref="G284">IF((INDEX('Remplissage - Sit. Init.'!$C$23:$I$472,MATCH((B284)&amp;('Remplissage - Sit. Init.'!$D$30),('Remplissage - Sit. Init.'!$C$23:$C$472)&amp;('Remplissage - Sit. Init.'!$D$23:$D$472),0),7))&gt;0,0,1)</f>
        <v>1</v>
      </c>
      <c r="J284" t="s">
        <v>86</v>
      </c>
      <c r="K284">
        <f>VLOOKUP($I277,'Parcs types'!$D$7:$M$54,9,FALSE)</f>
        <v>0</v>
      </c>
    </row>
    <row r="285" spans="1:11" x14ac:dyDescent="0.25">
      <c r="A285" t="s">
        <v>1342</v>
      </c>
      <c r="B285" s="32" t="s">
        <v>106</v>
      </c>
      <c r="C285" t="s">
        <v>87</v>
      </c>
      <c r="E285" t="str">
        <f t="shared" ref="E285" si="346">_xlfn.CONCAT(LEFT(A277,3),"RoutCat",RIGHT(B277,2),"Dist")</f>
        <v>DévRoutCat18Dist</v>
      </c>
      <c r="F285" t="s">
        <v>17</v>
      </c>
      <c r="G285" s="5" cm="1">
        <f t="array" ref="G285">IF((INDEX('Remplissage - Sit. Init.'!$C$23:$I$472,MATCH((B285)&amp;('Remplissage - Sit. Init.'!$D$30),('Remplissage - Sit. Init.'!$C$23:$C$472)&amp;('Remplissage - Sit. Init.'!$D$23:$D$472),0),7))&gt;0,0,1)</f>
        <v>1</v>
      </c>
      <c r="H285" s="32"/>
      <c r="J285" t="s">
        <v>88</v>
      </c>
      <c r="K285">
        <f>VLOOKUP($I277,'Parcs types'!$D$7:$M$54,7,FALSE)</f>
        <v>42385.998762263436</v>
      </c>
    </row>
    <row r="286" spans="1:11" x14ac:dyDescent="0.25">
      <c r="A286" t="s">
        <v>1342</v>
      </c>
      <c r="B286" s="32" t="s">
        <v>106</v>
      </c>
      <c r="C286" s="32" t="s">
        <v>89</v>
      </c>
      <c r="E286" t="str">
        <f t="shared" ref="E286" si="347">_xlfn.CONCAT(LEFT(A277,3),"RoutCat",RIGHT(B277,2),"Rempl")</f>
        <v>DévRoutCat18Rempl</v>
      </c>
      <c r="F286" t="s">
        <v>17</v>
      </c>
      <c r="G286" s="5" cm="1">
        <f t="array" ref="G286">IF((INDEX('Remplissage - Sit. Init.'!$C$23:$I$472,MATCH((B286)&amp;('Remplissage - Sit. Init.'!$D$30),('Remplissage - Sit. Init.'!$C$23:$C$472)&amp;('Remplissage - Sit. Init.'!$D$23:$D$472),0),7))&gt;0,0,1)</f>
        <v>1</v>
      </c>
      <c r="H286" s="36"/>
      <c r="J286" t="s">
        <v>70</v>
      </c>
      <c r="K286">
        <f>VLOOKUP($I277,'Parcs types'!$D$7:$M$54,8,FALSE)</f>
        <v>0</v>
      </c>
    </row>
    <row r="287" spans="1:11" x14ac:dyDescent="0.25">
      <c r="A287" t="s">
        <v>1342</v>
      </c>
      <c r="B287" s="32" t="s">
        <v>107</v>
      </c>
      <c r="C287" t="s">
        <v>78</v>
      </c>
      <c r="E287" t="str">
        <f t="shared" ref="E287" si="348">_xlfn.CONCAT(LEFT(A287,3),"RoutCat",RIGHT(B287,2),"Nom")</f>
        <v>DévRoutCat19Nom</v>
      </c>
      <c r="F287" t="s">
        <v>20</v>
      </c>
      <c r="G287" s="5" cm="1">
        <f t="array" ref="G287">IF((INDEX('Remplissage - Sit. Init.'!$C$23:$I$472,MATCH((B287)&amp;('Remplissage - Sit. Init.'!$D$30),('Remplissage - Sit. Init.'!$C$23:$C$472)&amp;('Remplissage - Sit. Init.'!$D$23:$D$472),0),7))&gt;0,0,1)</f>
        <v>1</v>
      </c>
      <c r="H287" s="4"/>
      <c r="I287" s="4" t="str">
        <f>'Parcs types'!D28</f>
        <v>PL Diesel &lt;=7.5t (Crit'Air 5)</v>
      </c>
      <c r="K287" s="4" t="str">
        <f t="shared" ref="K287:K293" si="349">I287</f>
        <v>PL Diesel &lt;=7.5t (Crit'Air 5)</v>
      </c>
    </row>
    <row r="288" spans="1:11" x14ac:dyDescent="0.25">
      <c r="A288" t="s">
        <v>1342</v>
      </c>
      <c r="B288" s="32" t="s">
        <v>107</v>
      </c>
      <c r="C288" t="s">
        <v>79</v>
      </c>
      <c r="E288" t="str">
        <f t="shared" ref="E288" si="350">_xlfn.CONCAT(LEFT(A287,3),"RoutCat",RIGHT(B287,2),"Type")</f>
        <v>DévRoutCat19Type</v>
      </c>
      <c r="F288" t="s">
        <v>20</v>
      </c>
      <c r="G288" s="5" cm="1">
        <f t="array" ref="G288">IF((INDEX('Remplissage - Sit. Init.'!$C$23:$I$472,MATCH((B288)&amp;('Remplissage - Sit. Init.'!$D$30),('Remplissage - Sit. Init.'!$C$23:$C$472)&amp;('Remplissage - Sit. Init.'!$D$23:$D$472),0),7))&gt;0,0,1)</f>
        <v>1</v>
      </c>
      <c r="I288" t="str">
        <f>IF(K289='Parcs types'!$E$10,"VUL",LEFT('Remplissage - Sit. Prev.'!K287,SEARCH('Remplissage - Sit. Prev.'!K290,'Remplissage - Sit. Prev.'!K287)-2))</f>
        <v>PL</v>
      </c>
      <c r="K288" s="4" t="str">
        <f t="shared" si="349"/>
        <v>PL</v>
      </c>
    </row>
    <row r="289" spans="1:11" x14ac:dyDescent="0.25">
      <c r="A289" t="s">
        <v>1342</v>
      </c>
      <c r="B289" s="32" t="s">
        <v>107</v>
      </c>
      <c r="C289" t="s">
        <v>80</v>
      </c>
      <c r="E289" t="str">
        <f t="shared" ref="E289" si="351">_xlfn.CONCAT(LEFT(A287,3),"RoutCat",RIGHT(B287,2),"PTAC")</f>
        <v>DévRoutCat19PTAC</v>
      </c>
      <c r="F289" t="s">
        <v>36</v>
      </c>
      <c r="G289" s="5" cm="1">
        <f t="array" ref="G289">IF((INDEX('Remplissage - Sit. Init.'!$C$23:$I$472,MATCH((B289)&amp;('Remplissage - Sit. Init.'!$D$30),('Remplissage - Sit. Init.'!$C$23:$C$472)&amp;('Remplissage - Sit. Init.'!$D$23:$D$472),0),7))&gt;0,0,1)</f>
        <v>1</v>
      </c>
      <c r="I289" t="str">
        <f>VLOOKUP(I287,'Parcs types'!$D$7:$M$54,2,FALSE)</f>
        <v>&lt;=7.5t</v>
      </c>
      <c r="K289" s="4" t="str">
        <f t="shared" si="349"/>
        <v>&lt;=7.5t</v>
      </c>
    </row>
    <row r="290" spans="1:11" x14ac:dyDescent="0.25">
      <c r="A290" t="s">
        <v>1342</v>
      </c>
      <c r="B290" s="32" t="s">
        <v>107</v>
      </c>
      <c r="C290" t="s">
        <v>81</v>
      </c>
      <c r="E290" t="str">
        <f t="shared" ref="E290" si="352">_xlfn.CONCAT(LEFT(A287,3),"RoutCat",RIGHT(B287,2),"Mot")</f>
        <v>DévRoutCat19Mot</v>
      </c>
      <c r="F290" t="s">
        <v>36</v>
      </c>
      <c r="G290" s="5" cm="1">
        <f t="array" ref="G290">IF((INDEX('Remplissage - Sit. Init.'!$C$23:$I$472,MATCH((B290)&amp;('Remplissage - Sit. Init.'!$D$30),('Remplissage - Sit. Init.'!$C$23:$C$472)&amp;('Remplissage - Sit. Init.'!$D$23:$D$472),0),7))&gt;0,0,1)</f>
        <v>1</v>
      </c>
      <c r="H290" s="32"/>
      <c r="I290" t="str">
        <f>VLOOKUP(I287,'Parcs types'!$D$7:$M$54,3,FALSE)</f>
        <v>Diesel</v>
      </c>
      <c r="K290" s="4" t="str">
        <f t="shared" si="349"/>
        <v>Diesel</v>
      </c>
    </row>
    <row r="291" spans="1:11" x14ac:dyDescent="0.25">
      <c r="A291" t="s">
        <v>1342</v>
      </c>
      <c r="B291" s="32" t="s">
        <v>107</v>
      </c>
      <c r="C291" t="s">
        <v>82</v>
      </c>
      <c r="E291" t="str">
        <f t="shared" ref="E291" si="353">_xlfn.CONCAT(LEFT(A287,3),"RoutCat",RIGHT(B287,2),"Carb")</f>
        <v>DévRoutCat19Carb</v>
      </c>
      <c r="F291" t="s">
        <v>36</v>
      </c>
      <c r="G291" s="5" cm="1">
        <f t="array" ref="G291">IF((INDEX('Remplissage - Sit. Init.'!$C$23:$I$472,MATCH((B291)&amp;('Remplissage - Sit. Init.'!$D$30),('Remplissage - Sit. Init.'!$C$23:$C$472)&amp;('Remplissage - Sit. Init.'!$D$23:$D$472),0),7))&gt;0,0,1)</f>
        <v>1</v>
      </c>
      <c r="I291" t="str">
        <f>VLOOKUP(I287,'Parcs types'!$D$7:$M$54,4,FALSE)</f>
        <v>Gazole à la pompe</v>
      </c>
      <c r="K291" s="4" t="str">
        <f t="shared" si="349"/>
        <v>Gazole à la pompe</v>
      </c>
    </row>
    <row r="292" spans="1:11" x14ac:dyDescent="0.25">
      <c r="A292" t="s">
        <v>1342</v>
      </c>
      <c r="B292" s="32" t="s">
        <v>107</v>
      </c>
      <c r="C292" t="s">
        <v>83</v>
      </c>
      <c r="E292" t="str">
        <f t="shared" ref="E292" si="354">_xlfn.CONCAT(LEFT(A287,3),"RoutCat",RIGHT(B287,2),"Euro")</f>
        <v>DévRoutCat19Euro</v>
      </c>
      <c r="F292" t="s">
        <v>36</v>
      </c>
      <c r="G292" s="5" cm="1">
        <f t="array" ref="G292">IF((INDEX('Remplissage - Sit. Init.'!$C$23:$I$472,MATCH((B292)&amp;('Remplissage - Sit. Init.'!$D$30),('Remplissage - Sit. Init.'!$C$23:$C$472)&amp;('Remplissage - Sit. Init.'!$D$23:$D$472),0),7))&gt;0,0,1)</f>
        <v>1</v>
      </c>
      <c r="I292">
        <f>VLOOKUP(I287,'Parcs types'!$D$7:$M$54,5,FALSE)</f>
        <v>0</v>
      </c>
      <c r="K292" s="4">
        <f t="shared" si="349"/>
        <v>0</v>
      </c>
    </row>
    <row r="293" spans="1:11" x14ac:dyDescent="0.25">
      <c r="A293" t="s">
        <v>1342</v>
      </c>
      <c r="B293" s="32" t="s">
        <v>107</v>
      </c>
      <c r="C293" t="s">
        <v>84</v>
      </c>
      <c r="E293" t="str">
        <f t="shared" ref="E293" si="355">_xlfn.CONCAT(LEFT(A287,3),"RoutCat",RIGHT(B287,2),"CritAir")</f>
        <v>DévRoutCat19CritAir</v>
      </c>
      <c r="F293" t="s">
        <v>36</v>
      </c>
      <c r="G293" s="5" cm="1">
        <f t="array" ref="G293">IF((INDEX('Remplissage - Sit. Init.'!$C$23:$I$472,MATCH((B293)&amp;('Remplissage - Sit. Init.'!$D$30),('Remplissage - Sit. Init.'!$C$23:$C$472)&amp;('Remplissage - Sit. Init.'!$D$23:$D$472),0),7))&gt;0,0,1)</f>
        <v>1</v>
      </c>
      <c r="H293" s="32"/>
      <c r="I293">
        <f>VLOOKUP(I287,'Parcs types'!$D$7:$M$54,6,FALSE)</f>
        <v>5</v>
      </c>
      <c r="K293" s="4">
        <f t="shared" si="349"/>
        <v>5</v>
      </c>
    </row>
    <row r="294" spans="1:11" x14ac:dyDescent="0.25">
      <c r="A294" t="s">
        <v>1342</v>
      </c>
      <c r="B294" s="32" t="s">
        <v>107</v>
      </c>
      <c r="C294" t="s">
        <v>85</v>
      </c>
      <c r="E294" t="str">
        <f t="shared" ref="E294" si="356">_xlfn.CONCAT(LEFT(A287,3),"RoutCat",RIGHT(B287,2),"Nb")</f>
        <v>DévRoutCat19Nb</v>
      </c>
      <c r="F294" t="s">
        <v>17</v>
      </c>
      <c r="G294" s="5" cm="1">
        <f t="array" ref="G294">IF((INDEX('Remplissage - Sit. Init.'!$C$23:$I$472,MATCH((B294)&amp;('Remplissage - Sit. Init.'!$D$30),('Remplissage - Sit. Init.'!$C$23:$C$472)&amp;('Remplissage - Sit. Init.'!$D$23:$D$472),0),7))&gt;0,0,1)</f>
        <v>1</v>
      </c>
      <c r="J294" t="s">
        <v>86</v>
      </c>
      <c r="K294">
        <f>VLOOKUP($I287,'Parcs types'!$D$7:$M$54,9,FALSE)</f>
        <v>0</v>
      </c>
    </row>
    <row r="295" spans="1:11" x14ac:dyDescent="0.25">
      <c r="A295" t="s">
        <v>1342</v>
      </c>
      <c r="B295" s="32" t="s">
        <v>107</v>
      </c>
      <c r="C295" t="s">
        <v>87</v>
      </c>
      <c r="E295" t="str">
        <f t="shared" ref="E295" si="357">_xlfn.CONCAT(LEFT(A287,3),"RoutCat",RIGHT(B287,2),"Dist")</f>
        <v>DévRoutCat19Dist</v>
      </c>
      <c r="F295" t="s">
        <v>17</v>
      </c>
      <c r="G295" s="5" cm="1">
        <f t="array" ref="G295">IF((INDEX('Remplissage - Sit. Init.'!$C$23:$I$472,MATCH((B295)&amp;('Remplissage - Sit. Init.'!$D$30),('Remplissage - Sit. Init.'!$C$23:$C$472)&amp;('Remplissage - Sit. Init.'!$D$23:$D$472),0),7))&gt;0,0,1)</f>
        <v>1</v>
      </c>
      <c r="H295" s="32"/>
      <c r="J295" t="s">
        <v>88</v>
      </c>
      <c r="K295">
        <f>VLOOKUP($I287,'Parcs types'!$D$7:$M$54,7,FALSE)</f>
        <v>42385.998762263436</v>
      </c>
    </row>
    <row r="296" spans="1:11" x14ac:dyDescent="0.25">
      <c r="A296" t="s">
        <v>1342</v>
      </c>
      <c r="B296" s="32" t="s">
        <v>107</v>
      </c>
      <c r="C296" s="32" t="s">
        <v>89</v>
      </c>
      <c r="E296" t="str">
        <f t="shared" ref="E296" si="358">_xlfn.CONCAT(LEFT(A287,3),"RoutCat",RIGHT(B287,2),"Rempl")</f>
        <v>DévRoutCat19Rempl</v>
      </c>
      <c r="F296" t="s">
        <v>17</v>
      </c>
      <c r="G296" s="5" cm="1">
        <f t="array" ref="G296">IF((INDEX('Remplissage - Sit. Init.'!$C$23:$I$472,MATCH((B296)&amp;('Remplissage - Sit. Init.'!$D$30),('Remplissage - Sit. Init.'!$C$23:$C$472)&amp;('Remplissage - Sit. Init.'!$D$23:$D$472),0),7))&gt;0,0,1)</f>
        <v>1</v>
      </c>
      <c r="H296" s="36"/>
      <c r="J296" t="s">
        <v>70</v>
      </c>
      <c r="K296">
        <f>VLOOKUP($I287,'Parcs types'!$D$7:$M$54,8,FALSE)</f>
        <v>0</v>
      </c>
    </row>
    <row r="297" spans="1:11" x14ac:dyDescent="0.25">
      <c r="A297" t="s">
        <v>1342</v>
      </c>
      <c r="B297" s="32" t="s">
        <v>108</v>
      </c>
      <c r="C297" t="s">
        <v>78</v>
      </c>
      <c r="E297" t="str">
        <f t="shared" ref="E297" si="359">_xlfn.CONCAT(LEFT(A297,3),"RoutCat",RIGHT(B297,2),"Nom")</f>
        <v>DévRoutCat20Nom</v>
      </c>
      <c r="F297" t="s">
        <v>20</v>
      </c>
      <c r="G297" s="5" cm="1">
        <f t="array" ref="G297">IF((INDEX('Remplissage - Sit. Init.'!$C$23:$I$472,MATCH((B297)&amp;('Remplissage - Sit. Init.'!$D$30),('Remplissage - Sit. Init.'!$C$23:$C$472)&amp;('Remplissage - Sit. Init.'!$D$23:$D$472),0),7))&gt;0,0,1)</f>
        <v>1</v>
      </c>
      <c r="H297" s="4"/>
      <c r="I297" s="4" t="str">
        <f>'Parcs types'!D29</f>
        <v>PL Diesel &gt;7.5-12t (Crit'Air 2)</v>
      </c>
      <c r="K297" s="4" t="str">
        <f t="shared" ref="K297:K303" si="360">I297</f>
        <v>PL Diesel &gt;7.5-12t (Crit'Air 2)</v>
      </c>
    </row>
    <row r="298" spans="1:11" x14ac:dyDescent="0.25">
      <c r="A298" t="s">
        <v>1342</v>
      </c>
      <c r="B298" s="32" t="s">
        <v>108</v>
      </c>
      <c r="C298" t="s">
        <v>79</v>
      </c>
      <c r="E298" t="str">
        <f t="shared" ref="E298" si="361">_xlfn.CONCAT(LEFT(A297,3),"RoutCat",RIGHT(B297,2),"Type")</f>
        <v>DévRoutCat20Type</v>
      </c>
      <c r="F298" t="s">
        <v>20</v>
      </c>
      <c r="G298" s="5" cm="1">
        <f t="array" ref="G298">IF((INDEX('Remplissage - Sit. Init.'!$C$23:$I$472,MATCH((B298)&amp;('Remplissage - Sit. Init.'!$D$30),('Remplissage - Sit. Init.'!$C$23:$C$472)&amp;('Remplissage - Sit. Init.'!$D$23:$D$472),0),7))&gt;0,0,1)</f>
        <v>1</v>
      </c>
      <c r="I298" t="str">
        <f>IF(K299='Parcs types'!$E$10,"VUL",LEFT('Remplissage - Sit. Prev.'!K297,SEARCH('Remplissage - Sit. Prev.'!K300,'Remplissage - Sit. Prev.'!K297)-2))</f>
        <v>PL</v>
      </c>
      <c r="K298" s="4" t="str">
        <f t="shared" si="360"/>
        <v>PL</v>
      </c>
    </row>
    <row r="299" spans="1:11" x14ac:dyDescent="0.25">
      <c r="A299" t="s">
        <v>1342</v>
      </c>
      <c r="B299" s="32" t="s">
        <v>108</v>
      </c>
      <c r="C299" t="s">
        <v>80</v>
      </c>
      <c r="E299" t="str">
        <f t="shared" ref="E299" si="362">_xlfn.CONCAT(LEFT(A297,3),"RoutCat",RIGHT(B297,2),"PTAC")</f>
        <v>DévRoutCat20PTAC</v>
      </c>
      <c r="F299" t="s">
        <v>36</v>
      </c>
      <c r="G299" s="5" cm="1">
        <f t="array" ref="G299">IF((INDEX('Remplissage - Sit. Init.'!$C$23:$I$472,MATCH((B299)&amp;('Remplissage - Sit. Init.'!$D$30),('Remplissage - Sit. Init.'!$C$23:$C$472)&amp;('Remplissage - Sit. Init.'!$D$23:$D$472),0),7))&gt;0,0,1)</f>
        <v>1</v>
      </c>
      <c r="I299" t="str">
        <f>VLOOKUP(I297,'Parcs types'!$D$7:$M$54,2,FALSE)</f>
        <v>&gt;7.5-12t</v>
      </c>
      <c r="K299" s="4" t="str">
        <f t="shared" si="360"/>
        <v>&gt;7.5-12t</v>
      </c>
    </row>
    <row r="300" spans="1:11" x14ac:dyDescent="0.25">
      <c r="A300" t="s">
        <v>1342</v>
      </c>
      <c r="B300" s="32" t="s">
        <v>108</v>
      </c>
      <c r="C300" t="s">
        <v>81</v>
      </c>
      <c r="E300" t="str">
        <f t="shared" ref="E300" si="363">_xlfn.CONCAT(LEFT(A297,3),"RoutCat",RIGHT(B297,2),"Mot")</f>
        <v>DévRoutCat20Mot</v>
      </c>
      <c r="F300" t="s">
        <v>36</v>
      </c>
      <c r="G300" s="5" cm="1">
        <f t="array" ref="G300">IF((INDEX('Remplissage - Sit. Init.'!$C$23:$I$472,MATCH((B300)&amp;('Remplissage - Sit. Init.'!$D$30),('Remplissage - Sit. Init.'!$C$23:$C$472)&amp;('Remplissage - Sit. Init.'!$D$23:$D$472),0),7))&gt;0,0,1)</f>
        <v>1</v>
      </c>
      <c r="H300" s="32"/>
      <c r="I300" t="str">
        <f>VLOOKUP(I297,'Parcs types'!$D$7:$M$54,3,FALSE)</f>
        <v>Diesel</v>
      </c>
      <c r="K300" s="4" t="str">
        <f t="shared" si="360"/>
        <v>Diesel</v>
      </c>
    </row>
    <row r="301" spans="1:11" x14ac:dyDescent="0.25">
      <c r="A301" t="s">
        <v>1342</v>
      </c>
      <c r="B301" s="32" t="s">
        <v>108</v>
      </c>
      <c r="C301" t="s">
        <v>82</v>
      </c>
      <c r="E301" t="str">
        <f t="shared" ref="E301" si="364">_xlfn.CONCAT(LEFT(A297,3),"RoutCat",RIGHT(B297,2),"Carb")</f>
        <v>DévRoutCat20Carb</v>
      </c>
      <c r="F301" t="s">
        <v>36</v>
      </c>
      <c r="G301" s="5" cm="1">
        <f t="array" ref="G301">IF((INDEX('Remplissage - Sit. Init.'!$C$23:$I$472,MATCH((B301)&amp;('Remplissage - Sit. Init.'!$D$30),('Remplissage - Sit. Init.'!$C$23:$C$472)&amp;('Remplissage - Sit. Init.'!$D$23:$D$472),0),7))&gt;0,0,1)</f>
        <v>1</v>
      </c>
      <c r="I301" t="str">
        <f>VLOOKUP(I297,'Parcs types'!$D$7:$M$54,4,FALSE)</f>
        <v>Gazole à la pompe</v>
      </c>
      <c r="K301" s="4" t="str">
        <f t="shared" si="360"/>
        <v>Gazole à la pompe</v>
      </c>
    </row>
    <row r="302" spans="1:11" x14ac:dyDescent="0.25">
      <c r="A302" t="s">
        <v>1342</v>
      </c>
      <c r="B302" s="32" t="s">
        <v>108</v>
      </c>
      <c r="C302" t="s">
        <v>83</v>
      </c>
      <c r="E302" t="str">
        <f t="shared" ref="E302" si="365">_xlfn.CONCAT(LEFT(A297,3),"RoutCat",RIGHT(B297,2),"Euro")</f>
        <v>DévRoutCat20Euro</v>
      </c>
      <c r="F302" t="s">
        <v>36</v>
      </c>
      <c r="G302" s="5" cm="1">
        <f t="array" ref="G302">IF((INDEX('Remplissage - Sit. Init.'!$C$23:$I$472,MATCH((B302)&amp;('Remplissage - Sit. Init.'!$D$30),('Remplissage - Sit. Init.'!$C$23:$C$472)&amp;('Remplissage - Sit. Init.'!$D$23:$D$472),0),7))&gt;0,0,1)</f>
        <v>1</v>
      </c>
      <c r="I302">
        <f>VLOOKUP(I297,'Parcs types'!$D$7:$M$54,5,FALSE)</f>
        <v>0</v>
      </c>
      <c r="K302" s="4">
        <f t="shared" si="360"/>
        <v>0</v>
      </c>
    </row>
    <row r="303" spans="1:11" x14ac:dyDescent="0.25">
      <c r="A303" t="s">
        <v>1342</v>
      </c>
      <c r="B303" s="32" t="s">
        <v>108</v>
      </c>
      <c r="C303" t="s">
        <v>84</v>
      </c>
      <c r="E303" t="str">
        <f t="shared" ref="E303" si="366">_xlfn.CONCAT(LEFT(A297,3),"RoutCat",RIGHT(B297,2),"CritAir")</f>
        <v>DévRoutCat20CritAir</v>
      </c>
      <c r="F303" t="s">
        <v>36</v>
      </c>
      <c r="G303" s="5" cm="1">
        <f t="array" ref="G303">IF((INDEX('Remplissage - Sit. Init.'!$C$23:$I$472,MATCH((B303)&amp;('Remplissage - Sit. Init.'!$D$30),('Remplissage - Sit. Init.'!$C$23:$C$472)&amp;('Remplissage - Sit. Init.'!$D$23:$D$472),0),7))&gt;0,0,1)</f>
        <v>1</v>
      </c>
      <c r="H303" s="32"/>
      <c r="I303">
        <f>VLOOKUP(I297,'Parcs types'!$D$7:$M$54,6,FALSE)</f>
        <v>2</v>
      </c>
      <c r="K303" s="4">
        <f t="shared" si="360"/>
        <v>2</v>
      </c>
    </row>
    <row r="304" spans="1:11" x14ac:dyDescent="0.25">
      <c r="A304" t="s">
        <v>1342</v>
      </c>
      <c r="B304" s="32" t="s">
        <v>108</v>
      </c>
      <c r="C304" t="s">
        <v>85</v>
      </c>
      <c r="E304" t="str">
        <f t="shared" ref="E304" si="367">_xlfn.CONCAT(LEFT(A297,3),"RoutCat",RIGHT(B297,2),"Nb")</f>
        <v>DévRoutCat20Nb</v>
      </c>
      <c r="F304" t="s">
        <v>17</v>
      </c>
      <c r="G304" s="5" cm="1">
        <f t="array" ref="G304">IF((INDEX('Remplissage - Sit. Init.'!$C$23:$I$472,MATCH((B304)&amp;('Remplissage - Sit. Init.'!$D$30),('Remplissage - Sit. Init.'!$C$23:$C$472)&amp;('Remplissage - Sit. Init.'!$D$23:$D$472),0),7))&gt;0,0,1)</f>
        <v>1</v>
      </c>
      <c r="J304" t="s">
        <v>86</v>
      </c>
      <c r="K304">
        <f>VLOOKUP($I297,'Parcs types'!$D$7:$M$54,9,FALSE)</f>
        <v>0</v>
      </c>
    </row>
    <row r="305" spans="1:11" x14ac:dyDescent="0.25">
      <c r="A305" t="s">
        <v>1342</v>
      </c>
      <c r="B305" s="32" t="s">
        <v>108</v>
      </c>
      <c r="C305" t="s">
        <v>87</v>
      </c>
      <c r="E305" t="str">
        <f t="shared" ref="E305" si="368">_xlfn.CONCAT(LEFT(A297,3),"RoutCat",RIGHT(B297,2),"Dist")</f>
        <v>DévRoutCat20Dist</v>
      </c>
      <c r="F305" t="s">
        <v>17</v>
      </c>
      <c r="G305" s="5" cm="1">
        <f t="array" ref="G305">IF((INDEX('Remplissage - Sit. Init.'!$C$23:$I$472,MATCH((B305)&amp;('Remplissage - Sit. Init.'!$D$30),('Remplissage - Sit. Init.'!$C$23:$C$472)&amp;('Remplissage - Sit. Init.'!$D$23:$D$472),0),7))&gt;0,0,1)</f>
        <v>1</v>
      </c>
      <c r="H305" s="32"/>
      <c r="J305" t="s">
        <v>88</v>
      </c>
      <c r="K305">
        <f>VLOOKUP($I297,'Parcs types'!$D$7:$M$54,7,FALSE)</f>
        <v>42385.998762263436</v>
      </c>
    </row>
    <row r="306" spans="1:11" x14ac:dyDescent="0.25">
      <c r="A306" t="s">
        <v>1342</v>
      </c>
      <c r="B306" s="32" t="s">
        <v>108</v>
      </c>
      <c r="C306" s="32" t="s">
        <v>89</v>
      </c>
      <c r="E306" t="str">
        <f t="shared" ref="E306" si="369">_xlfn.CONCAT(LEFT(A297,3),"RoutCat",RIGHT(B297,2),"Rempl")</f>
        <v>DévRoutCat20Rempl</v>
      </c>
      <c r="F306" t="s">
        <v>17</v>
      </c>
      <c r="G306" s="5" cm="1">
        <f t="array" ref="G306">IF((INDEX('Remplissage - Sit. Init.'!$C$23:$I$472,MATCH((B306)&amp;('Remplissage - Sit. Init.'!$D$30),('Remplissage - Sit. Init.'!$C$23:$C$472)&amp;('Remplissage - Sit. Init.'!$D$23:$D$472),0),7))&gt;0,0,1)</f>
        <v>1</v>
      </c>
      <c r="H306" s="36"/>
      <c r="J306" t="s">
        <v>70</v>
      </c>
      <c r="K306">
        <f>VLOOKUP($I297,'Parcs types'!$D$7:$M$54,8,FALSE)</f>
        <v>0</v>
      </c>
    </row>
    <row r="307" spans="1:11" x14ac:dyDescent="0.25">
      <c r="A307" t="s">
        <v>1342</v>
      </c>
      <c r="B307" s="32" t="s">
        <v>109</v>
      </c>
      <c r="C307" t="s">
        <v>78</v>
      </c>
      <c r="E307" t="str">
        <f t="shared" ref="E307" si="370">_xlfn.CONCAT(LEFT(A307,3),"RoutCat",RIGHT(B307,2),"Nom")</f>
        <v>DévRoutCat21Nom</v>
      </c>
      <c r="F307" t="s">
        <v>20</v>
      </c>
      <c r="G307" s="5" cm="1">
        <f t="array" ref="G307">IF((INDEX('Remplissage - Sit. Init.'!$C$23:$I$472,MATCH((B307)&amp;('Remplissage - Sit. Init.'!$D$30),('Remplissage - Sit. Init.'!$C$23:$C$472)&amp;('Remplissage - Sit. Init.'!$D$23:$D$472),0),7))&gt;0,0,1)</f>
        <v>1</v>
      </c>
      <c r="H307" s="4"/>
      <c r="I307" s="4" t="str">
        <f>'Parcs types'!D30</f>
        <v>PL Diesel &gt;7.5-12t (Crit'Air 3)</v>
      </c>
      <c r="K307" s="4" t="str">
        <f t="shared" ref="K307:K313" si="371">I307</f>
        <v>PL Diesel &gt;7.5-12t (Crit'Air 3)</v>
      </c>
    </row>
    <row r="308" spans="1:11" x14ac:dyDescent="0.25">
      <c r="A308" t="s">
        <v>1342</v>
      </c>
      <c r="B308" s="32" t="s">
        <v>109</v>
      </c>
      <c r="C308" t="s">
        <v>79</v>
      </c>
      <c r="E308" t="str">
        <f t="shared" ref="E308" si="372">_xlfn.CONCAT(LEFT(A307,3),"RoutCat",RIGHT(B307,2),"Type")</f>
        <v>DévRoutCat21Type</v>
      </c>
      <c r="F308" t="s">
        <v>20</v>
      </c>
      <c r="G308" s="5" cm="1">
        <f t="array" ref="G308">IF((INDEX('Remplissage - Sit. Init.'!$C$23:$I$472,MATCH((B308)&amp;('Remplissage - Sit. Init.'!$D$30),('Remplissage - Sit. Init.'!$C$23:$C$472)&amp;('Remplissage - Sit. Init.'!$D$23:$D$472),0),7))&gt;0,0,1)</f>
        <v>1</v>
      </c>
      <c r="I308" t="str">
        <f>IF(K309='Parcs types'!$E$10,"VUL",LEFT('Remplissage - Sit. Prev.'!K307,SEARCH('Remplissage - Sit. Prev.'!K310,'Remplissage - Sit. Prev.'!K307)-2))</f>
        <v>PL</v>
      </c>
      <c r="K308" s="4" t="str">
        <f t="shared" si="371"/>
        <v>PL</v>
      </c>
    </row>
    <row r="309" spans="1:11" x14ac:dyDescent="0.25">
      <c r="A309" t="s">
        <v>1342</v>
      </c>
      <c r="B309" s="32" t="s">
        <v>109</v>
      </c>
      <c r="C309" t="s">
        <v>80</v>
      </c>
      <c r="E309" t="str">
        <f t="shared" ref="E309" si="373">_xlfn.CONCAT(LEFT(A307,3),"RoutCat",RIGHT(B307,2),"PTAC")</f>
        <v>DévRoutCat21PTAC</v>
      </c>
      <c r="F309" t="s">
        <v>36</v>
      </c>
      <c r="G309" s="5" cm="1">
        <f t="array" ref="G309">IF((INDEX('Remplissage - Sit. Init.'!$C$23:$I$472,MATCH((B309)&amp;('Remplissage - Sit. Init.'!$D$30),('Remplissage - Sit. Init.'!$C$23:$C$472)&amp;('Remplissage - Sit. Init.'!$D$23:$D$472),0),7))&gt;0,0,1)</f>
        <v>1</v>
      </c>
      <c r="I309" t="str">
        <f>VLOOKUP(I307,'Parcs types'!$D$7:$M$54,2,FALSE)</f>
        <v>&gt;7.5-12t</v>
      </c>
      <c r="K309" s="4" t="str">
        <f t="shared" si="371"/>
        <v>&gt;7.5-12t</v>
      </c>
    </row>
    <row r="310" spans="1:11" x14ac:dyDescent="0.25">
      <c r="A310" t="s">
        <v>1342</v>
      </c>
      <c r="B310" s="32" t="s">
        <v>109</v>
      </c>
      <c r="C310" t="s">
        <v>81</v>
      </c>
      <c r="E310" t="str">
        <f t="shared" ref="E310" si="374">_xlfn.CONCAT(LEFT(A307,3),"RoutCat",RIGHT(B307,2),"Mot")</f>
        <v>DévRoutCat21Mot</v>
      </c>
      <c r="F310" t="s">
        <v>36</v>
      </c>
      <c r="G310" s="5" cm="1">
        <f t="array" ref="G310">IF((INDEX('Remplissage - Sit. Init.'!$C$23:$I$472,MATCH((B310)&amp;('Remplissage - Sit. Init.'!$D$30),('Remplissage - Sit. Init.'!$C$23:$C$472)&amp;('Remplissage - Sit. Init.'!$D$23:$D$472),0),7))&gt;0,0,1)</f>
        <v>1</v>
      </c>
      <c r="H310" s="32"/>
      <c r="I310" t="str">
        <f>VLOOKUP(I307,'Parcs types'!$D$7:$M$54,3,FALSE)</f>
        <v>Diesel</v>
      </c>
      <c r="K310" s="4" t="str">
        <f t="shared" si="371"/>
        <v>Diesel</v>
      </c>
    </row>
    <row r="311" spans="1:11" x14ac:dyDescent="0.25">
      <c r="A311" t="s">
        <v>1342</v>
      </c>
      <c r="B311" s="32" t="s">
        <v>109</v>
      </c>
      <c r="C311" t="s">
        <v>82</v>
      </c>
      <c r="E311" t="str">
        <f t="shared" ref="E311" si="375">_xlfn.CONCAT(LEFT(A307,3),"RoutCat",RIGHT(B307,2),"Carb")</f>
        <v>DévRoutCat21Carb</v>
      </c>
      <c r="F311" t="s">
        <v>36</v>
      </c>
      <c r="G311" s="5" cm="1">
        <f t="array" ref="G311">IF((INDEX('Remplissage - Sit. Init.'!$C$23:$I$472,MATCH((B311)&amp;('Remplissage - Sit. Init.'!$D$30),('Remplissage - Sit. Init.'!$C$23:$C$472)&amp;('Remplissage - Sit. Init.'!$D$23:$D$472),0),7))&gt;0,0,1)</f>
        <v>1</v>
      </c>
      <c r="I311" t="str">
        <f>VLOOKUP(I307,'Parcs types'!$D$7:$M$54,4,FALSE)</f>
        <v>Gazole à la pompe</v>
      </c>
      <c r="K311" s="4" t="str">
        <f t="shared" si="371"/>
        <v>Gazole à la pompe</v>
      </c>
    </row>
    <row r="312" spans="1:11" x14ac:dyDescent="0.25">
      <c r="A312" t="s">
        <v>1342</v>
      </c>
      <c r="B312" s="32" t="s">
        <v>109</v>
      </c>
      <c r="C312" t="s">
        <v>83</v>
      </c>
      <c r="E312" t="str">
        <f t="shared" ref="E312" si="376">_xlfn.CONCAT(LEFT(A307,3),"RoutCat",RIGHT(B307,2),"Euro")</f>
        <v>DévRoutCat21Euro</v>
      </c>
      <c r="F312" t="s">
        <v>36</v>
      </c>
      <c r="G312" s="5" cm="1">
        <f t="array" ref="G312">IF((INDEX('Remplissage - Sit. Init.'!$C$23:$I$472,MATCH((B312)&amp;('Remplissage - Sit. Init.'!$D$30),('Remplissage - Sit. Init.'!$C$23:$C$472)&amp;('Remplissage - Sit. Init.'!$D$23:$D$472),0),7))&gt;0,0,1)</f>
        <v>1</v>
      </c>
      <c r="I312">
        <f>VLOOKUP(I307,'Parcs types'!$D$7:$M$54,5,FALSE)</f>
        <v>0</v>
      </c>
      <c r="K312" s="4">
        <f t="shared" si="371"/>
        <v>0</v>
      </c>
    </row>
    <row r="313" spans="1:11" x14ac:dyDescent="0.25">
      <c r="A313" t="s">
        <v>1342</v>
      </c>
      <c r="B313" s="32" t="s">
        <v>109</v>
      </c>
      <c r="C313" t="s">
        <v>84</v>
      </c>
      <c r="E313" t="str">
        <f t="shared" ref="E313" si="377">_xlfn.CONCAT(LEFT(A307,3),"RoutCat",RIGHT(B307,2),"CritAir")</f>
        <v>DévRoutCat21CritAir</v>
      </c>
      <c r="F313" t="s">
        <v>36</v>
      </c>
      <c r="G313" s="5" cm="1">
        <f t="array" ref="G313">IF((INDEX('Remplissage - Sit. Init.'!$C$23:$I$472,MATCH((B313)&amp;('Remplissage - Sit. Init.'!$D$30),('Remplissage - Sit. Init.'!$C$23:$C$472)&amp;('Remplissage - Sit. Init.'!$D$23:$D$472),0),7))&gt;0,0,1)</f>
        <v>1</v>
      </c>
      <c r="H313" s="32"/>
      <c r="I313">
        <f>VLOOKUP(I307,'Parcs types'!$D$7:$M$54,6,FALSE)</f>
        <v>3</v>
      </c>
      <c r="K313" s="4">
        <f t="shared" si="371"/>
        <v>3</v>
      </c>
    </row>
    <row r="314" spans="1:11" x14ac:dyDescent="0.25">
      <c r="A314" t="s">
        <v>1342</v>
      </c>
      <c r="B314" s="32" t="s">
        <v>109</v>
      </c>
      <c r="C314" t="s">
        <v>85</v>
      </c>
      <c r="E314" t="str">
        <f t="shared" ref="E314" si="378">_xlfn.CONCAT(LEFT(A307,3),"RoutCat",RIGHT(B307,2),"Nb")</f>
        <v>DévRoutCat21Nb</v>
      </c>
      <c r="F314" t="s">
        <v>17</v>
      </c>
      <c r="G314" s="5" cm="1">
        <f t="array" ref="G314">IF((INDEX('Remplissage - Sit. Init.'!$C$23:$I$472,MATCH((B314)&amp;('Remplissage - Sit. Init.'!$D$30),('Remplissage - Sit. Init.'!$C$23:$C$472)&amp;('Remplissage - Sit. Init.'!$D$23:$D$472),0),7))&gt;0,0,1)</f>
        <v>1</v>
      </c>
      <c r="J314" t="s">
        <v>86</v>
      </c>
      <c r="K314">
        <f>VLOOKUP($I307,'Parcs types'!$D$7:$M$54,9,FALSE)</f>
        <v>0</v>
      </c>
    </row>
    <row r="315" spans="1:11" x14ac:dyDescent="0.25">
      <c r="A315" t="s">
        <v>1342</v>
      </c>
      <c r="B315" s="32" t="s">
        <v>109</v>
      </c>
      <c r="C315" t="s">
        <v>87</v>
      </c>
      <c r="E315" t="str">
        <f t="shared" ref="E315" si="379">_xlfn.CONCAT(LEFT(A307,3),"RoutCat",RIGHT(B307,2),"Dist")</f>
        <v>DévRoutCat21Dist</v>
      </c>
      <c r="F315" t="s">
        <v>17</v>
      </c>
      <c r="G315" s="5" cm="1">
        <f t="array" ref="G315">IF((INDEX('Remplissage - Sit. Init.'!$C$23:$I$472,MATCH((B315)&amp;('Remplissage - Sit. Init.'!$D$30),('Remplissage - Sit. Init.'!$C$23:$C$472)&amp;('Remplissage - Sit. Init.'!$D$23:$D$472),0),7))&gt;0,0,1)</f>
        <v>1</v>
      </c>
      <c r="H315" s="32"/>
      <c r="J315" t="s">
        <v>88</v>
      </c>
      <c r="K315">
        <f>VLOOKUP($I307,'Parcs types'!$D$7:$M$54,7,FALSE)</f>
        <v>42385.998762263436</v>
      </c>
    </row>
    <row r="316" spans="1:11" x14ac:dyDescent="0.25">
      <c r="A316" t="s">
        <v>1342</v>
      </c>
      <c r="B316" s="32" t="s">
        <v>109</v>
      </c>
      <c r="C316" s="32" t="s">
        <v>89</v>
      </c>
      <c r="E316" t="str">
        <f t="shared" ref="E316" si="380">_xlfn.CONCAT(LEFT(A307,3),"RoutCat",RIGHT(B307,2),"Rempl")</f>
        <v>DévRoutCat21Rempl</v>
      </c>
      <c r="F316" t="s">
        <v>17</v>
      </c>
      <c r="G316" s="5" cm="1">
        <f t="array" ref="G316">IF((INDEX('Remplissage - Sit. Init.'!$C$23:$I$472,MATCH((B316)&amp;('Remplissage - Sit. Init.'!$D$30),('Remplissage - Sit. Init.'!$C$23:$C$472)&amp;('Remplissage - Sit. Init.'!$D$23:$D$472),0),7))&gt;0,0,1)</f>
        <v>1</v>
      </c>
      <c r="H316" s="36"/>
      <c r="J316" t="s">
        <v>70</v>
      </c>
      <c r="K316">
        <f>VLOOKUP($I307,'Parcs types'!$D$7:$M$54,8,FALSE)</f>
        <v>0</v>
      </c>
    </row>
    <row r="317" spans="1:11" x14ac:dyDescent="0.25">
      <c r="A317" t="s">
        <v>1342</v>
      </c>
      <c r="B317" s="32" t="s">
        <v>110</v>
      </c>
      <c r="C317" t="s">
        <v>78</v>
      </c>
      <c r="E317" t="str">
        <f t="shared" ref="E317" si="381">_xlfn.CONCAT(LEFT(A317,3),"RoutCat",RIGHT(B317,2),"Nom")</f>
        <v>DévRoutCat22Nom</v>
      </c>
      <c r="F317" t="s">
        <v>20</v>
      </c>
      <c r="G317" s="5" cm="1">
        <f t="array" ref="G317">IF((INDEX('Remplissage - Sit. Init.'!$C$23:$I$472,MATCH((B317)&amp;('Remplissage - Sit. Init.'!$D$30),('Remplissage - Sit. Init.'!$C$23:$C$472)&amp;('Remplissage - Sit. Init.'!$D$23:$D$472),0),7))&gt;0,0,1)</f>
        <v>1</v>
      </c>
      <c r="H317" s="4"/>
      <c r="I317" s="4" t="str">
        <f>'Parcs types'!D31</f>
        <v>PL Diesel &gt;7.5-12t (Crit'Air 4)</v>
      </c>
      <c r="K317" s="4" t="str">
        <f t="shared" ref="K317:K323" si="382">I317</f>
        <v>PL Diesel &gt;7.5-12t (Crit'Air 4)</v>
      </c>
    </row>
    <row r="318" spans="1:11" x14ac:dyDescent="0.25">
      <c r="A318" t="s">
        <v>1342</v>
      </c>
      <c r="B318" s="32" t="s">
        <v>110</v>
      </c>
      <c r="C318" t="s">
        <v>79</v>
      </c>
      <c r="E318" t="str">
        <f t="shared" ref="E318" si="383">_xlfn.CONCAT(LEFT(A317,3),"RoutCat",RIGHT(B317,2),"Type")</f>
        <v>DévRoutCat22Type</v>
      </c>
      <c r="F318" t="s">
        <v>20</v>
      </c>
      <c r="G318" s="5" cm="1">
        <f t="array" ref="G318">IF((INDEX('Remplissage - Sit. Init.'!$C$23:$I$472,MATCH((B318)&amp;('Remplissage - Sit. Init.'!$D$30),('Remplissage - Sit. Init.'!$C$23:$C$472)&amp;('Remplissage - Sit. Init.'!$D$23:$D$472),0),7))&gt;0,0,1)</f>
        <v>1</v>
      </c>
      <c r="I318" t="str">
        <f>IF(K319='Parcs types'!$E$10,"VUL",LEFT('Remplissage - Sit. Prev.'!K317,SEARCH('Remplissage - Sit. Prev.'!K320,'Remplissage - Sit. Prev.'!K317)-2))</f>
        <v>PL</v>
      </c>
      <c r="K318" s="4" t="str">
        <f t="shared" si="382"/>
        <v>PL</v>
      </c>
    </row>
    <row r="319" spans="1:11" x14ac:dyDescent="0.25">
      <c r="A319" t="s">
        <v>1342</v>
      </c>
      <c r="B319" s="32" t="s">
        <v>110</v>
      </c>
      <c r="C319" t="s">
        <v>80</v>
      </c>
      <c r="E319" t="str">
        <f t="shared" ref="E319" si="384">_xlfn.CONCAT(LEFT(A317,3),"RoutCat",RIGHT(B317,2),"PTAC")</f>
        <v>DévRoutCat22PTAC</v>
      </c>
      <c r="F319" t="s">
        <v>36</v>
      </c>
      <c r="G319" s="5" cm="1">
        <f t="array" ref="G319">IF((INDEX('Remplissage - Sit. Init.'!$C$23:$I$472,MATCH((B319)&amp;('Remplissage - Sit. Init.'!$D$30),('Remplissage - Sit. Init.'!$C$23:$C$472)&amp;('Remplissage - Sit. Init.'!$D$23:$D$472),0),7))&gt;0,0,1)</f>
        <v>1</v>
      </c>
      <c r="I319" t="str">
        <f>VLOOKUP(I317,'Parcs types'!$D$7:$M$54,2,FALSE)</f>
        <v>&gt;7.5-12t</v>
      </c>
      <c r="K319" s="4" t="str">
        <f t="shared" si="382"/>
        <v>&gt;7.5-12t</v>
      </c>
    </row>
    <row r="320" spans="1:11" x14ac:dyDescent="0.25">
      <c r="A320" t="s">
        <v>1342</v>
      </c>
      <c r="B320" s="32" t="s">
        <v>110</v>
      </c>
      <c r="C320" t="s">
        <v>81</v>
      </c>
      <c r="E320" t="str">
        <f t="shared" ref="E320" si="385">_xlfn.CONCAT(LEFT(A317,3),"RoutCat",RIGHT(B317,2),"Mot")</f>
        <v>DévRoutCat22Mot</v>
      </c>
      <c r="F320" t="s">
        <v>36</v>
      </c>
      <c r="G320" s="5" cm="1">
        <f t="array" ref="G320">IF((INDEX('Remplissage - Sit. Init.'!$C$23:$I$472,MATCH((B320)&amp;('Remplissage - Sit. Init.'!$D$30),('Remplissage - Sit. Init.'!$C$23:$C$472)&amp;('Remplissage - Sit. Init.'!$D$23:$D$472),0),7))&gt;0,0,1)</f>
        <v>1</v>
      </c>
      <c r="H320" s="32"/>
      <c r="I320" t="str">
        <f>VLOOKUP(I317,'Parcs types'!$D$7:$M$54,3,FALSE)</f>
        <v>Diesel</v>
      </c>
      <c r="K320" s="4" t="str">
        <f t="shared" si="382"/>
        <v>Diesel</v>
      </c>
    </row>
    <row r="321" spans="1:11" x14ac:dyDescent="0.25">
      <c r="A321" t="s">
        <v>1342</v>
      </c>
      <c r="B321" s="32" t="s">
        <v>110</v>
      </c>
      <c r="C321" t="s">
        <v>82</v>
      </c>
      <c r="E321" t="str">
        <f t="shared" ref="E321" si="386">_xlfn.CONCAT(LEFT(A317,3),"RoutCat",RIGHT(B317,2),"Carb")</f>
        <v>DévRoutCat22Carb</v>
      </c>
      <c r="F321" t="s">
        <v>36</v>
      </c>
      <c r="G321" s="5" cm="1">
        <f t="array" ref="G321">IF((INDEX('Remplissage - Sit. Init.'!$C$23:$I$472,MATCH((B321)&amp;('Remplissage - Sit. Init.'!$D$30),('Remplissage - Sit. Init.'!$C$23:$C$472)&amp;('Remplissage - Sit. Init.'!$D$23:$D$472),0),7))&gt;0,0,1)</f>
        <v>1</v>
      </c>
      <c r="I321" t="str">
        <f>VLOOKUP(I317,'Parcs types'!$D$7:$M$54,4,FALSE)</f>
        <v>Gazole à la pompe</v>
      </c>
      <c r="K321" s="4" t="str">
        <f t="shared" si="382"/>
        <v>Gazole à la pompe</v>
      </c>
    </row>
    <row r="322" spans="1:11" x14ac:dyDescent="0.25">
      <c r="A322" t="s">
        <v>1342</v>
      </c>
      <c r="B322" s="32" t="s">
        <v>110</v>
      </c>
      <c r="C322" t="s">
        <v>83</v>
      </c>
      <c r="E322" t="str">
        <f t="shared" ref="E322" si="387">_xlfn.CONCAT(LEFT(A317,3),"RoutCat",RIGHT(B317,2),"Euro")</f>
        <v>DévRoutCat22Euro</v>
      </c>
      <c r="F322" t="s">
        <v>36</v>
      </c>
      <c r="G322" s="5" cm="1">
        <f t="array" ref="G322">IF((INDEX('Remplissage - Sit. Init.'!$C$23:$I$472,MATCH((B322)&amp;('Remplissage - Sit. Init.'!$D$30),('Remplissage - Sit. Init.'!$C$23:$C$472)&amp;('Remplissage - Sit. Init.'!$D$23:$D$472),0),7))&gt;0,0,1)</f>
        <v>1</v>
      </c>
      <c r="I322">
        <f>VLOOKUP(I317,'Parcs types'!$D$7:$M$54,5,FALSE)</f>
        <v>0</v>
      </c>
      <c r="K322" s="4">
        <f t="shared" si="382"/>
        <v>0</v>
      </c>
    </row>
    <row r="323" spans="1:11" x14ac:dyDescent="0.25">
      <c r="A323" t="s">
        <v>1342</v>
      </c>
      <c r="B323" s="32" t="s">
        <v>110</v>
      </c>
      <c r="C323" t="s">
        <v>84</v>
      </c>
      <c r="E323" t="str">
        <f t="shared" ref="E323" si="388">_xlfn.CONCAT(LEFT(A317,3),"RoutCat",RIGHT(B317,2),"CritAir")</f>
        <v>DévRoutCat22CritAir</v>
      </c>
      <c r="F323" t="s">
        <v>36</v>
      </c>
      <c r="G323" s="5" cm="1">
        <f t="array" ref="G323">IF((INDEX('Remplissage - Sit. Init.'!$C$23:$I$472,MATCH((B323)&amp;('Remplissage - Sit. Init.'!$D$30),('Remplissage - Sit. Init.'!$C$23:$C$472)&amp;('Remplissage - Sit. Init.'!$D$23:$D$472),0),7))&gt;0,0,1)</f>
        <v>1</v>
      </c>
      <c r="H323" s="32"/>
      <c r="I323">
        <f>VLOOKUP(I317,'Parcs types'!$D$7:$M$54,6,FALSE)</f>
        <v>4</v>
      </c>
      <c r="K323" s="4">
        <f t="shared" si="382"/>
        <v>4</v>
      </c>
    </row>
    <row r="324" spans="1:11" x14ac:dyDescent="0.25">
      <c r="A324" t="s">
        <v>1342</v>
      </c>
      <c r="B324" s="32" t="s">
        <v>110</v>
      </c>
      <c r="C324" t="s">
        <v>85</v>
      </c>
      <c r="E324" t="str">
        <f t="shared" ref="E324" si="389">_xlfn.CONCAT(LEFT(A317,3),"RoutCat",RIGHT(B317,2),"Nb")</f>
        <v>DévRoutCat22Nb</v>
      </c>
      <c r="F324" t="s">
        <v>17</v>
      </c>
      <c r="G324" s="5" cm="1">
        <f t="array" ref="G324">IF((INDEX('Remplissage - Sit. Init.'!$C$23:$I$472,MATCH((B324)&amp;('Remplissage - Sit. Init.'!$D$30),('Remplissage - Sit. Init.'!$C$23:$C$472)&amp;('Remplissage - Sit. Init.'!$D$23:$D$472),0),7))&gt;0,0,1)</f>
        <v>1</v>
      </c>
      <c r="J324" t="s">
        <v>86</v>
      </c>
      <c r="K324">
        <f>VLOOKUP($I317,'Parcs types'!$D$7:$M$54,9,FALSE)</f>
        <v>0</v>
      </c>
    </row>
    <row r="325" spans="1:11" x14ac:dyDescent="0.25">
      <c r="A325" t="s">
        <v>1342</v>
      </c>
      <c r="B325" s="32" t="s">
        <v>110</v>
      </c>
      <c r="C325" t="s">
        <v>87</v>
      </c>
      <c r="E325" t="str">
        <f t="shared" ref="E325" si="390">_xlfn.CONCAT(LEFT(A317,3),"RoutCat",RIGHT(B317,2),"Dist")</f>
        <v>DévRoutCat22Dist</v>
      </c>
      <c r="F325" t="s">
        <v>17</v>
      </c>
      <c r="G325" s="5" cm="1">
        <f t="array" ref="G325">IF((INDEX('Remplissage - Sit. Init.'!$C$23:$I$472,MATCH((B325)&amp;('Remplissage - Sit. Init.'!$D$30),('Remplissage - Sit. Init.'!$C$23:$C$472)&amp;('Remplissage - Sit. Init.'!$D$23:$D$472),0),7))&gt;0,0,1)</f>
        <v>1</v>
      </c>
      <c r="H325" s="32"/>
      <c r="J325" t="s">
        <v>88</v>
      </c>
      <c r="K325">
        <f>VLOOKUP($I317,'Parcs types'!$D$7:$M$54,7,FALSE)</f>
        <v>42385.998762263436</v>
      </c>
    </row>
    <row r="326" spans="1:11" x14ac:dyDescent="0.25">
      <c r="A326" t="s">
        <v>1342</v>
      </c>
      <c r="B326" s="32" t="s">
        <v>110</v>
      </c>
      <c r="C326" s="32" t="s">
        <v>89</v>
      </c>
      <c r="E326" t="str">
        <f t="shared" ref="E326" si="391">_xlfn.CONCAT(LEFT(A317,3),"RoutCat",RIGHT(B317,2),"Rempl")</f>
        <v>DévRoutCat22Rempl</v>
      </c>
      <c r="F326" t="s">
        <v>17</v>
      </c>
      <c r="G326" s="5" cm="1">
        <f t="array" ref="G326">IF((INDEX('Remplissage - Sit. Init.'!$C$23:$I$472,MATCH((B326)&amp;('Remplissage - Sit. Init.'!$D$30),('Remplissage - Sit. Init.'!$C$23:$C$472)&amp;('Remplissage - Sit. Init.'!$D$23:$D$472),0),7))&gt;0,0,1)</f>
        <v>1</v>
      </c>
      <c r="H326" s="36"/>
      <c r="J326" t="s">
        <v>70</v>
      </c>
      <c r="K326">
        <f>VLOOKUP($I317,'Parcs types'!$D$7:$M$54,8,FALSE)</f>
        <v>0</v>
      </c>
    </row>
    <row r="327" spans="1:11" x14ac:dyDescent="0.25">
      <c r="A327" t="s">
        <v>1342</v>
      </c>
      <c r="B327" s="32" t="s">
        <v>111</v>
      </c>
      <c r="C327" t="s">
        <v>78</v>
      </c>
      <c r="E327" t="str">
        <f t="shared" ref="E327" si="392">_xlfn.CONCAT(LEFT(A327,3),"RoutCat",RIGHT(B327,2),"Nom")</f>
        <v>DévRoutCat23Nom</v>
      </c>
      <c r="F327" t="s">
        <v>20</v>
      </c>
      <c r="G327" s="5" cm="1">
        <f t="array" ref="G327">IF((INDEX('Remplissage - Sit. Init.'!$C$23:$I$472,MATCH((B327)&amp;('Remplissage - Sit. Init.'!$D$30),('Remplissage - Sit. Init.'!$C$23:$C$472)&amp;('Remplissage - Sit. Init.'!$D$23:$D$472),0),7))&gt;0,0,1)</f>
        <v>1</v>
      </c>
      <c r="H327" s="4"/>
      <c r="I327" s="4" t="str">
        <f>'Parcs types'!D32</f>
        <v>PL Diesel &gt;7.5-12t (Crit'Air 5)</v>
      </c>
      <c r="K327" s="4" t="str">
        <f t="shared" ref="K327:K333" si="393">I327</f>
        <v>PL Diesel &gt;7.5-12t (Crit'Air 5)</v>
      </c>
    </row>
    <row r="328" spans="1:11" x14ac:dyDescent="0.25">
      <c r="A328" t="s">
        <v>1342</v>
      </c>
      <c r="B328" s="32" t="s">
        <v>111</v>
      </c>
      <c r="C328" t="s">
        <v>79</v>
      </c>
      <c r="E328" t="str">
        <f t="shared" ref="E328" si="394">_xlfn.CONCAT(LEFT(A327,3),"RoutCat",RIGHT(B327,2),"Type")</f>
        <v>DévRoutCat23Type</v>
      </c>
      <c r="F328" t="s">
        <v>20</v>
      </c>
      <c r="G328" s="5" cm="1">
        <f t="array" ref="G328">IF((INDEX('Remplissage - Sit. Init.'!$C$23:$I$472,MATCH((B328)&amp;('Remplissage - Sit. Init.'!$D$30),('Remplissage - Sit. Init.'!$C$23:$C$472)&amp;('Remplissage - Sit. Init.'!$D$23:$D$472),0),7))&gt;0,0,1)</f>
        <v>1</v>
      </c>
      <c r="I328" t="str">
        <f>IF(K329='Parcs types'!$E$10,"VUL",LEFT('Remplissage - Sit. Prev.'!K327,SEARCH('Remplissage - Sit. Prev.'!K330,'Remplissage - Sit. Prev.'!K327)-2))</f>
        <v>PL</v>
      </c>
      <c r="K328" s="4" t="str">
        <f t="shared" si="393"/>
        <v>PL</v>
      </c>
    </row>
    <row r="329" spans="1:11" x14ac:dyDescent="0.25">
      <c r="A329" t="s">
        <v>1342</v>
      </c>
      <c r="B329" s="32" t="s">
        <v>111</v>
      </c>
      <c r="C329" t="s">
        <v>80</v>
      </c>
      <c r="E329" t="str">
        <f t="shared" ref="E329" si="395">_xlfn.CONCAT(LEFT(A327,3),"RoutCat",RIGHT(B327,2),"PTAC")</f>
        <v>DévRoutCat23PTAC</v>
      </c>
      <c r="F329" t="s">
        <v>36</v>
      </c>
      <c r="G329" s="5" cm="1">
        <f t="array" ref="G329">IF((INDEX('Remplissage - Sit. Init.'!$C$23:$I$472,MATCH((B329)&amp;('Remplissage - Sit. Init.'!$D$30),('Remplissage - Sit. Init.'!$C$23:$C$472)&amp;('Remplissage - Sit. Init.'!$D$23:$D$472),0),7))&gt;0,0,1)</f>
        <v>1</v>
      </c>
      <c r="I329" t="str">
        <f>VLOOKUP(I327,'Parcs types'!$D$7:$M$54,2,FALSE)</f>
        <v>&gt;7.5-12t</v>
      </c>
      <c r="K329" s="4" t="str">
        <f t="shared" si="393"/>
        <v>&gt;7.5-12t</v>
      </c>
    </row>
    <row r="330" spans="1:11" x14ac:dyDescent="0.25">
      <c r="A330" t="s">
        <v>1342</v>
      </c>
      <c r="B330" s="32" t="s">
        <v>111</v>
      </c>
      <c r="C330" t="s">
        <v>81</v>
      </c>
      <c r="E330" t="str">
        <f t="shared" ref="E330" si="396">_xlfn.CONCAT(LEFT(A327,3),"RoutCat",RIGHT(B327,2),"Mot")</f>
        <v>DévRoutCat23Mot</v>
      </c>
      <c r="F330" t="s">
        <v>36</v>
      </c>
      <c r="G330" s="5" cm="1">
        <f t="array" ref="G330">IF((INDEX('Remplissage - Sit. Init.'!$C$23:$I$472,MATCH((B330)&amp;('Remplissage - Sit. Init.'!$D$30),('Remplissage - Sit. Init.'!$C$23:$C$472)&amp;('Remplissage - Sit. Init.'!$D$23:$D$472),0),7))&gt;0,0,1)</f>
        <v>1</v>
      </c>
      <c r="H330" s="32"/>
      <c r="I330" t="str">
        <f>VLOOKUP(I327,'Parcs types'!$D$7:$M$54,3,FALSE)</f>
        <v>Diesel</v>
      </c>
      <c r="K330" s="4" t="str">
        <f t="shared" si="393"/>
        <v>Diesel</v>
      </c>
    </row>
    <row r="331" spans="1:11" x14ac:dyDescent="0.25">
      <c r="A331" t="s">
        <v>1342</v>
      </c>
      <c r="B331" s="32" t="s">
        <v>111</v>
      </c>
      <c r="C331" t="s">
        <v>82</v>
      </c>
      <c r="E331" t="str">
        <f t="shared" ref="E331" si="397">_xlfn.CONCAT(LEFT(A327,3),"RoutCat",RIGHT(B327,2),"Carb")</f>
        <v>DévRoutCat23Carb</v>
      </c>
      <c r="F331" t="s">
        <v>36</v>
      </c>
      <c r="G331" s="5" cm="1">
        <f t="array" ref="G331">IF((INDEX('Remplissage - Sit. Init.'!$C$23:$I$472,MATCH((B331)&amp;('Remplissage - Sit. Init.'!$D$30),('Remplissage - Sit. Init.'!$C$23:$C$472)&amp;('Remplissage - Sit. Init.'!$D$23:$D$472),0),7))&gt;0,0,1)</f>
        <v>1</v>
      </c>
      <c r="I331" t="str">
        <f>VLOOKUP(I327,'Parcs types'!$D$7:$M$54,4,FALSE)</f>
        <v>Gazole à la pompe</v>
      </c>
      <c r="K331" s="4" t="str">
        <f t="shared" si="393"/>
        <v>Gazole à la pompe</v>
      </c>
    </row>
    <row r="332" spans="1:11" x14ac:dyDescent="0.25">
      <c r="A332" t="s">
        <v>1342</v>
      </c>
      <c r="B332" s="32" t="s">
        <v>111</v>
      </c>
      <c r="C332" t="s">
        <v>83</v>
      </c>
      <c r="E332" t="str">
        <f t="shared" ref="E332" si="398">_xlfn.CONCAT(LEFT(A327,3),"RoutCat",RIGHT(B327,2),"Euro")</f>
        <v>DévRoutCat23Euro</v>
      </c>
      <c r="F332" t="s">
        <v>36</v>
      </c>
      <c r="G332" s="5" cm="1">
        <f t="array" ref="G332">IF((INDEX('Remplissage - Sit. Init.'!$C$23:$I$472,MATCH((B332)&amp;('Remplissage - Sit. Init.'!$D$30),('Remplissage - Sit. Init.'!$C$23:$C$472)&amp;('Remplissage - Sit. Init.'!$D$23:$D$472),0),7))&gt;0,0,1)</f>
        <v>1</v>
      </c>
      <c r="I332">
        <f>VLOOKUP(I327,'Parcs types'!$D$7:$M$54,5,FALSE)</f>
        <v>0</v>
      </c>
      <c r="K332" s="4">
        <f t="shared" si="393"/>
        <v>0</v>
      </c>
    </row>
    <row r="333" spans="1:11" x14ac:dyDescent="0.25">
      <c r="A333" t="s">
        <v>1342</v>
      </c>
      <c r="B333" s="32" t="s">
        <v>111</v>
      </c>
      <c r="C333" t="s">
        <v>84</v>
      </c>
      <c r="E333" t="str">
        <f t="shared" ref="E333" si="399">_xlfn.CONCAT(LEFT(A327,3),"RoutCat",RIGHT(B327,2),"CritAir")</f>
        <v>DévRoutCat23CritAir</v>
      </c>
      <c r="F333" t="s">
        <v>36</v>
      </c>
      <c r="G333" s="5" cm="1">
        <f t="array" ref="G333">IF((INDEX('Remplissage - Sit. Init.'!$C$23:$I$472,MATCH((B333)&amp;('Remplissage - Sit. Init.'!$D$30),('Remplissage - Sit. Init.'!$C$23:$C$472)&amp;('Remplissage - Sit. Init.'!$D$23:$D$472),0),7))&gt;0,0,1)</f>
        <v>1</v>
      </c>
      <c r="H333" s="32"/>
      <c r="I333">
        <f>VLOOKUP(I327,'Parcs types'!$D$7:$M$54,6,FALSE)</f>
        <v>5</v>
      </c>
      <c r="K333" s="4">
        <f t="shared" si="393"/>
        <v>5</v>
      </c>
    </row>
    <row r="334" spans="1:11" x14ac:dyDescent="0.25">
      <c r="A334" t="s">
        <v>1342</v>
      </c>
      <c r="B334" s="32" t="s">
        <v>111</v>
      </c>
      <c r="C334" t="s">
        <v>85</v>
      </c>
      <c r="E334" t="str">
        <f t="shared" ref="E334" si="400">_xlfn.CONCAT(LEFT(A327,3),"RoutCat",RIGHT(B327,2),"Nb")</f>
        <v>DévRoutCat23Nb</v>
      </c>
      <c r="F334" t="s">
        <v>17</v>
      </c>
      <c r="G334" s="5" cm="1">
        <f t="array" ref="G334">IF((INDEX('Remplissage - Sit. Init.'!$C$23:$I$472,MATCH((B334)&amp;('Remplissage - Sit. Init.'!$D$30),('Remplissage - Sit. Init.'!$C$23:$C$472)&amp;('Remplissage - Sit. Init.'!$D$23:$D$472),0),7))&gt;0,0,1)</f>
        <v>1</v>
      </c>
      <c r="J334" t="s">
        <v>86</v>
      </c>
      <c r="K334">
        <f>VLOOKUP($I327,'Parcs types'!$D$7:$M$54,9,FALSE)</f>
        <v>0</v>
      </c>
    </row>
    <row r="335" spans="1:11" x14ac:dyDescent="0.25">
      <c r="A335" t="s">
        <v>1342</v>
      </c>
      <c r="B335" s="32" t="s">
        <v>111</v>
      </c>
      <c r="C335" t="s">
        <v>87</v>
      </c>
      <c r="E335" t="str">
        <f t="shared" ref="E335" si="401">_xlfn.CONCAT(LEFT(A327,3),"RoutCat",RIGHT(B327,2),"Dist")</f>
        <v>DévRoutCat23Dist</v>
      </c>
      <c r="F335" t="s">
        <v>17</v>
      </c>
      <c r="G335" s="5" cm="1">
        <f t="array" ref="G335">IF((INDEX('Remplissage - Sit. Init.'!$C$23:$I$472,MATCH((B335)&amp;('Remplissage - Sit. Init.'!$D$30),('Remplissage - Sit. Init.'!$C$23:$C$472)&amp;('Remplissage - Sit. Init.'!$D$23:$D$472),0),7))&gt;0,0,1)</f>
        <v>1</v>
      </c>
      <c r="H335" s="32"/>
      <c r="J335" t="s">
        <v>88</v>
      </c>
      <c r="K335">
        <f>VLOOKUP($I327,'Parcs types'!$D$7:$M$54,7,FALSE)</f>
        <v>42385.998762263436</v>
      </c>
    </row>
    <row r="336" spans="1:11" x14ac:dyDescent="0.25">
      <c r="A336" t="s">
        <v>1342</v>
      </c>
      <c r="B336" s="32" t="s">
        <v>111</v>
      </c>
      <c r="C336" s="32" t="s">
        <v>89</v>
      </c>
      <c r="E336" t="str">
        <f t="shared" ref="E336" si="402">_xlfn.CONCAT(LEFT(A327,3),"RoutCat",RIGHT(B327,2),"Rempl")</f>
        <v>DévRoutCat23Rempl</v>
      </c>
      <c r="F336" t="s">
        <v>17</v>
      </c>
      <c r="G336" s="5" cm="1">
        <f t="array" ref="G336">IF((INDEX('Remplissage - Sit. Init.'!$C$23:$I$472,MATCH((B336)&amp;('Remplissage - Sit. Init.'!$D$30),('Remplissage - Sit. Init.'!$C$23:$C$472)&amp;('Remplissage - Sit. Init.'!$D$23:$D$472),0),7))&gt;0,0,1)</f>
        <v>1</v>
      </c>
      <c r="H336" s="36"/>
      <c r="J336" t="s">
        <v>70</v>
      </c>
      <c r="K336">
        <f>VLOOKUP($I327,'Parcs types'!$D$7:$M$54,8,FALSE)</f>
        <v>0</v>
      </c>
    </row>
    <row r="337" spans="1:11" x14ac:dyDescent="0.25">
      <c r="A337" t="s">
        <v>1342</v>
      </c>
      <c r="B337" s="32" t="s">
        <v>112</v>
      </c>
      <c r="C337" t="s">
        <v>78</v>
      </c>
      <c r="E337" t="str">
        <f t="shared" ref="E337" si="403">_xlfn.CONCAT(LEFT(A337,3),"RoutCat",RIGHT(B337,2),"Nom")</f>
        <v>DévRoutCat24Nom</v>
      </c>
      <c r="F337" t="s">
        <v>20</v>
      </c>
      <c r="G337" s="5" cm="1">
        <f t="array" ref="G337">IF((INDEX('Remplissage - Sit. Init.'!$C$23:$I$472,MATCH((B337)&amp;('Remplissage - Sit. Init.'!$D$30),('Remplissage - Sit. Init.'!$C$23:$C$472)&amp;('Remplissage - Sit. Init.'!$D$23:$D$472),0),7))&gt;0,0,1)</f>
        <v>1</v>
      </c>
      <c r="H337" s="4"/>
      <c r="I337" s="4" t="str">
        <f>'Parcs types'!D33</f>
        <v>PL Diesel &gt;14-20t (Crit'Air 2)</v>
      </c>
      <c r="K337" s="4" t="str">
        <f t="shared" ref="K337:K343" si="404">I337</f>
        <v>PL Diesel &gt;14-20t (Crit'Air 2)</v>
      </c>
    </row>
    <row r="338" spans="1:11" x14ac:dyDescent="0.25">
      <c r="A338" t="s">
        <v>1342</v>
      </c>
      <c r="B338" s="32" t="s">
        <v>112</v>
      </c>
      <c r="C338" t="s">
        <v>79</v>
      </c>
      <c r="E338" t="str">
        <f t="shared" ref="E338" si="405">_xlfn.CONCAT(LEFT(A337,3),"RoutCat",RIGHT(B337,2),"Type")</f>
        <v>DévRoutCat24Type</v>
      </c>
      <c r="F338" t="s">
        <v>20</v>
      </c>
      <c r="G338" s="5" cm="1">
        <f t="array" ref="G338">IF((INDEX('Remplissage - Sit. Init.'!$C$23:$I$472,MATCH((B338)&amp;('Remplissage - Sit. Init.'!$D$30),('Remplissage - Sit. Init.'!$C$23:$C$472)&amp;('Remplissage - Sit. Init.'!$D$23:$D$472),0),7))&gt;0,0,1)</f>
        <v>1</v>
      </c>
      <c r="I338" t="str">
        <f>IF(K339='Parcs types'!$E$10,"VUL",LEFT('Remplissage - Sit. Prev.'!K337,SEARCH('Remplissage - Sit. Prev.'!K340,'Remplissage - Sit. Prev.'!K337)-2))</f>
        <v>PL</v>
      </c>
      <c r="K338" s="4" t="str">
        <f t="shared" si="404"/>
        <v>PL</v>
      </c>
    </row>
    <row r="339" spans="1:11" x14ac:dyDescent="0.25">
      <c r="A339" t="s">
        <v>1342</v>
      </c>
      <c r="B339" s="32" t="s">
        <v>112</v>
      </c>
      <c r="C339" t="s">
        <v>80</v>
      </c>
      <c r="E339" t="str">
        <f t="shared" ref="E339" si="406">_xlfn.CONCAT(LEFT(A337,3),"RoutCat",RIGHT(B337,2),"PTAC")</f>
        <v>DévRoutCat24PTAC</v>
      </c>
      <c r="F339" t="s">
        <v>36</v>
      </c>
      <c r="G339" s="5" cm="1">
        <f t="array" ref="G339">IF((INDEX('Remplissage - Sit. Init.'!$C$23:$I$472,MATCH((B339)&amp;('Remplissage - Sit. Init.'!$D$30),('Remplissage - Sit. Init.'!$C$23:$C$472)&amp;('Remplissage - Sit. Init.'!$D$23:$D$472),0),7))&gt;0,0,1)</f>
        <v>1</v>
      </c>
      <c r="I339" t="str">
        <f>VLOOKUP(I337,'Parcs types'!$D$7:$M$54,2,FALSE)</f>
        <v>&gt;14-20t</v>
      </c>
      <c r="K339" s="4" t="str">
        <f t="shared" si="404"/>
        <v>&gt;14-20t</v>
      </c>
    </row>
    <row r="340" spans="1:11" x14ac:dyDescent="0.25">
      <c r="A340" t="s">
        <v>1342</v>
      </c>
      <c r="B340" s="32" t="s">
        <v>112</v>
      </c>
      <c r="C340" t="s">
        <v>81</v>
      </c>
      <c r="E340" t="str">
        <f t="shared" ref="E340" si="407">_xlfn.CONCAT(LEFT(A337,3),"RoutCat",RIGHT(B337,2),"Mot")</f>
        <v>DévRoutCat24Mot</v>
      </c>
      <c r="F340" t="s">
        <v>36</v>
      </c>
      <c r="G340" s="5" cm="1">
        <f t="array" ref="G340">IF((INDEX('Remplissage - Sit. Init.'!$C$23:$I$472,MATCH((B340)&amp;('Remplissage - Sit. Init.'!$D$30),('Remplissage - Sit. Init.'!$C$23:$C$472)&amp;('Remplissage - Sit. Init.'!$D$23:$D$472),0),7))&gt;0,0,1)</f>
        <v>1</v>
      </c>
      <c r="H340" s="32"/>
      <c r="I340" t="str">
        <f>VLOOKUP(I337,'Parcs types'!$D$7:$M$54,3,FALSE)</f>
        <v>Diesel</v>
      </c>
      <c r="K340" s="4" t="str">
        <f t="shared" si="404"/>
        <v>Diesel</v>
      </c>
    </row>
    <row r="341" spans="1:11" x14ac:dyDescent="0.25">
      <c r="A341" t="s">
        <v>1342</v>
      </c>
      <c r="B341" s="32" t="s">
        <v>112</v>
      </c>
      <c r="C341" t="s">
        <v>82</v>
      </c>
      <c r="E341" t="str">
        <f t="shared" ref="E341" si="408">_xlfn.CONCAT(LEFT(A337,3),"RoutCat",RIGHT(B337,2),"Carb")</f>
        <v>DévRoutCat24Carb</v>
      </c>
      <c r="F341" t="s">
        <v>36</v>
      </c>
      <c r="G341" s="5" cm="1">
        <f t="array" ref="G341">IF((INDEX('Remplissage - Sit. Init.'!$C$23:$I$472,MATCH((B341)&amp;('Remplissage - Sit. Init.'!$D$30),('Remplissage - Sit. Init.'!$C$23:$C$472)&amp;('Remplissage - Sit. Init.'!$D$23:$D$472),0),7))&gt;0,0,1)</f>
        <v>1</v>
      </c>
      <c r="I341" t="str">
        <f>VLOOKUP(I337,'Parcs types'!$D$7:$M$54,4,FALSE)</f>
        <v>Gazole à la pompe</v>
      </c>
      <c r="K341" s="4" t="str">
        <f t="shared" si="404"/>
        <v>Gazole à la pompe</v>
      </c>
    </row>
    <row r="342" spans="1:11" x14ac:dyDescent="0.25">
      <c r="A342" t="s">
        <v>1342</v>
      </c>
      <c r="B342" s="32" t="s">
        <v>112</v>
      </c>
      <c r="C342" t="s">
        <v>83</v>
      </c>
      <c r="E342" t="str">
        <f t="shared" ref="E342" si="409">_xlfn.CONCAT(LEFT(A337,3),"RoutCat",RIGHT(B337,2),"Euro")</f>
        <v>DévRoutCat24Euro</v>
      </c>
      <c r="F342" t="s">
        <v>36</v>
      </c>
      <c r="G342" s="5" cm="1">
        <f t="array" ref="G342">IF((INDEX('Remplissage - Sit. Init.'!$C$23:$I$472,MATCH((B342)&amp;('Remplissage - Sit. Init.'!$D$30),('Remplissage - Sit. Init.'!$C$23:$C$472)&amp;('Remplissage - Sit. Init.'!$D$23:$D$472),0),7))&gt;0,0,1)</f>
        <v>1</v>
      </c>
      <c r="I342">
        <f>VLOOKUP(I337,'Parcs types'!$D$7:$M$54,5,FALSE)</f>
        <v>0</v>
      </c>
      <c r="K342" s="4">
        <f t="shared" si="404"/>
        <v>0</v>
      </c>
    </row>
    <row r="343" spans="1:11" x14ac:dyDescent="0.25">
      <c r="A343" t="s">
        <v>1342</v>
      </c>
      <c r="B343" s="32" t="s">
        <v>112</v>
      </c>
      <c r="C343" t="s">
        <v>84</v>
      </c>
      <c r="E343" t="str">
        <f t="shared" ref="E343" si="410">_xlfn.CONCAT(LEFT(A337,3),"RoutCat",RIGHT(B337,2),"CritAir")</f>
        <v>DévRoutCat24CritAir</v>
      </c>
      <c r="F343" t="s">
        <v>36</v>
      </c>
      <c r="G343" s="5" cm="1">
        <f t="array" ref="G343">IF((INDEX('Remplissage - Sit. Init.'!$C$23:$I$472,MATCH((B343)&amp;('Remplissage - Sit. Init.'!$D$30),('Remplissage - Sit. Init.'!$C$23:$C$472)&amp;('Remplissage - Sit. Init.'!$D$23:$D$472),0),7))&gt;0,0,1)</f>
        <v>1</v>
      </c>
      <c r="H343" s="32"/>
      <c r="I343">
        <f>VLOOKUP(I337,'Parcs types'!$D$7:$M$54,6,FALSE)</f>
        <v>2</v>
      </c>
      <c r="K343" s="4">
        <f t="shared" si="404"/>
        <v>2</v>
      </c>
    </row>
    <row r="344" spans="1:11" x14ac:dyDescent="0.25">
      <c r="A344" t="s">
        <v>1342</v>
      </c>
      <c r="B344" s="32" t="s">
        <v>112</v>
      </c>
      <c r="C344" t="s">
        <v>85</v>
      </c>
      <c r="E344" t="str">
        <f t="shared" ref="E344" si="411">_xlfn.CONCAT(LEFT(A337,3),"RoutCat",RIGHT(B337,2),"Nb")</f>
        <v>DévRoutCat24Nb</v>
      </c>
      <c r="F344" t="s">
        <v>17</v>
      </c>
      <c r="G344" s="5" cm="1">
        <f t="array" ref="G344">IF((INDEX('Remplissage - Sit. Init.'!$C$23:$I$472,MATCH((B344)&amp;('Remplissage - Sit. Init.'!$D$30),('Remplissage - Sit. Init.'!$C$23:$C$472)&amp;('Remplissage - Sit. Init.'!$D$23:$D$472),0),7))&gt;0,0,1)</f>
        <v>1</v>
      </c>
      <c r="J344" t="s">
        <v>86</v>
      </c>
      <c r="K344">
        <f>VLOOKUP($I337,'Parcs types'!$D$7:$M$54,9,FALSE)</f>
        <v>0</v>
      </c>
    </row>
    <row r="345" spans="1:11" x14ac:dyDescent="0.25">
      <c r="A345" t="s">
        <v>1342</v>
      </c>
      <c r="B345" s="32" t="s">
        <v>112</v>
      </c>
      <c r="C345" t="s">
        <v>87</v>
      </c>
      <c r="E345" t="str">
        <f t="shared" ref="E345" si="412">_xlfn.CONCAT(LEFT(A337,3),"RoutCat",RIGHT(B337,2),"Dist")</f>
        <v>DévRoutCat24Dist</v>
      </c>
      <c r="F345" t="s">
        <v>17</v>
      </c>
      <c r="G345" s="5" cm="1">
        <f t="array" ref="G345">IF((INDEX('Remplissage - Sit. Init.'!$C$23:$I$472,MATCH((B345)&amp;('Remplissage - Sit. Init.'!$D$30),('Remplissage - Sit. Init.'!$C$23:$C$472)&amp;('Remplissage - Sit. Init.'!$D$23:$D$472),0),7))&gt;0,0,1)</f>
        <v>1</v>
      </c>
      <c r="H345" s="32"/>
      <c r="J345" t="s">
        <v>88</v>
      </c>
      <c r="K345">
        <f>VLOOKUP($I337,'Parcs types'!$D$7:$M$54,7,FALSE)</f>
        <v>42385.998762263436</v>
      </c>
    </row>
    <row r="346" spans="1:11" x14ac:dyDescent="0.25">
      <c r="A346" t="s">
        <v>1342</v>
      </c>
      <c r="B346" s="32" t="s">
        <v>112</v>
      </c>
      <c r="C346" s="32" t="s">
        <v>89</v>
      </c>
      <c r="E346" t="str">
        <f t="shared" ref="E346" si="413">_xlfn.CONCAT(LEFT(A337,3),"RoutCat",RIGHT(B337,2),"Rempl")</f>
        <v>DévRoutCat24Rempl</v>
      </c>
      <c r="F346" t="s">
        <v>17</v>
      </c>
      <c r="G346" s="5" cm="1">
        <f t="array" ref="G346">IF((INDEX('Remplissage - Sit. Init.'!$C$23:$I$472,MATCH((B346)&amp;('Remplissage - Sit. Init.'!$D$30),('Remplissage - Sit. Init.'!$C$23:$C$472)&amp;('Remplissage - Sit. Init.'!$D$23:$D$472),0),7))&gt;0,0,1)</f>
        <v>1</v>
      </c>
      <c r="H346" s="36"/>
      <c r="J346" t="s">
        <v>70</v>
      </c>
      <c r="K346">
        <f>VLOOKUP($I337,'Parcs types'!$D$7:$M$54,8,FALSE)</f>
        <v>0</v>
      </c>
    </row>
    <row r="347" spans="1:11" x14ac:dyDescent="0.25">
      <c r="A347" t="s">
        <v>1342</v>
      </c>
      <c r="B347" s="32" t="s">
        <v>113</v>
      </c>
      <c r="C347" t="s">
        <v>78</v>
      </c>
      <c r="E347" t="str">
        <f t="shared" ref="E347" si="414">_xlfn.CONCAT(LEFT(A347,3),"RoutCat",RIGHT(B347,2),"Nom")</f>
        <v>DévRoutCat25Nom</v>
      </c>
      <c r="F347" t="s">
        <v>20</v>
      </c>
      <c r="G347" s="5" cm="1">
        <f t="array" ref="G347">IF((INDEX('Remplissage - Sit. Init.'!$C$23:$I$472,MATCH((B347)&amp;('Remplissage - Sit. Init.'!$D$30),('Remplissage - Sit. Init.'!$C$23:$C$472)&amp;('Remplissage - Sit. Init.'!$D$23:$D$472),0),7))&gt;0,0,1)</f>
        <v>1</v>
      </c>
      <c r="H347" s="4"/>
      <c r="I347" s="4" t="str">
        <f>'Parcs types'!D34</f>
        <v>PL Diesel &gt;14-20t (Crit'Air 3)</v>
      </c>
      <c r="K347" s="4" t="str">
        <f t="shared" ref="K347:K353" si="415">I347</f>
        <v>PL Diesel &gt;14-20t (Crit'Air 3)</v>
      </c>
    </row>
    <row r="348" spans="1:11" x14ac:dyDescent="0.25">
      <c r="A348" t="s">
        <v>1342</v>
      </c>
      <c r="B348" s="32" t="s">
        <v>113</v>
      </c>
      <c r="C348" t="s">
        <v>79</v>
      </c>
      <c r="E348" t="str">
        <f t="shared" ref="E348" si="416">_xlfn.CONCAT(LEFT(A347,3),"RoutCat",RIGHT(B347,2),"Type")</f>
        <v>DévRoutCat25Type</v>
      </c>
      <c r="F348" t="s">
        <v>20</v>
      </c>
      <c r="G348" s="5" cm="1">
        <f t="array" ref="G348">IF((INDEX('Remplissage - Sit. Init.'!$C$23:$I$472,MATCH((B348)&amp;('Remplissage - Sit. Init.'!$D$30),('Remplissage - Sit. Init.'!$C$23:$C$472)&amp;('Remplissage - Sit. Init.'!$D$23:$D$472),0),7))&gt;0,0,1)</f>
        <v>1</v>
      </c>
      <c r="I348" t="str">
        <f>IF(K349='Parcs types'!$E$10,"VUL",LEFT('Remplissage - Sit. Prev.'!K347,SEARCH('Remplissage - Sit. Prev.'!K350,'Remplissage - Sit. Prev.'!K347)-2))</f>
        <v>PL</v>
      </c>
      <c r="K348" s="4" t="str">
        <f t="shared" si="415"/>
        <v>PL</v>
      </c>
    </row>
    <row r="349" spans="1:11" x14ac:dyDescent="0.25">
      <c r="A349" t="s">
        <v>1342</v>
      </c>
      <c r="B349" s="32" t="s">
        <v>113</v>
      </c>
      <c r="C349" t="s">
        <v>80</v>
      </c>
      <c r="E349" t="str">
        <f t="shared" ref="E349" si="417">_xlfn.CONCAT(LEFT(A347,3),"RoutCat",RIGHT(B347,2),"PTAC")</f>
        <v>DévRoutCat25PTAC</v>
      </c>
      <c r="F349" t="s">
        <v>36</v>
      </c>
      <c r="G349" s="5" cm="1">
        <f t="array" ref="G349">IF((INDEX('Remplissage - Sit. Init.'!$C$23:$I$472,MATCH((B349)&amp;('Remplissage - Sit. Init.'!$D$30),('Remplissage - Sit. Init.'!$C$23:$C$472)&amp;('Remplissage - Sit. Init.'!$D$23:$D$472),0),7))&gt;0,0,1)</f>
        <v>1</v>
      </c>
      <c r="I349" t="str">
        <f>VLOOKUP(I347,'Parcs types'!$D$7:$M$54,2,FALSE)</f>
        <v>&gt;14-20t</v>
      </c>
      <c r="K349" s="4" t="str">
        <f t="shared" si="415"/>
        <v>&gt;14-20t</v>
      </c>
    </row>
    <row r="350" spans="1:11" x14ac:dyDescent="0.25">
      <c r="A350" t="s">
        <v>1342</v>
      </c>
      <c r="B350" s="32" t="s">
        <v>113</v>
      </c>
      <c r="C350" t="s">
        <v>81</v>
      </c>
      <c r="E350" t="str">
        <f t="shared" ref="E350" si="418">_xlfn.CONCAT(LEFT(A347,3),"RoutCat",RIGHT(B347,2),"Mot")</f>
        <v>DévRoutCat25Mot</v>
      </c>
      <c r="F350" t="s">
        <v>36</v>
      </c>
      <c r="G350" s="5" cm="1">
        <f t="array" ref="G350">IF((INDEX('Remplissage - Sit. Init.'!$C$23:$I$472,MATCH((B350)&amp;('Remplissage - Sit. Init.'!$D$30),('Remplissage - Sit. Init.'!$C$23:$C$472)&amp;('Remplissage - Sit. Init.'!$D$23:$D$472),0),7))&gt;0,0,1)</f>
        <v>1</v>
      </c>
      <c r="H350" s="32"/>
      <c r="I350" t="str">
        <f>VLOOKUP(I347,'Parcs types'!$D$7:$M$54,3,FALSE)</f>
        <v>Diesel</v>
      </c>
      <c r="K350" s="4" t="str">
        <f t="shared" si="415"/>
        <v>Diesel</v>
      </c>
    </row>
    <row r="351" spans="1:11" x14ac:dyDescent="0.25">
      <c r="A351" t="s">
        <v>1342</v>
      </c>
      <c r="B351" s="32" t="s">
        <v>113</v>
      </c>
      <c r="C351" t="s">
        <v>82</v>
      </c>
      <c r="E351" t="str">
        <f t="shared" ref="E351" si="419">_xlfn.CONCAT(LEFT(A347,3),"RoutCat",RIGHT(B347,2),"Carb")</f>
        <v>DévRoutCat25Carb</v>
      </c>
      <c r="F351" t="s">
        <v>36</v>
      </c>
      <c r="G351" s="5" cm="1">
        <f t="array" ref="G351">IF((INDEX('Remplissage - Sit. Init.'!$C$23:$I$472,MATCH((B351)&amp;('Remplissage - Sit. Init.'!$D$30),('Remplissage - Sit. Init.'!$C$23:$C$472)&amp;('Remplissage - Sit. Init.'!$D$23:$D$472),0),7))&gt;0,0,1)</f>
        <v>1</v>
      </c>
      <c r="I351" t="str">
        <f>VLOOKUP(I347,'Parcs types'!$D$7:$M$54,4,FALSE)</f>
        <v>Gazole à la pompe</v>
      </c>
      <c r="K351" s="4" t="str">
        <f t="shared" si="415"/>
        <v>Gazole à la pompe</v>
      </c>
    </row>
    <row r="352" spans="1:11" x14ac:dyDescent="0.25">
      <c r="A352" t="s">
        <v>1342</v>
      </c>
      <c r="B352" s="32" t="s">
        <v>113</v>
      </c>
      <c r="C352" t="s">
        <v>83</v>
      </c>
      <c r="E352" t="str">
        <f t="shared" ref="E352" si="420">_xlfn.CONCAT(LEFT(A347,3),"RoutCat",RIGHT(B347,2),"Euro")</f>
        <v>DévRoutCat25Euro</v>
      </c>
      <c r="F352" t="s">
        <v>36</v>
      </c>
      <c r="G352" s="5" cm="1">
        <f t="array" ref="G352">IF((INDEX('Remplissage - Sit. Init.'!$C$23:$I$472,MATCH((B352)&amp;('Remplissage - Sit. Init.'!$D$30),('Remplissage - Sit. Init.'!$C$23:$C$472)&amp;('Remplissage - Sit. Init.'!$D$23:$D$472),0),7))&gt;0,0,1)</f>
        <v>1</v>
      </c>
      <c r="I352">
        <f>VLOOKUP(I347,'Parcs types'!$D$7:$M$54,5,FALSE)</f>
        <v>0</v>
      </c>
      <c r="K352" s="4">
        <f t="shared" si="415"/>
        <v>0</v>
      </c>
    </row>
    <row r="353" spans="1:11" x14ac:dyDescent="0.25">
      <c r="A353" t="s">
        <v>1342</v>
      </c>
      <c r="B353" s="32" t="s">
        <v>113</v>
      </c>
      <c r="C353" t="s">
        <v>84</v>
      </c>
      <c r="E353" t="str">
        <f t="shared" ref="E353" si="421">_xlfn.CONCAT(LEFT(A347,3),"RoutCat",RIGHT(B347,2),"CritAir")</f>
        <v>DévRoutCat25CritAir</v>
      </c>
      <c r="F353" t="s">
        <v>36</v>
      </c>
      <c r="G353" s="5" cm="1">
        <f t="array" ref="G353">IF((INDEX('Remplissage - Sit. Init.'!$C$23:$I$472,MATCH((B353)&amp;('Remplissage - Sit. Init.'!$D$30),('Remplissage - Sit. Init.'!$C$23:$C$472)&amp;('Remplissage - Sit. Init.'!$D$23:$D$472),0),7))&gt;0,0,1)</f>
        <v>1</v>
      </c>
      <c r="H353" s="32"/>
      <c r="I353">
        <f>VLOOKUP(I347,'Parcs types'!$D$7:$M$54,6,FALSE)</f>
        <v>3</v>
      </c>
      <c r="K353" s="4">
        <f t="shared" si="415"/>
        <v>3</v>
      </c>
    </row>
    <row r="354" spans="1:11" x14ac:dyDescent="0.25">
      <c r="A354" t="s">
        <v>1342</v>
      </c>
      <c r="B354" s="32" t="s">
        <v>113</v>
      </c>
      <c r="C354" t="s">
        <v>85</v>
      </c>
      <c r="E354" t="str">
        <f t="shared" ref="E354" si="422">_xlfn.CONCAT(LEFT(A347,3),"RoutCat",RIGHT(B347,2),"Nb")</f>
        <v>DévRoutCat25Nb</v>
      </c>
      <c r="F354" t="s">
        <v>17</v>
      </c>
      <c r="G354" s="5" cm="1">
        <f t="array" ref="G354">IF((INDEX('Remplissage - Sit. Init.'!$C$23:$I$472,MATCH((B354)&amp;('Remplissage - Sit. Init.'!$D$30),('Remplissage - Sit. Init.'!$C$23:$C$472)&amp;('Remplissage - Sit. Init.'!$D$23:$D$472),0),7))&gt;0,0,1)</f>
        <v>1</v>
      </c>
      <c r="J354" t="s">
        <v>86</v>
      </c>
      <c r="K354">
        <f>VLOOKUP($I347,'Parcs types'!$D$7:$M$54,9,FALSE)</f>
        <v>0</v>
      </c>
    </row>
    <row r="355" spans="1:11" x14ac:dyDescent="0.25">
      <c r="A355" t="s">
        <v>1342</v>
      </c>
      <c r="B355" s="32" t="s">
        <v>113</v>
      </c>
      <c r="C355" t="s">
        <v>87</v>
      </c>
      <c r="E355" t="str">
        <f t="shared" ref="E355" si="423">_xlfn.CONCAT(LEFT(A347,3),"RoutCat",RIGHT(B347,2),"Dist")</f>
        <v>DévRoutCat25Dist</v>
      </c>
      <c r="F355" t="s">
        <v>17</v>
      </c>
      <c r="G355" s="5" cm="1">
        <f t="array" ref="G355">IF((INDEX('Remplissage - Sit. Init.'!$C$23:$I$472,MATCH((B355)&amp;('Remplissage - Sit. Init.'!$D$30),('Remplissage - Sit. Init.'!$C$23:$C$472)&amp;('Remplissage - Sit. Init.'!$D$23:$D$472),0),7))&gt;0,0,1)</f>
        <v>1</v>
      </c>
      <c r="H355" s="32"/>
      <c r="J355" t="s">
        <v>88</v>
      </c>
      <c r="K355">
        <f>VLOOKUP($I347,'Parcs types'!$D$7:$M$54,7,FALSE)</f>
        <v>42385.998762263436</v>
      </c>
    </row>
    <row r="356" spans="1:11" x14ac:dyDescent="0.25">
      <c r="A356" t="s">
        <v>1342</v>
      </c>
      <c r="B356" s="32" t="s">
        <v>113</v>
      </c>
      <c r="C356" s="32" t="s">
        <v>89</v>
      </c>
      <c r="E356" t="str">
        <f t="shared" ref="E356" si="424">_xlfn.CONCAT(LEFT(A347,3),"RoutCat",RIGHT(B347,2),"Rempl")</f>
        <v>DévRoutCat25Rempl</v>
      </c>
      <c r="F356" t="s">
        <v>17</v>
      </c>
      <c r="G356" s="5" cm="1">
        <f t="array" ref="G356">IF((INDEX('Remplissage - Sit. Init.'!$C$23:$I$472,MATCH((B356)&amp;('Remplissage - Sit. Init.'!$D$30),('Remplissage - Sit. Init.'!$C$23:$C$472)&amp;('Remplissage - Sit. Init.'!$D$23:$D$472),0),7))&gt;0,0,1)</f>
        <v>1</v>
      </c>
      <c r="H356" s="36"/>
      <c r="J356" t="s">
        <v>70</v>
      </c>
      <c r="K356">
        <f>VLOOKUP($I347,'Parcs types'!$D$7:$M$54,8,FALSE)</f>
        <v>0</v>
      </c>
    </row>
    <row r="357" spans="1:11" x14ac:dyDescent="0.25">
      <c r="A357" t="s">
        <v>1342</v>
      </c>
      <c r="B357" s="32" t="s">
        <v>114</v>
      </c>
      <c r="C357" t="s">
        <v>78</v>
      </c>
      <c r="E357" t="str">
        <f t="shared" ref="E357" si="425">_xlfn.CONCAT(LEFT(A357,3),"RoutCat",RIGHT(B357,2),"Nom")</f>
        <v>DévRoutCat26Nom</v>
      </c>
      <c r="F357" t="s">
        <v>20</v>
      </c>
      <c r="G357" s="5" cm="1">
        <f t="array" ref="G357">IF((INDEX('Remplissage - Sit. Init.'!$C$23:$I$472,MATCH((B357)&amp;('Remplissage - Sit. Init.'!$D$30),('Remplissage - Sit. Init.'!$C$23:$C$472)&amp;('Remplissage - Sit. Init.'!$D$23:$D$472),0),7))&gt;0,0,1)</f>
        <v>1</v>
      </c>
      <c r="H357" s="4"/>
      <c r="I357" s="4" t="str">
        <f>'Parcs types'!D35</f>
        <v>PL Diesel &gt;14-20t (Crit'Air 4)</v>
      </c>
      <c r="K357" s="4" t="str">
        <f t="shared" ref="K357:K363" si="426">I357</f>
        <v>PL Diesel &gt;14-20t (Crit'Air 4)</v>
      </c>
    </row>
    <row r="358" spans="1:11" x14ac:dyDescent="0.25">
      <c r="A358" t="s">
        <v>1342</v>
      </c>
      <c r="B358" s="32" t="s">
        <v>114</v>
      </c>
      <c r="C358" t="s">
        <v>79</v>
      </c>
      <c r="E358" t="str">
        <f t="shared" ref="E358" si="427">_xlfn.CONCAT(LEFT(A357,3),"RoutCat",RIGHT(B357,2),"Type")</f>
        <v>DévRoutCat26Type</v>
      </c>
      <c r="F358" t="s">
        <v>20</v>
      </c>
      <c r="G358" s="5" cm="1">
        <f t="array" ref="G358">IF((INDEX('Remplissage - Sit. Init.'!$C$23:$I$472,MATCH((B358)&amp;('Remplissage - Sit. Init.'!$D$30),('Remplissage - Sit. Init.'!$C$23:$C$472)&amp;('Remplissage - Sit. Init.'!$D$23:$D$472),0),7))&gt;0,0,1)</f>
        <v>1</v>
      </c>
      <c r="I358" t="str">
        <f>IF(K359='Parcs types'!$E$10,"VUL",LEFT('Remplissage - Sit. Prev.'!K357,SEARCH('Remplissage - Sit. Prev.'!K360,'Remplissage - Sit. Prev.'!K357)-2))</f>
        <v>PL</v>
      </c>
      <c r="K358" s="4" t="str">
        <f t="shared" si="426"/>
        <v>PL</v>
      </c>
    </row>
    <row r="359" spans="1:11" x14ac:dyDescent="0.25">
      <c r="A359" t="s">
        <v>1342</v>
      </c>
      <c r="B359" s="32" t="s">
        <v>114</v>
      </c>
      <c r="C359" t="s">
        <v>80</v>
      </c>
      <c r="E359" t="str">
        <f t="shared" ref="E359" si="428">_xlfn.CONCAT(LEFT(A357,3),"RoutCat",RIGHT(B357,2),"PTAC")</f>
        <v>DévRoutCat26PTAC</v>
      </c>
      <c r="F359" t="s">
        <v>36</v>
      </c>
      <c r="G359" s="5" cm="1">
        <f t="array" ref="G359">IF((INDEX('Remplissage - Sit. Init.'!$C$23:$I$472,MATCH((B359)&amp;('Remplissage - Sit. Init.'!$D$30),('Remplissage - Sit. Init.'!$C$23:$C$472)&amp;('Remplissage - Sit. Init.'!$D$23:$D$472),0),7))&gt;0,0,1)</f>
        <v>1</v>
      </c>
      <c r="I359" t="str">
        <f>VLOOKUP(I357,'Parcs types'!$D$7:$M$54,2,FALSE)</f>
        <v>&gt;14-20t</v>
      </c>
      <c r="K359" s="4" t="str">
        <f t="shared" si="426"/>
        <v>&gt;14-20t</v>
      </c>
    </row>
    <row r="360" spans="1:11" x14ac:dyDescent="0.25">
      <c r="A360" t="s">
        <v>1342</v>
      </c>
      <c r="B360" s="32" t="s">
        <v>114</v>
      </c>
      <c r="C360" t="s">
        <v>81</v>
      </c>
      <c r="E360" t="str">
        <f t="shared" ref="E360" si="429">_xlfn.CONCAT(LEFT(A357,3),"RoutCat",RIGHT(B357,2),"Mot")</f>
        <v>DévRoutCat26Mot</v>
      </c>
      <c r="F360" t="s">
        <v>36</v>
      </c>
      <c r="G360" s="5" cm="1">
        <f t="array" ref="G360">IF((INDEX('Remplissage - Sit. Init.'!$C$23:$I$472,MATCH((B360)&amp;('Remplissage - Sit. Init.'!$D$30),('Remplissage - Sit. Init.'!$C$23:$C$472)&amp;('Remplissage - Sit. Init.'!$D$23:$D$472),0),7))&gt;0,0,1)</f>
        <v>1</v>
      </c>
      <c r="H360" s="32"/>
      <c r="I360" t="str">
        <f>VLOOKUP(I357,'Parcs types'!$D$7:$M$54,3,FALSE)</f>
        <v>Diesel</v>
      </c>
      <c r="K360" s="4" t="str">
        <f t="shared" si="426"/>
        <v>Diesel</v>
      </c>
    </row>
    <row r="361" spans="1:11" x14ac:dyDescent="0.25">
      <c r="A361" t="s">
        <v>1342</v>
      </c>
      <c r="B361" s="32" t="s">
        <v>114</v>
      </c>
      <c r="C361" t="s">
        <v>82</v>
      </c>
      <c r="E361" t="str">
        <f t="shared" ref="E361" si="430">_xlfn.CONCAT(LEFT(A357,3),"RoutCat",RIGHT(B357,2),"Carb")</f>
        <v>DévRoutCat26Carb</v>
      </c>
      <c r="F361" t="s">
        <v>36</v>
      </c>
      <c r="G361" s="5" cm="1">
        <f t="array" ref="G361">IF((INDEX('Remplissage - Sit. Init.'!$C$23:$I$472,MATCH((B361)&amp;('Remplissage - Sit. Init.'!$D$30),('Remplissage - Sit. Init.'!$C$23:$C$472)&amp;('Remplissage - Sit. Init.'!$D$23:$D$472),0),7))&gt;0,0,1)</f>
        <v>1</v>
      </c>
      <c r="I361" t="str">
        <f>VLOOKUP(I357,'Parcs types'!$D$7:$M$54,4,FALSE)</f>
        <v>Gazole à la pompe</v>
      </c>
      <c r="K361" s="4" t="str">
        <f t="shared" si="426"/>
        <v>Gazole à la pompe</v>
      </c>
    </row>
    <row r="362" spans="1:11" x14ac:dyDescent="0.25">
      <c r="A362" t="s">
        <v>1342</v>
      </c>
      <c r="B362" s="32" t="s">
        <v>114</v>
      </c>
      <c r="C362" t="s">
        <v>83</v>
      </c>
      <c r="E362" t="str">
        <f t="shared" ref="E362" si="431">_xlfn.CONCAT(LEFT(A357,3),"RoutCat",RIGHT(B357,2),"Euro")</f>
        <v>DévRoutCat26Euro</v>
      </c>
      <c r="F362" t="s">
        <v>36</v>
      </c>
      <c r="G362" s="5" cm="1">
        <f t="array" ref="G362">IF((INDEX('Remplissage - Sit. Init.'!$C$23:$I$472,MATCH((B362)&amp;('Remplissage - Sit. Init.'!$D$30),('Remplissage - Sit. Init.'!$C$23:$C$472)&amp;('Remplissage - Sit. Init.'!$D$23:$D$472),0),7))&gt;0,0,1)</f>
        <v>1</v>
      </c>
      <c r="I362">
        <f>VLOOKUP(I357,'Parcs types'!$D$7:$M$54,5,FALSE)</f>
        <v>0</v>
      </c>
      <c r="K362" s="4">
        <f t="shared" si="426"/>
        <v>0</v>
      </c>
    </row>
    <row r="363" spans="1:11" x14ac:dyDescent="0.25">
      <c r="A363" t="s">
        <v>1342</v>
      </c>
      <c r="B363" s="32" t="s">
        <v>114</v>
      </c>
      <c r="C363" t="s">
        <v>84</v>
      </c>
      <c r="E363" t="str">
        <f t="shared" ref="E363" si="432">_xlfn.CONCAT(LEFT(A357,3),"RoutCat",RIGHT(B357,2),"CritAir")</f>
        <v>DévRoutCat26CritAir</v>
      </c>
      <c r="F363" t="s">
        <v>36</v>
      </c>
      <c r="G363" s="5" cm="1">
        <f t="array" ref="G363">IF((INDEX('Remplissage - Sit. Init.'!$C$23:$I$472,MATCH((B363)&amp;('Remplissage - Sit. Init.'!$D$30),('Remplissage - Sit. Init.'!$C$23:$C$472)&amp;('Remplissage - Sit. Init.'!$D$23:$D$472),0),7))&gt;0,0,1)</f>
        <v>1</v>
      </c>
      <c r="H363" s="32"/>
      <c r="I363">
        <f>VLOOKUP(I357,'Parcs types'!$D$7:$M$54,6,FALSE)</f>
        <v>4</v>
      </c>
      <c r="K363" s="4">
        <f t="shared" si="426"/>
        <v>4</v>
      </c>
    </row>
    <row r="364" spans="1:11" x14ac:dyDescent="0.25">
      <c r="A364" t="s">
        <v>1342</v>
      </c>
      <c r="B364" s="32" t="s">
        <v>114</v>
      </c>
      <c r="C364" t="s">
        <v>85</v>
      </c>
      <c r="E364" t="str">
        <f t="shared" ref="E364" si="433">_xlfn.CONCAT(LEFT(A357,3),"RoutCat",RIGHT(B357,2),"Nb")</f>
        <v>DévRoutCat26Nb</v>
      </c>
      <c r="F364" t="s">
        <v>17</v>
      </c>
      <c r="G364" s="5" cm="1">
        <f t="array" ref="G364">IF((INDEX('Remplissage - Sit. Init.'!$C$23:$I$472,MATCH((B364)&amp;('Remplissage - Sit. Init.'!$D$30),('Remplissage - Sit. Init.'!$C$23:$C$472)&amp;('Remplissage - Sit. Init.'!$D$23:$D$472),0),7))&gt;0,0,1)</f>
        <v>1</v>
      </c>
      <c r="J364" t="s">
        <v>86</v>
      </c>
      <c r="K364">
        <f>VLOOKUP($I357,'Parcs types'!$D$7:$M$54,9,FALSE)</f>
        <v>0</v>
      </c>
    </row>
    <row r="365" spans="1:11" x14ac:dyDescent="0.25">
      <c r="A365" t="s">
        <v>1342</v>
      </c>
      <c r="B365" s="32" t="s">
        <v>114</v>
      </c>
      <c r="C365" t="s">
        <v>87</v>
      </c>
      <c r="E365" t="str">
        <f t="shared" ref="E365" si="434">_xlfn.CONCAT(LEFT(A357,3),"RoutCat",RIGHT(B357,2),"Dist")</f>
        <v>DévRoutCat26Dist</v>
      </c>
      <c r="F365" t="s">
        <v>17</v>
      </c>
      <c r="G365" s="5" cm="1">
        <f t="array" ref="G365">IF((INDEX('Remplissage - Sit. Init.'!$C$23:$I$472,MATCH((B365)&amp;('Remplissage - Sit. Init.'!$D$30),('Remplissage - Sit. Init.'!$C$23:$C$472)&amp;('Remplissage - Sit. Init.'!$D$23:$D$472),0),7))&gt;0,0,1)</f>
        <v>1</v>
      </c>
      <c r="H365" s="32"/>
      <c r="J365" t="s">
        <v>88</v>
      </c>
      <c r="K365">
        <f>VLOOKUP($I357,'Parcs types'!$D$7:$M$54,7,FALSE)</f>
        <v>42385.998762263436</v>
      </c>
    </row>
    <row r="366" spans="1:11" x14ac:dyDescent="0.25">
      <c r="A366" t="s">
        <v>1342</v>
      </c>
      <c r="B366" s="32" t="s">
        <v>114</v>
      </c>
      <c r="C366" s="32" t="s">
        <v>89</v>
      </c>
      <c r="E366" t="str">
        <f t="shared" ref="E366" si="435">_xlfn.CONCAT(LEFT(A357,3),"RoutCat",RIGHT(B357,2),"Rempl")</f>
        <v>DévRoutCat26Rempl</v>
      </c>
      <c r="F366" t="s">
        <v>17</v>
      </c>
      <c r="G366" s="5" cm="1">
        <f t="array" ref="G366">IF((INDEX('Remplissage - Sit. Init.'!$C$23:$I$472,MATCH((B366)&amp;('Remplissage - Sit. Init.'!$D$30),('Remplissage - Sit. Init.'!$C$23:$C$472)&amp;('Remplissage - Sit. Init.'!$D$23:$D$472),0),7))&gt;0,0,1)</f>
        <v>1</v>
      </c>
      <c r="H366" s="36"/>
      <c r="J366" t="s">
        <v>70</v>
      </c>
      <c r="K366">
        <f>VLOOKUP($I357,'Parcs types'!$D$7:$M$54,8,FALSE)</f>
        <v>0</v>
      </c>
    </row>
    <row r="367" spans="1:11" x14ac:dyDescent="0.25">
      <c r="A367" t="s">
        <v>1342</v>
      </c>
      <c r="B367" s="32" t="s">
        <v>115</v>
      </c>
      <c r="C367" t="s">
        <v>78</v>
      </c>
      <c r="E367" t="str">
        <f t="shared" ref="E367" si="436">_xlfn.CONCAT(LEFT(A367,3),"RoutCat",RIGHT(B367,2),"Nom")</f>
        <v>DévRoutCat27Nom</v>
      </c>
      <c r="F367" t="s">
        <v>20</v>
      </c>
      <c r="G367" s="5" cm="1">
        <f t="array" ref="G367">IF((INDEX('Remplissage - Sit. Init.'!$C$23:$I$472,MATCH((B367)&amp;('Remplissage - Sit. Init.'!$D$30),('Remplissage - Sit. Init.'!$C$23:$C$472)&amp;('Remplissage - Sit. Init.'!$D$23:$D$472),0),7))&gt;0,0,1)</f>
        <v>1</v>
      </c>
      <c r="H367" s="4"/>
      <c r="I367" s="4" t="str">
        <f>'Parcs types'!D36</f>
        <v>PL Diesel &gt;14-20t (Crit'Air 5)</v>
      </c>
      <c r="K367" s="4" t="str">
        <f t="shared" ref="K367:K373" si="437">I367</f>
        <v>PL Diesel &gt;14-20t (Crit'Air 5)</v>
      </c>
    </row>
    <row r="368" spans="1:11" x14ac:dyDescent="0.25">
      <c r="A368" t="s">
        <v>1342</v>
      </c>
      <c r="B368" s="32" t="s">
        <v>115</v>
      </c>
      <c r="C368" t="s">
        <v>79</v>
      </c>
      <c r="E368" t="str">
        <f t="shared" ref="E368" si="438">_xlfn.CONCAT(LEFT(A367,3),"RoutCat",RIGHT(B367,2),"Type")</f>
        <v>DévRoutCat27Type</v>
      </c>
      <c r="F368" t="s">
        <v>20</v>
      </c>
      <c r="G368" s="5" cm="1">
        <f t="array" ref="G368">IF((INDEX('Remplissage - Sit. Init.'!$C$23:$I$472,MATCH((B368)&amp;('Remplissage - Sit. Init.'!$D$30),('Remplissage - Sit. Init.'!$C$23:$C$472)&amp;('Remplissage - Sit. Init.'!$D$23:$D$472),0),7))&gt;0,0,1)</f>
        <v>1</v>
      </c>
      <c r="I368" t="str">
        <f>IF(K369='Parcs types'!$E$10,"VUL",LEFT('Remplissage - Sit. Prev.'!K367,SEARCH('Remplissage - Sit. Prev.'!K370,'Remplissage - Sit. Prev.'!K367)-2))</f>
        <v>PL</v>
      </c>
      <c r="K368" s="4" t="str">
        <f t="shared" si="437"/>
        <v>PL</v>
      </c>
    </row>
    <row r="369" spans="1:11" x14ac:dyDescent="0.25">
      <c r="A369" t="s">
        <v>1342</v>
      </c>
      <c r="B369" s="32" t="s">
        <v>115</v>
      </c>
      <c r="C369" t="s">
        <v>80</v>
      </c>
      <c r="E369" t="str">
        <f t="shared" ref="E369" si="439">_xlfn.CONCAT(LEFT(A367,3),"RoutCat",RIGHT(B367,2),"PTAC")</f>
        <v>DévRoutCat27PTAC</v>
      </c>
      <c r="F369" t="s">
        <v>36</v>
      </c>
      <c r="G369" s="5" cm="1">
        <f t="array" ref="G369">IF((INDEX('Remplissage - Sit. Init.'!$C$23:$I$472,MATCH((B369)&amp;('Remplissage - Sit. Init.'!$D$30),('Remplissage - Sit. Init.'!$C$23:$C$472)&amp;('Remplissage - Sit. Init.'!$D$23:$D$472),0),7))&gt;0,0,1)</f>
        <v>1</v>
      </c>
      <c r="I369" t="str">
        <f>VLOOKUP(I367,'Parcs types'!$D$7:$M$54,2,FALSE)</f>
        <v>&gt;14-20t</v>
      </c>
      <c r="K369" s="4" t="str">
        <f t="shared" si="437"/>
        <v>&gt;14-20t</v>
      </c>
    </row>
    <row r="370" spans="1:11" x14ac:dyDescent="0.25">
      <c r="A370" t="s">
        <v>1342</v>
      </c>
      <c r="B370" s="32" t="s">
        <v>115</v>
      </c>
      <c r="C370" t="s">
        <v>81</v>
      </c>
      <c r="E370" t="str">
        <f t="shared" ref="E370" si="440">_xlfn.CONCAT(LEFT(A367,3),"RoutCat",RIGHT(B367,2),"Mot")</f>
        <v>DévRoutCat27Mot</v>
      </c>
      <c r="F370" t="s">
        <v>36</v>
      </c>
      <c r="G370" s="5" cm="1">
        <f t="array" ref="G370">IF((INDEX('Remplissage - Sit. Init.'!$C$23:$I$472,MATCH((B370)&amp;('Remplissage - Sit. Init.'!$D$30),('Remplissage - Sit. Init.'!$C$23:$C$472)&amp;('Remplissage - Sit. Init.'!$D$23:$D$472),0),7))&gt;0,0,1)</f>
        <v>1</v>
      </c>
      <c r="H370" s="32"/>
      <c r="I370" t="str">
        <f>VLOOKUP(I367,'Parcs types'!$D$7:$M$54,3,FALSE)</f>
        <v>Diesel</v>
      </c>
      <c r="K370" s="4" t="str">
        <f t="shared" si="437"/>
        <v>Diesel</v>
      </c>
    </row>
    <row r="371" spans="1:11" x14ac:dyDescent="0.25">
      <c r="A371" t="s">
        <v>1342</v>
      </c>
      <c r="B371" s="32" t="s">
        <v>115</v>
      </c>
      <c r="C371" t="s">
        <v>82</v>
      </c>
      <c r="E371" t="str">
        <f t="shared" ref="E371" si="441">_xlfn.CONCAT(LEFT(A367,3),"RoutCat",RIGHT(B367,2),"Carb")</f>
        <v>DévRoutCat27Carb</v>
      </c>
      <c r="F371" t="s">
        <v>36</v>
      </c>
      <c r="G371" s="5" cm="1">
        <f t="array" ref="G371">IF((INDEX('Remplissage - Sit. Init.'!$C$23:$I$472,MATCH((B371)&amp;('Remplissage - Sit. Init.'!$D$30),('Remplissage - Sit. Init.'!$C$23:$C$472)&amp;('Remplissage - Sit. Init.'!$D$23:$D$472),0),7))&gt;0,0,1)</f>
        <v>1</v>
      </c>
      <c r="I371" t="str">
        <f>VLOOKUP(I367,'Parcs types'!$D$7:$M$54,4,FALSE)</f>
        <v>Gazole à la pompe</v>
      </c>
      <c r="K371" s="4" t="str">
        <f t="shared" si="437"/>
        <v>Gazole à la pompe</v>
      </c>
    </row>
    <row r="372" spans="1:11" x14ac:dyDescent="0.25">
      <c r="A372" t="s">
        <v>1342</v>
      </c>
      <c r="B372" s="32" t="s">
        <v>115</v>
      </c>
      <c r="C372" t="s">
        <v>83</v>
      </c>
      <c r="E372" t="str">
        <f t="shared" ref="E372" si="442">_xlfn.CONCAT(LEFT(A367,3),"RoutCat",RIGHT(B367,2),"Euro")</f>
        <v>DévRoutCat27Euro</v>
      </c>
      <c r="F372" t="s">
        <v>36</v>
      </c>
      <c r="G372" s="5" cm="1">
        <f t="array" ref="G372">IF((INDEX('Remplissage - Sit. Init.'!$C$23:$I$472,MATCH((B372)&amp;('Remplissage - Sit. Init.'!$D$30),('Remplissage - Sit. Init.'!$C$23:$C$472)&amp;('Remplissage - Sit. Init.'!$D$23:$D$472),0),7))&gt;0,0,1)</f>
        <v>1</v>
      </c>
      <c r="I372">
        <f>VLOOKUP(I367,'Parcs types'!$D$7:$M$54,5,FALSE)</f>
        <v>0</v>
      </c>
      <c r="K372" s="4">
        <f t="shared" si="437"/>
        <v>0</v>
      </c>
    </row>
    <row r="373" spans="1:11" x14ac:dyDescent="0.25">
      <c r="A373" t="s">
        <v>1342</v>
      </c>
      <c r="B373" s="32" t="s">
        <v>115</v>
      </c>
      <c r="C373" t="s">
        <v>84</v>
      </c>
      <c r="E373" t="str">
        <f t="shared" ref="E373" si="443">_xlfn.CONCAT(LEFT(A367,3),"RoutCat",RIGHT(B367,2),"CritAir")</f>
        <v>DévRoutCat27CritAir</v>
      </c>
      <c r="F373" t="s">
        <v>36</v>
      </c>
      <c r="G373" s="5" cm="1">
        <f t="array" ref="G373">IF((INDEX('Remplissage - Sit. Init.'!$C$23:$I$472,MATCH((B373)&amp;('Remplissage - Sit. Init.'!$D$30),('Remplissage - Sit. Init.'!$C$23:$C$472)&amp;('Remplissage - Sit. Init.'!$D$23:$D$472),0),7))&gt;0,0,1)</f>
        <v>1</v>
      </c>
      <c r="H373" s="32"/>
      <c r="I373">
        <f>VLOOKUP(I367,'Parcs types'!$D$7:$M$54,6,FALSE)</f>
        <v>5</v>
      </c>
      <c r="K373" s="4">
        <f t="shared" si="437"/>
        <v>5</v>
      </c>
    </row>
    <row r="374" spans="1:11" x14ac:dyDescent="0.25">
      <c r="A374" t="s">
        <v>1342</v>
      </c>
      <c r="B374" s="32" t="s">
        <v>115</v>
      </c>
      <c r="C374" t="s">
        <v>85</v>
      </c>
      <c r="E374" t="str">
        <f t="shared" ref="E374" si="444">_xlfn.CONCAT(LEFT(A367,3),"RoutCat",RIGHT(B367,2),"Nb")</f>
        <v>DévRoutCat27Nb</v>
      </c>
      <c r="F374" t="s">
        <v>17</v>
      </c>
      <c r="G374" s="5" cm="1">
        <f t="array" ref="G374">IF((INDEX('Remplissage - Sit. Init.'!$C$23:$I$472,MATCH((B374)&amp;('Remplissage - Sit. Init.'!$D$30),('Remplissage - Sit. Init.'!$C$23:$C$472)&amp;('Remplissage - Sit. Init.'!$D$23:$D$472),0),7))&gt;0,0,1)</f>
        <v>1</v>
      </c>
      <c r="J374" t="s">
        <v>86</v>
      </c>
      <c r="K374">
        <f>VLOOKUP($I367,'Parcs types'!$D$7:$M$54,9,FALSE)</f>
        <v>0</v>
      </c>
    </row>
    <row r="375" spans="1:11" x14ac:dyDescent="0.25">
      <c r="A375" t="s">
        <v>1342</v>
      </c>
      <c r="B375" s="32" t="s">
        <v>115</v>
      </c>
      <c r="C375" t="s">
        <v>87</v>
      </c>
      <c r="E375" t="str">
        <f t="shared" ref="E375" si="445">_xlfn.CONCAT(LEFT(A367,3),"RoutCat",RIGHT(B367,2),"Dist")</f>
        <v>DévRoutCat27Dist</v>
      </c>
      <c r="F375" t="s">
        <v>17</v>
      </c>
      <c r="G375" s="5" cm="1">
        <f t="array" ref="G375">IF((INDEX('Remplissage - Sit. Init.'!$C$23:$I$472,MATCH((B375)&amp;('Remplissage - Sit. Init.'!$D$30),('Remplissage - Sit. Init.'!$C$23:$C$472)&amp;('Remplissage - Sit. Init.'!$D$23:$D$472),0),7))&gt;0,0,1)</f>
        <v>1</v>
      </c>
      <c r="H375" s="32"/>
      <c r="J375" t="s">
        <v>88</v>
      </c>
      <c r="K375">
        <f>VLOOKUP($I367,'Parcs types'!$D$7:$M$54,7,FALSE)</f>
        <v>42385.998762263436</v>
      </c>
    </row>
    <row r="376" spans="1:11" x14ac:dyDescent="0.25">
      <c r="A376" t="s">
        <v>1342</v>
      </c>
      <c r="B376" s="32" t="s">
        <v>115</v>
      </c>
      <c r="C376" s="32" t="s">
        <v>89</v>
      </c>
      <c r="E376" t="str">
        <f t="shared" ref="E376" si="446">_xlfn.CONCAT(LEFT(A367,3),"RoutCat",RIGHT(B367,2),"Rempl")</f>
        <v>DévRoutCat27Rempl</v>
      </c>
      <c r="F376" t="s">
        <v>17</v>
      </c>
      <c r="G376" s="5" cm="1">
        <f t="array" ref="G376">IF((INDEX('Remplissage - Sit. Init.'!$C$23:$I$472,MATCH((B376)&amp;('Remplissage - Sit. Init.'!$D$30),('Remplissage - Sit. Init.'!$C$23:$C$472)&amp;('Remplissage - Sit. Init.'!$D$23:$D$472),0),7))&gt;0,0,1)</f>
        <v>1</v>
      </c>
      <c r="H376" s="36"/>
      <c r="J376" t="s">
        <v>70</v>
      </c>
      <c r="K376">
        <f>VLOOKUP($I367,'Parcs types'!$D$7:$M$54,8,FALSE)</f>
        <v>0</v>
      </c>
    </row>
    <row r="377" spans="1:11" x14ac:dyDescent="0.25">
      <c r="A377" t="s">
        <v>1342</v>
      </c>
      <c r="B377" s="32" t="s">
        <v>116</v>
      </c>
      <c r="C377" t="s">
        <v>78</v>
      </c>
      <c r="E377" t="str">
        <f t="shared" ref="E377" si="447">_xlfn.CONCAT(LEFT(A377,3),"RoutCat",RIGHT(B377,2),"Nom")</f>
        <v>DévRoutCat28Nom</v>
      </c>
      <c r="F377" t="s">
        <v>20</v>
      </c>
      <c r="G377" s="5" cm="1">
        <f t="array" ref="G377">IF((INDEX('Remplissage - Sit. Init.'!$C$23:$I$472,MATCH((B377)&amp;('Remplissage - Sit. Init.'!$D$30),('Remplissage - Sit. Init.'!$C$23:$C$472)&amp;('Remplissage - Sit. Init.'!$D$23:$D$472),0),7))&gt;0,0,1)</f>
        <v>1</v>
      </c>
      <c r="H377" s="4"/>
      <c r="I377" s="4" t="str">
        <f>'Parcs types'!D37</f>
        <v>PL Diesel &gt;20-26t (Crit'Air 2)</v>
      </c>
      <c r="K377" s="4" t="str">
        <f t="shared" ref="K377:K383" si="448">I377</f>
        <v>PL Diesel &gt;20-26t (Crit'Air 2)</v>
      </c>
    </row>
    <row r="378" spans="1:11" x14ac:dyDescent="0.25">
      <c r="A378" t="s">
        <v>1342</v>
      </c>
      <c r="B378" s="32" t="s">
        <v>116</v>
      </c>
      <c r="C378" t="s">
        <v>79</v>
      </c>
      <c r="E378" t="str">
        <f t="shared" ref="E378" si="449">_xlfn.CONCAT(LEFT(A377,3),"RoutCat",RIGHT(B377,2),"Type")</f>
        <v>DévRoutCat28Type</v>
      </c>
      <c r="F378" t="s">
        <v>20</v>
      </c>
      <c r="G378" s="5" cm="1">
        <f t="array" ref="G378">IF((INDEX('Remplissage - Sit. Init.'!$C$23:$I$472,MATCH((B378)&amp;('Remplissage - Sit. Init.'!$D$30),('Remplissage - Sit. Init.'!$C$23:$C$472)&amp;('Remplissage - Sit. Init.'!$D$23:$D$472),0),7))&gt;0,0,1)</f>
        <v>1</v>
      </c>
      <c r="I378" t="str">
        <f>IF(K379='Parcs types'!$E$10,"VUL",LEFT('Remplissage - Sit. Prev.'!K377,SEARCH('Remplissage - Sit. Prev.'!K380,'Remplissage - Sit. Prev.'!K377)-2))</f>
        <v>PL</v>
      </c>
      <c r="K378" s="4" t="str">
        <f t="shared" si="448"/>
        <v>PL</v>
      </c>
    </row>
    <row r="379" spans="1:11" x14ac:dyDescent="0.25">
      <c r="A379" t="s">
        <v>1342</v>
      </c>
      <c r="B379" s="32" t="s">
        <v>116</v>
      </c>
      <c r="C379" t="s">
        <v>80</v>
      </c>
      <c r="E379" t="str">
        <f t="shared" ref="E379" si="450">_xlfn.CONCAT(LEFT(A377,3),"RoutCat",RIGHT(B377,2),"PTAC")</f>
        <v>DévRoutCat28PTAC</v>
      </c>
      <c r="F379" t="s">
        <v>36</v>
      </c>
      <c r="G379" s="5" cm="1">
        <f t="array" ref="G379">IF((INDEX('Remplissage - Sit. Init.'!$C$23:$I$472,MATCH((B379)&amp;('Remplissage - Sit. Init.'!$D$30),('Remplissage - Sit. Init.'!$C$23:$C$472)&amp;('Remplissage - Sit. Init.'!$D$23:$D$472),0),7))&gt;0,0,1)</f>
        <v>1</v>
      </c>
      <c r="I379" t="str">
        <f>VLOOKUP(I377,'Parcs types'!$D$7:$M$54,2,FALSE)</f>
        <v>&gt;20-26t</v>
      </c>
      <c r="K379" s="4" t="str">
        <f t="shared" si="448"/>
        <v>&gt;20-26t</v>
      </c>
    </row>
    <row r="380" spans="1:11" x14ac:dyDescent="0.25">
      <c r="A380" t="s">
        <v>1342</v>
      </c>
      <c r="B380" s="32" t="s">
        <v>116</v>
      </c>
      <c r="C380" t="s">
        <v>81</v>
      </c>
      <c r="E380" t="str">
        <f t="shared" ref="E380" si="451">_xlfn.CONCAT(LEFT(A377,3),"RoutCat",RIGHT(B377,2),"Mot")</f>
        <v>DévRoutCat28Mot</v>
      </c>
      <c r="F380" t="s">
        <v>36</v>
      </c>
      <c r="G380" s="5" cm="1">
        <f t="array" ref="G380">IF((INDEX('Remplissage - Sit. Init.'!$C$23:$I$472,MATCH((B380)&amp;('Remplissage - Sit. Init.'!$D$30),('Remplissage - Sit. Init.'!$C$23:$C$472)&amp;('Remplissage - Sit. Init.'!$D$23:$D$472),0),7))&gt;0,0,1)</f>
        <v>1</v>
      </c>
      <c r="H380" s="32"/>
      <c r="I380" t="str">
        <f>VLOOKUP(I377,'Parcs types'!$D$7:$M$54,3,FALSE)</f>
        <v>Diesel</v>
      </c>
      <c r="K380" s="4" t="str">
        <f t="shared" si="448"/>
        <v>Diesel</v>
      </c>
    </row>
    <row r="381" spans="1:11" x14ac:dyDescent="0.25">
      <c r="A381" t="s">
        <v>1342</v>
      </c>
      <c r="B381" s="32" t="s">
        <v>116</v>
      </c>
      <c r="C381" t="s">
        <v>82</v>
      </c>
      <c r="E381" t="str">
        <f t="shared" ref="E381" si="452">_xlfn.CONCAT(LEFT(A377,3),"RoutCat",RIGHT(B377,2),"Carb")</f>
        <v>DévRoutCat28Carb</v>
      </c>
      <c r="F381" t="s">
        <v>36</v>
      </c>
      <c r="G381" s="5" cm="1">
        <f t="array" ref="G381">IF((INDEX('Remplissage - Sit. Init.'!$C$23:$I$472,MATCH((B381)&amp;('Remplissage - Sit. Init.'!$D$30),('Remplissage - Sit. Init.'!$C$23:$C$472)&amp;('Remplissage - Sit. Init.'!$D$23:$D$472),0),7))&gt;0,0,1)</f>
        <v>1</v>
      </c>
      <c r="I381" t="str">
        <f>VLOOKUP(I377,'Parcs types'!$D$7:$M$54,4,FALSE)</f>
        <v>Gazole à la pompe</v>
      </c>
      <c r="K381" s="4" t="str">
        <f t="shared" si="448"/>
        <v>Gazole à la pompe</v>
      </c>
    </row>
    <row r="382" spans="1:11" x14ac:dyDescent="0.25">
      <c r="A382" t="s">
        <v>1342</v>
      </c>
      <c r="B382" s="32" t="s">
        <v>116</v>
      </c>
      <c r="C382" t="s">
        <v>83</v>
      </c>
      <c r="E382" t="str">
        <f t="shared" ref="E382" si="453">_xlfn.CONCAT(LEFT(A377,3),"RoutCat",RIGHT(B377,2),"Euro")</f>
        <v>DévRoutCat28Euro</v>
      </c>
      <c r="F382" t="s">
        <v>36</v>
      </c>
      <c r="G382" s="5" cm="1">
        <f t="array" ref="G382">IF((INDEX('Remplissage - Sit. Init.'!$C$23:$I$472,MATCH((B382)&amp;('Remplissage - Sit. Init.'!$D$30),('Remplissage - Sit. Init.'!$C$23:$C$472)&amp;('Remplissage - Sit. Init.'!$D$23:$D$472),0),7))&gt;0,0,1)</f>
        <v>1</v>
      </c>
      <c r="I382">
        <f>VLOOKUP(I377,'Parcs types'!$D$7:$M$54,5,FALSE)</f>
        <v>0</v>
      </c>
      <c r="K382" s="4">
        <f t="shared" si="448"/>
        <v>0</v>
      </c>
    </row>
    <row r="383" spans="1:11" x14ac:dyDescent="0.25">
      <c r="A383" t="s">
        <v>1342</v>
      </c>
      <c r="B383" s="32" t="s">
        <v>116</v>
      </c>
      <c r="C383" t="s">
        <v>84</v>
      </c>
      <c r="E383" t="str">
        <f t="shared" ref="E383" si="454">_xlfn.CONCAT(LEFT(A377,3),"RoutCat",RIGHT(B377,2),"CritAir")</f>
        <v>DévRoutCat28CritAir</v>
      </c>
      <c r="F383" t="s">
        <v>36</v>
      </c>
      <c r="G383" s="5" cm="1">
        <f t="array" ref="G383">IF((INDEX('Remplissage - Sit. Init.'!$C$23:$I$472,MATCH((B383)&amp;('Remplissage - Sit. Init.'!$D$30),('Remplissage - Sit. Init.'!$C$23:$C$472)&amp;('Remplissage - Sit. Init.'!$D$23:$D$472),0),7))&gt;0,0,1)</f>
        <v>1</v>
      </c>
      <c r="H383" s="32"/>
      <c r="I383">
        <f>VLOOKUP(I377,'Parcs types'!$D$7:$M$54,6,FALSE)</f>
        <v>2</v>
      </c>
      <c r="K383" s="4">
        <f t="shared" si="448"/>
        <v>2</v>
      </c>
    </row>
    <row r="384" spans="1:11" x14ac:dyDescent="0.25">
      <c r="A384" t="s">
        <v>1342</v>
      </c>
      <c r="B384" s="32" t="s">
        <v>116</v>
      </c>
      <c r="C384" t="s">
        <v>85</v>
      </c>
      <c r="E384" t="str">
        <f t="shared" ref="E384" si="455">_xlfn.CONCAT(LEFT(A377,3),"RoutCat",RIGHT(B377,2),"Nb")</f>
        <v>DévRoutCat28Nb</v>
      </c>
      <c r="F384" t="s">
        <v>17</v>
      </c>
      <c r="G384" s="5" cm="1">
        <f t="array" ref="G384">IF((INDEX('Remplissage - Sit. Init.'!$C$23:$I$472,MATCH((B384)&amp;('Remplissage - Sit. Init.'!$D$30),('Remplissage - Sit. Init.'!$C$23:$C$472)&amp;('Remplissage - Sit. Init.'!$D$23:$D$472),0),7))&gt;0,0,1)</f>
        <v>1</v>
      </c>
      <c r="J384" t="s">
        <v>86</v>
      </c>
      <c r="K384">
        <f>VLOOKUP($I377,'Parcs types'!$D$7:$M$54,9,FALSE)</f>
        <v>0</v>
      </c>
    </row>
    <row r="385" spans="1:11" x14ac:dyDescent="0.25">
      <c r="A385" t="s">
        <v>1342</v>
      </c>
      <c r="B385" s="32" t="s">
        <v>116</v>
      </c>
      <c r="C385" t="s">
        <v>87</v>
      </c>
      <c r="E385" t="str">
        <f t="shared" ref="E385" si="456">_xlfn.CONCAT(LEFT(A377,3),"RoutCat",RIGHT(B377,2),"Dist")</f>
        <v>DévRoutCat28Dist</v>
      </c>
      <c r="F385" t="s">
        <v>17</v>
      </c>
      <c r="G385" s="5" cm="1">
        <f t="array" ref="G385">IF((INDEX('Remplissage - Sit. Init.'!$C$23:$I$472,MATCH((B385)&amp;('Remplissage - Sit. Init.'!$D$30),('Remplissage - Sit. Init.'!$C$23:$C$472)&amp;('Remplissage - Sit. Init.'!$D$23:$D$472),0),7))&gt;0,0,1)</f>
        <v>1</v>
      </c>
      <c r="H385" s="32"/>
      <c r="J385" t="s">
        <v>88</v>
      </c>
      <c r="K385">
        <f>VLOOKUP($I377,'Parcs types'!$D$7:$M$54,7,FALSE)</f>
        <v>42385.998762263436</v>
      </c>
    </row>
    <row r="386" spans="1:11" x14ac:dyDescent="0.25">
      <c r="A386" t="s">
        <v>1342</v>
      </c>
      <c r="B386" s="32" t="s">
        <v>116</v>
      </c>
      <c r="C386" s="32" t="s">
        <v>89</v>
      </c>
      <c r="E386" t="str">
        <f t="shared" ref="E386" si="457">_xlfn.CONCAT(LEFT(A377,3),"RoutCat",RIGHT(B377,2),"Rempl")</f>
        <v>DévRoutCat28Rempl</v>
      </c>
      <c r="F386" t="s">
        <v>17</v>
      </c>
      <c r="G386" s="5" cm="1">
        <f t="array" ref="G386">IF((INDEX('Remplissage - Sit. Init.'!$C$23:$I$472,MATCH((B386)&amp;('Remplissage - Sit. Init.'!$D$30),('Remplissage - Sit. Init.'!$C$23:$C$472)&amp;('Remplissage - Sit. Init.'!$D$23:$D$472),0),7))&gt;0,0,1)</f>
        <v>1</v>
      </c>
      <c r="H386" s="36"/>
      <c r="J386" t="s">
        <v>70</v>
      </c>
      <c r="K386">
        <f>VLOOKUP($I377,'Parcs types'!$D$7:$M$54,8,FALSE)</f>
        <v>0</v>
      </c>
    </row>
    <row r="387" spans="1:11" x14ac:dyDescent="0.25">
      <c r="A387" t="s">
        <v>1342</v>
      </c>
      <c r="B387" s="32" t="s">
        <v>117</v>
      </c>
      <c r="C387" t="s">
        <v>78</v>
      </c>
      <c r="E387" t="str">
        <f t="shared" ref="E387" si="458">_xlfn.CONCAT(LEFT(A387,3),"RoutCat",RIGHT(B387,2),"Nom")</f>
        <v>DévRoutCat29Nom</v>
      </c>
      <c r="F387" t="s">
        <v>20</v>
      </c>
      <c r="G387" s="5" cm="1">
        <f t="array" ref="G387">IF((INDEX('Remplissage - Sit. Init.'!$C$23:$I$472,MATCH((B387)&amp;('Remplissage - Sit. Init.'!$D$30),('Remplissage - Sit. Init.'!$C$23:$C$472)&amp;('Remplissage - Sit. Init.'!$D$23:$D$472),0),7))&gt;0,0,1)</f>
        <v>1</v>
      </c>
      <c r="H387" s="4"/>
      <c r="I387" s="4" t="str">
        <f>'Parcs types'!D38</f>
        <v>PL Diesel &gt;20-26t (Crit'Air 3)</v>
      </c>
      <c r="K387" s="4" t="str">
        <f t="shared" ref="K387:K393" si="459">I387</f>
        <v>PL Diesel &gt;20-26t (Crit'Air 3)</v>
      </c>
    </row>
    <row r="388" spans="1:11" x14ac:dyDescent="0.25">
      <c r="A388" t="s">
        <v>1342</v>
      </c>
      <c r="B388" s="32" t="s">
        <v>117</v>
      </c>
      <c r="C388" t="s">
        <v>79</v>
      </c>
      <c r="E388" t="str">
        <f t="shared" ref="E388" si="460">_xlfn.CONCAT(LEFT(A387,3),"RoutCat",RIGHT(B387,2),"Type")</f>
        <v>DévRoutCat29Type</v>
      </c>
      <c r="F388" t="s">
        <v>20</v>
      </c>
      <c r="G388" s="5" cm="1">
        <f t="array" ref="G388">IF((INDEX('Remplissage - Sit. Init.'!$C$23:$I$472,MATCH((B388)&amp;('Remplissage - Sit. Init.'!$D$30),('Remplissage - Sit. Init.'!$C$23:$C$472)&amp;('Remplissage - Sit. Init.'!$D$23:$D$472),0),7))&gt;0,0,1)</f>
        <v>1</v>
      </c>
      <c r="I388" t="str">
        <f>IF(K389='Parcs types'!$E$10,"VUL",LEFT('Remplissage - Sit. Prev.'!K387,SEARCH('Remplissage - Sit. Prev.'!K390,'Remplissage - Sit. Prev.'!K387)-2))</f>
        <v>PL</v>
      </c>
      <c r="K388" s="4" t="str">
        <f t="shared" si="459"/>
        <v>PL</v>
      </c>
    </row>
    <row r="389" spans="1:11" x14ac:dyDescent="0.25">
      <c r="A389" t="s">
        <v>1342</v>
      </c>
      <c r="B389" s="32" t="s">
        <v>117</v>
      </c>
      <c r="C389" t="s">
        <v>80</v>
      </c>
      <c r="E389" t="str">
        <f t="shared" ref="E389" si="461">_xlfn.CONCAT(LEFT(A387,3),"RoutCat",RIGHT(B387,2),"PTAC")</f>
        <v>DévRoutCat29PTAC</v>
      </c>
      <c r="F389" t="s">
        <v>36</v>
      </c>
      <c r="G389" s="5" cm="1">
        <f t="array" ref="G389">IF((INDEX('Remplissage - Sit. Init.'!$C$23:$I$472,MATCH((B389)&amp;('Remplissage - Sit. Init.'!$D$30),('Remplissage - Sit. Init.'!$C$23:$C$472)&amp;('Remplissage - Sit. Init.'!$D$23:$D$472),0),7))&gt;0,0,1)</f>
        <v>1</v>
      </c>
      <c r="I389" t="str">
        <f>VLOOKUP(I387,'Parcs types'!$D$7:$M$54,2,FALSE)</f>
        <v>&gt;20-26t</v>
      </c>
      <c r="K389" s="4" t="str">
        <f t="shared" si="459"/>
        <v>&gt;20-26t</v>
      </c>
    </row>
    <row r="390" spans="1:11" x14ac:dyDescent="0.25">
      <c r="A390" t="s">
        <v>1342</v>
      </c>
      <c r="B390" s="32" t="s">
        <v>117</v>
      </c>
      <c r="C390" t="s">
        <v>81</v>
      </c>
      <c r="E390" t="str">
        <f t="shared" ref="E390" si="462">_xlfn.CONCAT(LEFT(A387,3),"RoutCat",RIGHT(B387,2),"Mot")</f>
        <v>DévRoutCat29Mot</v>
      </c>
      <c r="F390" t="s">
        <v>36</v>
      </c>
      <c r="G390" s="5" cm="1">
        <f t="array" ref="G390">IF((INDEX('Remplissage - Sit. Init.'!$C$23:$I$472,MATCH((B390)&amp;('Remplissage - Sit. Init.'!$D$30),('Remplissage - Sit. Init.'!$C$23:$C$472)&amp;('Remplissage - Sit. Init.'!$D$23:$D$472),0),7))&gt;0,0,1)</f>
        <v>1</v>
      </c>
      <c r="H390" s="32"/>
      <c r="I390" t="str">
        <f>VLOOKUP(I387,'Parcs types'!$D$7:$M$54,3,FALSE)</f>
        <v>Diesel</v>
      </c>
      <c r="K390" s="4" t="str">
        <f t="shared" si="459"/>
        <v>Diesel</v>
      </c>
    </row>
    <row r="391" spans="1:11" x14ac:dyDescent="0.25">
      <c r="A391" t="s">
        <v>1342</v>
      </c>
      <c r="B391" s="32" t="s">
        <v>117</v>
      </c>
      <c r="C391" t="s">
        <v>82</v>
      </c>
      <c r="E391" t="str">
        <f t="shared" ref="E391" si="463">_xlfn.CONCAT(LEFT(A387,3),"RoutCat",RIGHT(B387,2),"Carb")</f>
        <v>DévRoutCat29Carb</v>
      </c>
      <c r="F391" t="s">
        <v>36</v>
      </c>
      <c r="G391" s="5" cm="1">
        <f t="array" ref="G391">IF((INDEX('Remplissage - Sit. Init.'!$C$23:$I$472,MATCH((B391)&amp;('Remplissage - Sit. Init.'!$D$30),('Remplissage - Sit. Init.'!$C$23:$C$472)&amp;('Remplissage - Sit. Init.'!$D$23:$D$472),0),7))&gt;0,0,1)</f>
        <v>1</v>
      </c>
      <c r="I391" t="str">
        <f>VLOOKUP(I387,'Parcs types'!$D$7:$M$54,4,FALSE)</f>
        <v>Gazole à la pompe</v>
      </c>
      <c r="K391" s="4" t="str">
        <f t="shared" si="459"/>
        <v>Gazole à la pompe</v>
      </c>
    </row>
    <row r="392" spans="1:11" x14ac:dyDescent="0.25">
      <c r="A392" t="s">
        <v>1342</v>
      </c>
      <c r="B392" s="32" t="s">
        <v>117</v>
      </c>
      <c r="C392" t="s">
        <v>83</v>
      </c>
      <c r="E392" t="str">
        <f t="shared" ref="E392" si="464">_xlfn.CONCAT(LEFT(A387,3),"RoutCat",RIGHT(B387,2),"Euro")</f>
        <v>DévRoutCat29Euro</v>
      </c>
      <c r="F392" t="s">
        <v>36</v>
      </c>
      <c r="G392" s="5" cm="1">
        <f t="array" ref="G392">IF((INDEX('Remplissage - Sit. Init.'!$C$23:$I$472,MATCH((B392)&amp;('Remplissage - Sit. Init.'!$D$30),('Remplissage - Sit. Init.'!$C$23:$C$472)&amp;('Remplissage - Sit. Init.'!$D$23:$D$472),0),7))&gt;0,0,1)</f>
        <v>1</v>
      </c>
      <c r="I392">
        <f>VLOOKUP(I387,'Parcs types'!$D$7:$M$54,5,FALSE)</f>
        <v>0</v>
      </c>
      <c r="K392" s="4">
        <f t="shared" si="459"/>
        <v>0</v>
      </c>
    </row>
    <row r="393" spans="1:11" x14ac:dyDescent="0.25">
      <c r="A393" t="s">
        <v>1342</v>
      </c>
      <c r="B393" s="32" t="s">
        <v>117</v>
      </c>
      <c r="C393" t="s">
        <v>84</v>
      </c>
      <c r="E393" t="str">
        <f t="shared" ref="E393" si="465">_xlfn.CONCAT(LEFT(A387,3),"RoutCat",RIGHT(B387,2),"CritAir")</f>
        <v>DévRoutCat29CritAir</v>
      </c>
      <c r="F393" t="s">
        <v>36</v>
      </c>
      <c r="G393" s="5" cm="1">
        <f t="array" ref="G393">IF((INDEX('Remplissage - Sit. Init.'!$C$23:$I$472,MATCH((B393)&amp;('Remplissage - Sit. Init.'!$D$30),('Remplissage - Sit. Init.'!$C$23:$C$472)&amp;('Remplissage - Sit. Init.'!$D$23:$D$472),0),7))&gt;0,0,1)</f>
        <v>1</v>
      </c>
      <c r="H393" s="32"/>
      <c r="I393">
        <f>VLOOKUP(I387,'Parcs types'!$D$7:$M$54,6,FALSE)</f>
        <v>3</v>
      </c>
      <c r="K393" s="4">
        <f t="shared" si="459"/>
        <v>3</v>
      </c>
    </row>
    <row r="394" spans="1:11" x14ac:dyDescent="0.25">
      <c r="A394" t="s">
        <v>1342</v>
      </c>
      <c r="B394" s="32" t="s">
        <v>117</v>
      </c>
      <c r="C394" t="s">
        <v>85</v>
      </c>
      <c r="E394" t="str">
        <f t="shared" ref="E394" si="466">_xlfn.CONCAT(LEFT(A387,3),"RoutCat",RIGHT(B387,2),"Nb")</f>
        <v>DévRoutCat29Nb</v>
      </c>
      <c r="F394" t="s">
        <v>17</v>
      </c>
      <c r="G394" s="5" cm="1">
        <f t="array" ref="G394">IF((INDEX('Remplissage - Sit. Init.'!$C$23:$I$472,MATCH((B394)&amp;('Remplissage - Sit. Init.'!$D$30),('Remplissage - Sit. Init.'!$C$23:$C$472)&amp;('Remplissage - Sit. Init.'!$D$23:$D$472),0),7))&gt;0,0,1)</f>
        <v>1</v>
      </c>
      <c r="J394" t="s">
        <v>86</v>
      </c>
      <c r="K394">
        <f>VLOOKUP($I387,'Parcs types'!$D$7:$M$54,9,FALSE)</f>
        <v>0</v>
      </c>
    </row>
    <row r="395" spans="1:11" x14ac:dyDescent="0.25">
      <c r="A395" t="s">
        <v>1342</v>
      </c>
      <c r="B395" s="32" t="s">
        <v>117</v>
      </c>
      <c r="C395" t="s">
        <v>87</v>
      </c>
      <c r="E395" t="str">
        <f t="shared" ref="E395" si="467">_xlfn.CONCAT(LEFT(A387,3),"RoutCat",RIGHT(B387,2),"Dist")</f>
        <v>DévRoutCat29Dist</v>
      </c>
      <c r="F395" t="s">
        <v>17</v>
      </c>
      <c r="G395" s="5" cm="1">
        <f t="array" ref="G395">IF((INDEX('Remplissage - Sit. Init.'!$C$23:$I$472,MATCH((B395)&amp;('Remplissage - Sit. Init.'!$D$30),('Remplissage - Sit. Init.'!$C$23:$C$472)&amp;('Remplissage - Sit. Init.'!$D$23:$D$472),0),7))&gt;0,0,1)</f>
        <v>1</v>
      </c>
      <c r="H395" s="32"/>
      <c r="J395" t="s">
        <v>88</v>
      </c>
      <c r="K395">
        <f>VLOOKUP($I387,'Parcs types'!$D$7:$M$54,7,FALSE)</f>
        <v>42385.998762263436</v>
      </c>
    </row>
    <row r="396" spans="1:11" x14ac:dyDescent="0.25">
      <c r="A396" t="s">
        <v>1342</v>
      </c>
      <c r="B396" s="32" t="s">
        <v>117</v>
      </c>
      <c r="C396" s="32" t="s">
        <v>89</v>
      </c>
      <c r="E396" t="str">
        <f t="shared" ref="E396" si="468">_xlfn.CONCAT(LEFT(A387,3),"RoutCat",RIGHT(B387,2),"Rempl")</f>
        <v>DévRoutCat29Rempl</v>
      </c>
      <c r="F396" t="s">
        <v>17</v>
      </c>
      <c r="G396" s="5" cm="1">
        <f t="array" ref="G396">IF((INDEX('Remplissage - Sit. Init.'!$C$23:$I$472,MATCH((B396)&amp;('Remplissage - Sit. Init.'!$D$30),('Remplissage - Sit. Init.'!$C$23:$C$472)&amp;('Remplissage - Sit. Init.'!$D$23:$D$472),0),7))&gt;0,0,1)</f>
        <v>1</v>
      </c>
      <c r="H396" s="36"/>
      <c r="J396" t="s">
        <v>70</v>
      </c>
      <c r="K396">
        <f>VLOOKUP($I387,'Parcs types'!$D$7:$M$54,8,FALSE)</f>
        <v>0</v>
      </c>
    </row>
    <row r="397" spans="1:11" x14ac:dyDescent="0.25">
      <c r="A397" t="s">
        <v>1342</v>
      </c>
      <c r="B397" s="32" t="s">
        <v>118</v>
      </c>
      <c r="C397" t="s">
        <v>78</v>
      </c>
      <c r="E397" t="str">
        <f t="shared" ref="E397" si="469">_xlfn.CONCAT(LEFT(A397,3),"RoutCat",RIGHT(B397,2),"Nom")</f>
        <v>DévRoutCat30Nom</v>
      </c>
      <c r="F397" t="s">
        <v>20</v>
      </c>
      <c r="G397" s="5" cm="1">
        <f t="array" ref="G397">IF((INDEX('Remplissage - Sit. Init.'!$C$23:$I$472,MATCH((B397)&amp;('Remplissage - Sit. Init.'!$D$30),('Remplissage - Sit. Init.'!$C$23:$C$472)&amp;('Remplissage - Sit. Init.'!$D$23:$D$472),0),7))&gt;0,0,1)</f>
        <v>1</v>
      </c>
      <c r="H397" s="4"/>
      <c r="I397" s="4" t="str">
        <f>'Parcs types'!D39</f>
        <v>PL Diesel &gt;20-26t (Crit'Air 4)</v>
      </c>
      <c r="K397" s="4" t="str">
        <f t="shared" ref="K397:K403" si="470">I397</f>
        <v>PL Diesel &gt;20-26t (Crit'Air 4)</v>
      </c>
    </row>
    <row r="398" spans="1:11" x14ac:dyDescent="0.25">
      <c r="A398" t="s">
        <v>1342</v>
      </c>
      <c r="B398" s="32" t="s">
        <v>118</v>
      </c>
      <c r="C398" t="s">
        <v>79</v>
      </c>
      <c r="E398" t="str">
        <f t="shared" ref="E398" si="471">_xlfn.CONCAT(LEFT(A397,3),"RoutCat",RIGHT(B397,2),"Type")</f>
        <v>DévRoutCat30Type</v>
      </c>
      <c r="F398" t="s">
        <v>20</v>
      </c>
      <c r="G398" s="5" cm="1">
        <f t="array" ref="G398">IF((INDEX('Remplissage - Sit. Init.'!$C$23:$I$472,MATCH((B398)&amp;('Remplissage - Sit. Init.'!$D$30),('Remplissage - Sit. Init.'!$C$23:$C$472)&amp;('Remplissage - Sit. Init.'!$D$23:$D$472),0),7))&gt;0,0,1)</f>
        <v>1</v>
      </c>
      <c r="I398" t="str">
        <f>IF(K399='Parcs types'!$E$10,"VUL",LEFT('Remplissage - Sit. Prev.'!K397,SEARCH('Remplissage - Sit. Prev.'!K400,'Remplissage - Sit. Prev.'!K397)-2))</f>
        <v>PL</v>
      </c>
      <c r="K398" s="4" t="str">
        <f t="shared" si="470"/>
        <v>PL</v>
      </c>
    </row>
    <row r="399" spans="1:11" x14ac:dyDescent="0.25">
      <c r="A399" t="s">
        <v>1342</v>
      </c>
      <c r="B399" s="32" t="s">
        <v>118</v>
      </c>
      <c r="C399" t="s">
        <v>80</v>
      </c>
      <c r="E399" t="str">
        <f t="shared" ref="E399" si="472">_xlfn.CONCAT(LEFT(A397,3),"RoutCat",RIGHT(B397,2),"PTAC")</f>
        <v>DévRoutCat30PTAC</v>
      </c>
      <c r="F399" t="s">
        <v>36</v>
      </c>
      <c r="G399" s="5" cm="1">
        <f t="array" ref="G399">IF((INDEX('Remplissage - Sit. Init.'!$C$23:$I$472,MATCH((B399)&amp;('Remplissage - Sit. Init.'!$D$30),('Remplissage - Sit. Init.'!$C$23:$C$472)&amp;('Remplissage - Sit. Init.'!$D$23:$D$472),0),7))&gt;0,0,1)</f>
        <v>1</v>
      </c>
      <c r="I399" t="str">
        <f>VLOOKUP(I397,'Parcs types'!$D$7:$M$54,2,FALSE)</f>
        <v>&gt;20-26t</v>
      </c>
      <c r="K399" s="4" t="str">
        <f t="shared" si="470"/>
        <v>&gt;20-26t</v>
      </c>
    </row>
    <row r="400" spans="1:11" x14ac:dyDescent="0.25">
      <c r="A400" t="s">
        <v>1342</v>
      </c>
      <c r="B400" s="32" t="s">
        <v>118</v>
      </c>
      <c r="C400" t="s">
        <v>81</v>
      </c>
      <c r="E400" t="str">
        <f t="shared" ref="E400" si="473">_xlfn.CONCAT(LEFT(A397,3),"RoutCat",RIGHT(B397,2),"Mot")</f>
        <v>DévRoutCat30Mot</v>
      </c>
      <c r="F400" t="s">
        <v>36</v>
      </c>
      <c r="G400" s="5" cm="1">
        <f t="array" ref="G400">IF((INDEX('Remplissage - Sit. Init.'!$C$23:$I$472,MATCH((B400)&amp;('Remplissage - Sit. Init.'!$D$30),('Remplissage - Sit. Init.'!$C$23:$C$472)&amp;('Remplissage - Sit. Init.'!$D$23:$D$472),0),7))&gt;0,0,1)</f>
        <v>1</v>
      </c>
      <c r="H400" s="32"/>
      <c r="I400" t="str">
        <f>VLOOKUP(I397,'Parcs types'!$D$7:$M$54,3,FALSE)</f>
        <v>Diesel</v>
      </c>
      <c r="K400" s="4" t="str">
        <f t="shared" si="470"/>
        <v>Diesel</v>
      </c>
    </row>
    <row r="401" spans="1:11" x14ac:dyDescent="0.25">
      <c r="A401" t="s">
        <v>1342</v>
      </c>
      <c r="B401" s="32" t="s">
        <v>118</v>
      </c>
      <c r="C401" t="s">
        <v>82</v>
      </c>
      <c r="E401" t="str">
        <f t="shared" ref="E401" si="474">_xlfn.CONCAT(LEFT(A397,3),"RoutCat",RIGHT(B397,2),"Carb")</f>
        <v>DévRoutCat30Carb</v>
      </c>
      <c r="F401" t="s">
        <v>36</v>
      </c>
      <c r="G401" s="5" cm="1">
        <f t="array" ref="G401">IF((INDEX('Remplissage - Sit. Init.'!$C$23:$I$472,MATCH((B401)&amp;('Remplissage - Sit. Init.'!$D$30),('Remplissage - Sit. Init.'!$C$23:$C$472)&amp;('Remplissage - Sit. Init.'!$D$23:$D$472),0),7))&gt;0,0,1)</f>
        <v>1</v>
      </c>
      <c r="I401" t="str">
        <f>VLOOKUP(I397,'Parcs types'!$D$7:$M$54,4,FALSE)</f>
        <v>Gazole à la pompe</v>
      </c>
      <c r="K401" s="4" t="str">
        <f t="shared" si="470"/>
        <v>Gazole à la pompe</v>
      </c>
    </row>
    <row r="402" spans="1:11" x14ac:dyDescent="0.25">
      <c r="A402" t="s">
        <v>1342</v>
      </c>
      <c r="B402" s="32" t="s">
        <v>118</v>
      </c>
      <c r="C402" t="s">
        <v>83</v>
      </c>
      <c r="E402" t="str">
        <f t="shared" ref="E402" si="475">_xlfn.CONCAT(LEFT(A397,3),"RoutCat",RIGHT(B397,2),"Euro")</f>
        <v>DévRoutCat30Euro</v>
      </c>
      <c r="F402" t="s">
        <v>36</v>
      </c>
      <c r="G402" s="5" cm="1">
        <f t="array" ref="G402">IF((INDEX('Remplissage - Sit. Init.'!$C$23:$I$472,MATCH((B402)&amp;('Remplissage - Sit. Init.'!$D$30),('Remplissage - Sit. Init.'!$C$23:$C$472)&amp;('Remplissage - Sit. Init.'!$D$23:$D$472),0),7))&gt;0,0,1)</f>
        <v>1</v>
      </c>
      <c r="I402">
        <f>VLOOKUP(I397,'Parcs types'!$D$7:$M$54,5,FALSE)</f>
        <v>0</v>
      </c>
      <c r="K402" s="4">
        <f t="shared" si="470"/>
        <v>0</v>
      </c>
    </row>
    <row r="403" spans="1:11" x14ac:dyDescent="0.25">
      <c r="A403" t="s">
        <v>1342</v>
      </c>
      <c r="B403" s="32" t="s">
        <v>118</v>
      </c>
      <c r="C403" t="s">
        <v>84</v>
      </c>
      <c r="E403" t="str">
        <f t="shared" ref="E403" si="476">_xlfn.CONCAT(LEFT(A397,3),"RoutCat",RIGHT(B397,2),"CritAir")</f>
        <v>DévRoutCat30CritAir</v>
      </c>
      <c r="F403" t="s">
        <v>36</v>
      </c>
      <c r="G403" s="5" cm="1">
        <f t="array" ref="G403">IF((INDEX('Remplissage - Sit. Init.'!$C$23:$I$472,MATCH((B403)&amp;('Remplissage - Sit. Init.'!$D$30),('Remplissage - Sit. Init.'!$C$23:$C$472)&amp;('Remplissage - Sit. Init.'!$D$23:$D$472),0),7))&gt;0,0,1)</f>
        <v>1</v>
      </c>
      <c r="H403" s="32"/>
      <c r="I403">
        <f>VLOOKUP(I397,'Parcs types'!$D$7:$M$54,6,FALSE)</f>
        <v>4</v>
      </c>
      <c r="K403" s="4">
        <f t="shared" si="470"/>
        <v>4</v>
      </c>
    </row>
    <row r="404" spans="1:11" x14ac:dyDescent="0.25">
      <c r="A404" t="s">
        <v>1342</v>
      </c>
      <c r="B404" s="32" t="s">
        <v>118</v>
      </c>
      <c r="C404" t="s">
        <v>85</v>
      </c>
      <c r="E404" t="str">
        <f t="shared" ref="E404" si="477">_xlfn.CONCAT(LEFT(A397,3),"RoutCat",RIGHT(B397,2),"Nb")</f>
        <v>DévRoutCat30Nb</v>
      </c>
      <c r="F404" t="s">
        <v>17</v>
      </c>
      <c r="G404" s="5" cm="1">
        <f t="array" ref="G404">IF((INDEX('Remplissage - Sit. Init.'!$C$23:$I$472,MATCH((B404)&amp;('Remplissage - Sit. Init.'!$D$30),('Remplissage - Sit. Init.'!$C$23:$C$472)&amp;('Remplissage - Sit. Init.'!$D$23:$D$472),0),7))&gt;0,0,1)</f>
        <v>1</v>
      </c>
      <c r="J404" t="s">
        <v>86</v>
      </c>
      <c r="K404">
        <f>VLOOKUP($I397,'Parcs types'!$D$7:$M$54,9,FALSE)</f>
        <v>0</v>
      </c>
    </row>
    <row r="405" spans="1:11" x14ac:dyDescent="0.25">
      <c r="A405" t="s">
        <v>1342</v>
      </c>
      <c r="B405" s="32" t="s">
        <v>118</v>
      </c>
      <c r="C405" t="s">
        <v>87</v>
      </c>
      <c r="E405" t="str">
        <f t="shared" ref="E405" si="478">_xlfn.CONCAT(LEFT(A397,3),"RoutCat",RIGHT(B397,2),"Dist")</f>
        <v>DévRoutCat30Dist</v>
      </c>
      <c r="F405" t="s">
        <v>17</v>
      </c>
      <c r="G405" s="5" cm="1">
        <f t="array" ref="G405">IF((INDEX('Remplissage - Sit. Init.'!$C$23:$I$472,MATCH((B405)&amp;('Remplissage - Sit. Init.'!$D$30),('Remplissage - Sit. Init.'!$C$23:$C$472)&amp;('Remplissage - Sit. Init.'!$D$23:$D$472),0),7))&gt;0,0,1)</f>
        <v>1</v>
      </c>
      <c r="H405" s="32"/>
      <c r="J405" t="s">
        <v>88</v>
      </c>
      <c r="K405">
        <f>VLOOKUP($I397,'Parcs types'!$D$7:$M$54,7,FALSE)</f>
        <v>42385.998762263436</v>
      </c>
    </row>
    <row r="406" spans="1:11" x14ac:dyDescent="0.25">
      <c r="A406" t="s">
        <v>1342</v>
      </c>
      <c r="B406" s="32" t="s">
        <v>118</v>
      </c>
      <c r="C406" s="32" t="s">
        <v>89</v>
      </c>
      <c r="E406" t="str">
        <f t="shared" ref="E406" si="479">_xlfn.CONCAT(LEFT(A397,3),"RoutCat",RIGHT(B397,2),"Rempl")</f>
        <v>DévRoutCat30Rempl</v>
      </c>
      <c r="F406" t="s">
        <v>17</v>
      </c>
      <c r="G406" s="5" cm="1">
        <f t="array" ref="G406">IF((INDEX('Remplissage - Sit. Init.'!$C$23:$I$472,MATCH((B406)&amp;('Remplissage - Sit. Init.'!$D$30),('Remplissage - Sit. Init.'!$C$23:$C$472)&amp;('Remplissage - Sit. Init.'!$D$23:$D$472),0),7))&gt;0,0,1)</f>
        <v>1</v>
      </c>
      <c r="H406" s="36"/>
      <c r="J406" t="s">
        <v>70</v>
      </c>
      <c r="K406">
        <f>VLOOKUP($I397,'Parcs types'!$D$7:$M$54,8,FALSE)</f>
        <v>0</v>
      </c>
    </row>
    <row r="407" spans="1:11" x14ac:dyDescent="0.25">
      <c r="A407" t="s">
        <v>1342</v>
      </c>
      <c r="B407" s="32" t="s">
        <v>119</v>
      </c>
      <c r="C407" t="s">
        <v>78</v>
      </c>
      <c r="E407" t="str">
        <f t="shared" ref="E407" si="480">_xlfn.CONCAT(LEFT(A407,3),"RoutCat",RIGHT(B407,2),"Nom")</f>
        <v>DévRoutCat31Nom</v>
      </c>
      <c r="F407" t="s">
        <v>20</v>
      </c>
      <c r="G407" s="5" cm="1">
        <f t="array" ref="G407">IF((INDEX('Remplissage - Sit. Init.'!$C$23:$I$472,MATCH((B407)&amp;('Remplissage - Sit. Init.'!$D$30),('Remplissage - Sit. Init.'!$C$23:$C$472)&amp;('Remplissage - Sit. Init.'!$D$23:$D$472),0),7))&gt;0,0,1)</f>
        <v>1</v>
      </c>
      <c r="H407" s="4"/>
      <c r="I407" s="4" t="str">
        <f>'Parcs types'!D40</f>
        <v>PL Diesel &gt;20-26t (Crit'Air 5)</v>
      </c>
      <c r="K407" s="4" t="str">
        <f t="shared" ref="K407:K413" si="481">I407</f>
        <v>PL Diesel &gt;20-26t (Crit'Air 5)</v>
      </c>
    </row>
    <row r="408" spans="1:11" x14ac:dyDescent="0.25">
      <c r="A408" t="s">
        <v>1342</v>
      </c>
      <c r="B408" s="32" t="s">
        <v>119</v>
      </c>
      <c r="C408" t="s">
        <v>79</v>
      </c>
      <c r="E408" t="str">
        <f t="shared" ref="E408" si="482">_xlfn.CONCAT(LEFT(A407,3),"RoutCat",RIGHT(B407,2),"Type")</f>
        <v>DévRoutCat31Type</v>
      </c>
      <c r="F408" t="s">
        <v>20</v>
      </c>
      <c r="G408" s="5" cm="1">
        <f t="array" ref="G408">IF((INDEX('Remplissage - Sit. Init.'!$C$23:$I$472,MATCH((B408)&amp;('Remplissage - Sit. Init.'!$D$30),('Remplissage - Sit. Init.'!$C$23:$C$472)&amp;('Remplissage - Sit. Init.'!$D$23:$D$472),0),7))&gt;0,0,1)</f>
        <v>1</v>
      </c>
      <c r="I408" t="str">
        <f>IF(K409='Parcs types'!$E$10,"VUL",LEFT('Remplissage - Sit. Prev.'!K407,SEARCH('Remplissage - Sit. Prev.'!K410,'Remplissage - Sit. Prev.'!K407)-2))</f>
        <v>PL</v>
      </c>
      <c r="K408" s="4" t="str">
        <f t="shared" si="481"/>
        <v>PL</v>
      </c>
    </row>
    <row r="409" spans="1:11" x14ac:dyDescent="0.25">
      <c r="A409" t="s">
        <v>1342</v>
      </c>
      <c r="B409" s="32" t="s">
        <v>119</v>
      </c>
      <c r="C409" t="s">
        <v>80</v>
      </c>
      <c r="E409" t="str">
        <f t="shared" ref="E409" si="483">_xlfn.CONCAT(LEFT(A407,3),"RoutCat",RIGHT(B407,2),"PTAC")</f>
        <v>DévRoutCat31PTAC</v>
      </c>
      <c r="F409" t="s">
        <v>36</v>
      </c>
      <c r="G409" s="5" cm="1">
        <f t="array" ref="G409">IF((INDEX('Remplissage - Sit. Init.'!$C$23:$I$472,MATCH((B409)&amp;('Remplissage - Sit. Init.'!$D$30),('Remplissage - Sit. Init.'!$C$23:$C$472)&amp;('Remplissage - Sit. Init.'!$D$23:$D$472),0),7))&gt;0,0,1)</f>
        <v>1</v>
      </c>
      <c r="I409" t="str">
        <f>VLOOKUP(I407,'Parcs types'!$D$7:$M$54,2,FALSE)</f>
        <v>&gt;20-26t</v>
      </c>
      <c r="K409" s="4" t="str">
        <f t="shared" si="481"/>
        <v>&gt;20-26t</v>
      </c>
    </row>
    <row r="410" spans="1:11" x14ac:dyDescent="0.25">
      <c r="A410" t="s">
        <v>1342</v>
      </c>
      <c r="B410" s="32" t="s">
        <v>119</v>
      </c>
      <c r="C410" t="s">
        <v>81</v>
      </c>
      <c r="E410" t="str">
        <f t="shared" ref="E410" si="484">_xlfn.CONCAT(LEFT(A407,3),"RoutCat",RIGHT(B407,2),"Mot")</f>
        <v>DévRoutCat31Mot</v>
      </c>
      <c r="F410" t="s">
        <v>36</v>
      </c>
      <c r="G410" s="5" cm="1">
        <f t="array" ref="G410">IF((INDEX('Remplissage - Sit. Init.'!$C$23:$I$472,MATCH((B410)&amp;('Remplissage - Sit. Init.'!$D$30),('Remplissage - Sit. Init.'!$C$23:$C$472)&amp;('Remplissage - Sit. Init.'!$D$23:$D$472),0),7))&gt;0,0,1)</f>
        <v>1</v>
      </c>
      <c r="H410" s="32"/>
      <c r="I410" t="str">
        <f>VLOOKUP(I407,'Parcs types'!$D$7:$M$54,3,FALSE)</f>
        <v>Diesel</v>
      </c>
      <c r="K410" s="4" t="str">
        <f t="shared" si="481"/>
        <v>Diesel</v>
      </c>
    </row>
    <row r="411" spans="1:11" x14ac:dyDescent="0.25">
      <c r="A411" t="s">
        <v>1342</v>
      </c>
      <c r="B411" s="32" t="s">
        <v>119</v>
      </c>
      <c r="C411" t="s">
        <v>82</v>
      </c>
      <c r="E411" t="str">
        <f t="shared" ref="E411" si="485">_xlfn.CONCAT(LEFT(A407,3),"RoutCat",RIGHT(B407,2),"Carb")</f>
        <v>DévRoutCat31Carb</v>
      </c>
      <c r="F411" t="s">
        <v>36</v>
      </c>
      <c r="G411" s="5" cm="1">
        <f t="array" ref="G411">IF((INDEX('Remplissage - Sit. Init.'!$C$23:$I$472,MATCH((B411)&amp;('Remplissage - Sit. Init.'!$D$30),('Remplissage - Sit. Init.'!$C$23:$C$472)&amp;('Remplissage - Sit. Init.'!$D$23:$D$472),0),7))&gt;0,0,1)</f>
        <v>1</v>
      </c>
      <c r="I411" t="str">
        <f>VLOOKUP(I407,'Parcs types'!$D$7:$M$54,4,FALSE)</f>
        <v>Gazole à la pompe</v>
      </c>
      <c r="K411" s="4" t="str">
        <f t="shared" si="481"/>
        <v>Gazole à la pompe</v>
      </c>
    </row>
    <row r="412" spans="1:11" x14ac:dyDescent="0.25">
      <c r="A412" t="s">
        <v>1342</v>
      </c>
      <c r="B412" s="32" t="s">
        <v>119</v>
      </c>
      <c r="C412" t="s">
        <v>83</v>
      </c>
      <c r="E412" t="str">
        <f t="shared" ref="E412" si="486">_xlfn.CONCAT(LEFT(A407,3),"RoutCat",RIGHT(B407,2),"Euro")</f>
        <v>DévRoutCat31Euro</v>
      </c>
      <c r="F412" t="s">
        <v>36</v>
      </c>
      <c r="G412" s="5" cm="1">
        <f t="array" ref="G412">IF((INDEX('Remplissage - Sit. Init.'!$C$23:$I$472,MATCH((B412)&amp;('Remplissage - Sit. Init.'!$D$30),('Remplissage - Sit. Init.'!$C$23:$C$472)&amp;('Remplissage - Sit. Init.'!$D$23:$D$472),0),7))&gt;0,0,1)</f>
        <v>1</v>
      </c>
      <c r="I412">
        <f>VLOOKUP(I407,'Parcs types'!$D$7:$M$54,5,FALSE)</f>
        <v>0</v>
      </c>
      <c r="K412" s="4">
        <f t="shared" si="481"/>
        <v>0</v>
      </c>
    </row>
    <row r="413" spans="1:11" x14ac:dyDescent="0.25">
      <c r="A413" t="s">
        <v>1342</v>
      </c>
      <c r="B413" s="32" t="s">
        <v>119</v>
      </c>
      <c r="C413" t="s">
        <v>84</v>
      </c>
      <c r="E413" t="str">
        <f t="shared" ref="E413" si="487">_xlfn.CONCAT(LEFT(A407,3),"RoutCat",RIGHT(B407,2),"CritAir")</f>
        <v>DévRoutCat31CritAir</v>
      </c>
      <c r="F413" t="s">
        <v>36</v>
      </c>
      <c r="G413" s="5" cm="1">
        <f t="array" ref="G413">IF((INDEX('Remplissage - Sit. Init.'!$C$23:$I$472,MATCH((B413)&amp;('Remplissage - Sit. Init.'!$D$30),('Remplissage - Sit. Init.'!$C$23:$C$472)&amp;('Remplissage - Sit. Init.'!$D$23:$D$472),0),7))&gt;0,0,1)</f>
        <v>1</v>
      </c>
      <c r="H413" s="32"/>
      <c r="I413">
        <f>VLOOKUP(I407,'Parcs types'!$D$7:$M$54,6,FALSE)</f>
        <v>5</v>
      </c>
      <c r="K413" s="4">
        <f t="shared" si="481"/>
        <v>5</v>
      </c>
    </row>
    <row r="414" spans="1:11" x14ac:dyDescent="0.25">
      <c r="A414" t="s">
        <v>1342</v>
      </c>
      <c r="B414" s="32" t="s">
        <v>119</v>
      </c>
      <c r="C414" t="s">
        <v>85</v>
      </c>
      <c r="E414" t="str">
        <f t="shared" ref="E414" si="488">_xlfn.CONCAT(LEFT(A407,3),"RoutCat",RIGHT(B407,2),"Nb")</f>
        <v>DévRoutCat31Nb</v>
      </c>
      <c r="F414" t="s">
        <v>17</v>
      </c>
      <c r="G414" s="5" cm="1">
        <f t="array" ref="G414">IF((INDEX('Remplissage - Sit. Init.'!$C$23:$I$472,MATCH((B414)&amp;('Remplissage - Sit. Init.'!$D$30),('Remplissage - Sit. Init.'!$C$23:$C$472)&amp;('Remplissage - Sit. Init.'!$D$23:$D$472),0),7))&gt;0,0,1)</f>
        <v>1</v>
      </c>
      <c r="J414" t="s">
        <v>86</v>
      </c>
      <c r="K414">
        <f>VLOOKUP($I407,'Parcs types'!$D$7:$M$54,9,FALSE)</f>
        <v>0</v>
      </c>
    </row>
    <row r="415" spans="1:11" x14ac:dyDescent="0.25">
      <c r="A415" t="s">
        <v>1342</v>
      </c>
      <c r="B415" s="32" t="s">
        <v>119</v>
      </c>
      <c r="C415" t="s">
        <v>87</v>
      </c>
      <c r="E415" t="str">
        <f t="shared" ref="E415" si="489">_xlfn.CONCAT(LEFT(A407,3),"RoutCat",RIGHT(B407,2),"Dist")</f>
        <v>DévRoutCat31Dist</v>
      </c>
      <c r="F415" t="s">
        <v>17</v>
      </c>
      <c r="G415" s="5" cm="1">
        <f t="array" ref="G415">IF((INDEX('Remplissage - Sit. Init.'!$C$23:$I$472,MATCH((B415)&amp;('Remplissage - Sit. Init.'!$D$30),('Remplissage - Sit. Init.'!$C$23:$C$472)&amp;('Remplissage - Sit. Init.'!$D$23:$D$472),0),7))&gt;0,0,1)</f>
        <v>1</v>
      </c>
      <c r="H415" s="32"/>
      <c r="J415" t="s">
        <v>88</v>
      </c>
      <c r="K415">
        <f>VLOOKUP($I407,'Parcs types'!$D$7:$M$54,7,FALSE)</f>
        <v>42385.998762263436</v>
      </c>
    </row>
    <row r="416" spans="1:11" x14ac:dyDescent="0.25">
      <c r="A416" t="s">
        <v>1342</v>
      </c>
      <c r="B416" s="32" t="s">
        <v>119</v>
      </c>
      <c r="C416" s="32" t="s">
        <v>89</v>
      </c>
      <c r="E416" t="str">
        <f t="shared" ref="E416" si="490">_xlfn.CONCAT(LEFT(A407,3),"RoutCat",RIGHT(B407,2),"Rempl")</f>
        <v>DévRoutCat31Rempl</v>
      </c>
      <c r="F416" t="s">
        <v>17</v>
      </c>
      <c r="G416" s="5" cm="1">
        <f t="array" ref="G416">IF((INDEX('Remplissage - Sit. Init.'!$C$23:$I$472,MATCH((B416)&amp;('Remplissage - Sit. Init.'!$D$30),('Remplissage - Sit. Init.'!$C$23:$C$472)&amp;('Remplissage - Sit. Init.'!$D$23:$D$472),0),7))&gt;0,0,1)</f>
        <v>1</v>
      </c>
      <c r="H416" s="36"/>
      <c r="J416" t="s">
        <v>70</v>
      </c>
      <c r="K416">
        <f>VLOOKUP($I407,'Parcs types'!$D$7:$M$54,8,FALSE)</f>
        <v>0</v>
      </c>
    </row>
    <row r="417" spans="1:11" x14ac:dyDescent="0.25">
      <c r="A417" t="s">
        <v>1342</v>
      </c>
      <c r="B417" s="32" t="s">
        <v>120</v>
      </c>
      <c r="C417" t="s">
        <v>78</v>
      </c>
      <c r="E417" t="str">
        <f t="shared" ref="E417" si="491">_xlfn.CONCAT(LEFT(A417,3),"RoutCat",RIGHT(B417,2),"Nom")</f>
        <v>DévRoutCat32Nom</v>
      </c>
      <c r="F417" t="s">
        <v>20</v>
      </c>
      <c r="G417" s="5" cm="1">
        <f t="array" ref="G417">IF((INDEX('Remplissage - Sit. Init.'!$C$23:$I$472,MATCH((B417)&amp;('Remplissage - Sit. Init.'!$D$30),('Remplissage - Sit. Init.'!$C$23:$C$472)&amp;('Remplissage - Sit. Init.'!$D$23:$D$472),0),7))&gt;0,0,1)</f>
        <v>1</v>
      </c>
      <c r="H417" s="4"/>
      <c r="I417" s="4" t="str">
        <f>'Parcs types'!D41</f>
        <v>PL Diesel &gt;28-34t (Crit'Air 2)</v>
      </c>
      <c r="K417" s="4" t="str">
        <f t="shared" ref="K417:K423" si="492">I417</f>
        <v>PL Diesel &gt;28-34t (Crit'Air 2)</v>
      </c>
    </row>
    <row r="418" spans="1:11" x14ac:dyDescent="0.25">
      <c r="A418" t="s">
        <v>1342</v>
      </c>
      <c r="B418" s="32" t="s">
        <v>120</v>
      </c>
      <c r="C418" t="s">
        <v>79</v>
      </c>
      <c r="E418" t="str">
        <f t="shared" ref="E418" si="493">_xlfn.CONCAT(LEFT(A417,3),"RoutCat",RIGHT(B417,2),"Type")</f>
        <v>DévRoutCat32Type</v>
      </c>
      <c r="F418" t="s">
        <v>20</v>
      </c>
      <c r="G418" s="5" cm="1">
        <f t="array" ref="G418">IF((INDEX('Remplissage - Sit. Init.'!$C$23:$I$472,MATCH((B418)&amp;('Remplissage - Sit. Init.'!$D$30),('Remplissage - Sit. Init.'!$C$23:$C$472)&amp;('Remplissage - Sit. Init.'!$D$23:$D$472),0),7))&gt;0,0,1)</f>
        <v>1</v>
      </c>
      <c r="I418" t="str">
        <f>IF(K419='Parcs types'!$E$10,"VUL",LEFT('Remplissage - Sit. Prev.'!K417,SEARCH('Remplissage - Sit. Prev.'!K420,'Remplissage - Sit. Prev.'!K417)-2))</f>
        <v>PL</v>
      </c>
      <c r="K418" s="4" t="str">
        <f t="shared" si="492"/>
        <v>PL</v>
      </c>
    </row>
    <row r="419" spans="1:11" x14ac:dyDescent="0.25">
      <c r="A419" t="s">
        <v>1342</v>
      </c>
      <c r="B419" s="32" t="s">
        <v>120</v>
      </c>
      <c r="C419" t="s">
        <v>80</v>
      </c>
      <c r="E419" t="str">
        <f t="shared" ref="E419" si="494">_xlfn.CONCAT(LEFT(A417,3),"RoutCat",RIGHT(B417,2),"PTAC")</f>
        <v>DévRoutCat32PTAC</v>
      </c>
      <c r="F419" t="s">
        <v>36</v>
      </c>
      <c r="G419" s="5" cm="1">
        <f t="array" ref="G419">IF((INDEX('Remplissage - Sit. Init.'!$C$23:$I$472,MATCH((B419)&amp;('Remplissage - Sit. Init.'!$D$30),('Remplissage - Sit. Init.'!$C$23:$C$472)&amp;('Remplissage - Sit. Init.'!$D$23:$D$472),0),7))&gt;0,0,1)</f>
        <v>1</v>
      </c>
      <c r="I419" t="str">
        <f>VLOOKUP(I417,'Parcs types'!$D$7:$M$54,2,FALSE)</f>
        <v>&gt;28-34t</v>
      </c>
      <c r="K419" s="4" t="str">
        <f t="shared" si="492"/>
        <v>&gt;28-34t</v>
      </c>
    </row>
    <row r="420" spans="1:11" x14ac:dyDescent="0.25">
      <c r="A420" t="s">
        <v>1342</v>
      </c>
      <c r="B420" s="32" t="s">
        <v>120</v>
      </c>
      <c r="C420" t="s">
        <v>81</v>
      </c>
      <c r="E420" t="str">
        <f t="shared" ref="E420" si="495">_xlfn.CONCAT(LEFT(A417,3),"RoutCat",RIGHT(B417,2),"Mot")</f>
        <v>DévRoutCat32Mot</v>
      </c>
      <c r="F420" t="s">
        <v>36</v>
      </c>
      <c r="G420" s="5" cm="1">
        <f t="array" ref="G420">IF((INDEX('Remplissage - Sit. Init.'!$C$23:$I$472,MATCH((B420)&amp;('Remplissage - Sit. Init.'!$D$30),('Remplissage - Sit. Init.'!$C$23:$C$472)&amp;('Remplissage - Sit. Init.'!$D$23:$D$472),0),7))&gt;0,0,1)</f>
        <v>1</v>
      </c>
      <c r="H420" s="32"/>
      <c r="I420" t="str">
        <f>VLOOKUP(I417,'Parcs types'!$D$7:$M$54,3,FALSE)</f>
        <v>Diesel</v>
      </c>
      <c r="K420" s="4" t="str">
        <f t="shared" si="492"/>
        <v>Diesel</v>
      </c>
    </row>
    <row r="421" spans="1:11" x14ac:dyDescent="0.25">
      <c r="A421" t="s">
        <v>1342</v>
      </c>
      <c r="B421" s="32" t="s">
        <v>120</v>
      </c>
      <c r="C421" t="s">
        <v>82</v>
      </c>
      <c r="E421" t="str">
        <f t="shared" ref="E421" si="496">_xlfn.CONCAT(LEFT(A417,3),"RoutCat",RIGHT(B417,2),"Carb")</f>
        <v>DévRoutCat32Carb</v>
      </c>
      <c r="F421" t="s">
        <v>36</v>
      </c>
      <c r="G421" s="5" cm="1">
        <f t="array" ref="G421">IF((INDEX('Remplissage - Sit. Init.'!$C$23:$I$472,MATCH((B421)&amp;('Remplissage - Sit. Init.'!$D$30),('Remplissage - Sit. Init.'!$C$23:$C$472)&amp;('Remplissage - Sit. Init.'!$D$23:$D$472),0),7))&gt;0,0,1)</f>
        <v>1</v>
      </c>
      <c r="I421" t="str">
        <f>VLOOKUP(I417,'Parcs types'!$D$7:$M$54,4,FALSE)</f>
        <v>Gazole à la pompe</v>
      </c>
      <c r="K421" s="4" t="str">
        <f t="shared" si="492"/>
        <v>Gazole à la pompe</v>
      </c>
    </row>
    <row r="422" spans="1:11" x14ac:dyDescent="0.25">
      <c r="A422" t="s">
        <v>1342</v>
      </c>
      <c r="B422" s="32" t="s">
        <v>120</v>
      </c>
      <c r="C422" t="s">
        <v>83</v>
      </c>
      <c r="E422" t="str">
        <f t="shared" ref="E422" si="497">_xlfn.CONCAT(LEFT(A417,3),"RoutCat",RIGHT(B417,2),"Euro")</f>
        <v>DévRoutCat32Euro</v>
      </c>
      <c r="F422" t="s">
        <v>36</v>
      </c>
      <c r="G422" s="5" cm="1">
        <f t="array" ref="G422">IF((INDEX('Remplissage - Sit. Init.'!$C$23:$I$472,MATCH((B422)&amp;('Remplissage - Sit. Init.'!$D$30),('Remplissage - Sit. Init.'!$C$23:$C$472)&amp;('Remplissage - Sit. Init.'!$D$23:$D$472),0),7))&gt;0,0,1)</f>
        <v>1</v>
      </c>
      <c r="I422">
        <f>VLOOKUP(I417,'Parcs types'!$D$7:$M$54,5,FALSE)</f>
        <v>0</v>
      </c>
      <c r="K422" s="4">
        <f t="shared" si="492"/>
        <v>0</v>
      </c>
    </row>
    <row r="423" spans="1:11" x14ac:dyDescent="0.25">
      <c r="A423" t="s">
        <v>1342</v>
      </c>
      <c r="B423" s="32" t="s">
        <v>120</v>
      </c>
      <c r="C423" t="s">
        <v>84</v>
      </c>
      <c r="E423" t="str">
        <f t="shared" ref="E423" si="498">_xlfn.CONCAT(LEFT(A417,3),"RoutCat",RIGHT(B417,2),"CritAir")</f>
        <v>DévRoutCat32CritAir</v>
      </c>
      <c r="F423" t="s">
        <v>36</v>
      </c>
      <c r="G423" s="5" cm="1">
        <f t="array" ref="G423">IF((INDEX('Remplissage - Sit. Init.'!$C$23:$I$472,MATCH((B423)&amp;('Remplissage - Sit. Init.'!$D$30),('Remplissage - Sit. Init.'!$C$23:$C$472)&amp;('Remplissage - Sit. Init.'!$D$23:$D$472),0),7))&gt;0,0,1)</f>
        <v>1</v>
      </c>
      <c r="H423" s="32"/>
      <c r="I423">
        <f>VLOOKUP(I417,'Parcs types'!$D$7:$M$54,6,FALSE)</f>
        <v>2</v>
      </c>
      <c r="K423" s="4">
        <f t="shared" si="492"/>
        <v>2</v>
      </c>
    </row>
    <row r="424" spans="1:11" x14ac:dyDescent="0.25">
      <c r="A424" t="s">
        <v>1342</v>
      </c>
      <c r="B424" s="32" t="s">
        <v>120</v>
      </c>
      <c r="C424" t="s">
        <v>85</v>
      </c>
      <c r="E424" t="str">
        <f t="shared" ref="E424" si="499">_xlfn.CONCAT(LEFT(A417,3),"RoutCat",RIGHT(B417,2),"Nb")</f>
        <v>DévRoutCat32Nb</v>
      </c>
      <c r="F424" t="s">
        <v>17</v>
      </c>
      <c r="G424" s="5" cm="1">
        <f t="array" ref="G424">IF((INDEX('Remplissage - Sit. Init.'!$C$23:$I$472,MATCH((B424)&amp;('Remplissage - Sit. Init.'!$D$30),('Remplissage - Sit. Init.'!$C$23:$C$472)&amp;('Remplissage - Sit. Init.'!$D$23:$D$472),0),7))&gt;0,0,1)</f>
        <v>1</v>
      </c>
      <c r="J424" t="s">
        <v>86</v>
      </c>
      <c r="K424">
        <f>VLOOKUP($I417,'Parcs types'!$D$7:$M$54,9,FALSE)</f>
        <v>0</v>
      </c>
    </row>
    <row r="425" spans="1:11" x14ac:dyDescent="0.25">
      <c r="A425" t="s">
        <v>1342</v>
      </c>
      <c r="B425" s="32" t="s">
        <v>120</v>
      </c>
      <c r="C425" t="s">
        <v>87</v>
      </c>
      <c r="E425" t="str">
        <f t="shared" ref="E425" si="500">_xlfn.CONCAT(LEFT(A417,3),"RoutCat",RIGHT(B417,2),"Dist")</f>
        <v>DévRoutCat32Dist</v>
      </c>
      <c r="F425" t="s">
        <v>17</v>
      </c>
      <c r="G425" s="5" cm="1">
        <f t="array" ref="G425">IF((INDEX('Remplissage - Sit. Init.'!$C$23:$I$472,MATCH((B425)&amp;('Remplissage - Sit. Init.'!$D$30),('Remplissage - Sit. Init.'!$C$23:$C$472)&amp;('Remplissage - Sit. Init.'!$D$23:$D$472),0),7))&gt;0,0,1)</f>
        <v>1</v>
      </c>
      <c r="H425" s="32"/>
      <c r="J425" t="s">
        <v>88</v>
      </c>
      <c r="K425">
        <f>VLOOKUP($I417,'Parcs types'!$D$7:$M$54,7,FALSE)</f>
        <v>42385.998762263436</v>
      </c>
    </row>
    <row r="426" spans="1:11" x14ac:dyDescent="0.25">
      <c r="A426" t="s">
        <v>1342</v>
      </c>
      <c r="B426" s="32" t="s">
        <v>120</v>
      </c>
      <c r="C426" s="32" t="s">
        <v>89</v>
      </c>
      <c r="E426" t="str">
        <f t="shared" ref="E426" si="501">_xlfn.CONCAT(LEFT(A417,3),"RoutCat",RIGHT(B417,2),"Rempl")</f>
        <v>DévRoutCat32Rempl</v>
      </c>
      <c r="F426" t="s">
        <v>17</v>
      </c>
      <c r="G426" s="5" cm="1">
        <f t="array" ref="G426">IF((INDEX('Remplissage - Sit. Init.'!$C$23:$I$472,MATCH((B426)&amp;('Remplissage - Sit. Init.'!$D$30),('Remplissage - Sit. Init.'!$C$23:$C$472)&amp;('Remplissage - Sit. Init.'!$D$23:$D$472),0),7))&gt;0,0,1)</f>
        <v>1</v>
      </c>
      <c r="H426" s="36"/>
      <c r="J426" t="s">
        <v>70</v>
      </c>
      <c r="K426">
        <f>VLOOKUP($I417,'Parcs types'!$D$7:$M$54,8,FALSE)</f>
        <v>0</v>
      </c>
    </row>
    <row r="427" spans="1:11" x14ac:dyDescent="0.25">
      <c r="A427" t="s">
        <v>1342</v>
      </c>
      <c r="B427" s="32" t="s">
        <v>121</v>
      </c>
      <c r="C427" t="s">
        <v>78</v>
      </c>
      <c r="E427" t="str">
        <f t="shared" ref="E427" si="502">_xlfn.CONCAT(LEFT(A427,3),"RoutCat",RIGHT(B427,2),"Nom")</f>
        <v>DévRoutCat33Nom</v>
      </c>
      <c r="F427" t="s">
        <v>20</v>
      </c>
      <c r="G427" s="5" cm="1">
        <f t="array" ref="G427">IF((INDEX('Remplissage - Sit. Init.'!$C$23:$I$472,MATCH((B427)&amp;('Remplissage - Sit. Init.'!$D$30),('Remplissage - Sit. Init.'!$C$23:$C$472)&amp;('Remplissage - Sit. Init.'!$D$23:$D$472),0),7))&gt;0,0,1)</f>
        <v>1</v>
      </c>
      <c r="H427" s="4"/>
      <c r="I427" s="4" t="str">
        <f>'Parcs types'!D42</f>
        <v>PL Diesel &gt;28-34t (Crit'Air 3)</v>
      </c>
      <c r="K427" s="4" t="str">
        <f t="shared" ref="K427:K433" si="503">I427</f>
        <v>PL Diesel &gt;28-34t (Crit'Air 3)</v>
      </c>
    </row>
    <row r="428" spans="1:11" x14ac:dyDescent="0.25">
      <c r="A428" t="s">
        <v>1342</v>
      </c>
      <c r="B428" s="32" t="s">
        <v>121</v>
      </c>
      <c r="C428" t="s">
        <v>79</v>
      </c>
      <c r="E428" t="str">
        <f t="shared" ref="E428" si="504">_xlfn.CONCAT(LEFT(A427,3),"RoutCat",RIGHT(B427,2),"Type")</f>
        <v>DévRoutCat33Type</v>
      </c>
      <c r="F428" t="s">
        <v>20</v>
      </c>
      <c r="G428" s="5" cm="1">
        <f t="array" ref="G428">IF((INDEX('Remplissage - Sit. Init.'!$C$23:$I$472,MATCH((B428)&amp;('Remplissage - Sit. Init.'!$D$30),('Remplissage - Sit. Init.'!$C$23:$C$472)&amp;('Remplissage - Sit. Init.'!$D$23:$D$472),0),7))&gt;0,0,1)</f>
        <v>1</v>
      </c>
      <c r="I428" t="str">
        <f>IF(K429='Parcs types'!$E$10,"VUL",LEFT('Remplissage - Sit. Prev.'!K427,SEARCH('Remplissage - Sit. Prev.'!K430,'Remplissage - Sit. Prev.'!K427)-2))</f>
        <v>PL</v>
      </c>
      <c r="K428" s="4" t="str">
        <f t="shared" si="503"/>
        <v>PL</v>
      </c>
    </row>
    <row r="429" spans="1:11" x14ac:dyDescent="0.25">
      <c r="A429" t="s">
        <v>1342</v>
      </c>
      <c r="B429" s="32" t="s">
        <v>121</v>
      </c>
      <c r="C429" t="s">
        <v>80</v>
      </c>
      <c r="E429" t="str">
        <f t="shared" ref="E429" si="505">_xlfn.CONCAT(LEFT(A427,3),"RoutCat",RIGHT(B427,2),"PTAC")</f>
        <v>DévRoutCat33PTAC</v>
      </c>
      <c r="F429" t="s">
        <v>36</v>
      </c>
      <c r="G429" s="5" cm="1">
        <f t="array" ref="G429">IF((INDEX('Remplissage - Sit. Init.'!$C$23:$I$472,MATCH((B429)&amp;('Remplissage - Sit. Init.'!$D$30),('Remplissage - Sit. Init.'!$C$23:$C$472)&amp;('Remplissage - Sit. Init.'!$D$23:$D$472),0),7))&gt;0,0,1)</f>
        <v>1</v>
      </c>
      <c r="I429" t="str">
        <f>VLOOKUP(I427,'Parcs types'!$D$7:$M$54,2,FALSE)</f>
        <v>&gt;28-34t</v>
      </c>
      <c r="K429" s="4" t="str">
        <f t="shared" si="503"/>
        <v>&gt;28-34t</v>
      </c>
    </row>
    <row r="430" spans="1:11" x14ac:dyDescent="0.25">
      <c r="A430" t="s">
        <v>1342</v>
      </c>
      <c r="B430" s="32" t="s">
        <v>121</v>
      </c>
      <c r="C430" t="s">
        <v>81</v>
      </c>
      <c r="E430" t="str">
        <f t="shared" ref="E430" si="506">_xlfn.CONCAT(LEFT(A427,3),"RoutCat",RIGHT(B427,2),"Mot")</f>
        <v>DévRoutCat33Mot</v>
      </c>
      <c r="F430" t="s">
        <v>36</v>
      </c>
      <c r="G430" s="5" cm="1">
        <f t="array" ref="G430">IF((INDEX('Remplissage - Sit. Init.'!$C$23:$I$472,MATCH((B430)&amp;('Remplissage - Sit. Init.'!$D$30),('Remplissage - Sit. Init.'!$C$23:$C$472)&amp;('Remplissage - Sit. Init.'!$D$23:$D$472),0),7))&gt;0,0,1)</f>
        <v>1</v>
      </c>
      <c r="H430" s="32"/>
      <c r="I430" t="str">
        <f>VLOOKUP(I427,'Parcs types'!$D$7:$M$54,3,FALSE)</f>
        <v>Diesel</v>
      </c>
      <c r="K430" s="4" t="str">
        <f t="shared" si="503"/>
        <v>Diesel</v>
      </c>
    </row>
    <row r="431" spans="1:11" x14ac:dyDescent="0.25">
      <c r="A431" t="s">
        <v>1342</v>
      </c>
      <c r="B431" s="32" t="s">
        <v>121</v>
      </c>
      <c r="C431" t="s">
        <v>82</v>
      </c>
      <c r="E431" t="str">
        <f t="shared" ref="E431" si="507">_xlfn.CONCAT(LEFT(A427,3),"RoutCat",RIGHT(B427,2),"Carb")</f>
        <v>DévRoutCat33Carb</v>
      </c>
      <c r="F431" t="s">
        <v>36</v>
      </c>
      <c r="G431" s="5" cm="1">
        <f t="array" ref="G431">IF((INDEX('Remplissage - Sit. Init.'!$C$23:$I$472,MATCH((B431)&amp;('Remplissage - Sit. Init.'!$D$30),('Remplissage - Sit. Init.'!$C$23:$C$472)&amp;('Remplissage - Sit. Init.'!$D$23:$D$472),0),7))&gt;0,0,1)</f>
        <v>1</v>
      </c>
      <c r="I431" t="str">
        <f>VLOOKUP(I427,'Parcs types'!$D$7:$M$54,4,FALSE)</f>
        <v>Gazole à la pompe</v>
      </c>
      <c r="K431" s="4" t="str">
        <f t="shared" si="503"/>
        <v>Gazole à la pompe</v>
      </c>
    </row>
    <row r="432" spans="1:11" x14ac:dyDescent="0.25">
      <c r="A432" t="s">
        <v>1342</v>
      </c>
      <c r="B432" s="32" t="s">
        <v>121</v>
      </c>
      <c r="C432" t="s">
        <v>83</v>
      </c>
      <c r="E432" t="str">
        <f t="shared" ref="E432" si="508">_xlfn.CONCAT(LEFT(A427,3),"RoutCat",RIGHT(B427,2),"Euro")</f>
        <v>DévRoutCat33Euro</v>
      </c>
      <c r="F432" t="s">
        <v>36</v>
      </c>
      <c r="G432" s="5" cm="1">
        <f t="array" ref="G432">IF((INDEX('Remplissage - Sit. Init.'!$C$23:$I$472,MATCH((B432)&amp;('Remplissage - Sit. Init.'!$D$30),('Remplissage - Sit. Init.'!$C$23:$C$472)&amp;('Remplissage - Sit. Init.'!$D$23:$D$472),0),7))&gt;0,0,1)</f>
        <v>1</v>
      </c>
      <c r="I432">
        <f>VLOOKUP(I427,'Parcs types'!$D$7:$M$54,5,FALSE)</f>
        <v>0</v>
      </c>
      <c r="K432" s="4">
        <f t="shared" si="503"/>
        <v>0</v>
      </c>
    </row>
    <row r="433" spans="1:11" x14ac:dyDescent="0.25">
      <c r="A433" t="s">
        <v>1342</v>
      </c>
      <c r="B433" s="32" t="s">
        <v>121</v>
      </c>
      <c r="C433" t="s">
        <v>84</v>
      </c>
      <c r="E433" t="str">
        <f t="shared" ref="E433" si="509">_xlfn.CONCAT(LEFT(A427,3),"RoutCat",RIGHT(B427,2),"CritAir")</f>
        <v>DévRoutCat33CritAir</v>
      </c>
      <c r="F433" t="s">
        <v>36</v>
      </c>
      <c r="G433" s="5" cm="1">
        <f t="array" ref="G433">IF((INDEX('Remplissage - Sit. Init.'!$C$23:$I$472,MATCH((B433)&amp;('Remplissage - Sit. Init.'!$D$30),('Remplissage - Sit. Init.'!$C$23:$C$472)&amp;('Remplissage - Sit. Init.'!$D$23:$D$472),0),7))&gt;0,0,1)</f>
        <v>1</v>
      </c>
      <c r="H433" s="32"/>
      <c r="I433">
        <f>VLOOKUP(I427,'Parcs types'!$D$7:$M$54,6,FALSE)</f>
        <v>3</v>
      </c>
      <c r="K433" s="4">
        <f t="shared" si="503"/>
        <v>3</v>
      </c>
    </row>
    <row r="434" spans="1:11" x14ac:dyDescent="0.25">
      <c r="A434" t="s">
        <v>1342</v>
      </c>
      <c r="B434" s="32" t="s">
        <v>121</v>
      </c>
      <c r="C434" t="s">
        <v>85</v>
      </c>
      <c r="E434" t="str">
        <f t="shared" ref="E434" si="510">_xlfn.CONCAT(LEFT(A427,3),"RoutCat",RIGHT(B427,2),"Nb")</f>
        <v>DévRoutCat33Nb</v>
      </c>
      <c r="F434" t="s">
        <v>17</v>
      </c>
      <c r="G434" s="5" cm="1">
        <f t="array" ref="G434">IF((INDEX('Remplissage - Sit. Init.'!$C$23:$I$472,MATCH((B434)&amp;('Remplissage - Sit. Init.'!$D$30),('Remplissage - Sit. Init.'!$C$23:$C$472)&amp;('Remplissage - Sit. Init.'!$D$23:$D$472),0),7))&gt;0,0,1)</f>
        <v>1</v>
      </c>
      <c r="J434" t="s">
        <v>86</v>
      </c>
      <c r="K434">
        <f>VLOOKUP($I427,'Parcs types'!$D$7:$M$54,9,FALSE)</f>
        <v>0</v>
      </c>
    </row>
    <row r="435" spans="1:11" x14ac:dyDescent="0.25">
      <c r="A435" t="s">
        <v>1342</v>
      </c>
      <c r="B435" s="32" t="s">
        <v>121</v>
      </c>
      <c r="C435" t="s">
        <v>87</v>
      </c>
      <c r="E435" t="str">
        <f t="shared" ref="E435" si="511">_xlfn.CONCAT(LEFT(A427,3),"RoutCat",RIGHT(B427,2),"Dist")</f>
        <v>DévRoutCat33Dist</v>
      </c>
      <c r="F435" t="s">
        <v>17</v>
      </c>
      <c r="G435" s="5" cm="1">
        <f t="array" ref="G435">IF((INDEX('Remplissage - Sit. Init.'!$C$23:$I$472,MATCH((B435)&amp;('Remplissage - Sit. Init.'!$D$30),('Remplissage - Sit. Init.'!$C$23:$C$472)&amp;('Remplissage - Sit. Init.'!$D$23:$D$472),0),7))&gt;0,0,1)</f>
        <v>1</v>
      </c>
      <c r="H435" s="32"/>
      <c r="J435" t="s">
        <v>88</v>
      </c>
      <c r="K435">
        <f>VLOOKUP($I427,'Parcs types'!$D$7:$M$54,7,FALSE)</f>
        <v>42385.998762263436</v>
      </c>
    </row>
    <row r="436" spans="1:11" x14ac:dyDescent="0.25">
      <c r="A436" t="s">
        <v>1342</v>
      </c>
      <c r="B436" s="32" t="s">
        <v>121</v>
      </c>
      <c r="C436" s="32" t="s">
        <v>89</v>
      </c>
      <c r="E436" t="str">
        <f t="shared" ref="E436" si="512">_xlfn.CONCAT(LEFT(A427,3),"RoutCat",RIGHT(B427,2),"Rempl")</f>
        <v>DévRoutCat33Rempl</v>
      </c>
      <c r="F436" t="s">
        <v>17</v>
      </c>
      <c r="G436" s="5" cm="1">
        <f t="array" ref="G436">IF((INDEX('Remplissage - Sit. Init.'!$C$23:$I$472,MATCH((B436)&amp;('Remplissage - Sit. Init.'!$D$30),('Remplissage - Sit. Init.'!$C$23:$C$472)&amp;('Remplissage - Sit. Init.'!$D$23:$D$472),0),7))&gt;0,0,1)</f>
        <v>1</v>
      </c>
      <c r="H436" s="36"/>
      <c r="J436" t="s">
        <v>70</v>
      </c>
      <c r="K436">
        <f>VLOOKUP($I427,'Parcs types'!$D$7:$M$54,8,FALSE)</f>
        <v>0</v>
      </c>
    </row>
    <row r="437" spans="1:11" x14ac:dyDescent="0.25">
      <c r="A437" t="s">
        <v>1342</v>
      </c>
      <c r="B437" s="32" t="s">
        <v>122</v>
      </c>
      <c r="C437" t="s">
        <v>78</v>
      </c>
      <c r="E437" t="str">
        <f t="shared" ref="E437" si="513">_xlfn.CONCAT(LEFT(A437,3),"RoutCat",RIGHT(B437,2),"Nom")</f>
        <v>DévRoutCat34Nom</v>
      </c>
      <c r="F437" t="s">
        <v>20</v>
      </c>
      <c r="G437" s="5" cm="1">
        <f t="array" ref="G437">IF((INDEX('Remplissage - Sit. Init.'!$C$23:$I$472,MATCH((B437)&amp;('Remplissage - Sit. Init.'!$D$30),('Remplissage - Sit. Init.'!$C$23:$C$472)&amp;('Remplissage - Sit. Init.'!$D$23:$D$472),0),7))&gt;0,0,1)</f>
        <v>1</v>
      </c>
      <c r="H437" s="4"/>
      <c r="I437" s="4" t="str">
        <f>'Parcs types'!D43</f>
        <v>PL Diesel &gt;28-34t (Crit'Air 4)</v>
      </c>
      <c r="K437" s="4" t="str">
        <f t="shared" ref="K437:K443" si="514">I437</f>
        <v>PL Diesel &gt;28-34t (Crit'Air 4)</v>
      </c>
    </row>
    <row r="438" spans="1:11" x14ac:dyDescent="0.25">
      <c r="A438" t="s">
        <v>1342</v>
      </c>
      <c r="B438" s="32" t="s">
        <v>122</v>
      </c>
      <c r="C438" t="s">
        <v>79</v>
      </c>
      <c r="E438" t="str">
        <f t="shared" ref="E438" si="515">_xlfn.CONCAT(LEFT(A437,3),"RoutCat",RIGHT(B437,2),"Type")</f>
        <v>DévRoutCat34Type</v>
      </c>
      <c r="F438" t="s">
        <v>20</v>
      </c>
      <c r="G438" s="5" cm="1">
        <f t="array" ref="G438">IF((INDEX('Remplissage - Sit. Init.'!$C$23:$I$472,MATCH((B438)&amp;('Remplissage - Sit. Init.'!$D$30),('Remplissage - Sit. Init.'!$C$23:$C$472)&amp;('Remplissage - Sit. Init.'!$D$23:$D$472),0),7))&gt;0,0,1)</f>
        <v>1</v>
      </c>
      <c r="I438" t="str">
        <f>IF(K439='Parcs types'!$E$10,"VUL",LEFT('Remplissage - Sit. Prev.'!K437,SEARCH('Remplissage - Sit. Prev.'!K440,'Remplissage - Sit. Prev.'!K437)-2))</f>
        <v>PL</v>
      </c>
      <c r="K438" s="4" t="str">
        <f t="shared" si="514"/>
        <v>PL</v>
      </c>
    </row>
    <row r="439" spans="1:11" x14ac:dyDescent="0.25">
      <c r="A439" t="s">
        <v>1342</v>
      </c>
      <c r="B439" s="32" t="s">
        <v>122</v>
      </c>
      <c r="C439" t="s">
        <v>80</v>
      </c>
      <c r="E439" t="str">
        <f t="shared" ref="E439" si="516">_xlfn.CONCAT(LEFT(A437,3),"RoutCat",RIGHT(B437,2),"PTAC")</f>
        <v>DévRoutCat34PTAC</v>
      </c>
      <c r="F439" t="s">
        <v>36</v>
      </c>
      <c r="G439" s="5" cm="1">
        <f t="array" ref="G439">IF((INDEX('Remplissage - Sit. Init.'!$C$23:$I$472,MATCH((B439)&amp;('Remplissage - Sit. Init.'!$D$30),('Remplissage - Sit. Init.'!$C$23:$C$472)&amp;('Remplissage - Sit. Init.'!$D$23:$D$472),0),7))&gt;0,0,1)</f>
        <v>1</v>
      </c>
      <c r="I439" t="str">
        <f>VLOOKUP(I437,'Parcs types'!$D$7:$M$54,2,FALSE)</f>
        <v>&gt;28-34t</v>
      </c>
      <c r="K439" s="4" t="str">
        <f t="shared" si="514"/>
        <v>&gt;28-34t</v>
      </c>
    </row>
    <row r="440" spans="1:11" x14ac:dyDescent="0.25">
      <c r="A440" t="s">
        <v>1342</v>
      </c>
      <c r="B440" s="32" t="s">
        <v>122</v>
      </c>
      <c r="C440" t="s">
        <v>81</v>
      </c>
      <c r="E440" t="str">
        <f t="shared" ref="E440" si="517">_xlfn.CONCAT(LEFT(A437,3),"RoutCat",RIGHT(B437,2),"Mot")</f>
        <v>DévRoutCat34Mot</v>
      </c>
      <c r="F440" t="s">
        <v>36</v>
      </c>
      <c r="G440" s="5" cm="1">
        <f t="array" ref="G440">IF((INDEX('Remplissage - Sit. Init.'!$C$23:$I$472,MATCH((B440)&amp;('Remplissage - Sit. Init.'!$D$30),('Remplissage - Sit. Init.'!$C$23:$C$472)&amp;('Remplissage - Sit. Init.'!$D$23:$D$472),0),7))&gt;0,0,1)</f>
        <v>1</v>
      </c>
      <c r="H440" s="32"/>
      <c r="I440" t="str">
        <f>VLOOKUP(I437,'Parcs types'!$D$7:$M$54,3,FALSE)</f>
        <v>Diesel</v>
      </c>
      <c r="K440" s="4" t="str">
        <f t="shared" si="514"/>
        <v>Diesel</v>
      </c>
    </row>
    <row r="441" spans="1:11" x14ac:dyDescent="0.25">
      <c r="A441" t="s">
        <v>1342</v>
      </c>
      <c r="B441" s="32" t="s">
        <v>122</v>
      </c>
      <c r="C441" t="s">
        <v>82</v>
      </c>
      <c r="E441" t="str">
        <f t="shared" ref="E441" si="518">_xlfn.CONCAT(LEFT(A437,3),"RoutCat",RIGHT(B437,2),"Carb")</f>
        <v>DévRoutCat34Carb</v>
      </c>
      <c r="F441" t="s">
        <v>36</v>
      </c>
      <c r="G441" s="5" cm="1">
        <f t="array" ref="G441">IF((INDEX('Remplissage - Sit. Init.'!$C$23:$I$472,MATCH((B441)&amp;('Remplissage - Sit. Init.'!$D$30),('Remplissage - Sit. Init.'!$C$23:$C$472)&amp;('Remplissage - Sit. Init.'!$D$23:$D$472),0),7))&gt;0,0,1)</f>
        <v>1</v>
      </c>
      <c r="I441" t="str">
        <f>VLOOKUP(I437,'Parcs types'!$D$7:$M$54,4,FALSE)</f>
        <v>Gazole à la pompe</v>
      </c>
      <c r="K441" s="4" t="str">
        <f t="shared" si="514"/>
        <v>Gazole à la pompe</v>
      </c>
    </row>
    <row r="442" spans="1:11" x14ac:dyDescent="0.25">
      <c r="A442" t="s">
        <v>1342</v>
      </c>
      <c r="B442" s="32" t="s">
        <v>122</v>
      </c>
      <c r="C442" t="s">
        <v>83</v>
      </c>
      <c r="E442" t="str">
        <f t="shared" ref="E442" si="519">_xlfn.CONCAT(LEFT(A437,3),"RoutCat",RIGHT(B437,2),"Euro")</f>
        <v>DévRoutCat34Euro</v>
      </c>
      <c r="F442" t="s">
        <v>36</v>
      </c>
      <c r="G442" s="5" cm="1">
        <f t="array" ref="G442">IF((INDEX('Remplissage - Sit. Init.'!$C$23:$I$472,MATCH((B442)&amp;('Remplissage - Sit. Init.'!$D$30),('Remplissage - Sit. Init.'!$C$23:$C$472)&amp;('Remplissage - Sit. Init.'!$D$23:$D$472),0),7))&gt;0,0,1)</f>
        <v>1</v>
      </c>
      <c r="I442">
        <f>VLOOKUP(I437,'Parcs types'!$D$7:$M$54,5,FALSE)</f>
        <v>0</v>
      </c>
      <c r="K442" s="4">
        <f t="shared" si="514"/>
        <v>0</v>
      </c>
    </row>
    <row r="443" spans="1:11" x14ac:dyDescent="0.25">
      <c r="A443" t="s">
        <v>1342</v>
      </c>
      <c r="B443" s="32" t="s">
        <v>122</v>
      </c>
      <c r="C443" t="s">
        <v>84</v>
      </c>
      <c r="E443" t="str">
        <f t="shared" ref="E443" si="520">_xlfn.CONCAT(LEFT(A437,3),"RoutCat",RIGHT(B437,2),"CritAir")</f>
        <v>DévRoutCat34CritAir</v>
      </c>
      <c r="F443" t="s">
        <v>36</v>
      </c>
      <c r="G443" s="5" cm="1">
        <f t="array" ref="G443">IF((INDEX('Remplissage - Sit. Init.'!$C$23:$I$472,MATCH((B443)&amp;('Remplissage - Sit. Init.'!$D$30),('Remplissage - Sit. Init.'!$C$23:$C$472)&amp;('Remplissage - Sit. Init.'!$D$23:$D$472),0),7))&gt;0,0,1)</f>
        <v>1</v>
      </c>
      <c r="H443" s="32"/>
      <c r="I443">
        <f>VLOOKUP(I437,'Parcs types'!$D$7:$M$54,6,FALSE)</f>
        <v>4</v>
      </c>
      <c r="K443" s="4">
        <f t="shared" si="514"/>
        <v>4</v>
      </c>
    </row>
    <row r="444" spans="1:11" x14ac:dyDescent="0.25">
      <c r="A444" t="s">
        <v>1342</v>
      </c>
      <c r="B444" s="32" t="s">
        <v>122</v>
      </c>
      <c r="C444" t="s">
        <v>85</v>
      </c>
      <c r="E444" t="str">
        <f t="shared" ref="E444" si="521">_xlfn.CONCAT(LEFT(A437,3),"RoutCat",RIGHT(B437,2),"Nb")</f>
        <v>DévRoutCat34Nb</v>
      </c>
      <c r="F444" t="s">
        <v>17</v>
      </c>
      <c r="G444" s="5" cm="1">
        <f t="array" ref="G444">IF((INDEX('Remplissage - Sit. Init.'!$C$23:$I$472,MATCH((B444)&amp;('Remplissage - Sit. Init.'!$D$30),('Remplissage - Sit. Init.'!$C$23:$C$472)&amp;('Remplissage - Sit. Init.'!$D$23:$D$472),0),7))&gt;0,0,1)</f>
        <v>1</v>
      </c>
      <c r="J444" t="s">
        <v>86</v>
      </c>
      <c r="K444">
        <f>VLOOKUP($I437,'Parcs types'!$D$7:$M$54,9,FALSE)</f>
        <v>0</v>
      </c>
    </row>
    <row r="445" spans="1:11" x14ac:dyDescent="0.25">
      <c r="A445" t="s">
        <v>1342</v>
      </c>
      <c r="B445" s="32" t="s">
        <v>122</v>
      </c>
      <c r="C445" t="s">
        <v>87</v>
      </c>
      <c r="E445" t="str">
        <f t="shared" ref="E445" si="522">_xlfn.CONCAT(LEFT(A437,3),"RoutCat",RIGHT(B437,2),"Dist")</f>
        <v>DévRoutCat34Dist</v>
      </c>
      <c r="F445" t="s">
        <v>17</v>
      </c>
      <c r="G445" s="5" cm="1">
        <f t="array" ref="G445">IF((INDEX('Remplissage - Sit. Init.'!$C$23:$I$472,MATCH((B445)&amp;('Remplissage - Sit. Init.'!$D$30),('Remplissage - Sit. Init.'!$C$23:$C$472)&amp;('Remplissage - Sit. Init.'!$D$23:$D$472),0),7))&gt;0,0,1)</f>
        <v>1</v>
      </c>
      <c r="H445" s="32"/>
      <c r="J445" t="s">
        <v>88</v>
      </c>
      <c r="K445">
        <f>VLOOKUP($I437,'Parcs types'!$D$7:$M$54,7,FALSE)</f>
        <v>42385.998762263436</v>
      </c>
    </row>
    <row r="446" spans="1:11" x14ac:dyDescent="0.25">
      <c r="A446" t="s">
        <v>1342</v>
      </c>
      <c r="B446" s="32" t="s">
        <v>122</v>
      </c>
      <c r="C446" s="32" t="s">
        <v>89</v>
      </c>
      <c r="E446" t="str">
        <f t="shared" ref="E446" si="523">_xlfn.CONCAT(LEFT(A437,3),"RoutCat",RIGHT(B437,2),"Rempl")</f>
        <v>DévRoutCat34Rempl</v>
      </c>
      <c r="F446" t="s">
        <v>17</v>
      </c>
      <c r="G446" s="5" cm="1">
        <f t="array" ref="G446">IF((INDEX('Remplissage - Sit. Init.'!$C$23:$I$472,MATCH((B446)&amp;('Remplissage - Sit. Init.'!$D$30),('Remplissage - Sit. Init.'!$C$23:$C$472)&amp;('Remplissage - Sit. Init.'!$D$23:$D$472),0),7))&gt;0,0,1)</f>
        <v>1</v>
      </c>
      <c r="H446" s="36"/>
      <c r="J446" t="s">
        <v>70</v>
      </c>
      <c r="K446">
        <f>VLOOKUP($I437,'Parcs types'!$D$7:$M$54,8,FALSE)</f>
        <v>0</v>
      </c>
    </row>
    <row r="447" spans="1:11" x14ac:dyDescent="0.25">
      <c r="A447" t="s">
        <v>1342</v>
      </c>
      <c r="B447" s="32" t="s">
        <v>123</v>
      </c>
      <c r="C447" t="s">
        <v>78</v>
      </c>
      <c r="E447" t="str">
        <f t="shared" ref="E447" si="524">_xlfn.CONCAT(LEFT(A447,3),"RoutCat",RIGHT(B447,2),"Nom")</f>
        <v>DévRoutCat35Nom</v>
      </c>
      <c r="F447" t="s">
        <v>20</v>
      </c>
      <c r="G447" s="5" cm="1">
        <f t="array" ref="G447">IF((INDEX('Remplissage - Sit. Init.'!$C$23:$I$472,MATCH((B447)&amp;('Remplissage - Sit. Init.'!$D$30),('Remplissage - Sit. Init.'!$C$23:$C$472)&amp;('Remplissage - Sit. Init.'!$D$23:$D$472),0),7))&gt;0,0,1)</f>
        <v>1</v>
      </c>
      <c r="H447" s="4"/>
      <c r="I447" s="4" t="str">
        <f>'Parcs types'!D44</f>
        <v>PL Diesel &gt;28-34t (Crit'Air 5)</v>
      </c>
      <c r="K447" s="4" t="str">
        <f t="shared" ref="K447:K453" si="525">I447</f>
        <v>PL Diesel &gt;28-34t (Crit'Air 5)</v>
      </c>
    </row>
    <row r="448" spans="1:11" x14ac:dyDescent="0.25">
      <c r="A448" t="s">
        <v>1342</v>
      </c>
      <c r="B448" s="32" t="s">
        <v>123</v>
      </c>
      <c r="C448" t="s">
        <v>79</v>
      </c>
      <c r="E448" t="str">
        <f t="shared" ref="E448" si="526">_xlfn.CONCAT(LEFT(A447,3),"RoutCat",RIGHT(B447,2),"Type")</f>
        <v>DévRoutCat35Type</v>
      </c>
      <c r="F448" t="s">
        <v>20</v>
      </c>
      <c r="G448" s="5" cm="1">
        <f t="array" ref="G448">IF((INDEX('Remplissage - Sit. Init.'!$C$23:$I$472,MATCH((B448)&amp;('Remplissage - Sit. Init.'!$D$30),('Remplissage - Sit. Init.'!$C$23:$C$472)&amp;('Remplissage - Sit. Init.'!$D$23:$D$472),0),7))&gt;0,0,1)</f>
        <v>1</v>
      </c>
      <c r="I448" t="str">
        <f>IF(K449='Parcs types'!$E$10,"VUL",LEFT('Remplissage - Sit. Prev.'!K447,SEARCH('Remplissage - Sit. Prev.'!K450,'Remplissage - Sit. Prev.'!K447)-2))</f>
        <v>PL</v>
      </c>
      <c r="K448" s="4" t="str">
        <f t="shared" si="525"/>
        <v>PL</v>
      </c>
    </row>
    <row r="449" spans="1:11" x14ac:dyDescent="0.25">
      <c r="A449" t="s">
        <v>1342</v>
      </c>
      <c r="B449" s="32" t="s">
        <v>123</v>
      </c>
      <c r="C449" t="s">
        <v>80</v>
      </c>
      <c r="E449" t="str">
        <f t="shared" ref="E449" si="527">_xlfn.CONCAT(LEFT(A447,3),"RoutCat",RIGHT(B447,2),"PTAC")</f>
        <v>DévRoutCat35PTAC</v>
      </c>
      <c r="F449" t="s">
        <v>36</v>
      </c>
      <c r="G449" s="5" cm="1">
        <f t="array" ref="G449">IF((INDEX('Remplissage - Sit. Init.'!$C$23:$I$472,MATCH((B449)&amp;('Remplissage - Sit. Init.'!$D$30),('Remplissage - Sit. Init.'!$C$23:$C$472)&amp;('Remplissage - Sit. Init.'!$D$23:$D$472),0),7))&gt;0,0,1)</f>
        <v>1</v>
      </c>
      <c r="I449" t="str">
        <f>VLOOKUP(I447,'Parcs types'!$D$7:$M$54,2,FALSE)</f>
        <v>&gt;28-34t</v>
      </c>
      <c r="K449" s="4" t="str">
        <f t="shared" si="525"/>
        <v>&gt;28-34t</v>
      </c>
    </row>
    <row r="450" spans="1:11" x14ac:dyDescent="0.25">
      <c r="A450" t="s">
        <v>1342</v>
      </c>
      <c r="B450" s="32" t="s">
        <v>123</v>
      </c>
      <c r="C450" t="s">
        <v>81</v>
      </c>
      <c r="E450" t="str">
        <f t="shared" ref="E450" si="528">_xlfn.CONCAT(LEFT(A447,3),"RoutCat",RIGHT(B447,2),"Mot")</f>
        <v>DévRoutCat35Mot</v>
      </c>
      <c r="F450" t="s">
        <v>36</v>
      </c>
      <c r="G450" s="5" cm="1">
        <f t="array" ref="G450">IF((INDEX('Remplissage - Sit. Init.'!$C$23:$I$472,MATCH((B450)&amp;('Remplissage - Sit. Init.'!$D$30),('Remplissage - Sit. Init.'!$C$23:$C$472)&amp;('Remplissage - Sit. Init.'!$D$23:$D$472),0),7))&gt;0,0,1)</f>
        <v>1</v>
      </c>
      <c r="H450" s="32"/>
      <c r="I450" t="str">
        <f>VLOOKUP(I447,'Parcs types'!$D$7:$M$54,3,FALSE)</f>
        <v>Diesel</v>
      </c>
      <c r="K450" s="4" t="str">
        <f t="shared" si="525"/>
        <v>Diesel</v>
      </c>
    </row>
    <row r="451" spans="1:11" x14ac:dyDescent="0.25">
      <c r="A451" t="s">
        <v>1342</v>
      </c>
      <c r="B451" s="32" t="s">
        <v>123</v>
      </c>
      <c r="C451" t="s">
        <v>82</v>
      </c>
      <c r="E451" t="str">
        <f t="shared" ref="E451" si="529">_xlfn.CONCAT(LEFT(A447,3),"RoutCat",RIGHT(B447,2),"Carb")</f>
        <v>DévRoutCat35Carb</v>
      </c>
      <c r="F451" t="s">
        <v>36</v>
      </c>
      <c r="G451" s="5" cm="1">
        <f t="array" ref="G451">IF((INDEX('Remplissage - Sit. Init.'!$C$23:$I$472,MATCH((B451)&amp;('Remplissage - Sit. Init.'!$D$30),('Remplissage - Sit. Init.'!$C$23:$C$472)&amp;('Remplissage - Sit. Init.'!$D$23:$D$472),0),7))&gt;0,0,1)</f>
        <v>1</v>
      </c>
      <c r="I451" t="str">
        <f>VLOOKUP(I447,'Parcs types'!$D$7:$M$54,4,FALSE)</f>
        <v>Gazole à la pompe</v>
      </c>
      <c r="K451" s="4" t="str">
        <f t="shared" si="525"/>
        <v>Gazole à la pompe</v>
      </c>
    </row>
    <row r="452" spans="1:11" x14ac:dyDescent="0.25">
      <c r="A452" t="s">
        <v>1342</v>
      </c>
      <c r="B452" s="32" t="s">
        <v>123</v>
      </c>
      <c r="C452" t="s">
        <v>83</v>
      </c>
      <c r="E452" t="str">
        <f t="shared" ref="E452" si="530">_xlfn.CONCAT(LEFT(A447,3),"RoutCat",RIGHT(B447,2),"Euro")</f>
        <v>DévRoutCat35Euro</v>
      </c>
      <c r="F452" t="s">
        <v>36</v>
      </c>
      <c r="G452" s="5" cm="1">
        <f t="array" ref="G452">IF((INDEX('Remplissage - Sit. Init.'!$C$23:$I$472,MATCH((B452)&amp;('Remplissage - Sit. Init.'!$D$30),('Remplissage - Sit. Init.'!$C$23:$C$472)&amp;('Remplissage - Sit. Init.'!$D$23:$D$472),0),7))&gt;0,0,1)</f>
        <v>1</v>
      </c>
      <c r="I452">
        <f>VLOOKUP(I447,'Parcs types'!$D$7:$M$54,5,FALSE)</f>
        <v>0</v>
      </c>
      <c r="K452" s="4">
        <f t="shared" si="525"/>
        <v>0</v>
      </c>
    </row>
    <row r="453" spans="1:11" x14ac:dyDescent="0.25">
      <c r="A453" t="s">
        <v>1342</v>
      </c>
      <c r="B453" s="32" t="s">
        <v>123</v>
      </c>
      <c r="C453" t="s">
        <v>84</v>
      </c>
      <c r="E453" t="str">
        <f t="shared" ref="E453" si="531">_xlfn.CONCAT(LEFT(A447,3),"RoutCat",RIGHT(B447,2),"CritAir")</f>
        <v>DévRoutCat35CritAir</v>
      </c>
      <c r="F453" t="s">
        <v>36</v>
      </c>
      <c r="G453" s="5" cm="1">
        <f t="array" ref="G453">IF((INDEX('Remplissage - Sit. Init.'!$C$23:$I$472,MATCH((B453)&amp;('Remplissage - Sit. Init.'!$D$30),('Remplissage - Sit. Init.'!$C$23:$C$472)&amp;('Remplissage - Sit. Init.'!$D$23:$D$472),0),7))&gt;0,0,1)</f>
        <v>1</v>
      </c>
      <c r="H453" s="32"/>
      <c r="I453">
        <f>VLOOKUP(I447,'Parcs types'!$D$7:$M$54,6,FALSE)</f>
        <v>5</v>
      </c>
      <c r="K453" s="4">
        <f t="shared" si="525"/>
        <v>5</v>
      </c>
    </row>
    <row r="454" spans="1:11" x14ac:dyDescent="0.25">
      <c r="A454" t="s">
        <v>1342</v>
      </c>
      <c r="B454" s="32" t="s">
        <v>123</v>
      </c>
      <c r="C454" t="s">
        <v>85</v>
      </c>
      <c r="E454" t="str">
        <f t="shared" ref="E454" si="532">_xlfn.CONCAT(LEFT(A447,3),"RoutCat",RIGHT(B447,2),"Nb")</f>
        <v>DévRoutCat35Nb</v>
      </c>
      <c r="F454" t="s">
        <v>17</v>
      </c>
      <c r="G454" s="5" cm="1">
        <f t="array" ref="G454">IF((INDEX('Remplissage - Sit. Init.'!$C$23:$I$472,MATCH((B454)&amp;('Remplissage - Sit. Init.'!$D$30),('Remplissage - Sit. Init.'!$C$23:$C$472)&amp;('Remplissage - Sit. Init.'!$D$23:$D$472),0),7))&gt;0,0,1)</f>
        <v>1</v>
      </c>
      <c r="J454" t="s">
        <v>86</v>
      </c>
      <c r="K454">
        <f>VLOOKUP($I447,'Parcs types'!$D$7:$M$54,9,FALSE)</f>
        <v>0</v>
      </c>
    </row>
    <row r="455" spans="1:11" x14ac:dyDescent="0.25">
      <c r="A455" t="s">
        <v>1342</v>
      </c>
      <c r="B455" s="32" t="s">
        <v>123</v>
      </c>
      <c r="C455" t="s">
        <v>87</v>
      </c>
      <c r="E455" t="str">
        <f t="shared" ref="E455" si="533">_xlfn.CONCAT(LEFT(A447,3),"RoutCat",RIGHT(B447,2),"Dist")</f>
        <v>DévRoutCat35Dist</v>
      </c>
      <c r="F455" t="s">
        <v>17</v>
      </c>
      <c r="G455" s="5" cm="1">
        <f t="array" ref="G455">IF((INDEX('Remplissage - Sit. Init.'!$C$23:$I$472,MATCH((B455)&amp;('Remplissage - Sit. Init.'!$D$30),('Remplissage - Sit. Init.'!$C$23:$C$472)&amp;('Remplissage - Sit. Init.'!$D$23:$D$472),0),7))&gt;0,0,1)</f>
        <v>1</v>
      </c>
      <c r="H455" s="32"/>
      <c r="J455" t="s">
        <v>88</v>
      </c>
      <c r="K455">
        <f>VLOOKUP($I447,'Parcs types'!$D$7:$M$54,7,FALSE)</f>
        <v>42385.998762263436</v>
      </c>
    </row>
    <row r="456" spans="1:11" x14ac:dyDescent="0.25">
      <c r="A456" t="s">
        <v>1342</v>
      </c>
      <c r="B456" s="32" t="s">
        <v>123</v>
      </c>
      <c r="C456" s="32" t="s">
        <v>89</v>
      </c>
      <c r="E456" t="str">
        <f t="shared" ref="E456" si="534">_xlfn.CONCAT(LEFT(A447,3),"RoutCat",RIGHT(B447,2),"Rempl")</f>
        <v>DévRoutCat35Rempl</v>
      </c>
      <c r="F456" t="s">
        <v>17</v>
      </c>
      <c r="G456" s="5" cm="1">
        <f t="array" ref="G456">IF((INDEX('Remplissage - Sit. Init.'!$C$23:$I$472,MATCH((B456)&amp;('Remplissage - Sit. Init.'!$D$30),('Remplissage - Sit. Init.'!$C$23:$C$472)&amp;('Remplissage - Sit. Init.'!$D$23:$D$472),0),7))&gt;0,0,1)</f>
        <v>1</v>
      </c>
      <c r="H456" s="36"/>
      <c r="J456" t="s">
        <v>70</v>
      </c>
      <c r="K456">
        <f>VLOOKUP($I447,'Parcs types'!$D$7:$M$54,8,FALSE)</f>
        <v>0</v>
      </c>
    </row>
    <row r="457" spans="1:11" x14ac:dyDescent="0.25">
      <c r="A457" t="s">
        <v>1342</v>
      </c>
      <c r="B457" s="32" t="s">
        <v>124</v>
      </c>
      <c r="C457" t="s">
        <v>78</v>
      </c>
      <c r="E457" t="str">
        <f t="shared" ref="E457" si="535">_xlfn.CONCAT(LEFT(A457,3),"RoutCat",RIGHT(B457,2),"Nom")</f>
        <v>DévRoutCat36Nom</v>
      </c>
      <c r="F457" t="s">
        <v>20</v>
      </c>
      <c r="G457" s="5" cm="1">
        <f t="array" ref="G457">IF((INDEX('Remplissage - Sit. Init.'!$C$23:$I$472,MATCH((B457)&amp;('Remplissage - Sit. Init.'!$D$30),('Remplissage - Sit. Init.'!$C$23:$C$472)&amp;('Remplissage - Sit. Init.'!$D$23:$D$472),0),7))&gt;0,0,1)</f>
        <v>1</v>
      </c>
      <c r="H457" s="4"/>
      <c r="I457" s="4" t="str">
        <f>'Parcs types'!D45</f>
        <v>PL Diesel &gt;34-40t (Crit'Air 2)</v>
      </c>
      <c r="K457" s="4" t="str">
        <f t="shared" ref="K457:K463" si="536">I457</f>
        <v>PL Diesel &gt;34-40t (Crit'Air 2)</v>
      </c>
    </row>
    <row r="458" spans="1:11" x14ac:dyDescent="0.25">
      <c r="A458" t="s">
        <v>1342</v>
      </c>
      <c r="B458" s="32" t="s">
        <v>124</v>
      </c>
      <c r="C458" t="s">
        <v>79</v>
      </c>
      <c r="E458" t="str">
        <f t="shared" ref="E458" si="537">_xlfn.CONCAT(LEFT(A457,3),"RoutCat",RIGHT(B457,2),"Type")</f>
        <v>DévRoutCat36Type</v>
      </c>
      <c r="F458" t="s">
        <v>20</v>
      </c>
      <c r="G458" s="5" cm="1">
        <f t="array" ref="G458">IF((INDEX('Remplissage - Sit. Init.'!$C$23:$I$472,MATCH((B458)&amp;('Remplissage - Sit. Init.'!$D$30),('Remplissage - Sit. Init.'!$C$23:$C$472)&amp;('Remplissage - Sit. Init.'!$D$23:$D$472),0),7))&gt;0,0,1)</f>
        <v>1</v>
      </c>
      <c r="I458" t="str">
        <f>IF(K459='Parcs types'!$E$10,"VUL",LEFT('Remplissage - Sit. Prev.'!K457,SEARCH('Remplissage - Sit. Prev.'!K460,'Remplissage - Sit. Prev.'!K457)-2))</f>
        <v>PL</v>
      </c>
      <c r="K458" s="4" t="str">
        <f t="shared" si="536"/>
        <v>PL</v>
      </c>
    </row>
    <row r="459" spans="1:11" x14ac:dyDescent="0.25">
      <c r="A459" t="s">
        <v>1342</v>
      </c>
      <c r="B459" s="32" t="s">
        <v>124</v>
      </c>
      <c r="C459" t="s">
        <v>80</v>
      </c>
      <c r="E459" t="str">
        <f t="shared" ref="E459" si="538">_xlfn.CONCAT(LEFT(A457,3),"RoutCat",RIGHT(B457,2),"PTAC")</f>
        <v>DévRoutCat36PTAC</v>
      </c>
      <c r="F459" t="s">
        <v>36</v>
      </c>
      <c r="G459" s="5" cm="1">
        <f t="array" ref="G459">IF((INDEX('Remplissage - Sit. Init.'!$C$23:$I$472,MATCH((B459)&amp;('Remplissage - Sit. Init.'!$D$30),('Remplissage - Sit. Init.'!$C$23:$C$472)&amp;('Remplissage - Sit. Init.'!$D$23:$D$472),0),7))&gt;0,0,1)</f>
        <v>1</v>
      </c>
      <c r="I459" t="str">
        <f>VLOOKUP(I457,'Parcs types'!$D$7:$M$54,2,FALSE)</f>
        <v>&gt;34-40t</v>
      </c>
      <c r="K459" s="4" t="str">
        <f t="shared" si="536"/>
        <v>&gt;34-40t</v>
      </c>
    </row>
    <row r="460" spans="1:11" x14ac:dyDescent="0.25">
      <c r="A460" t="s">
        <v>1342</v>
      </c>
      <c r="B460" s="32" t="s">
        <v>124</v>
      </c>
      <c r="C460" t="s">
        <v>81</v>
      </c>
      <c r="E460" t="str">
        <f t="shared" ref="E460" si="539">_xlfn.CONCAT(LEFT(A457,3),"RoutCat",RIGHT(B457,2),"Mot")</f>
        <v>DévRoutCat36Mot</v>
      </c>
      <c r="F460" t="s">
        <v>36</v>
      </c>
      <c r="G460" s="5" cm="1">
        <f t="array" ref="G460">IF((INDEX('Remplissage - Sit. Init.'!$C$23:$I$472,MATCH((B460)&amp;('Remplissage - Sit. Init.'!$D$30),('Remplissage - Sit. Init.'!$C$23:$C$472)&amp;('Remplissage - Sit. Init.'!$D$23:$D$472),0),7))&gt;0,0,1)</f>
        <v>1</v>
      </c>
      <c r="H460" s="32"/>
      <c r="I460" t="str">
        <f>VLOOKUP(I457,'Parcs types'!$D$7:$M$54,3,FALSE)</f>
        <v>Diesel</v>
      </c>
      <c r="K460" s="4" t="str">
        <f t="shared" si="536"/>
        <v>Diesel</v>
      </c>
    </row>
    <row r="461" spans="1:11" x14ac:dyDescent="0.25">
      <c r="A461" t="s">
        <v>1342</v>
      </c>
      <c r="B461" s="32" t="s">
        <v>124</v>
      </c>
      <c r="C461" t="s">
        <v>82</v>
      </c>
      <c r="E461" t="str">
        <f t="shared" ref="E461" si="540">_xlfn.CONCAT(LEFT(A457,3),"RoutCat",RIGHT(B457,2),"Carb")</f>
        <v>DévRoutCat36Carb</v>
      </c>
      <c r="F461" t="s">
        <v>36</v>
      </c>
      <c r="G461" s="5" cm="1">
        <f t="array" ref="G461">IF((INDEX('Remplissage - Sit. Init.'!$C$23:$I$472,MATCH((B461)&amp;('Remplissage - Sit. Init.'!$D$30),('Remplissage - Sit. Init.'!$C$23:$C$472)&amp;('Remplissage - Sit. Init.'!$D$23:$D$472),0),7))&gt;0,0,1)</f>
        <v>1</v>
      </c>
      <c r="I461" t="str">
        <f>VLOOKUP(I457,'Parcs types'!$D$7:$M$54,4,FALSE)</f>
        <v>Gazole à la pompe</v>
      </c>
      <c r="K461" s="4" t="str">
        <f t="shared" si="536"/>
        <v>Gazole à la pompe</v>
      </c>
    </row>
    <row r="462" spans="1:11" x14ac:dyDescent="0.25">
      <c r="A462" t="s">
        <v>1342</v>
      </c>
      <c r="B462" s="32" t="s">
        <v>124</v>
      </c>
      <c r="C462" t="s">
        <v>83</v>
      </c>
      <c r="E462" t="str">
        <f t="shared" ref="E462" si="541">_xlfn.CONCAT(LEFT(A457,3),"RoutCat",RIGHT(B457,2),"Euro")</f>
        <v>DévRoutCat36Euro</v>
      </c>
      <c r="F462" t="s">
        <v>36</v>
      </c>
      <c r="G462" s="5" cm="1">
        <f t="array" ref="G462">IF((INDEX('Remplissage - Sit. Init.'!$C$23:$I$472,MATCH((B462)&amp;('Remplissage - Sit. Init.'!$D$30),('Remplissage - Sit. Init.'!$C$23:$C$472)&amp;('Remplissage - Sit. Init.'!$D$23:$D$472),0),7))&gt;0,0,1)</f>
        <v>1</v>
      </c>
      <c r="I462">
        <f>VLOOKUP(I457,'Parcs types'!$D$7:$M$54,5,FALSE)</f>
        <v>0</v>
      </c>
      <c r="K462" s="4">
        <f t="shared" si="536"/>
        <v>0</v>
      </c>
    </row>
    <row r="463" spans="1:11" x14ac:dyDescent="0.25">
      <c r="A463" t="s">
        <v>1342</v>
      </c>
      <c r="B463" s="32" t="s">
        <v>124</v>
      </c>
      <c r="C463" t="s">
        <v>84</v>
      </c>
      <c r="E463" t="str">
        <f t="shared" ref="E463" si="542">_xlfn.CONCAT(LEFT(A457,3),"RoutCat",RIGHT(B457,2),"CritAir")</f>
        <v>DévRoutCat36CritAir</v>
      </c>
      <c r="F463" t="s">
        <v>36</v>
      </c>
      <c r="G463" s="5" cm="1">
        <f t="array" ref="G463">IF((INDEX('Remplissage - Sit. Init.'!$C$23:$I$472,MATCH((B463)&amp;('Remplissage - Sit. Init.'!$D$30),('Remplissage - Sit. Init.'!$C$23:$C$472)&amp;('Remplissage - Sit. Init.'!$D$23:$D$472),0),7))&gt;0,0,1)</f>
        <v>1</v>
      </c>
      <c r="H463" s="32"/>
      <c r="I463">
        <f>VLOOKUP(I457,'Parcs types'!$D$7:$M$54,6,FALSE)</f>
        <v>2</v>
      </c>
      <c r="K463" s="4">
        <f t="shared" si="536"/>
        <v>2</v>
      </c>
    </row>
    <row r="464" spans="1:11" x14ac:dyDescent="0.25">
      <c r="A464" t="s">
        <v>1342</v>
      </c>
      <c r="B464" s="32" t="s">
        <v>124</v>
      </c>
      <c r="C464" t="s">
        <v>85</v>
      </c>
      <c r="E464" t="str">
        <f t="shared" ref="E464" si="543">_xlfn.CONCAT(LEFT(A457,3),"RoutCat",RIGHT(B457,2),"Nb")</f>
        <v>DévRoutCat36Nb</v>
      </c>
      <c r="F464" t="s">
        <v>17</v>
      </c>
      <c r="G464" s="5" cm="1">
        <f t="array" ref="G464">IF((INDEX('Remplissage - Sit. Init.'!$C$23:$I$472,MATCH((B464)&amp;('Remplissage - Sit. Init.'!$D$30),('Remplissage - Sit. Init.'!$C$23:$C$472)&amp;('Remplissage - Sit. Init.'!$D$23:$D$472),0),7))&gt;0,0,1)</f>
        <v>1</v>
      </c>
      <c r="J464" t="s">
        <v>86</v>
      </c>
      <c r="K464">
        <f>VLOOKUP($I457,'Parcs types'!$D$7:$M$54,9,FALSE)</f>
        <v>0</v>
      </c>
    </row>
    <row r="465" spans="1:11" x14ac:dyDescent="0.25">
      <c r="A465" t="s">
        <v>1342</v>
      </c>
      <c r="B465" s="32" t="s">
        <v>124</v>
      </c>
      <c r="C465" t="s">
        <v>87</v>
      </c>
      <c r="E465" t="str">
        <f t="shared" ref="E465" si="544">_xlfn.CONCAT(LEFT(A457,3),"RoutCat",RIGHT(B457,2),"Dist")</f>
        <v>DévRoutCat36Dist</v>
      </c>
      <c r="F465" t="s">
        <v>17</v>
      </c>
      <c r="G465" s="5" cm="1">
        <f t="array" ref="G465">IF((INDEX('Remplissage - Sit. Init.'!$C$23:$I$472,MATCH((B465)&amp;('Remplissage - Sit. Init.'!$D$30),('Remplissage - Sit. Init.'!$C$23:$C$472)&amp;('Remplissage - Sit. Init.'!$D$23:$D$472),0),7))&gt;0,0,1)</f>
        <v>1</v>
      </c>
      <c r="H465" s="32"/>
      <c r="J465" t="s">
        <v>88</v>
      </c>
      <c r="K465">
        <f>VLOOKUP($I457,'Parcs types'!$D$7:$M$54,7,FALSE)</f>
        <v>42385.998762263436</v>
      </c>
    </row>
    <row r="466" spans="1:11" x14ac:dyDescent="0.25">
      <c r="A466" t="s">
        <v>1342</v>
      </c>
      <c r="B466" s="32" t="s">
        <v>124</v>
      </c>
      <c r="C466" s="32" t="s">
        <v>89</v>
      </c>
      <c r="E466" t="str">
        <f t="shared" ref="E466" si="545">_xlfn.CONCAT(LEFT(A457,3),"RoutCat",RIGHT(B457,2),"Rempl")</f>
        <v>DévRoutCat36Rempl</v>
      </c>
      <c r="F466" t="s">
        <v>17</v>
      </c>
      <c r="G466" s="5" cm="1">
        <f t="array" ref="G466">IF((INDEX('Remplissage - Sit. Init.'!$C$23:$I$472,MATCH((B466)&amp;('Remplissage - Sit. Init.'!$D$30),('Remplissage - Sit. Init.'!$C$23:$C$472)&amp;('Remplissage - Sit. Init.'!$D$23:$D$472),0),7))&gt;0,0,1)</f>
        <v>1</v>
      </c>
      <c r="H466" s="36"/>
      <c r="J466" t="s">
        <v>70</v>
      </c>
      <c r="K466">
        <f>VLOOKUP($I457,'Parcs types'!$D$7:$M$54,8,FALSE)</f>
        <v>0</v>
      </c>
    </row>
    <row r="467" spans="1:11" x14ac:dyDescent="0.25">
      <c r="A467" t="s">
        <v>1342</v>
      </c>
      <c r="B467" s="32" t="s">
        <v>125</v>
      </c>
      <c r="C467" t="s">
        <v>78</v>
      </c>
      <c r="E467" t="str">
        <f t="shared" ref="E467" si="546">_xlfn.CONCAT(LEFT(A467,3),"RoutCat",RIGHT(B467,2),"Nom")</f>
        <v>DévRoutCat37Nom</v>
      </c>
      <c r="F467" t="s">
        <v>20</v>
      </c>
      <c r="G467" s="5" cm="1">
        <f t="array" ref="G467">IF((INDEX('Remplissage - Sit. Init.'!$C$23:$I$472,MATCH((B467)&amp;('Remplissage - Sit. Init.'!$D$30),('Remplissage - Sit. Init.'!$C$23:$C$472)&amp;('Remplissage - Sit. Init.'!$D$23:$D$472),0),7))&gt;0,0,1)</f>
        <v>1</v>
      </c>
      <c r="H467" s="4"/>
      <c r="I467" s="4" t="str">
        <f>'Parcs types'!D46</f>
        <v>PL Diesel &gt;34-40t (Crit'Air 3)</v>
      </c>
      <c r="K467" s="4" t="str">
        <f t="shared" ref="K467:K473" si="547">I467</f>
        <v>PL Diesel &gt;34-40t (Crit'Air 3)</v>
      </c>
    </row>
    <row r="468" spans="1:11" x14ac:dyDescent="0.25">
      <c r="A468" t="s">
        <v>1342</v>
      </c>
      <c r="B468" s="32" t="s">
        <v>125</v>
      </c>
      <c r="C468" t="s">
        <v>79</v>
      </c>
      <c r="E468" t="str">
        <f t="shared" ref="E468" si="548">_xlfn.CONCAT(LEFT(A467,3),"RoutCat",RIGHT(B467,2),"Type")</f>
        <v>DévRoutCat37Type</v>
      </c>
      <c r="F468" t="s">
        <v>20</v>
      </c>
      <c r="G468" s="5" cm="1">
        <f t="array" ref="G468">IF((INDEX('Remplissage - Sit. Init.'!$C$23:$I$472,MATCH((B468)&amp;('Remplissage - Sit. Init.'!$D$30),('Remplissage - Sit. Init.'!$C$23:$C$472)&amp;('Remplissage - Sit. Init.'!$D$23:$D$472),0),7))&gt;0,0,1)</f>
        <v>1</v>
      </c>
      <c r="I468" t="str">
        <f>IF(K469='Parcs types'!$E$10,"VUL",LEFT('Remplissage - Sit. Prev.'!K467,SEARCH('Remplissage - Sit. Prev.'!K470,'Remplissage - Sit. Prev.'!K467)-2))</f>
        <v>PL</v>
      </c>
      <c r="K468" s="4" t="str">
        <f t="shared" si="547"/>
        <v>PL</v>
      </c>
    </row>
    <row r="469" spans="1:11" x14ac:dyDescent="0.25">
      <c r="A469" t="s">
        <v>1342</v>
      </c>
      <c r="B469" s="32" t="s">
        <v>125</v>
      </c>
      <c r="C469" t="s">
        <v>80</v>
      </c>
      <c r="E469" t="str">
        <f t="shared" ref="E469" si="549">_xlfn.CONCAT(LEFT(A467,3),"RoutCat",RIGHT(B467,2),"PTAC")</f>
        <v>DévRoutCat37PTAC</v>
      </c>
      <c r="F469" t="s">
        <v>36</v>
      </c>
      <c r="G469" s="5" cm="1">
        <f t="array" ref="G469">IF((INDEX('Remplissage - Sit. Init.'!$C$23:$I$472,MATCH((B469)&amp;('Remplissage - Sit. Init.'!$D$30),('Remplissage - Sit. Init.'!$C$23:$C$472)&amp;('Remplissage - Sit. Init.'!$D$23:$D$472),0),7))&gt;0,0,1)</f>
        <v>1</v>
      </c>
      <c r="I469" t="str">
        <f>VLOOKUP(I467,'Parcs types'!$D$7:$M$54,2,FALSE)</f>
        <v>&gt;34-40t</v>
      </c>
      <c r="K469" s="4" t="str">
        <f t="shared" si="547"/>
        <v>&gt;34-40t</v>
      </c>
    </row>
    <row r="470" spans="1:11" x14ac:dyDescent="0.25">
      <c r="A470" t="s">
        <v>1342</v>
      </c>
      <c r="B470" s="32" t="s">
        <v>125</v>
      </c>
      <c r="C470" t="s">
        <v>81</v>
      </c>
      <c r="E470" t="str">
        <f t="shared" ref="E470" si="550">_xlfn.CONCAT(LEFT(A467,3),"RoutCat",RIGHT(B467,2),"Mot")</f>
        <v>DévRoutCat37Mot</v>
      </c>
      <c r="F470" t="s">
        <v>36</v>
      </c>
      <c r="G470" s="5" cm="1">
        <f t="array" ref="G470">IF((INDEX('Remplissage - Sit. Init.'!$C$23:$I$472,MATCH((B470)&amp;('Remplissage - Sit. Init.'!$D$30),('Remplissage - Sit. Init.'!$C$23:$C$472)&amp;('Remplissage - Sit. Init.'!$D$23:$D$472),0),7))&gt;0,0,1)</f>
        <v>1</v>
      </c>
      <c r="H470" s="32"/>
      <c r="I470" t="str">
        <f>VLOOKUP(I467,'Parcs types'!$D$7:$M$54,3,FALSE)</f>
        <v>Diesel</v>
      </c>
      <c r="K470" s="4" t="str">
        <f t="shared" si="547"/>
        <v>Diesel</v>
      </c>
    </row>
    <row r="471" spans="1:11" x14ac:dyDescent="0.25">
      <c r="A471" t="s">
        <v>1342</v>
      </c>
      <c r="B471" s="32" t="s">
        <v>125</v>
      </c>
      <c r="C471" t="s">
        <v>82</v>
      </c>
      <c r="E471" t="str">
        <f t="shared" ref="E471" si="551">_xlfn.CONCAT(LEFT(A467,3),"RoutCat",RIGHT(B467,2),"Carb")</f>
        <v>DévRoutCat37Carb</v>
      </c>
      <c r="F471" t="s">
        <v>36</v>
      </c>
      <c r="G471" s="5" cm="1">
        <f t="array" ref="G471">IF((INDEX('Remplissage - Sit. Init.'!$C$23:$I$472,MATCH((B471)&amp;('Remplissage - Sit. Init.'!$D$30),('Remplissage - Sit. Init.'!$C$23:$C$472)&amp;('Remplissage - Sit. Init.'!$D$23:$D$472),0),7))&gt;0,0,1)</f>
        <v>1</v>
      </c>
      <c r="I471" t="str">
        <f>VLOOKUP(I467,'Parcs types'!$D$7:$M$54,4,FALSE)</f>
        <v>Gazole à la pompe</v>
      </c>
      <c r="K471" s="4" t="str">
        <f t="shared" si="547"/>
        <v>Gazole à la pompe</v>
      </c>
    </row>
    <row r="472" spans="1:11" x14ac:dyDescent="0.25">
      <c r="A472" t="s">
        <v>1342</v>
      </c>
      <c r="B472" s="32" t="s">
        <v>125</v>
      </c>
      <c r="C472" t="s">
        <v>83</v>
      </c>
      <c r="E472" t="str">
        <f t="shared" ref="E472" si="552">_xlfn.CONCAT(LEFT(A467,3),"RoutCat",RIGHT(B467,2),"Euro")</f>
        <v>DévRoutCat37Euro</v>
      </c>
      <c r="F472" t="s">
        <v>36</v>
      </c>
      <c r="G472" s="5" cm="1">
        <f t="array" ref="G472">IF((INDEX('Remplissage - Sit. Init.'!$C$23:$I$472,MATCH((B472)&amp;('Remplissage - Sit. Init.'!$D$30),('Remplissage - Sit. Init.'!$C$23:$C$472)&amp;('Remplissage - Sit. Init.'!$D$23:$D$472),0),7))&gt;0,0,1)</f>
        <v>1</v>
      </c>
      <c r="I472">
        <f>VLOOKUP(I467,'Parcs types'!$D$7:$M$54,5,FALSE)</f>
        <v>0</v>
      </c>
      <c r="K472" s="4">
        <f t="shared" si="547"/>
        <v>0</v>
      </c>
    </row>
    <row r="473" spans="1:11" x14ac:dyDescent="0.25">
      <c r="A473" t="s">
        <v>1342</v>
      </c>
      <c r="B473" s="32" t="s">
        <v>125</v>
      </c>
      <c r="C473" t="s">
        <v>84</v>
      </c>
      <c r="E473" t="str">
        <f t="shared" ref="E473" si="553">_xlfn.CONCAT(LEFT(A467,3),"RoutCat",RIGHT(B467,2),"CritAir")</f>
        <v>DévRoutCat37CritAir</v>
      </c>
      <c r="F473" t="s">
        <v>36</v>
      </c>
      <c r="G473" s="5" cm="1">
        <f t="array" ref="G473">IF((INDEX('Remplissage - Sit. Init.'!$C$23:$I$472,MATCH((B473)&amp;('Remplissage - Sit. Init.'!$D$30),('Remplissage - Sit. Init.'!$C$23:$C$472)&amp;('Remplissage - Sit. Init.'!$D$23:$D$472),0),7))&gt;0,0,1)</f>
        <v>1</v>
      </c>
      <c r="H473" s="32"/>
      <c r="I473">
        <f>VLOOKUP(I467,'Parcs types'!$D$7:$M$54,6,FALSE)</f>
        <v>3</v>
      </c>
      <c r="K473" s="4">
        <f t="shared" si="547"/>
        <v>3</v>
      </c>
    </row>
    <row r="474" spans="1:11" x14ac:dyDescent="0.25">
      <c r="A474" t="s">
        <v>1342</v>
      </c>
      <c r="B474" s="32" t="s">
        <v>125</v>
      </c>
      <c r="C474" t="s">
        <v>85</v>
      </c>
      <c r="E474" t="str">
        <f t="shared" ref="E474" si="554">_xlfn.CONCAT(LEFT(A467,3),"RoutCat",RIGHT(B467,2),"Nb")</f>
        <v>DévRoutCat37Nb</v>
      </c>
      <c r="F474" t="s">
        <v>17</v>
      </c>
      <c r="G474" s="5" cm="1">
        <f t="array" ref="G474">IF((INDEX('Remplissage - Sit. Init.'!$C$23:$I$472,MATCH((B474)&amp;('Remplissage - Sit. Init.'!$D$30),('Remplissage - Sit. Init.'!$C$23:$C$472)&amp;('Remplissage - Sit. Init.'!$D$23:$D$472),0),7))&gt;0,0,1)</f>
        <v>1</v>
      </c>
      <c r="J474" t="s">
        <v>86</v>
      </c>
      <c r="K474">
        <f>VLOOKUP($I467,'Parcs types'!$D$7:$M$54,9,FALSE)</f>
        <v>0</v>
      </c>
    </row>
    <row r="475" spans="1:11" x14ac:dyDescent="0.25">
      <c r="A475" t="s">
        <v>1342</v>
      </c>
      <c r="B475" s="32" t="s">
        <v>125</v>
      </c>
      <c r="C475" t="s">
        <v>87</v>
      </c>
      <c r="E475" t="str">
        <f t="shared" ref="E475" si="555">_xlfn.CONCAT(LEFT(A467,3),"RoutCat",RIGHT(B467,2),"Dist")</f>
        <v>DévRoutCat37Dist</v>
      </c>
      <c r="F475" t="s">
        <v>17</v>
      </c>
      <c r="G475" s="5" cm="1">
        <f t="array" ref="G475">IF((INDEX('Remplissage - Sit. Init.'!$C$23:$I$472,MATCH((B475)&amp;('Remplissage - Sit. Init.'!$D$30),('Remplissage - Sit. Init.'!$C$23:$C$472)&amp;('Remplissage - Sit. Init.'!$D$23:$D$472),0),7))&gt;0,0,1)</f>
        <v>1</v>
      </c>
      <c r="H475" s="32"/>
      <c r="J475" t="s">
        <v>88</v>
      </c>
      <c r="K475">
        <f>VLOOKUP($I467,'Parcs types'!$D$7:$M$54,7,FALSE)</f>
        <v>42385.998762263436</v>
      </c>
    </row>
    <row r="476" spans="1:11" x14ac:dyDescent="0.25">
      <c r="A476" t="s">
        <v>1342</v>
      </c>
      <c r="B476" s="32" t="s">
        <v>125</v>
      </c>
      <c r="C476" s="32" t="s">
        <v>89</v>
      </c>
      <c r="E476" t="str">
        <f t="shared" ref="E476" si="556">_xlfn.CONCAT(LEFT(A467,3),"RoutCat",RIGHT(B467,2),"Rempl")</f>
        <v>DévRoutCat37Rempl</v>
      </c>
      <c r="F476" t="s">
        <v>17</v>
      </c>
      <c r="G476" s="5" cm="1">
        <f t="array" ref="G476">IF((INDEX('Remplissage - Sit. Init.'!$C$23:$I$472,MATCH((B476)&amp;('Remplissage - Sit. Init.'!$D$30),('Remplissage - Sit. Init.'!$C$23:$C$472)&amp;('Remplissage - Sit. Init.'!$D$23:$D$472),0),7))&gt;0,0,1)</f>
        <v>1</v>
      </c>
      <c r="H476" s="36"/>
      <c r="J476" t="s">
        <v>70</v>
      </c>
      <c r="K476">
        <f>VLOOKUP($I467,'Parcs types'!$D$7:$M$54,8,FALSE)</f>
        <v>0</v>
      </c>
    </row>
    <row r="477" spans="1:11" x14ac:dyDescent="0.25">
      <c r="A477" t="s">
        <v>1342</v>
      </c>
      <c r="B477" s="32" t="s">
        <v>126</v>
      </c>
      <c r="C477" t="s">
        <v>78</v>
      </c>
      <c r="E477" t="str">
        <f t="shared" ref="E477" si="557">_xlfn.CONCAT(LEFT(A477,3),"RoutCat",RIGHT(B477,2),"Nom")</f>
        <v>DévRoutCat38Nom</v>
      </c>
      <c r="F477" t="s">
        <v>20</v>
      </c>
      <c r="G477" s="5" cm="1">
        <f t="array" ref="G477">IF((INDEX('Remplissage - Sit. Init.'!$C$23:$I$472,MATCH((B477)&amp;('Remplissage - Sit. Init.'!$D$30),('Remplissage - Sit. Init.'!$C$23:$C$472)&amp;('Remplissage - Sit. Init.'!$D$23:$D$472),0),7))&gt;0,0,1)</f>
        <v>1</v>
      </c>
      <c r="H477" s="4"/>
      <c r="I477" s="4" t="str">
        <f>'Parcs types'!D47</f>
        <v>PL Diesel &gt;34-40t (Crit'Air 4)</v>
      </c>
      <c r="K477" s="4" t="str">
        <f t="shared" ref="K477:K483" si="558">I477</f>
        <v>PL Diesel &gt;34-40t (Crit'Air 4)</v>
      </c>
    </row>
    <row r="478" spans="1:11" x14ac:dyDescent="0.25">
      <c r="A478" t="s">
        <v>1342</v>
      </c>
      <c r="B478" s="32" t="s">
        <v>126</v>
      </c>
      <c r="C478" t="s">
        <v>79</v>
      </c>
      <c r="E478" t="str">
        <f t="shared" ref="E478" si="559">_xlfn.CONCAT(LEFT(A477,3),"RoutCat",RIGHT(B477,2),"Type")</f>
        <v>DévRoutCat38Type</v>
      </c>
      <c r="F478" t="s">
        <v>20</v>
      </c>
      <c r="G478" s="5" cm="1">
        <f t="array" ref="G478">IF((INDEX('Remplissage - Sit. Init.'!$C$23:$I$472,MATCH((B478)&amp;('Remplissage - Sit. Init.'!$D$30),('Remplissage - Sit. Init.'!$C$23:$C$472)&amp;('Remplissage - Sit. Init.'!$D$23:$D$472),0),7))&gt;0,0,1)</f>
        <v>1</v>
      </c>
      <c r="I478" t="str">
        <f>IF(K479='Parcs types'!$E$10,"VUL",LEFT('Remplissage - Sit. Prev.'!K477,SEARCH('Remplissage - Sit. Prev.'!K480,'Remplissage - Sit. Prev.'!K477)-2))</f>
        <v>PL</v>
      </c>
      <c r="K478" s="4" t="str">
        <f t="shared" si="558"/>
        <v>PL</v>
      </c>
    </row>
    <row r="479" spans="1:11" x14ac:dyDescent="0.25">
      <c r="A479" t="s">
        <v>1342</v>
      </c>
      <c r="B479" s="32" t="s">
        <v>126</v>
      </c>
      <c r="C479" t="s">
        <v>80</v>
      </c>
      <c r="E479" t="str">
        <f t="shared" ref="E479" si="560">_xlfn.CONCAT(LEFT(A477,3),"RoutCat",RIGHT(B477,2),"PTAC")</f>
        <v>DévRoutCat38PTAC</v>
      </c>
      <c r="F479" t="s">
        <v>36</v>
      </c>
      <c r="G479" s="5" cm="1">
        <f t="array" ref="G479">IF((INDEX('Remplissage - Sit. Init.'!$C$23:$I$472,MATCH((B479)&amp;('Remplissage - Sit. Init.'!$D$30),('Remplissage - Sit. Init.'!$C$23:$C$472)&amp;('Remplissage - Sit. Init.'!$D$23:$D$472),0),7))&gt;0,0,1)</f>
        <v>1</v>
      </c>
      <c r="I479" t="str">
        <f>VLOOKUP(I477,'Parcs types'!$D$7:$M$54,2,FALSE)</f>
        <v>&gt;34-40t</v>
      </c>
      <c r="K479" s="4" t="str">
        <f t="shared" si="558"/>
        <v>&gt;34-40t</v>
      </c>
    </row>
    <row r="480" spans="1:11" x14ac:dyDescent="0.25">
      <c r="A480" t="s">
        <v>1342</v>
      </c>
      <c r="B480" s="32" t="s">
        <v>126</v>
      </c>
      <c r="C480" t="s">
        <v>81</v>
      </c>
      <c r="E480" t="str">
        <f t="shared" ref="E480" si="561">_xlfn.CONCAT(LEFT(A477,3),"RoutCat",RIGHT(B477,2),"Mot")</f>
        <v>DévRoutCat38Mot</v>
      </c>
      <c r="F480" t="s">
        <v>36</v>
      </c>
      <c r="G480" s="5" cm="1">
        <f t="array" ref="G480">IF((INDEX('Remplissage - Sit. Init.'!$C$23:$I$472,MATCH((B480)&amp;('Remplissage - Sit. Init.'!$D$30),('Remplissage - Sit. Init.'!$C$23:$C$472)&amp;('Remplissage - Sit. Init.'!$D$23:$D$472),0),7))&gt;0,0,1)</f>
        <v>1</v>
      </c>
      <c r="H480" s="32"/>
      <c r="I480" t="str">
        <f>VLOOKUP(I477,'Parcs types'!$D$7:$M$54,3,FALSE)</f>
        <v>Diesel</v>
      </c>
      <c r="K480" s="4" t="str">
        <f t="shared" si="558"/>
        <v>Diesel</v>
      </c>
    </row>
    <row r="481" spans="1:11" x14ac:dyDescent="0.25">
      <c r="A481" t="s">
        <v>1342</v>
      </c>
      <c r="B481" s="32" t="s">
        <v>126</v>
      </c>
      <c r="C481" t="s">
        <v>82</v>
      </c>
      <c r="E481" t="str">
        <f t="shared" ref="E481" si="562">_xlfn.CONCAT(LEFT(A477,3),"RoutCat",RIGHT(B477,2),"Carb")</f>
        <v>DévRoutCat38Carb</v>
      </c>
      <c r="F481" t="s">
        <v>36</v>
      </c>
      <c r="G481" s="5" cm="1">
        <f t="array" ref="G481">IF((INDEX('Remplissage - Sit. Init.'!$C$23:$I$472,MATCH((B481)&amp;('Remplissage - Sit. Init.'!$D$30),('Remplissage - Sit. Init.'!$C$23:$C$472)&amp;('Remplissage - Sit. Init.'!$D$23:$D$472),0),7))&gt;0,0,1)</f>
        <v>1</v>
      </c>
      <c r="I481" t="str">
        <f>VLOOKUP(I477,'Parcs types'!$D$7:$M$54,4,FALSE)</f>
        <v>Gazole à la pompe</v>
      </c>
      <c r="K481" s="4" t="str">
        <f t="shared" si="558"/>
        <v>Gazole à la pompe</v>
      </c>
    </row>
    <row r="482" spans="1:11" x14ac:dyDescent="0.25">
      <c r="A482" t="s">
        <v>1342</v>
      </c>
      <c r="B482" s="32" t="s">
        <v>126</v>
      </c>
      <c r="C482" t="s">
        <v>83</v>
      </c>
      <c r="E482" t="str">
        <f t="shared" ref="E482" si="563">_xlfn.CONCAT(LEFT(A477,3),"RoutCat",RIGHT(B477,2),"Euro")</f>
        <v>DévRoutCat38Euro</v>
      </c>
      <c r="F482" t="s">
        <v>36</v>
      </c>
      <c r="G482" s="5" cm="1">
        <f t="array" ref="G482">IF((INDEX('Remplissage - Sit. Init.'!$C$23:$I$472,MATCH((B482)&amp;('Remplissage - Sit. Init.'!$D$30),('Remplissage - Sit. Init.'!$C$23:$C$472)&amp;('Remplissage - Sit. Init.'!$D$23:$D$472),0),7))&gt;0,0,1)</f>
        <v>1</v>
      </c>
      <c r="I482">
        <f>VLOOKUP(I477,'Parcs types'!$D$7:$M$54,5,FALSE)</f>
        <v>0</v>
      </c>
      <c r="K482" s="4">
        <f t="shared" si="558"/>
        <v>0</v>
      </c>
    </row>
    <row r="483" spans="1:11" x14ac:dyDescent="0.25">
      <c r="A483" t="s">
        <v>1342</v>
      </c>
      <c r="B483" s="32" t="s">
        <v>126</v>
      </c>
      <c r="C483" t="s">
        <v>84</v>
      </c>
      <c r="E483" t="str">
        <f t="shared" ref="E483" si="564">_xlfn.CONCAT(LEFT(A477,3),"RoutCat",RIGHT(B477,2),"CritAir")</f>
        <v>DévRoutCat38CritAir</v>
      </c>
      <c r="F483" t="s">
        <v>36</v>
      </c>
      <c r="G483" s="5" cm="1">
        <f t="array" ref="G483">IF((INDEX('Remplissage - Sit. Init.'!$C$23:$I$472,MATCH((B483)&amp;('Remplissage - Sit. Init.'!$D$30),('Remplissage - Sit. Init.'!$C$23:$C$472)&amp;('Remplissage - Sit. Init.'!$D$23:$D$472),0),7))&gt;0,0,1)</f>
        <v>1</v>
      </c>
      <c r="H483" s="32"/>
      <c r="I483">
        <f>VLOOKUP(I477,'Parcs types'!$D$7:$M$54,6,FALSE)</f>
        <v>4</v>
      </c>
      <c r="K483" s="4">
        <f t="shared" si="558"/>
        <v>4</v>
      </c>
    </row>
    <row r="484" spans="1:11" x14ac:dyDescent="0.25">
      <c r="A484" t="s">
        <v>1342</v>
      </c>
      <c r="B484" s="32" t="s">
        <v>126</v>
      </c>
      <c r="C484" t="s">
        <v>85</v>
      </c>
      <c r="E484" t="str">
        <f t="shared" ref="E484" si="565">_xlfn.CONCAT(LEFT(A477,3),"RoutCat",RIGHT(B477,2),"Nb")</f>
        <v>DévRoutCat38Nb</v>
      </c>
      <c r="F484" t="s">
        <v>17</v>
      </c>
      <c r="G484" s="5" cm="1">
        <f t="array" ref="G484">IF((INDEX('Remplissage - Sit. Init.'!$C$23:$I$472,MATCH((B484)&amp;('Remplissage - Sit. Init.'!$D$30),('Remplissage - Sit. Init.'!$C$23:$C$472)&amp;('Remplissage - Sit. Init.'!$D$23:$D$472),0),7))&gt;0,0,1)</f>
        <v>1</v>
      </c>
      <c r="J484" t="s">
        <v>86</v>
      </c>
      <c r="K484">
        <f>VLOOKUP($I477,'Parcs types'!$D$7:$M$54,9,FALSE)</f>
        <v>0</v>
      </c>
    </row>
    <row r="485" spans="1:11" x14ac:dyDescent="0.25">
      <c r="A485" t="s">
        <v>1342</v>
      </c>
      <c r="B485" s="32" t="s">
        <v>126</v>
      </c>
      <c r="C485" t="s">
        <v>87</v>
      </c>
      <c r="E485" t="str">
        <f t="shared" ref="E485" si="566">_xlfn.CONCAT(LEFT(A477,3),"RoutCat",RIGHT(B477,2),"Dist")</f>
        <v>DévRoutCat38Dist</v>
      </c>
      <c r="F485" t="s">
        <v>17</v>
      </c>
      <c r="G485" s="5" cm="1">
        <f t="array" ref="G485">IF((INDEX('Remplissage - Sit. Init.'!$C$23:$I$472,MATCH((B485)&amp;('Remplissage - Sit. Init.'!$D$30),('Remplissage - Sit. Init.'!$C$23:$C$472)&amp;('Remplissage - Sit. Init.'!$D$23:$D$472),0),7))&gt;0,0,1)</f>
        <v>1</v>
      </c>
      <c r="H485" s="32"/>
      <c r="J485" t="s">
        <v>88</v>
      </c>
      <c r="K485">
        <f>VLOOKUP($I477,'Parcs types'!$D$7:$M$54,7,FALSE)</f>
        <v>42385.998762263436</v>
      </c>
    </row>
    <row r="486" spans="1:11" x14ac:dyDescent="0.25">
      <c r="A486" t="s">
        <v>1342</v>
      </c>
      <c r="B486" s="32" t="s">
        <v>126</v>
      </c>
      <c r="C486" s="32" t="s">
        <v>89</v>
      </c>
      <c r="E486" t="str">
        <f t="shared" ref="E486" si="567">_xlfn.CONCAT(LEFT(A477,3),"RoutCat",RIGHT(B477,2),"Rempl")</f>
        <v>DévRoutCat38Rempl</v>
      </c>
      <c r="F486" t="s">
        <v>17</v>
      </c>
      <c r="G486" s="5" cm="1">
        <f t="array" ref="G486">IF((INDEX('Remplissage - Sit. Init.'!$C$23:$I$472,MATCH((B486)&amp;('Remplissage - Sit. Init.'!$D$30),('Remplissage - Sit. Init.'!$C$23:$C$472)&amp;('Remplissage - Sit. Init.'!$D$23:$D$472),0),7))&gt;0,0,1)</f>
        <v>1</v>
      </c>
      <c r="H486" s="36"/>
      <c r="J486" t="s">
        <v>70</v>
      </c>
      <c r="K486">
        <f>VLOOKUP($I477,'Parcs types'!$D$7:$M$54,8,FALSE)</f>
        <v>0</v>
      </c>
    </row>
    <row r="487" spans="1:11" x14ac:dyDescent="0.25">
      <c r="A487" t="s">
        <v>1342</v>
      </c>
      <c r="B487" s="32" t="s">
        <v>127</v>
      </c>
      <c r="C487" t="s">
        <v>78</v>
      </c>
      <c r="E487" t="str">
        <f t="shared" ref="E487" si="568">_xlfn.CONCAT(LEFT(A487,3),"RoutCat",RIGHT(B487,2),"Nom")</f>
        <v>DévRoutCat39Nom</v>
      </c>
      <c r="F487" t="s">
        <v>20</v>
      </c>
      <c r="G487" s="5" cm="1">
        <f t="array" ref="G487">IF((INDEX('Remplissage - Sit. Init.'!$C$23:$I$472,MATCH((B487)&amp;('Remplissage - Sit. Init.'!$D$30),('Remplissage - Sit. Init.'!$C$23:$C$472)&amp;('Remplissage - Sit. Init.'!$D$23:$D$472),0),7))&gt;0,0,1)</f>
        <v>1</v>
      </c>
      <c r="H487" s="4"/>
      <c r="I487" s="4" t="str">
        <f>'Parcs types'!D48</f>
        <v>PL Diesel &gt;34-40t (Crit'Air 5)</v>
      </c>
      <c r="K487" s="4" t="str">
        <f t="shared" ref="K487:K493" si="569">I487</f>
        <v>PL Diesel &gt;34-40t (Crit'Air 5)</v>
      </c>
    </row>
    <row r="488" spans="1:11" x14ac:dyDescent="0.25">
      <c r="A488" t="s">
        <v>1342</v>
      </c>
      <c r="B488" s="32" t="s">
        <v>127</v>
      </c>
      <c r="C488" t="s">
        <v>79</v>
      </c>
      <c r="E488" t="str">
        <f t="shared" ref="E488" si="570">_xlfn.CONCAT(LEFT(A487,3),"RoutCat",RIGHT(B487,2),"Type")</f>
        <v>DévRoutCat39Type</v>
      </c>
      <c r="F488" t="s">
        <v>20</v>
      </c>
      <c r="G488" s="5" cm="1">
        <f t="array" ref="G488">IF((INDEX('Remplissage - Sit. Init.'!$C$23:$I$472,MATCH((B488)&amp;('Remplissage - Sit. Init.'!$D$30),('Remplissage - Sit. Init.'!$C$23:$C$472)&amp;('Remplissage - Sit. Init.'!$D$23:$D$472),0),7))&gt;0,0,1)</f>
        <v>1</v>
      </c>
      <c r="I488" t="str">
        <f>IF(K489='Parcs types'!$E$10,"VUL",LEFT('Remplissage - Sit. Prev.'!K487,SEARCH('Remplissage - Sit. Prev.'!K490,'Remplissage - Sit. Prev.'!K487)-2))</f>
        <v>PL</v>
      </c>
      <c r="K488" s="4" t="str">
        <f t="shared" si="569"/>
        <v>PL</v>
      </c>
    </row>
    <row r="489" spans="1:11" x14ac:dyDescent="0.25">
      <c r="A489" t="s">
        <v>1342</v>
      </c>
      <c r="B489" s="32" t="s">
        <v>127</v>
      </c>
      <c r="C489" t="s">
        <v>80</v>
      </c>
      <c r="E489" t="str">
        <f t="shared" ref="E489" si="571">_xlfn.CONCAT(LEFT(A487,3),"RoutCat",RIGHT(B487,2),"PTAC")</f>
        <v>DévRoutCat39PTAC</v>
      </c>
      <c r="F489" t="s">
        <v>36</v>
      </c>
      <c r="G489" s="5" cm="1">
        <f t="array" ref="G489">IF((INDEX('Remplissage - Sit. Init.'!$C$23:$I$472,MATCH((B489)&amp;('Remplissage - Sit. Init.'!$D$30),('Remplissage - Sit. Init.'!$C$23:$C$472)&amp;('Remplissage - Sit. Init.'!$D$23:$D$472),0),7))&gt;0,0,1)</f>
        <v>1</v>
      </c>
      <c r="I489" t="str">
        <f>VLOOKUP(I487,'Parcs types'!$D$7:$M$54,2,FALSE)</f>
        <v>&gt;34-40t</v>
      </c>
      <c r="K489" s="4" t="str">
        <f t="shared" si="569"/>
        <v>&gt;34-40t</v>
      </c>
    </row>
    <row r="490" spans="1:11" x14ac:dyDescent="0.25">
      <c r="A490" t="s">
        <v>1342</v>
      </c>
      <c r="B490" s="32" t="s">
        <v>127</v>
      </c>
      <c r="C490" t="s">
        <v>81</v>
      </c>
      <c r="E490" t="str">
        <f t="shared" ref="E490" si="572">_xlfn.CONCAT(LEFT(A487,3),"RoutCat",RIGHT(B487,2),"Mot")</f>
        <v>DévRoutCat39Mot</v>
      </c>
      <c r="F490" t="s">
        <v>36</v>
      </c>
      <c r="G490" s="5" cm="1">
        <f t="array" ref="G490">IF((INDEX('Remplissage - Sit. Init.'!$C$23:$I$472,MATCH((B490)&amp;('Remplissage - Sit. Init.'!$D$30),('Remplissage - Sit. Init.'!$C$23:$C$472)&amp;('Remplissage - Sit. Init.'!$D$23:$D$472),0),7))&gt;0,0,1)</f>
        <v>1</v>
      </c>
      <c r="H490" s="32"/>
      <c r="I490" t="str">
        <f>VLOOKUP(I487,'Parcs types'!$D$7:$M$54,3,FALSE)</f>
        <v>Diesel</v>
      </c>
      <c r="K490" s="4" t="str">
        <f t="shared" si="569"/>
        <v>Diesel</v>
      </c>
    </row>
    <row r="491" spans="1:11" x14ac:dyDescent="0.25">
      <c r="A491" t="s">
        <v>1342</v>
      </c>
      <c r="B491" s="32" t="s">
        <v>127</v>
      </c>
      <c r="C491" t="s">
        <v>82</v>
      </c>
      <c r="E491" t="str">
        <f t="shared" ref="E491" si="573">_xlfn.CONCAT(LEFT(A487,3),"RoutCat",RIGHT(B487,2),"Carb")</f>
        <v>DévRoutCat39Carb</v>
      </c>
      <c r="F491" t="s">
        <v>36</v>
      </c>
      <c r="G491" s="5" cm="1">
        <f t="array" ref="G491">IF((INDEX('Remplissage - Sit. Init.'!$C$23:$I$472,MATCH((B491)&amp;('Remplissage - Sit. Init.'!$D$30),('Remplissage - Sit. Init.'!$C$23:$C$472)&amp;('Remplissage - Sit. Init.'!$D$23:$D$472),0),7))&gt;0,0,1)</f>
        <v>1</v>
      </c>
      <c r="I491" t="str">
        <f>VLOOKUP(I487,'Parcs types'!$D$7:$M$54,4,FALSE)</f>
        <v>Gazole à la pompe</v>
      </c>
      <c r="K491" s="4" t="str">
        <f t="shared" si="569"/>
        <v>Gazole à la pompe</v>
      </c>
    </row>
    <row r="492" spans="1:11" x14ac:dyDescent="0.25">
      <c r="A492" t="s">
        <v>1342</v>
      </c>
      <c r="B492" s="32" t="s">
        <v>127</v>
      </c>
      <c r="C492" t="s">
        <v>83</v>
      </c>
      <c r="E492" t="str">
        <f t="shared" ref="E492" si="574">_xlfn.CONCAT(LEFT(A487,3),"RoutCat",RIGHT(B487,2),"Euro")</f>
        <v>DévRoutCat39Euro</v>
      </c>
      <c r="F492" t="s">
        <v>36</v>
      </c>
      <c r="G492" s="5" cm="1">
        <f t="array" ref="G492">IF((INDEX('Remplissage - Sit. Init.'!$C$23:$I$472,MATCH((B492)&amp;('Remplissage - Sit. Init.'!$D$30),('Remplissage - Sit. Init.'!$C$23:$C$472)&amp;('Remplissage - Sit. Init.'!$D$23:$D$472),0),7))&gt;0,0,1)</f>
        <v>1</v>
      </c>
      <c r="I492">
        <f>VLOOKUP(I487,'Parcs types'!$D$7:$M$54,5,FALSE)</f>
        <v>0</v>
      </c>
      <c r="K492" s="4">
        <f t="shared" si="569"/>
        <v>0</v>
      </c>
    </row>
    <row r="493" spans="1:11" x14ac:dyDescent="0.25">
      <c r="A493" t="s">
        <v>1342</v>
      </c>
      <c r="B493" s="32" t="s">
        <v>127</v>
      </c>
      <c r="C493" t="s">
        <v>84</v>
      </c>
      <c r="E493" t="str">
        <f t="shared" ref="E493" si="575">_xlfn.CONCAT(LEFT(A487,3),"RoutCat",RIGHT(B487,2),"CritAir")</f>
        <v>DévRoutCat39CritAir</v>
      </c>
      <c r="F493" t="s">
        <v>36</v>
      </c>
      <c r="G493" s="5" cm="1">
        <f t="array" ref="G493">IF((INDEX('Remplissage - Sit. Init.'!$C$23:$I$472,MATCH((B493)&amp;('Remplissage - Sit. Init.'!$D$30),('Remplissage - Sit. Init.'!$C$23:$C$472)&amp;('Remplissage - Sit. Init.'!$D$23:$D$472),0),7))&gt;0,0,1)</f>
        <v>1</v>
      </c>
      <c r="H493" s="32"/>
      <c r="I493">
        <f>VLOOKUP(I487,'Parcs types'!$D$7:$M$54,6,FALSE)</f>
        <v>5</v>
      </c>
      <c r="K493" s="4">
        <f t="shared" si="569"/>
        <v>5</v>
      </c>
    </row>
    <row r="494" spans="1:11" x14ac:dyDescent="0.25">
      <c r="A494" t="s">
        <v>1342</v>
      </c>
      <c r="B494" s="32" t="s">
        <v>127</v>
      </c>
      <c r="C494" t="s">
        <v>85</v>
      </c>
      <c r="E494" t="str">
        <f t="shared" ref="E494" si="576">_xlfn.CONCAT(LEFT(A487,3),"RoutCat",RIGHT(B487,2),"Nb")</f>
        <v>DévRoutCat39Nb</v>
      </c>
      <c r="F494" t="s">
        <v>17</v>
      </c>
      <c r="G494" s="5" cm="1">
        <f t="array" ref="G494">IF((INDEX('Remplissage - Sit. Init.'!$C$23:$I$472,MATCH((B494)&amp;('Remplissage - Sit. Init.'!$D$30),('Remplissage - Sit. Init.'!$C$23:$C$472)&amp;('Remplissage - Sit. Init.'!$D$23:$D$472),0),7))&gt;0,0,1)</f>
        <v>1</v>
      </c>
      <c r="J494" t="s">
        <v>86</v>
      </c>
      <c r="K494">
        <f>VLOOKUP($I487,'Parcs types'!$D$7:$M$54,9,FALSE)</f>
        <v>0</v>
      </c>
    </row>
    <row r="495" spans="1:11" x14ac:dyDescent="0.25">
      <c r="A495" t="s">
        <v>1342</v>
      </c>
      <c r="B495" s="32" t="s">
        <v>127</v>
      </c>
      <c r="C495" t="s">
        <v>87</v>
      </c>
      <c r="E495" t="str">
        <f t="shared" ref="E495" si="577">_xlfn.CONCAT(LEFT(A487,3),"RoutCat",RIGHT(B487,2),"Dist")</f>
        <v>DévRoutCat39Dist</v>
      </c>
      <c r="F495" t="s">
        <v>17</v>
      </c>
      <c r="G495" s="5" cm="1">
        <f t="array" ref="G495">IF((INDEX('Remplissage - Sit. Init.'!$C$23:$I$472,MATCH((B495)&amp;('Remplissage - Sit. Init.'!$D$30),('Remplissage - Sit. Init.'!$C$23:$C$472)&amp;('Remplissage - Sit. Init.'!$D$23:$D$472),0),7))&gt;0,0,1)</f>
        <v>1</v>
      </c>
      <c r="H495" s="32"/>
      <c r="J495" t="s">
        <v>88</v>
      </c>
      <c r="K495">
        <f>VLOOKUP($I487,'Parcs types'!$D$7:$M$54,7,FALSE)</f>
        <v>42385.998762263436</v>
      </c>
    </row>
    <row r="496" spans="1:11" x14ac:dyDescent="0.25">
      <c r="A496" t="s">
        <v>1342</v>
      </c>
      <c r="B496" s="32" t="s">
        <v>127</v>
      </c>
      <c r="C496" s="32" t="s">
        <v>89</v>
      </c>
      <c r="E496" t="str">
        <f t="shared" ref="E496" si="578">_xlfn.CONCAT(LEFT(A487,3),"RoutCat",RIGHT(B487,2),"Rempl")</f>
        <v>DévRoutCat39Rempl</v>
      </c>
      <c r="F496" t="s">
        <v>17</v>
      </c>
      <c r="G496" s="5" cm="1">
        <f t="array" ref="G496">IF((INDEX('Remplissage - Sit. Init.'!$C$23:$I$472,MATCH((B496)&amp;('Remplissage - Sit. Init.'!$D$30),('Remplissage - Sit. Init.'!$C$23:$C$472)&amp;('Remplissage - Sit. Init.'!$D$23:$D$472),0),7))&gt;0,0,1)</f>
        <v>1</v>
      </c>
      <c r="H496" s="36"/>
      <c r="J496" t="s">
        <v>70</v>
      </c>
      <c r="K496">
        <f>VLOOKUP($I487,'Parcs types'!$D$7:$M$54,8,FALSE)</f>
        <v>0</v>
      </c>
    </row>
    <row r="497" spans="1:11" x14ac:dyDescent="0.25">
      <c r="A497" t="s">
        <v>1342</v>
      </c>
      <c r="B497" s="32" t="s">
        <v>128</v>
      </c>
      <c r="C497" t="s">
        <v>78</v>
      </c>
      <c r="E497" t="str">
        <f t="shared" ref="E497" si="579">_xlfn.CONCAT(LEFT(A497,3),"RoutCat",RIGHT(B497,2),"Nom")</f>
        <v>DévRoutCat40Nom</v>
      </c>
      <c r="F497" t="s">
        <v>20</v>
      </c>
      <c r="G497" s="5" cm="1">
        <f t="array" ref="G497">IF((INDEX('Remplissage - Sit. Init.'!$C$23:$I$472,MATCH((B497)&amp;('Remplissage - Sit. Init.'!$D$30),('Remplissage - Sit. Init.'!$C$23:$C$472)&amp;('Remplissage - Sit. Init.'!$D$23:$D$472),0),7))&gt;0,0,1)</f>
        <v>1</v>
      </c>
      <c r="H497" s="4"/>
      <c r="I497" s="4" t="str">
        <f>'Parcs types'!D49</f>
        <v>PL Gaz (GNC) &gt;14-20t (Crit'Air 1)</v>
      </c>
      <c r="K497" s="4" t="str">
        <f t="shared" ref="K497:K503" si="580">I497</f>
        <v>PL Gaz (GNC) &gt;14-20t (Crit'Air 1)</v>
      </c>
    </row>
    <row r="498" spans="1:11" x14ac:dyDescent="0.25">
      <c r="A498" t="s">
        <v>1342</v>
      </c>
      <c r="B498" s="32" t="s">
        <v>128</v>
      </c>
      <c r="C498" t="s">
        <v>79</v>
      </c>
      <c r="E498" t="str">
        <f t="shared" ref="E498" si="581">_xlfn.CONCAT(LEFT(A497,3),"RoutCat",RIGHT(B497,2),"Type")</f>
        <v>DévRoutCat40Type</v>
      </c>
      <c r="F498" t="s">
        <v>20</v>
      </c>
      <c r="G498" s="5" cm="1">
        <f t="array" ref="G498">IF((INDEX('Remplissage - Sit. Init.'!$C$23:$I$472,MATCH((B498)&amp;('Remplissage - Sit. Init.'!$D$30),('Remplissage - Sit. Init.'!$C$23:$C$472)&amp;('Remplissage - Sit. Init.'!$D$23:$D$472),0),7))&gt;0,0,1)</f>
        <v>1</v>
      </c>
      <c r="I498" t="str">
        <f>IF(K499='Parcs types'!$E$10,"VUL",LEFT('Remplissage - Sit. Prev.'!K497,SEARCH('Remplissage - Sit. Prev.'!K500,'Remplissage - Sit. Prev.'!K497)-2))</f>
        <v>PL</v>
      </c>
      <c r="K498" s="4" t="str">
        <f t="shared" si="580"/>
        <v>PL</v>
      </c>
    </row>
    <row r="499" spans="1:11" x14ac:dyDescent="0.25">
      <c r="A499" t="s">
        <v>1342</v>
      </c>
      <c r="B499" s="32" t="s">
        <v>128</v>
      </c>
      <c r="C499" t="s">
        <v>80</v>
      </c>
      <c r="E499" t="str">
        <f t="shared" ref="E499" si="582">_xlfn.CONCAT(LEFT(A497,3),"RoutCat",RIGHT(B497,2),"PTAC")</f>
        <v>DévRoutCat40PTAC</v>
      </c>
      <c r="F499" t="s">
        <v>36</v>
      </c>
      <c r="G499" s="5" cm="1">
        <f t="array" ref="G499">IF((INDEX('Remplissage - Sit. Init.'!$C$23:$I$472,MATCH((B499)&amp;('Remplissage - Sit. Init.'!$D$30),('Remplissage - Sit. Init.'!$C$23:$C$472)&amp;('Remplissage - Sit. Init.'!$D$23:$D$472),0),7))&gt;0,0,1)</f>
        <v>1</v>
      </c>
      <c r="I499" t="str">
        <f>VLOOKUP(I497,'Parcs types'!$D$7:$M$54,2,FALSE)</f>
        <v>&gt;14-20t</v>
      </c>
      <c r="K499" s="4" t="str">
        <f t="shared" si="580"/>
        <v>&gt;14-20t</v>
      </c>
    </row>
    <row r="500" spans="1:11" x14ac:dyDescent="0.25">
      <c r="A500" t="s">
        <v>1342</v>
      </c>
      <c r="B500" s="32" t="s">
        <v>128</v>
      </c>
      <c r="C500" t="s">
        <v>81</v>
      </c>
      <c r="E500" t="str">
        <f t="shared" ref="E500" si="583">_xlfn.CONCAT(LEFT(A497,3),"RoutCat",RIGHT(B497,2),"Mot")</f>
        <v>DévRoutCat40Mot</v>
      </c>
      <c r="F500" t="s">
        <v>36</v>
      </c>
      <c r="G500" s="5" cm="1">
        <f t="array" ref="G500">IF((INDEX('Remplissage - Sit. Init.'!$C$23:$I$472,MATCH((B500)&amp;('Remplissage - Sit. Init.'!$D$30),('Remplissage - Sit. Init.'!$C$23:$C$472)&amp;('Remplissage - Sit. Init.'!$D$23:$D$472),0),7))&gt;0,0,1)</f>
        <v>1</v>
      </c>
      <c r="H500" s="32"/>
      <c r="I500" t="str">
        <f>VLOOKUP(I497,'Parcs types'!$D$7:$M$54,3,FALSE)</f>
        <v>Gaz (GNC)</v>
      </c>
      <c r="K500" s="4" t="str">
        <f t="shared" si="580"/>
        <v>Gaz (GNC)</v>
      </c>
    </row>
    <row r="501" spans="1:11" x14ac:dyDescent="0.25">
      <c r="A501" t="s">
        <v>1342</v>
      </c>
      <c r="B501" s="32" t="s">
        <v>128</v>
      </c>
      <c r="C501" t="s">
        <v>82</v>
      </c>
      <c r="E501" t="str">
        <f t="shared" ref="E501" si="584">_xlfn.CONCAT(LEFT(A497,3),"RoutCat",RIGHT(B497,2),"Carb")</f>
        <v>DévRoutCat40Carb</v>
      </c>
      <c r="F501" t="s">
        <v>36</v>
      </c>
      <c r="G501" s="5" cm="1">
        <f t="array" ref="G501">IF((INDEX('Remplissage - Sit. Init.'!$C$23:$I$472,MATCH((B501)&amp;('Remplissage - Sit. Init.'!$D$30),('Remplissage - Sit. Init.'!$C$23:$C$472)&amp;('Remplissage - Sit. Init.'!$D$23:$D$472),0),7))&gt;0,0,1)</f>
        <v>1</v>
      </c>
      <c r="I501">
        <f>VLOOKUP(I497,'Parcs types'!$D$7:$M$54,4,FALSE)</f>
        <v>0</v>
      </c>
      <c r="K501" s="4">
        <f t="shared" si="580"/>
        <v>0</v>
      </c>
    </row>
    <row r="502" spans="1:11" x14ac:dyDescent="0.25">
      <c r="A502" t="s">
        <v>1342</v>
      </c>
      <c r="B502" s="32" t="s">
        <v>128</v>
      </c>
      <c r="C502" t="s">
        <v>83</v>
      </c>
      <c r="E502" t="str">
        <f t="shared" ref="E502" si="585">_xlfn.CONCAT(LEFT(A497,3),"RoutCat",RIGHT(B497,2),"Euro")</f>
        <v>DévRoutCat40Euro</v>
      </c>
      <c r="F502" t="s">
        <v>36</v>
      </c>
      <c r="G502" s="5" cm="1">
        <f t="array" ref="G502">IF((INDEX('Remplissage - Sit. Init.'!$C$23:$I$472,MATCH((B502)&amp;('Remplissage - Sit. Init.'!$D$30),('Remplissage - Sit. Init.'!$C$23:$C$472)&amp;('Remplissage - Sit. Init.'!$D$23:$D$472),0),7))&gt;0,0,1)</f>
        <v>1</v>
      </c>
      <c r="I502">
        <f>VLOOKUP(I497,'Parcs types'!$D$7:$M$54,5,FALSE)</f>
        <v>0</v>
      </c>
      <c r="K502" s="4">
        <f t="shared" si="580"/>
        <v>0</v>
      </c>
    </row>
    <row r="503" spans="1:11" x14ac:dyDescent="0.25">
      <c r="A503" t="s">
        <v>1342</v>
      </c>
      <c r="B503" s="32" t="s">
        <v>128</v>
      </c>
      <c r="C503" t="s">
        <v>84</v>
      </c>
      <c r="E503" t="str">
        <f t="shared" ref="E503" si="586">_xlfn.CONCAT(LEFT(A497,3),"RoutCat",RIGHT(B497,2),"CritAir")</f>
        <v>DévRoutCat40CritAir</v>
      </c>
      <c r="F503" t="s">
        <v>36</v>
      </c>
      <c r="G503" s="5" cm="1">
        <f t="array" ref="G503">IF((INDEX('Remplissage - Sit. Init.'!$C$23:$I$472,MATCH((B503)&amp;('Remplissage - Sit. Init.'!$D$30),('Remplissage - Sit. Init.'!$C$23:$C$472)&amp;('Remplissage - Sit. Init.'!$D$23:$D$472),0),7))&gt;0,0,1)</f>
        <v>1</v>
      </c>
      <c r="H503" s="32"/>
      <c r="I503">
        <f>VLOOKUP(I497,'Parcs types'!$D$7:$M$54,6,FALSE)</f>
        <v>1</v>
      </c>
      <c r="K503" s="4">
        <f t="shared" si="580"/>
        <v>1</v>
      </c>
    </row>
    <row r="504" spans="1:11" x14ac:dyDescent="0.25">
      <c r="A504" t="s">
        <v>1342</v>
      </c>
      <c r="B504" s="32" t="s">
        <v>128</v>
      </c>
      <c r="C504" t="s">
        <v>85</v>
      </c>
      <c r="E504" t="str">
        <f t="shared" ref="E504" si="587">_xlfn.CONCAT(LEFT(A497,3),"RoutCat",RIGHT(B497,2),"Nb")</f>
        <v>DévRoutCat40Nb</v>
      </c>
      <c r="F504" t="s">
        <v>17</v>
      </c>
      <c r="G504" s="5" cm="1">
        <f t="array" ref="G504">IF((INDEX('Remplissage - Sit. Init.'!$C$23:$I$472,MATCH((B504)&amp;('Remplissage - Sit. Init.'!$D$30),('Remplissage - Sit. Init.'!$C$23:$C$472)&amp;('Remplissage - Sit. Init.'!$D$23:$D$472),0),7))&gt;0,0,1)</f>
        <v>1</v>
      </c>
      <c r="J504" t="s">
        <v>86</v>
      </c>
      <c r="K504">
        <f>VLOOKUP($I497,'Parcs types'!$D$7:$M$54,9,FALSE)</f>
        <v>0</v>
      </c>
    </row>
    <row r="505" spans="1:11" x14ac:dyDescent="0.25">
      <c r="A505" t="s">
        <v>1342</v>
      </c>
      <c r="B505" s="32" t="s">
        <v>128</v>
      </c>
      <c r="C505" t="s">
        <v>87</v>
      </c>
      <c r="E505" t="str">
        <f t="shared" ref="E505" si="588">_xlfn.CONCAT(LEFT(A497,3),"RoutCat",RIGHT(B497,2),"Dist")</f>
        <v>DévRoutCat40Dist</v>
      </c>
      <c r="F505" t="s">
        <v>17</v>
      </c>
      <c r="G505" s="5" cm="1">
        <f t="array" ref="G505">IF((INDEX('Remplissage - Sit. Init.'!$C$23:$I$472,MATCH((B505)&amp;('Remplissage - Sit. Init.'!$D$30),('Remplissage - Sit. Init.'!$C$23:$C$472)&amp;('Remplissage - Sit. Init.'!$D$23:$D$472),0),7))&gt;0,0,1)</f>
        <v>1</v>
      </c>
      <c r="H505" s="32"/>
      <c r="J505" t="s">
        <v>88</v>
      </c>
      <c r="K505">
        <f>VLOOKUP($I497,'Parcs types'!$D$7:$M$54,7,FALSE)</f>
        <v>46552.613237725091</v>
      </c>
    </row>
    <row r="506" spans="1:11" x14ac:dyDescent="0.25">
      <c r="A506" t="s">
        <v>1342</v>
      </c>
      <c r="B506" s="32" t="s">
        <v>128</v>
      </c>
      <c r="C506" s="32" t="s">
        <v>89</v>
      </c>
      <c r="E506" t="str">
        <f t="shared" ref="E506" si="589">_xlfn.CONCAT(LEFT(A497,3),"RoutCat",RIGHT(B497,2),"Rempl")</f>
        <v>DévRoutCat40Rempl</v>
      </c>
      <c r="F506" t="s">
        <v>17</v>
      </c>
      <c r="G506" s="5" cm="1">
        <f t="array" ref="G506">IF((INDEX('Remplissage - Sit. Init.'!$C$23:$I$472,MATCH((B506)&amp;('Remplissage - Sit. Init.'!$D$30),('Remplissage - Sit. Init.'!$C$23:$C$472)&amp;('Remplissage - Sit. Init.'!$D$23:$D$472),0),7))&gt;0,0,1)</f>
        <v>1</v>
      </c>
      <c r="H506" s="36"/>
      <c r="J506" t="s">
        <v>70</v>
      </c>
      <c r="K506">
        <f>VLOOKUP($I497,'Parcs types'!$D$7:$M$54,8,FALSE)</f>
        <v>0</v>
      </c>
    </row>
    <row r="507" spans="1:11" x14ac:dyDescent="0.25">
      <c r="A507" t="s">
        <v>1342</v>
      </c>
      <c r="B507" s="32" t="s">
        <v>129</v>
      </c>
      <c r="C507" t="s">
        <v>78</v>
      </c>
      <c r="E507" t="str">
        <f t="shared" ref="E507" si="590">_xlfn.CONCAT(LEFT(A507,3),"RoutCat",RIGHT(B507,2),"Nom")</f>
        <v>DévRoutCat41Nom</v>
      </c>
      <c r="F507" t="s">
        <v>20</v>
      </c>
      <c r="G507" s="5" cm="1">
        <f t="array" ref="G507">IF((INDEX('Remplissage - Sit. Init.'!$C$23:$I$472,MATCH((B507)&amp;('Remplissage - Sit. Init.'!$D$30),('Remplissage - Sit. Init.'!$C$23:$C$472)&amp;('Remplissage - Sit. Init.'!$D$23:$D$472),0),7))&gt;0,0,1)</f>
        <v>1</v>
      </c>
      <c r="H507" s="4"/>
      <c r="I507" s="4" t="str">
        <f>'Parcs types'!D50</f>
        <v>PL Gaz (GNC) &gt;14-20t (Crit'Air 2)</v>
      </c>
      <c r="K507" s="4" t="str">
        <f t="shared" ref="K507:K513" si="591">I507</f>
        <v>PL Gaz (GNC) &gt;14-20t (Crit'Air 2)</v>
      </c>
    </row>
    <row r="508" spans="1:11" x14ac:dyDescent="0.25">
      <c r="A508" t="s">
        <v>1342</v>
      </c>
      <c r="B508" s="32" t="s">
        <v>129</v>
      </c>
      <c r="C508" t="s">
        <v>79</v>
      </c>
      <c r="E508" t="str">
        <f t="shared" ref="E508" si="592">_xlfn.CONCAT(LEFT(A507,3),"RoutCat",RIGHT(B507,2),"Type")</f>
        <v>DévRoutCat41Type</v>
      </c>
      <c r="F508" t="s">
        <v>20</v>
      </c>
      <c r="G508" s="5" cm="1">
        <f t="array" ref="G508">IF((INDEX('Remplissage - Sit. Init.'!$C$23:$I$472,MATCH((B508)&amp;('Remplissage - Sit. Init.'!$D$30),('Remplissage - Sit. Init.'!$C$23:$C$472)&amp;('Remplissage - Sit. Init.'!$D$23:$D$472),0),7))&gt;0,0,1)</f>
        <v>1</v>
      </c>
      <c r="I508" t="str">
        <f>IF(K509='Parcs types'!$E$10,"VUL",LEFT('Remplissage - Sit. Prev.'!K507,SEARCH('Remplissage - Sit. Prev.'!K510,'Remplissage - Sit. Prev.'!K507)-2))</f>
        <v>PL</v>
      </c>
      <c r="K508" s="4" t="str">
        <f t="shared" si="591"/>
        <v>PL</v>
      </c>
    </row>
    <row r="509" spans="1:11" x14ac:dyDescent="0.25">
      <c r="A509" t="s">
        <v>1342</v>
      </c>
      <c r="B509" s="32" t="s">
        <v>129</v>
      </c>
      <c r="C509" t="s">
        <v>80</v>
      </c>
      <c r="E509" t="str">
        <f t="shared" ref="E509" si="593">_xlfn.CONCAT(LEFT(A507,3),"RoutCat",RIGHT(B507,2),"PTAC")</f>
        <v>DévRoutCat41PTAC</v>
      </c>
      <c r="F509" t="s">
        <v>36</v>
      </c>
      <c r="G509" s="5" cm="1">
        <f t="array" ref="G509">IF((INDEX('Remplissage - Sit. Init.'!$C$23:$I$472,MATCH((B509)&amp;('Remplissage - Sit. Init.'!$D$30),('Remplissage - Sit. Init.'!$C$23:$C$472)&amp;('Remplissage - Sit. Init.'!$D$23:$D$472),0),7))&gt;0,0,1)</f>
        <v>1</v>
      </c>
      <c r="I509" t="str">
        <f>VLOOKUP(I507,'Parcs types'!$D$7:$M$54,2,FALSE)</f>
        <v>&gt;14-20t</v>
      </c>
      <c r="K509" s="4" t="str">
        <f t="shared" si="591"/>
        <v>&gt;14-20t</v>
      </c>
    </row>
    <row r="510" spans="1:11" x14ac:dyDescent="0.25">
      <c r="A510" t="s">
        <v>1342</v>
      </c>
      <c r="B510" s="32" t="s">
        <v>129</v>
      </c>
      <c r="C510" t="s">
        <v>81</v>
      </c>
      <c r="E510" t="str">
        <f t="shared" ref="E510" si="594">_xlfn.CONCAT(LEFT(A507,3),"RoutCat",RIGHT(B507,2),"Mot")</f>
        <v>DévRoutCat41Mot</v>
      </c>
      <c r="F510" t="s">
        <v>36</v>
      </c>
      <c r="G510" s="5" cm="1">
        <f t="array" ref="G510">IF((INDEX('Remplissage - Sit. Init.'!$C$23:$I$472,MATCH((B510)&amp;('Remplissage - Sit. Init.'!$D$30),('Remplissage - Sit. Init.'!$C$23:$C$472)&amp;('Remplissage - Sit. Init.'!$D$23:$D$472),0),7))&gt;0,0,1)</f>
        <v>1</v>
      </c>
      <c r="H510" s="32"/>
      <c r="I510" t="str">
        <f>VLOOKUP(I507,'Parcs types'!$D$7:$M$54,3,FALSE)</f>
        <v>Gaz (GNC)</v>
      </c>
      <c r="K510" s="4" t="str">
        <f t="shared" si="591"/>
        <v>Gaz (GNC)</v>
      </c>
    </row>
    <row r="511" spans="1:11" x14ac:dyDescent="0.25">
      <c r="A511" t="s">
        <v>1342</v>
      </c>
      <c r="B511" s="32" t="s">
        <v>129</v>
      </c>
      <c r="C511" t="s">
        <v>82</v>
      </c>
      <c r="E511" t="str">
        <f t="shared" ref="E511" si="595">_xlfn.CONCAT(LEFT(A507,3),"RoutCat",RIGHT(B507,2),"Carb")</f>
        <v>DévRoutCat41Carb</v>
      </c>
      <c r="F511" t="s">
        <v>36</v>
      </c>
      <c r="G511" s="5" cm="1">
        <f t="array" ref="G511">IF((INDEX('Remplissage - Sit. Init.'!$C$23:$I$472,MATCH((B511)&amp;('Remplissage - Sit. Init.'!$D$30),('Remplissage - Sit. Init.'!$C$23:$C$472)&amp;('Remplissage - Sit. Init.'!$D$23:$D$472),0),7))&gt;0,0,1)</f>
        <v>1</v>
      </c>
      <c r="I511">
        <f>VLOOKUP(I507,'Parcs types'!$D$7:$M$54,4,FALSE)</f>
        <v>0</v>
      </c>
      <c r="K511" s="4">
        <f t="shared" si="591"/>
        <v>0</v>
      </c>
    </row>
    <row r="512" spans="1:11" x14ac:dyDescent="0.25">
      <c r="A512" t="s">
        <v>1342</v>
      </c>
      <c r="B512" s="32" t="s">
        <v>129</v>
      </c>
      <c r="C512" t="s">
        <v>83</v>
      </c>
      <c r="E512" t="str">
        <f t="shared" ref="E512" si="596">_xlfn.CONCAT(LEFT(A507,3),"RoutCat",RIGHT(B507,2),"Euro")</f>
        <v>DévRoutCat41Euro</v>
      </c>
      <c r="F512" t="s">
        <v>36</v>
      </c>
      <c r="G512" s="5" cm="1">
        <f t="array" ref="G512">IF((INDEX('Remplissage - Sit. Init.'!$C$23:$I$472,MATCH((B512)&amp;('Remplissage - Sit. Init.'!$D$30),('Remplissage - Sit. Init.'!$C$23:$C$472)&amp;('Remplissage - Sit. Init.'!$D$23:$D$472),0),7))&gt;0,0,1)</f>
        <v>1</v>
      </c>
      <c r="I512">
        <f>VLOOKUP(I507,'Parcs types'!$D$7:$M$54,5,FALSE)</f>
        <v>0</v>
      </c>
      <c r="K512" s="4">
        <f t="shared" si="591"/>
        <v>0</v>
      </c>
    </row>
    <row r="513" spans="1:11" x14ac:dyDescent="0.25">
      <c r="A513" t="s">
        <v>1342</v>
      </c>
      <c r="B513" s="32" t="s">
        <v>129</v>
      </c>
      <c r="C513" t="s">
        <v>84</v>
      </c>
      <c r="E513" t="str">
        <f t="shared" ref="E513" si="597">_xlfn.CONCAT(LEFT(A507,3),"RoutCat",RIGHT(B507,2),"CritAir")</f>
        <v>DévRoutCat41CritAir</v>
      </c>
      <c r="F513" t="s">
        <v>36</v>
      </c>
      <c r="G513" s="5" cm="1">
        <f t="array" ref="G513">IF((INDEX('Remplissage - Sit. Init.'!$C$23:$I$472,MATCH((B513)&amp;('Remplissage - Sit. Init.'!$D$30),('Remplissage - Sit. Init.'!$C$23:$C$472)&amp;('Remplissage - Sit. Init.'!$D$23:$D$472),0),7))&gt;0,0,1)</f>
        <v>1</v>
      </c>
      <c r="H513" s="32"/>
      <c r="I513">
        <f>VLOOKUP(I507,'Parcs types'!$D$7:$M$54,6,FALSE)</f>
        <v>2</v>
      </c>
      <c r="K513" s="4">
        <f t="shared" si="591"/>
        <v>2</v>
      </c>
    </row>
    <row r="514" spans="1:11" x14ac:dyDescent="0.25">
      <c r="A514" t="s">
        <v>1342</v>
      </c>
      <c r="B514" s="32" t="s">
        <v>129</v>
      </c>
      <c r="C514" t="s">
        <v>85</v>
      </c>
      <c r="E514" t="str">
        <f t="shared" ref="E514" si="598">_xlfn.CONCAT(LEFT(A507,3),"RoutCat",RIGHT(B507,2),"Nb")</f>
        <v>DévRoutCat41Nb</v>
      </c>
      <c r="F514" t="s">
        <v>17</v>
      </c>
      <c r="G514" s="5" cm="1">
        <f t="array" ref="G514">IF((INDEX('Remplissage - Sit. Init.'!$C$23:$I$472,MATCH((B514)&amp;('Remplissage - Sit. Init.'!$D$30),('Remplissage - Sit. Init.'!$C$23:$C$472)&amp;('Remplissage - Sit. Init.'!$D$23:$D$472),0),7))&gt;0,0,1)</f>
        <v>1</v>
      </c>
      <c r="J514" t="s">
        <v>86</v>
      </c>
      <c r="K514">
        <f>VLOOKUP($I507,'Parcs types'!$D$7:$M$54,9,FALSE)</f>
        <v>0</v>
      </c>
    </row>
    <row r="515" spans="1:11" x14ac:dyDescent="0.25">
      <c r="A515" t="s">
        <v>1342</v>
      </c>
      <c r="B515" s="32" t="s">
        <v>129</v>
      </c>
      <c r="C515" t="s">
        <v>87</v>
      </c>
      <c r="E515" t="str">
        <f t="shared" ref="E515" si="599">_xlfn.CONCAT(LEFT(A507,3),"RoutCat",RIGHT(B507,2),"Dist")</f>
        <v>DévRoutCat41Dist</v>
      </c>
      <c r="F515" t="s">
        <v>17</v>
      </c>
      <c r="G515" s="5" cm="1">
        <f t="array" ref="G515">IF((INDEX('Remplissage - Sit. Init.'!$C$23:$I$472,MATCH((B515)&amp;('Remplissage - Sit. Init.'!$D$30),('Remplissage - Sit. Init.'!$C$23:$C$472)&amp;('Remplissage - Sit. Init.'!$D$23:$D$472),0),7))&gt;0,0,1)</f>
        <v>1</v>
      </c>
      <c r="H515" s="32"/>
      <c r="J515" t="s">
        <v>88</v>
      </c>
      <c r="K515">
        <f>VLOOKUP($I507,'Parcs types'!$D$7:$M$54,7,FALSE)</f>
        <v>46552.613237725091</v>
      </c>
    </row>
    <row r="516" spans="1:11" x14ac:dyDescent="0.25">
      <c r="A516" t="s">
        <v>1342</v>
      </c>
      <c r="B516" s="32" t="s">
        <v>129</v>
      </c>
      <c r="C516" s="32" t="s">
        <v>89</v>
      </c>
      <c r="E516" t="str">
        <f t="shared" ref="E516" si="600">_xlfn.CONCAT(LEFT(A507,3),"RoutCat",RIGHT(B507,2),"Rempl")</f>
        <v>DévRoutCat41Rempl</v>
      </c>
      <c r="F516" t="s">
        <v>17</v>
      </c>
      <c r="G516" s="5" cm="1">
        <f t="array" ref="G516">IF((INDEX('Remplissage - Sit. Init.'!$C$23:$I$472,MATCH((B516)&amp;('Remplissage - Sit. Init.'!$D$30),('Remplissage - Sit. Init.'!$C$23:$C$472)&amp;('Remplissage - Sit. Init.'!$D$23:$D$472),0),7))&gt;0,0,1)</f>
        <v>1</v>
      </c>
      <c r="H516" s="36"/>
      <c r="J516" t="s">
        <v>70</v>
      </c>
      <c r="K516">
        <f>VLOOKUP($I507,'Parcs types'!$D$7:$M$54,8,FALSE)</f>
        <v>0</v>
      </c>
    </row>
    <row r="517" spans="1:11" x14ac:dyDescent="0.25">
      <c r="A517" t="s">
        <v>1342</v>
      </c>
      <c r="B517" s="32" t="s">
        <v>130</v>
      </c>
      <c r="C517" t="s">
        <v>78</v>
      </c>
      <c r="E517" t="str">
        <f t="shared" ref="E517" si="601">_xlfn.CONCAT(LEFT(A517,3),"RoutCat",RIGHT(B517,2),"Nom")</f>
        <v>DévRoutCat42Nom</v>
      </c>
      <c r="F517" t="s">
        <v>20</v>
      </c>
      <c r="G517" s="5" cm="1">
        <f t="array" ref="G517">IF((INDEX('Remplissage - Sit. Init.'!$C$23:$I$472,MATCH((B517)&amp;('Remplissage - Sit. Init.'!$D$30),('Remplissage - Sit. Init.'!$C$23:$C$472)&amp;('Remplissage - Sit. Init.'!$D$23:$D$472),0),7))&gt;0,0,1)</f>
        <v>1</v>
      </c>
      <c r="H517" s="4"/>
      <c r="I517" s="4" t="str">
        <f>'Parcs types'!D51</f>
        <v>PL Gaz (GNC) &gt;20-26t (Crit'Air 1)</v>
      </c>
      <c r="K517" s="4" t="str">
        <f t="shared" ref="K517:K523" si="602">I517</f>
        <v>PL Gaz (GNC) &gt;20-26t (Crit'Air 1)</v>
      </c>
    </row>
    <row r="518" spans="1:11" x14ac:dyDescent="0.25">
      <c r="A518" t="s">
        <v>1342</v>
      </c>
      <c r="B518" s="32" t="s">
        <v>130</v>
      </c>
      <c r="C518" t="s">
        <v>79</v>
      </c>
      <c r="E518" t="str">
        <f t="shared" ref="E518" si="603">_xlfn.CONCAT(LEFT(A517,3),"RoutCat",RIGHT(B517,2),"Type")</f>
        <v>DévRoutCat42Type</v>
      </c>
      <c r="F518" t="s">
        <v>20</v>
      </c>
      <c r="G518" s="5" cm="1">
        <f t="array" ref="G518">IF((INDEX('Remplissage - Sit. Init.'!$C$23:$I$472,MATCH((B518)&amp;('Remplissage - Sit. Init.'!$D$30),('Remplissage - Sit. Init.'!$C$23:$C$472)&amp;('Remplissage - Sit. Init.'!$D$23:$D$472),0),7))&gt;0,0,1)</f>
        <v>1</v>
      </c>
      <c r="I518" t="str">
        <f>IF(K519='Parcs types'!$E$10,"VUL",LEFT('Remplissage - Sit. Prev.'!K517,SEARCH('Remplissage - Sit. Prev.'!K520,'Remplissage - Sit. Prev.'!K517)-2))</f>
        <v>PL</v>
      </c>
      <c r="K518" s="4" t="str">
        <f t="shared" si="602"/>
        <v>PL</v>
      </c>
    </row>
    <row r="519" spans="1:11" x14ac:dyDescent="0.25">
      <c r="A519" t="s">
        <v>1342</v>
      </c>
      <c r="B519" s="32" t="s">
        <v>130</v>
      </c>
      <c r="C519" t="s">
        <v>80</v>
      </c>
      <c r="E519" t="str">
        <f t="shared" ref="E519" si="604">_xlfn.CONCAT(LEFT(A517,3),"RoutCat",RIGHT(B517,2),"PTAC")</f>
        <v>DévRoutCat42PTAC</v>
      </c>
      <c r="F519" t="s">
        <v>36</v>
      </c>
      <c r="G519" s="5" cm="1">
        <f t="array" ref="G519">IF((INDEX('Remplissage - Sit. Init.'!$C$23:$I$472,MATCH((B519)&amp;('Remplissage - Sit. Init.'!$D$30),('Remplissage - Sit. Init.'!$C$23:$C$472)&amp;('Remplissage - Sit. Init.'!$D$23:$D$472),0),7))&gt;0,0,1)</f>
        <v>1</v>
      </c>
      <c r="I519" t="str">
        <f>VLOOKUP(I517,'Parcs types'!$D$7:$M$54,2,FALSE)</f>
        <v>&gt;20-26t</v>
      </c>
      <c r="K519" s="4" t="str">
        <f t="shared" si="602"/>
        <v>&gt;20-26t</v>
      </c>
    </row>
    <row r="520" spans="1:11" x14ac:dyDescent="0.25">
      <c r="A520" t="s">
        <v>1342</v>
      </c>
      <c r="B520" s="32" t="s">
        <v>130</v>
      </c>
      <c r="C520" t="s">
        <v>81</v>
      </c>
      <c r="E520" t="str">
        <f t="shared" ref="E520" si="605">_xlfn.CONCAT(LEFT(A517,3),"RoutCat",RIGHT(B517,2),"Mot")</f>
        <v>DévRoutCat42Mot</v>
      </c>
      <c r="F520" t="s">
        <v>36</v>
      </c>
      <c r="G520" s="5" cm="1">
        <f t="array" ref="G520">IF((INDEX('Remplissage - Sit. Init.'!$C$23:$I$472,MATCH((B520)&amp;('Remplissage - Sit. Init.'!$D$30),('Remplissage - Sit. Init.'!$C$23:$C$472)&amp;('Remplissage - Sit. Init.'!$D$23:$D$472),0),7))&gt;0,0,1)</f>
        <v>1</v>
      </c>
      <c r="H520" s="32"/>
      <c r="I520" t="str">
        <f>VLOOKUP(I517,'Parcs types'!$D$7:$M$54,3,FALSE)</f>
        <v>Gaz (GNC)</v>
      </c>
      <c r="K520" s="4" t="str">
        <f t="shared" si="602"/>
        <v>Gaz (GNC)</v>
      </c>
    </row>
    <row r="521" spans="1:11" x14ac:dyDescent="0.25">
      <c r="A521" t="s">
        <v>1342</v>
      </c>
      <c r="B521" s="32" t="s">
        <v>130</v>
      </c>
      <c r="C521" t="s">
        <v>82</v>
      </c>
      <c r="E521" t="str">
        <f t="shared" ref="E521" si="606">_xlfn.CONCAT(LEFT(A517,3),"RoutCat",RIGHT(B517,2),"Carb")</f>
        <v>DévRoutCat42Carb</v>
      </c>
      <c r="F521" t="s">
        <v>36</v>
      </c>
      <c r="G521" s="5" cm="1">
        <f t="array" ref="G521">IF((INDEX('Remplissage - Sit. Init.'!$C$23:$I$472,MATCH((B521)&amp;('Remplissage - Sit. Init.'!$D$30),('Remplissage - Sit. Init.'!$C$23:$C$472)&amp;('Remplissage - Sit. Init.'!$D$23:$D$472),0),7))&gt;0,0,1)</f>
        <v>1</v>
      </c>
      <c r="I521">
        <f>VLOOKUP(I517,'Parcs types'!$D$7:$M$54,4,FALSE)</f>
        <v>0</v>
      </c>
      <c r="K521" s="4">
        <f t="shared" si="602"/>
        <v>0</v>
      </c>
    </row>
    <row r="522" spans="1:11" x14ac:dyDescent="0.25">
      <c r="A522" t="s">
        <v>1342</v>
      </c>
      <c r="B522" s="32" t="s">
        <v>130</v>
      </c>
      <c r="C522" t="s">
        <v>83</v>
      </c>
      <c r="E522" t="str">
        <f t="shared" ref="E522" si="607">_xlfn.CONCAT(LEFT(A517,3),"RoutCat",RIGHT(B517,2),"Euro")</f>
        <v>DévRoutCat42Euro</v>
      </c>
      <c r="F522" t="s">
        <v>36</v>
      </c>
      <c r="G522" s="5" cm="1">
        <f t="array" ref="G522">IF((INDEX('Remplissage - Sit. Init.'!$C$23:$I$472,MATCH((B522)&amp;('Remplissage - Sit. Init.'!$D$30),('Remplissage - Sit. Init.'!$C$23:$C$472)&amp;('Remplissage - Sit. Init.'!$D$23:$D$472),0),7))&gt;0,0,1)</f>
        <v>1</v>
      </c>
      <c r="I522">
        <f>VLOOKUP(I517,'Parcs types'!$D$7:$M$54,5,FALSE)</f>
        <v>0</v>
      </c>
      <c r="K522" s="4">
        <f t="shared" si="602"/>
        <v>0</v>
      </c>
    </row>
    <row r="523" spans="1:11" x14ac:dyDescent="0.25">
      <c r="A523" t="s">
        <v>1342</v>
      </c>
      <c r="B523" s="32" t="s">
        <v>130</v>
      </c>
      <c r="C523" t="s">
        <v>84</v>
      </c>
      <c r="E523" t="str">
        <f t="shared" ref="E523" si="608">_xlfn.CONCAT(LEFT(A517,3),"RoutCat",RIGHT(B517,2),"CritAir")</f>
        <v>DévRoutCat42CritAir</v>
      </c>
      <c r="F523" t="s">
        <v>36</v>
      </c>
      <c r="G523" s="5" cm="1">
        <f t="array" ref="G523">IF((INDEX('Remplissage - Sit. Init.'!$C$23:$I$472,MATCH((B523)&amp;('Remplissage - Sit. Init.'!$D$30),('Remplissage - Sit. Init.'!$C$23:$C$472)&amp;('Remplissage - Sit. Init.'!$D$23:$D$472),0),7))&gt;0,0,1)</f>
        <v>1</v>
      </c>
      <c r="H523" s="32"/>
      <c r="I523">
        <f>VLOOKUP(I517,'Parcs types'!$D$7:$M$54,6,FALSE)</f>
        <v>1</v>
      </c>
      <c r="K523" s="4">
        <f t="shared" si="602"/>
        <v>1</v>
      </c>
    </row>
    <row r="524" spans="1:11" x14ac:dyDescent="0.25">
      <c r="A524" t="s">
        <v>1342</v>
      </c>
      <c r="B524" s="32" t="s">
        <v>130</v>
      </c>
      <c r="C524" t="s">
        <v>85</v>
      </c>
      <c r="E524" t="str">
        <f t="shared" ref="E524" si="609">_xlfn.CONCAT(LEFT(A517,3),"RoutCat",RIGHT(B517,2),"Nb")</f>
        <v>DévRoutCat42Nb</v>
      </c>
      <c r="F524" t="s">
        <v>17</v>
      </c>
      <c r="G524" s="5" cm="1">
        <f t="array" ref="G524">IF((INDEX('Remplissage - Sit. Init.'!$C$23:$I$472,MATCH((B524)&amp;('Remplissage - Sit. Init.'!$D$30),('Remplissage - Sit. Init.'!$C$23:$C$472)&amp;('Remplissage - Sit. Init.'!$D$23:$D$472),0),7))&gt;0,0,1)</f>
        <v>1</v>
      </c>
      <c r="J524" t="s">
        <v>86</v>
      </c>
      <c r="K524">
        <f>VLOOKUP($I517,'Parcs types'!$D$7:$M$54,9,FALSE)</f>
        <v>0</v>
      </c>
    </row>
    <row r="525" spans="1:11" x14ac:dyDescent="0.25">
      <c r="A525" t="s">
        <v>1342</v>
      </c>
      <c r="B525" s="32" t="s">
        <v>130</v>
      </c>
      <c r="C525" t="s">
        <v>87</v>
      </c>
      <c r="E525" t="str">
        <f t="shared" ref="E525" si="610">_xlfn.CONCAT(LEFT(A517,3),"RoutCat",RIGHT(B517,2),"Dist")</f>
        <v>DévRoutCat42Dist</v>
      </c>
      <c r="F525" t="s">
        <v>17</v>
      </c>
      <c r="G525" s="5" cm="1">
        <f t="array" ref="G525">IF((INDEX('Remplissage - Sit. Init.'!$C$23:$I$472,MATCH((B525)&amp;('Remplissage - Sit. Init.'!$D$30),('Remplissage - Sit. Init.'!$C$23:$C$472)&amp;('Remplissage - Sit. Init.'!$D$23:$D$472),0),7))&gt;0,0,1)</f>
        <v>1</v>
      </c>
      <c r="H525" s="32"/>
      <c r="J525" t="s">
        <v>88</v>
      </c>
      <c r="K525">
        <f>VLOOKUP($I517,'Parcs types'!$D$7:$M$54,7,FALSE)</f>
        <v>46552.613237725091</v>
      </c>
    </row>
    <row r="526" spans="1:11" x14ac:dyDescent="0.25">
      <c r="A526" t="s">
        <v>1342</v>
      </c>
      <c r="B526" s="32" t="s">
        <v>130</v>
      </c>
      <c r="C526" s="32" t="s">
        <v>89</v>
      </c>
      <c r="E526" t="str">
        <f t="shared" ref="E526" si="611">_xlfn.CONCAT(LEFT(A517,3),"RoutCat",RIGHT(B517,2),"Rempl")</f>
        <v>DévRoutCat42Rempl</v>
      </c>
      <c r="F526" t="s">
        <v>17</v>
      </c>
      <c r="G526" s="5" cm="1">
        <f t="array" ref="G526">IF((INDEX('Remplissage - Sit. Init.'!$C$23:$I$472,MATCH((B526)&amp;('Remplissage - Sit. Init.'!$D$30),('Remplissage - Sit. Init.'!$C$23:$C$472)&amp;('Remplissage - Sit. Init.'!$D$23:$D$472),0),7))&gt;0,0,1)</f>
        <v>1</v>
      </c>
      <c r="H526" s="36"/>
      <c r="J526" t="s">
        <v>70</v>
      </c>
      <c r="K526">
        <f>VLOOKUP($I517,'Parcs types'!$D$7:$M$54,8,FALSE)</f>
        <v>0</v>
      </c>
    </row>
    <row r="527" spans="1:11" x14ac:dyDescent="0.25">
      <c r="A527" t="s">
        <v>1342</v>
      </c>
      <c r="B527" s="32" t="s">
        <v>131</v>
      </c>
      <c r="C527" t="s">
        <v>78</v>
      </c>
      <c r="E527" t="str">
        <f t="shared" ref="E527" si="612">_xlfn.CONCAT(LEFT(A527,3),"RoutCat",RIGHT(B527,2),"Nom")</f>
        <v>DévRoutCat43Nom</v>
      </c>
      <c r="F527" t="s">
        <v>20</v>
      </c>
      <c r="G527" s="5" cm="1">
        <f t="array" ref="G527">IF((INDEX('Remplissage - Sit. Init.'!$C$23:$I$472,MATCH((B527)&amp;('Remplissage - Sit. Init.'!$D$30),('Remplissage - Sit. Init.'!$C$23:$C$472)&amp;('Remplissage - Sit. Init.'!$D$23:$D$472),0),7))&gt;0,0,1)</f>
        <v>1</v>
      </c>
      <c r="H527" s="4"/>
      <c r="I527" s="4" t="str">
        <f>'Parcs types'!D52</f>
        <v>PL Gaz (GNC) &gt;20-26t (Crit'Air 2)</v>
      </c>
      <c r="K527" s="4" t="str">
        <f t="shared" ref="K527:K533" si="613">I527</f>
        <v>PL Gaz (GNC) &gt;20-26t (Crit'Air 2)</v>
      </c>
    </row>
    <row r="528" spans="1:11" x14ac:dyDescent="0.25">
      <c r="A528" t="s">
        <v>1342</v>
      </c>
      <c r="B528" s="32" t="s">
        <v>131</v>
      </c>
      <c r="C528" t="s">
        <v>79</v>
      </c>
      <c r="E528" t="str">
        <f t="shared" ref="E528" si="614">_xlfn.CONCAT(LEFT(A527,3),"RoutCat",RIGHT(B527,2),"Type")</f>
        <v>DévRoutCat43Type</v>
      </c>
      <c r="F528" t="s">
        <v>20</v>
      </c>
      <c r="G528" s="5" cm="1">
        <f t="array" ref="G528">IF((INDEX('Remplissage - Sit. Init.'!$C$23:$I$472,MATCH((B528)&amp;('Remplissage - Sit. Init.'!$D$30),('Remplissage - Sit. Init.'!$C$23:$C$472)&amp;('Remplissage - Sit. Init.'!$D$23:$D$472),0),7))&gt;0,0,1)</f>
        <v>1</v>
      </c>
      <c r="I528" t="str">
        <f>IF(K529='Parcs types'!$E$10,"VUL",LEFT('Remplissage - Sit. Prev.'!K527,SEARCH('Remplissage - Sit. Prev.'!K530,'Remplissage - Sit. Prev.'!K527)-2))</f>
        <v>PL</v>
      </c>
      <c r="K528" s="4" t="str">
        <f t="shared" si="613"/>
        <v>PL</v>
      </c>
    </row>
    <row r="529" spans="1:11" x14ac:dyDescent="0.25">
      <c r="A529" t="s">
        <v>1342</v>
      </c>
      <c r="B529" s="32" t="s">
        <v>131</v>
      </c>
      <c r="C529" t="s">
        <v>80</v>
      </c>
      <c r="E529" t="str">
        <f t="shared" ref="E529" si="615">_xlfn.CONCAT(LEFT(A527,3),"RoutCat",RIGHT(B527,2),"PTAC")</f>
        <v>DévRoutCat43PTAC</v>
      </c>
      <c r="F529" t="s">
        <v>36</v>
      </c>
      <c r="G529" s="5" cm="1">
        <f t="array" ref="G529">IF((INDEX('Remplissage - Sit. Init.'!$C$23:$I$472,MATCH((B529)&amp;('Remplissage - Sit. Init.'!$D$30),('Remplissage - Sit. Init.'!$C$23:$C$472)&amp;('Remplissage - Sit. Init.'!$D$23:$D$472),0),7))&gt;0,0,1)</f>
        <v>1</v>
      </c>
      <c r="I529" t="str">
        <f>VLOOKUP(I527,'Parcs types'!$D$7:$M$54,2,FALSE)</f>
        <v>&gt;20-26t</v>
      </c>
      <c r="K529" s="4" t="str">
        <f t="shared" si="613"/>
        <v>&gt;20-26t</v>
      </c>
    </row>
    <row r="530" spans="1:11" x14ac:dyDescent="0.25">
      <c r="A530" t="s">
        <v>1342</v>
      </c>
      <c r="B530" s="32" t="s">
        <v>131</v>
      </c>
      <c r="C530" t="s">
        <v>81</v>
      </c>
      <c r="E530" t="str">
        <f t="shared" ref="E530" si="616">_xlfn.CONCAT(LEFT(A527,3),"RoutCat",RIGHT(B527,2),"Mot")</f>
        <v>DévRoutCat43Mot</v>
      </c>
      <c r="F530" t="s">
        <v>36</v>
      </c>
      <c r="G530" s="5" cm="1">
        <f t="array" ref="G530">IF((INDEX('Remplissage - Sit. Init.'!$C$23:$I$472,MATCH((B530)&amp;('Remplissage - Sit. Init.'!$D$30),('Remplissage - Sit. Init.'!$C$23:$C$472)&amp;('Remplissage - Sit. Init.'!$D$23:$D$472),0),7))&gt;0,0,1)</f>
        <v>1</v>
      </c>
      <c r="H530" s="32"/>
      <c r="I530" t="str">
        <f>VLOOKUP(I527,'Parcs types'!$D$7:$M$54,3,FALSE)</f>
        <v>Gaz (GNC)</v>
      </c>
      <c r="K530" s="4" t="str">
        <f t="shared" si="613"/>
        <v>Gaz (GNC)</v>
      </c>
    </row>
    <row r="531" spans="1:11" x14ac:dyDescent="0.25">
      <c r="A531" t="s">
        <v>1342</v>
      </c>
      <c r="B531" s="32" t="s">
        <v>131</v>
      </c>
      <c r="C531" t="s">
        <v>82</v>
      </c>
      <c r="E531" t="str">
        <f t="shared" ref="E531" si="617">_xlfn.CONCAT(LEFT(A527,3),"RoutCat",RIGHT(B527,2),"Carb")</f>
        <v>DévRoutCat43Carb</v>
      </c>
      <c r="F531" t="s">
        <v>36</v>
      </c>
      <c r="G531" s="5" cm="1">
        <f t="array" ref="G531">IF((INDEX('Remplissage - Sit. Init.'!$C$23:$I$472,MATCH((B531)&amp;('Remplissage - Sit. Init.'!$D$30),('Remplissage - Sit. Init.'!$C$23:$C$472)&amp;('Remplissage - Sit. Init.'!$D$23:$D$472),0),7))&gt;0,0,1)</f>
        <v>1</v>
      </c>
      <c r="I531">
        <f>VLOOKUP(I527,'Parcs types'!$D$7:$M$54,4,FALSE)</f>
        <v>0</v>
      </c>
      <c r="K531" s="4">
        <f t="shared" si="613"/>
        <v>0</v>
      </c>
    </row>
    <row r="532" spans="1:11" x14ac:dyDescent="0.25">
      <c r="A532" t="s">
        <v>1342</v>
      </c>
      <c r="B532" s="32" t="s">
        <v>131</v>
      </c>
      <c r="C532" t="s">
        <v>83</v>
      </c>
      <c r="E532" t="str">
        <f t="shared" ref="E532" si="618">_xlfn.CONCAT(LEFT(A527,3),"RoutCat",RIGHT(B527,2),"Euro")</f>
        <v>DévRoutCat43Euro</v>
      </c>
      <c r="F532" t="s">
        <v>36</v>
      </c>
      <c r="G532" s="5" cm="1">
        <f t="array" ref="G532">IF((INDEX('Remplissage - Sit. Init.'!$C$23:$I$472,MATCH((B532)&amp;('Remplissage - Sit. Init.'!$D$30),('Remplissage - Sit. Init.'!$C$23:$C$472)&amp;('Remplissage - Sit. Init.'!$D$23:$D$472),0),7))&gt;0,0,1)</f>
        <v>1</v>
      </c>
      <c r="I532">
        <f>VLOOKUP(I527,'Parcs types'!$D$7:$M$54,5,FALSE)</f>
        <v>0</v>
      </c>
      <c r="K532" s="4">
        <f t="shared" si="613"/>
        <v>0</v>
      </c>
    </row>
    <row r="533" spans="1:11" x14ac:dyDescent="0.25">
      <c r="A533" t="s">
        <v>1342</v>
      </c>
      <c r="B533" s="32" t="s">
        <v>131</v>
      </c>
      <c r="C533" t="s">
        <v>84</v>
      </c>
      <c r="E533" t="str">
        <f t="shared" ref="E533" si="619">_xlfn.CONCAT(LEFT(A527,3),"RoutCat",RIGHT(B527,2),"CritAir")</f>
        <v>DévRoutCat43CritAir</v>
      </c>
      <c r="F533" t="s">
        <v>36</v>
      </c>
      <c r="G533" s="5" cm="1">
        <f t="array" ref="G533">IF((INDEX('Remplissage - Sit. Init.'!$C$23:$I$472,MATCH((B533)&amp;('Remplissage - Sit. Init.'!$D$30),('Remplissage - Sit. Init.'!$C$23:$C$472)&amp;('Remplissage - Sit. Init.'!$D$23:$D$472),0),7))&gt;0,0,1)</f>
        <v>1</v>
      </c>
      <c r="H533" s="32"/>
      <c r="I533">
        <f>VLOOKUP(I527,'Parcs types'!$D$7:$M$54,6,FALSE)</f>
        <v>2</v>
      </c>
      <c r="K533" s="4">
        <f t="shared" si="613"/>
        <v>2</v>
      </c>
    </row>
    <row r="534" spans="1:11" x14ac:dyDescent="0.25">
      <c r="A534" t="s">
        <v>1342</v>
      </c>
      <c r="B534" s="32" t="s">
        <v>131</v>
      </c>
      <c r="C534" t="s">
        <v>85</v>
      </c>
      <c r="E534" t="str">
        <f t="shared" ref="E534" si="620">_xlfn.CONCAT(LEFT(A527,3),"RoutCat",RIGHT(B527,2),"Nb")</f>
        <v>DévRoutCat43Nb</v>
      </c>
      <c r="F534" t="s">
        <v>17</v>
      </c>
      <c r="G534" s="5" cm="1">
        <f t="array" ref="G534">IF((INDEX('Remplissage - Sit. Init.'!$C$23:$I$472,MATCH((B534)&amp;('Remplissage - Sit. Init.'!$D$30),('Remplissage - Sit. Init.'!$C$23:$C$472)&amp;('Remplissage - Sit. Init.'!$D$23:$D$472),0),7))&gt;0,0,1)</f>
        <v>1</v>
      </c>
      <c r="J534" t="s">
        <v>86</v>
      </c>
      <c r="K534">
        <f>VLOOKUP($I527,'Parcs types'!$D$7:$M$54,9,FALSE)</f>
        <v>0</v>
      </c>
    </row>
    <row r="535" spans="1:11" x14ac:dyDescent="0.25">
      <c r="A535" t="s">
        <v>1342</v>
      </c>
      <c r="B535" s="32" t="s">
        <v>131</v>
      </c>
      <c r="C535" t="s">
        <v>87</v>
      </c>
      <c r="E535" t="str">
        <f t="shared" ref="E535" si="621">_xlfn.CONCAT(LEFT(A527,3),"RoutCat",RIGHT(B527,2),"Dist")</f>
        <v>DévRoutCat43Dist</v>
      </c>
      <c r="F535" t="s">
        <v>17</v>
      </c>
      <c r="G535" s="5" cm="1">
        <f t="array" ref="G535">IF((INDEX('Remplissage - Sit. Init.'!$C$23:$I$472,MATCH((B535)&amp;('Remplissage - Sit. Init.'!$D$30),('Remplissage - Sit. Init.'!$C$23:$C$472)&amp;('Remplissage - Sit. Init.'!$D$23:$D$472),0),7))&gt;0,0,1)</f>
        <v>1</v>
      </c>
      <c r="H535" s="32"/>
      <c r="J535" t="s">
        <v>88</v>
      </c>
      <c r="K535">
        <f>VLOOKUP($I527,'Parcs types'!$D$7:$M$54,7,FALSE)</f>
        <v>46552.613237725091</v>
      </c>
    </row>
    <row r="536" spans="1:11" x14ac:dyDescent="0.25">
      <c r="A536" t="s">
        <v>1342</v>
      </c>
      <c r="B536" s="32" t="s">
        <v>131</v>
      </c>
      <c r="C536" s="32" t="s">
        <v>89</v>
      </c>
      <c r="E536" t="str">
        <f t="shared" ref="E536" si="622">_xlfn.CONCAT(LEFT(A527,3),"RoutCat",RIGHT(B527,2),"Rempl")</f>
        <v>DévRoutCat43Rempl</v>
      </c>
      <c r="F536" t="s">
        <v>17</v>
      </c>
      <c r="G536" s="5" cm="1">
        <f t="array" ref="G536">IF((INDEX('Remplissage - Sit. Init.'!$C$23:$I$472,MATCH((B536)&amp;('Remplissage - Sit. Init.'!$D$30),('Remplissage - Sit. Init.'!$C$23:$C$472)&amp;('Remplissage - Sit. Init.'!$D$23:$D$472),0),7))&gt;0,0,1)</f>
        <v>1</v>
      </c>
      <c r="H536" s="36"/>
      <c r="J536" t="s">
        <v>70</v>
      </c>
      <c r="K536">
        <f>VLOOKUP($I527,'Parcs types'!$D$7:$M$54,8,FALSE)</f>
        <v>0</v>
      </c>
    </row>
    <row r="537" spans="1:11" x14ac:dyDescent="0.25">
      <c r="A537" t="s">
        <v>1342</v>
      </c>
      <c r="B537" s="32" t="s">
        <v>132</v>
      </c>
      <c r="C537" t="s">
        <v>78</v>
      </c>
      <c r="E537" t="str">
        <f t="shared" ref="E537" si="623">_xlfn.CONCAT(LEFT(A537,3),"RoutCat",RIGHT(B537,2),"Nom")</f>
        <v>DévRoutCat44Nom</v>
      </c>
      <c r="F537" t="s">
        <v>20</v>
      </c>
      <c r="G537" s="5" cm="1">
        <f t="array" ref="G537">IF((INDEX('Remplissage - Sit. Init.'!$C$23:$I$472,MATCH((B537)&amp;('Remplissage - Sit. Init.'!$D$30),('Remplissage - Sit. Init.'!$C$23:$C$472)&amp;('Remplissage - Sit. Init.'!$D$23:$D$472),0),7))&gt;0,0,1)</f>
        <v>1</v>
      </c>
      <c r="H537" s="4"/>
      <c r="I537" s="4" t="str">
        <f>'Parcs types'!D53</f>
        <v>PL Gaz (GNC) &gt;28-34t (Crit'Air 1)</v>
      </c>
      <c r="K537" s="4" t="str">
        <f t="shared" ref="K537:K543" si="624">I537</f>
        <v>PL Gaz (GNC) &gt;28-34t (Crit'Air 1)</v>
      </c>
    </row>
    <row r="538" spans="1:11" x14ac:dyDescent="0.25">
      <c r="A538" t="s">
        <v>1342</v>
      </c>
      <c r="B538" s="32" t="s">
        <v>132</v>
      </c>
      <c r="C538" t="s">
        <v>79</v>
      </c>
      <c r="E538" t="str">
        <f t="shared" ref="E538" si="625">_xlfn.CONCAT(LEFT(A537,3),"RoutCat",RIGHT(B537,2),"Type")</f>
        <v>DévRoutCat44Type</v>
      </c>
      <c r="F538" t="s">
        <v>20</v>
      </c>
      <c r="G538" s="5" cm="1">
        <f t="array" ref="G538">IF((INDEX('Remplissage - Sit. Init.'!$C$23:$I$472,MATCH((B538)&amp;('Remplissage - Sit. Init.'!$D$30),('Remplissage - Sit. Init.'!$C$23:$C$472)&amp;('Remplissage - Sit. Init.'!$D$23:$D$472),0),7))&gt;0,0,1)</f>
        <v>1</v>
      </c>
      <c r="I538" t="str">
        <f>IF(K539='Parcs types'!$E$10,"VUL",LEFT('Remplissage - Sit. Prev.'!K537,SEARCH('Remplissage - Sit. Prev.'!K540,'Remplissage - Sit. Prev.'!K537)-2))</f>
        <v>PL</v>
      </c>
      <c r="K538" s="4" t="str">
        <f t="shared" si="624"/>
        <v>PL</v>
      </c>
    </row>
    <row r="539" spans="1:11" x14ac:dyDescent="0.25">
      <c r="A539" t="s">
        <v>1342</v>
      </c>
      <c r="B539" s="32" t="s">
        <v>132</v>
      </c>
      <c r="C539" t="s">
        <v>80</v>
      </c>
      <c r="E539" t="str">
        <f t="shared" ref="E539" si="626">_xlfn.CONCAT(LEFT(A537,3),"RoutCat",RIGHT(B537,2),"PTAC")</f>
        <v>DévRoutCat44PTAC</v>
      </c>
      <c r="F539" t="s">
        <v>36</v>
      </c>
      <c r="G539" s="5" cm="1">
        <f t="array" ref="G539">IF((INDEX('Remplissage - Sit. Init.'!$C$23:$I$472,MATCH((B539)&amp;('Remplissage - Sit. Init.'!$D$30),('Remplissage - Sit. Init.'!$C$23:$C$472)&amp;('Remplissage - Sit. Init.'!$D$23:$D$472),0),7))&gt;0,0,1)</f>
        <v>1</v>
      </c>
      <c r="I539" t="str">
        <f>VLOOKUP(I537,'Parcs types'!$D$7:$M$54,2,FALSE)</f>
        <v>&gt;28-34t</v>
      </c>
      <c r="K539" s="4" t="str">
        <f t="shared" si="624"/>
        <v>&gt;28-34t</v>
      </c>
    </row>
    <row r="540" spans="1:11" x14ac:dyDescent="0.25">
      <c r="A540" t="s">
        <v>1342</v>
      </c>
      <c r="B540" s="32" t="s">
        <v>132</v>
      </c>
      <c r="C540" t="s">
        <v>81</v>
      </c>
      <c r="E540" t="str">
        <f t="shared" ref="E540" si="627">_xlfn.CONCAT(LEFT(A537,3),"RoutCat",RIGHT(B537,2),"Mot")</f>
        <v>DévRoutCat44Mot</v>
      </c>
      <c r="F540" t="s">
        <v>36</v>
      </c>
      <c r="G540" s="5" cm="1">
        <f t="array" ref="G540">IF((INDEX('Remplissage - Sit. Init.'!$C$23:$I$472,MATCH((B540)&amp;('Remplissage - Sit. Init.'!$D$30),('Remplissage - Sit. Init.'!$C$23:$C$472)&amp;('Remplissage - Sit. Init.'!$D$23:$D$472),0),7))&gt;0,0,1)</f>
        <v>1</v>
      </c>
      <c r="H540" s="32"/>
      <c r="I540" t="str">
        <f>VLOOKUP(I537,'Parcs types'!$D$7:$M$54,3,FALSE)</f>
        <v>Gaz (GNC)</v>
      </c>
      <c r="K540" s="4" t="str">
        <f t="shared" si="624"/>
        <v>Gaz (GNC)</v>
      </c>
    </row>
    <row r="541" spans="1:11" x14ac:dyDescent="0.25">
      <c r="A541" t="s">
        <v>1342</v>
      </c>
      <c r="B541" s="32" t="s">
        <v>132</v>
      </c>
      <c r="C541" t="s">
        <v>82</v>
      </c>
      <c r="E541" t="str">
        <f t="shared" ref="E541" si="628">_xlfn.CONCAT(LEFT(A537,3),"RoutCat",RIGHT(B537,2),"Carb")</f>
        <v>DévRoutCat44Carb</v>
      </c>
      <c r="F541" t="s">
        <v>36</v>
      </c>
      <c r="G541" s="5" cm="1">
        <f t="array" ref="G541">IF((INDEX('Remplissage - Sit. Init.'!$C$23:$I$472,MATCH((B541)&amp;('Remplissage - Sit. Init.'!$D$30),('Remplissage - Sit. Init.'!$C$23:$C$472)&amp;('Remplissage - Sit. Init.'!$D$23:$D$472),0),7))&gt;0,0,1)</f>
        <v>1</v>
      </c>
      <c r="I541">
        <f>VLOOKUP(I537,'Parcs types'!$D$7:$M$54,4,FALSE)</f>
        <v>0</v>
      </c>
      <c r="K541" s="4">
        <f t="shared" si="624"/>
        <v>0</v>
      </c>
    </row>
    <row r="542" spans="1:11" x14ac:dyDescent="0.25">
      <c r="A542" t="s">
        <v>1342</v>
      </c>
      <c r="B542" s="32" t="s">
        <v>132</v>
      </c>
      <c r="C542" t="s">
        <v>83</v>
      </c>
      <c r="E542" t="str">
        <f t="shared" ref="E542" si="629">_xlfn.CONCAT(LEFT(A537,3),"RoutCat",RIGHT(B537,2),"Euro")</f>
        <v>DévRoutCat44Euro</v>
      </c>
      <c r="F542" t="s">
        <v>36</v>
      </c>
      <c r="G542" s="5" cm="1">
        <f t="array" ref="G542">IF((INDEX('Remplissage - Sit. Init.'!$C$23:$I$472,MATCH((B542)&amp;('Remplissage - Sit. Init.'!$D$30),('Remplissage - Sit. Init.'!$C$23:$C$472)&amp;('Remplissage - Sit. Init.'!$D$23:$D$472),0),7))&gt;0,0,1)</f>
        <v>1</v>
      </c>
      <c r="I542">
        <f>VLOOKUP(I537,'Parcs types'!$D$7:$M$54,5,FALSE)</f>
        <v>0</v>
      </c>
      <c r="K542" s="4">
        <f t="shared" si="624"/>
        <v>0</v>
      </c>
    </row>
    <row r="543" spans="1:11" x14ac:dyDescent="0.25">
      <c r="A543" t="s">
        <v>1342</v>
      </c>
      <c r="B543" s="32" t="s">
        <v>132</v>
      </c>
      <c r="C543" t="s">
        <v>84</v>
      </c>
      <c r="E543" t="str">
        <f t="shared" ref="E543" si="630">_xlfn.CONCAT(LEFT(A537,3),"RoutCat",RIGHT(B537,2),"CritAir")</f>
        <v>DévRoutCat44CritAir</v>
      </c>
      <c r="F543" t="s">
        <v>36</v>
      </c>
      <c r="G543" s="5" cm="1">
        <f t="array" ref="G543">IF((INDEX('Remplissage - Sit. Init.'!$C$23:$I$472,MATCH((B543)&amp;('Remplissage - Sit. Init.'!$D$30),('Remplissage - Sit. Init.'!$C$23:$C$472)&amp;('Remplissage - Sit. Init.'!$D$23:$D$472),0),7))&gt;0,0,1)</f>
        <v>1</v>
      </c>
      <c r="H543" s="32"/>
      <c r="I543">
        <f>VLOOKUP(I537,'Parcs types'!$D$7:$M$54,6,FALSE)</f>
        <v>1</v>
      </c>
      <c r="K543" s="4">
        <f t="shared" si="624"/>
        <v>1</v>
      </c>
    </row>
    <row r="544" spans="1:11" x14ac:dyDescent="0.25">
      <c r="A544" t="s">
        <v>1342</v>
      </c>
      <c r="B544" s="32" t="s">
        <v>132</v>
      </c>
      <c r="C544" t="s">
        <v>85</v>
      </c>
      <c r="E544" t="str">
        <f t="shared" ref="E544" si="631">_xlfn.CONCAT(LEFT(A537,3),"RoutCat",RIGHT(B537,2),"Nb")</f>
        <v>DévRoutCat44Nb</v>
      </c>
      <c r="F544" t="s">
        <v>17</v>
      </c>
      <c r="G544" s="5" cm="1">
        <f t="array" ref="G544">IF((INDEX('Remplissage - Sit. Init.'!$C$23:$I$472,MATCH((B544)&amp;('Remplissage - Sit. Init.'!$D$30),('Remplissage - Sit. Init.'!$C$23:$C$472)&amp;('Remplissage - Sit. Init.'!$D$23:$D$472),0),7))&gt;0,0,1)</f>
        <v>1</v>
      </c>
      <c r="J544" t="s">
        <v>86</v>
      </c>
      <c r="K544">
        <f>VLOOKUP($I537,'Parcs types'!$D$7:$M$54,9,FALSE)</f>
        <v>0</v>
      </c>
    </row>
    <row r="545" spans="1:31" x14ac:dyDescent="0.25">
      <c r="A545" t="s">
        <v>1342</v>
      </c>
      <c r="B545" s="32" t="s">
        <v>132</v>
      </c>
      <c r="C545" t="s">
        <v>87</v>
      </c>
      <c r="E545" t="str">
        <f t="shared" ref="E545" si="632">_xlfn.CONCAT(LEFT(A537,3),"RoutCat",RIGHT(B537,2),"Dist")</f>
        <v>DévRoutCat44Dist</v>
      </c>
      <c r="F545" t="s">
        <v>17</v>
      </c>
      <c r="G545" s="5" cm="1">
        <f t="array" ref="G545">IF((INDEX('Remplissage - Sit. Init.'!$C$23:$I$472,MATCH((B545)&amp;('Remplissage - Sit. Init.'!$D$30),('Remplissage - Sit. Init.'!$C$23:$C$472)&amp;('Remplissage - Sit. Init.'!$D$23:$D$472),0),7))&gt;0,0,1)</f>
        <v>1</v>
      </c>
      <c r="H545" s="32"/>
      <c r="J545" t="s">
        <v>88</v>
      </c>
      <c r="K545">
        <f>VLOOKUP($I537,'Parcs types'!$D$7:$M$54,7,FALSE)</f>
        <v>46552.613237725091</v>
      </c>
    </row>
    <row r="546" spans="1:31" x14ac:dyDescent="0.25">
      <c r="A546" t="s">
        <v>1342</v>
      </c>
      <c r="B546" s="32" t="s">
        <v>132</v>
      </c>
      <c r="C546" s="32" t="s">
        <v>89</v>
      </c>
      <c r="E546" t="str">
        <f t="shared" ref="E546" si="633">_xlfn.CONCAT(LEFT(A537,3),"RoutCat",RIGHT(B537,2),"Rempl")</f>
        <v>DévRoutCat44Rempl</v>
      </c>
      <c r="F546" t="s">
        <v>17</v>
      </c>
      <c r="G546" s="5" cm="1">
        <f t="array" ref="G546">IF((INDEX('Remplissage - Sit. Init.'!$C$23:$I$472,MATCH((B546)&amp;('Remplissage - Sit. Init.'!$D$30),('Remplissage - Sit. Init.'!$C$23:$C$472)&amp;('Remplissage - Sit. Init.'!$D$23:$D$472),0),7))&gt;0,0,1)</f>
        <v>1</v>
      </c>
      <c r="H546" s="36"/>
      <c r="J546" t="s">
        <v>70</v>
      </c>
      <c r="K546">
        <f>VLOOKUP($I537,'Parcs types'!$D$7:$M$54,8,FALSE)</f>
        <v>0</v>
      </c>
    </row>
    <row r="547" spans="1:31" x14ac:dyDescent="0.25">
      <c r="A547" t="s">
        <v>1342</v>
      </c>
      <c r="B547" s="32" t="s">
        <v>133</v>
      </c>
      <c r="C547" t="s">
        <v>78</v>
      </c>
      <c r="E547" t="str">
        <f t="shared" ref="E547" si="634">_xlfn.CONCAT(LEFT(A547,3),"RoutCat",RIGHT(B547,2),"Nom")</f>
        <v>DévRoutCat45Nom</v>
      </c>
      <c r="F547" t="s">
        <v>20</v>
      </c>
      <c r="G547" s="5" cm="1">
        <f t="array" ref="G547">IF((INDEX('Remplissage - Sit. Init.'!$C$23:$I$472,MATCH((B547)&amp;('Remplissage - Sit. Init.'!$D$30),('Remplissage - Sit. Init.'!$C$23:$C$472)&amp;('Remplissage - Sit. Init.'!$D$23:$D$472),0),7))&gt;0,0,1)</f>
        <v>1</v>
      </c>
      <c r="H547" s="4"/>
      <c r="I547" s="4" t="str">
        <f>'Parcs types'!D54</f>
        <v>PL Gaz (GNC) &gt;28-34t (Crit'Air 2)</v>
      </c>
      <c r="K547" s="4" t="str">
        <f t="shared" ref="K547:K553" si="635">I547</f>
        <v>PL Gaz (GNC) &gt;28-34t (Crit'Air 2)</v>
      </c>
    </row>
    <row r="548" spans="1:31" x14ac:dyDescent="0.25">
      <c r="A548" t="s">
        <v>1342</v>
      </c>
      <c r="B548" s="32" t="s">
        <v>133</v>
      </c>
      <c r="C548" t="s">
        <v>79</v>
      </c>
      <c r="E548" t="str">
        <f t="shared" ref="E548" si="636">_xlfn.CONCAT(LEFT(A547,3),"RoutCat",RIGHT(B547,2),"Type")</f>
        <v>DévRoutCat45Type</v>
      </c>
      <c r="F548" t="s">
        <v>20</v>
      </c>
      <c r="G548" s="5" cm="1">
        <f t="array" ref="G548">IF((INDEX('Remplissage - Sit. Init.'!$C$23:$I$472,MATCH((B548)&amp;('Remplissage - Sit. Init.'!$D$30),('Remplissage - Sit. Init.'!$C$23:$C$472)&amp;('Remplissage - Sit. Init.'!$D$23:$D$472),0),7))&gt;0,0,1)</f>
        <v>1</v>
      </c>
      <c r="I548" t="str">
        <f>IF(K549='Parcs types'!$E$10,"VUL",LEFT('Remplissage - Sit. Prev.'!K547,SEARCH('Remplissage - Sit. Prev.'!K550,'Remplissage - Sit. Prev.'!K547)-2))</f>
        <v>PL</v>
      </c>
      <c r="K548" s="4" t="str">
        <f t="shared" si="635"/>
        <v>PL</v>
      </c>
    </row>
    <row r="549" spans="1:31" x14ac:dyDescent="0.25">
      <c r="A549" t="s">
        <v>1342</v>
      </c>
      <c r="B549" s="32" t="s">
        <v>133</v>
      </c>
      <c r="C549" t="s">
        <v>80</v>
      </c>
      <c r="E549" t="str">
        <f t="shared" ref="E549" si="637">_xlfn.CONCAT(LEFT(A547,3),"RoutCat",RIGHT(B547,2),"PTAC")</f>
        <v>DévRoutCat45PTAC</v>
      </c>
      <c r="F549" t="s">
        <v>36</v>
      </c>
      <c r="G549" s="5" cm="1">
        <f t="array" ref="G549">IF((INDEX('Remplissage - Sit. Init.'!$C$23:$I$472,MATCH((B549)&amp;('Remplissage - Sit. Init.'!$D$30),('Remplissage - Sit. Init.'!$C$23:$C$472)&amp;('Remplissage - Sit. Init.'!$D$23:$D$472),0),7))&gt;0,0,1)</f>
        <v>1</v>
      </c>
      <c r="I549" t="str">
        <f>VLOOKUP(I547,'Parcs types'!$D$7:$M$54,2,FALSE)</f>
        <v>&gt;28-34t</v>
      </c>
      <c r="K549" s="4" t="str">
        <f t="shared" si="635"/>
        <v>&gt;28-34t</v>
      </c>
    </row>
    <row r="550" spans="1:31" x14ac:dyDescent="0.25">
      <c r="A550" t="s">
        <v>1342</v>
      </c>
      <c r="B550" s="32" t="s">
        <v>133</v>
      </c>
      <c r="C550" t="s">
        <v>81</v>
      </c>
      <c r="E550" t="str">
        <f t="shared" ref="E550" si="638">_xlfn.CONCAT(LEFT(A547,3),"RoutCat",RIGHT(B547,2),"Mot")</f>
        <v>DévRoutCat45Mot</v>
      </c>
      <c r="F550" t="s">
        <v>36</v>
      </c>
      <c r="G550" s="5" cm="1">
        <f t="array" ref="G550">IF((INDEX('Remplissage - Sit. Init.'!$C$23:$I$472,MATCH((B550)&amp;('Remplissage - Sit. Init.'!$D$30),('Remplissage - Sit. Init.'!$C$23:$C$472)&amp;('Remplissage - Sit. Init.'!$D$23:$D$472),0),7))&gt;0,0,1)</f>
        <v>1</v>
      </c>
      <c r="H550" s="32"/>
      <c r="I550" t="str">
        <f>VLOOKUP(I547,'Parcs types'!$D$7:$M$54,3,FALSE)</f>
        <v>Gaz (GNC)</v>
      </c>
      <c r="K550" s="4" t="str">
        <f t="shared" si="635"/>
        <v>Gaz (GNC)</v>
      </c>
    </row>
    <row r="551" spans="1:31" x14ac:dyDescent="0.25">
      <c r="A551" t="s">
        <v>1342</v>
      </c>
      <c r="B551" s="32" t="s">
        <v>133</v>
      </c>
      <c r="C551" t="s">
        <v>82</v>
      </c>
      <c r="E551" t="str">
        <f t="shared" ref="E551" si="639">_xlfn.CONCAT(LEFT(A547,3),"RoutCat",RIGHT(B547,2),"Carb")</f>
        <v>DévRoutCat45Carb</v>
      </c>
      <c r="F551" t="s">
        <v>36</v>
      </c>
      <c r="G551" s="5" cm="1">
        <f t="array" ref="G551">IF((INDEX('Remplissage - Sit. Init.'!$C$23:$I$472,MATCH((B551)&amp;('Remplissage - Sit. Init.'!$D$30),('Remplissage - Sit. Init.'!$C$23:$C$472)&amp;('Remplissage - Sit. Init.'!$D$23:$D$472),0),7))&gt;0,0,1)</f>
        <v>1</v>
      </c>
      <c r="I551">
        <f>VLOOKUP(I547,'Parcs types'!$D$7:$M$54,4,FALSE)</f>
        <v>0</v>
      </c>
      <c r="K551" s="4">
        <f t="shared" si="635"/>
        <v>0</v>
      </c>
    </row>
    <row r="552" spans="1:31" x14ac:dyDescent="0.25">
      <c r="A552" t="s">
        <v>1342</v>
      </c>
      <c r="B552" s="32" t="s">
        <v>133</v>
      </c>
      <c r="C552" t="s">
        <v>83</v>
      </c>
      <c r="E552" t="str">
        <f t="shared" ref="E552" si="640">_xlfn.CONCAT(LEFT(A547,3),"RoutCat",RIGHT(B547,2),"Euro")</f>
        <v>DévRoutCat45Euro</v>
      </c>
      <c r="F552" t="s">
        <v>36</v>
      </c>
      <c r="G552" s="5" cm="1">
        <f t="array" ref="G552">IF((INDEX('Remplissage - Sit. Init.'!$C$23:$I$472,MATCH((B552)&amp;('Remplissage - Sit. Init.'!$D$30),('Remplissage - Sit. Init.'!$C$23:$C$472)&amp;('Remplissage - Sit. Init.'!$D$23:$D$472),0),7))&gt;0,0,1)</f>
        <v>1</v>
      </c>
      <c r="I552">
        <f>VLOOKUP(I547,'Parcs types'!$D$7:$M$54,5,FALSE)</f>
        <v>0</v>
      </c>
      <c r="K552" s="4">
        <f t="shared" si="635"/>
        <v>0</v>
      </c>
    </row>
    <row r="553" spans="1:31" x14ac:dyDescent="0.25">
      <c r="A553" t="s">
        <v>1342</v>
      </c>
      <c r="B553" s="32" t="s">
        <v>133</v>
      </c>
      <c r="C553" t="s">
        <v>84</v>
      </c>
      <c r="E553" t="str">
        <f t="shared" ref="E553" si="641">_xlfn.CONCAT(LEFT(A547,3),"RoutCat",RIGHT(B547,2),"CritAir")</f>
        <v>DévRoutCat45CritAir</v>
      </c>
      <c r="F553" t="s">
        <v>36</v>
      </c>
      <c r="G553" s="5" cm="1">
        <f t="array" ref="G553">IF((INDEX('Remplissage - Sit. Init.'!$C$23:$I$472,MATCH((B553)&amp;('Remplissage - Sit. Init.'!$D$30),('Remplissage - Sit. Init.'!$C$23:$C$472)&amp;('Remplissage - Sit. Init.'!$D$23:$D$472),0),7))&gt;0,0,1)</f>
        <v>1</v>
      </c>
      <c r="H553" s="32"/>
      <c r="I553">
        <f>VLOOKUP(I547,'Parcs types'!$D$7:$M$54,6,FALSE)</f>
        <v>2</v>
      </c>
      <c r="K553" s="4">
        <f t="shared" si="635"/>
        <v>2</v>
      </c>
    </row>
    <row r="554" spans="1:31" x14ac:dyDescent="0.25">
      <c r="A554" t="s">
        <v>1342</v>
      </c>
      <c r="B554" s="32" t="s">
        <v>133</v>
      </c>
      <c r="C554" t="s">
        <v>85</v>
      </c>
      <c r="E554" t="str">
        <f t="shared" ref="E554" si="642">_xlfn.CONCAT(LEFT(A547,3),"RoutCat",RIGHT(B547,2),"Nb")</f>
        <v>DévRoutCat45Nb</v>
      </c>
      <c r="F554" t="s">
        <v>17</v>
      </c>
      <c r="G554" s="5" cm="1">
        <f t="array" ref="G554">IF((INDEX('Remplissage - Sit. Init.'!$C$23:$I$472,MATCH((B554)&amp;('Remplissage - Sit. Init.'!$D$30),('Remplissage - Sit. Init.'!$C$23:$C$472)&amp;('Remplissage - Sit. Init.'!$D$23:$D$472),0),7))&gt;0,0,1)</f>
        <v>1</v>
      </c>
      <c r="J554" t="s">
        <v>86</v>
      </c>
      <c r="K554">
        <f>VLOOKUP($I547,'Parcs types'!$D$7:$M$54,9,FALSE)</f>
        <v>0</v>
      </c>
    </row>
    <row r="555" spans="1:31" x14ac:dyDescent="0.25">
      <c r="A555" t="s">
        <v>1342</v>
      </c>
      <c r="B555" s="32" t="s">
        <v>133</v>
      </c>
      <c r="C555" t="s">
        <v>87</v>
      </c>
      <c r="E555" t="str">
        <f t="shared" ref="E555" si="643">_xlfn.CONCAT(LEFT(A547,3),"RoutCat",RIGHT(B547,2),"Dist")</f>
        <v>DévRoutCat45Dist</v>
      </c>
      <c r="F555" t="s">
        <v>17</v>
      </c>
      <c r="G555" s="5" cm="1">
        <f t="array" ref="G555">IF((INDEX('Remplissage - Sit. Init.'!$C$23:$I$472,MATCH((B555)&amp;('Remplissage - Sit. Init.'!$D$30),('Remplissage - Sit. Init.'!$C$23:$C$472)&amp;('Remplissage - Sit. Init.'!$D$23:$D$472),0),7))&gt;0,0,1)</f>
        <v>1</v>
      </c>
      <c r="H555" s="32"/>
      <c r="J555" t="s">
        <v>88</v>
      </c>
      <c r="K555">
        <f>VLOOKUP($I547,'Parcs types'!$D$7:$M$54,7,FALSE)</f>
        <v>46552.613237725091</v>
      </c>
    </row>
    <row r="556" spans="1:31" x14ac:dyDescent="0.25">
      <c r="A556" t="s">
        <v>1342</v>
      </c>
      <c r="B556" s="32" t="s">
        <v>133</v>
      </c>
      <c r="C556" s="32" t="s">
        <v>89</v>
      </c>
      <c r="E556" t="str">
        <f t="shared" ref="E556" si="644">_xlfn.CONCAT(LEFT(A547,3),"RoutCat",RIGHT(B547,2),"Rempl")</f>
        <v>DévRoutCat45Rempl</v>
      </c>
      <c r="F556" t="s">
        <v>17</v>
      </c>
      <c r="G556" s="5" cm="1">
        <f t="array" ref="G556">IF((INDEX('Remplissage - Sit. Init.'!$C$23:$I$472,MATCH((B556)&amp;('Remplissage - Sit. Init.'!$D$30),('Remplissage - Sit. Init.'!$C$23:$C$472)&amp;('Remplissage - Sit. Init.'!$D$23:$D$472),0),7))&gt;0,0,1)</f>
        <v>1</v>
      </c>
      <c r="H556" s="36"/>
      <c r="J556" t="s">
        <v>70</v>
      </c>
      <c r="K556">
        <f>VLOOKUP($I547,'Parcs types'!$D$7:$M$54,8,FALSE)</f>
        <v>0</v>
      </c>
    </row>
    <row r="557" spans="1:31" x14ac:dyDescent="0.25">
      <c r="H557" s="36"/>
    </row>
    <row r="558" spans="1:31" x14ac:dyDescent="0.25">
      <c r="A558" t="s">
        <v>1465</v>
      </c>
      <c r="B558" t="s">
        <v>1250</v>
      </c>
      <c r="C558" t="str">
        <f ca="1">_xlfn.CONCAT("Pour l'évolution de l'activité associée à la catégorie de barges suivante, catégorie ",INDIRECT("'Parcs types'!C"&amp;D558),", préférez-vous renseigner : ")</f>
        <v xml:space="preserve">Pour l'évolution de l'activité associée à la catégorie de barges suivante, catégorie Automoteurs &lt; 400 tonnes CCNR 2 ou inférieur, diesel, préférez-vous renseigner : </v>
      </c>
      <c r="D558">
        <v>65</v>
      </c>
      <c r="E558" t="str">
        <f>_xlfn.CONCAT("EvoFretFluvCat",RIGHT(B558,2),"Request")</f>
        <v>EvoFretFluvCat 1Request</v>
      </c>
      <c r="F558" s="32" t="s">
        <v>20</v>
      </c>
      <c r="G558" s="5" cm="1">
        <f t="array" ref="G558">IF((INDEX('Remplissage - Sit. Init.'!$C$473:$I$1088,MATCH((_xlfn.CONCAT("Catégorie "&amp;RIGHT(B558,1)))&amp;('Remplissage - Sit. Init.'!$D$483),('Remplissage - Sit. Init.'!$C$473:$C$1088)&amp;('Remplissage - Sit. Init.'!$D$473:$D$1088),0),7))&gt;0,1,0)</f>
        <v>0</v>
      </c>
      <c r="I558" s="33" t="s">
        <v>1466</v>
      </c>
      <c r="K558" s="8"/>
      <c r="V558" s="25"/>
      <c r="W558" s="25"/>
      <c r="X558" s="25"/>
      <c r="Y558" s="25"/>
      <c r="Z558" s="25"/>
      <c r="AB558" s="25"/>
      <c r="AC558" s="25"/>
      <c r="AD558" s="25"/>
      <c r="AE558" s="25"/>
    </row>
    <row r="559" spans="1:31" x14ac:dyDescent="0.25">
      <c r="A559" t="s">
        <v>1465</v>
      </c>
      <c r="B559" t="s">
        <v>1467</v>
      </c>
      <c r="C559" t="s">
        <v>1472</v>
      </c>
      <c r="E559" t="str">
        <f>_xlfn.CONCAT("EvoFretFluvCat",RIGHT(B559,2),"NbTraj")</f>
        <v>EvoFretFluvCat 1NbTraj</v>
      </c>
      <c r="F559" t="s">
        <v>17</v>
      </c>
      <c r="G559" s="5" cm="1">
        <f t="array" ref="G559">IF((INDEX('Remplissage - Sit. Init.'!$C$473:$I$1088,MATCH((_xlfn.CONCAT("Catégorie "&amp;RIGHT(B559,1)))&amp;('Remplissage - Sit. Init.'!$D$483),('Remplissage - Sit. Init.'!$C$473:$C$1088)&amp;('Remplissage - Sit. Init.'!$D$473:$D$1088),0),7))&gt;0,1,0)</f>
        <v>0</v>
      </c>
      <c r="H559" s="8"/>
      <c r="I559" s="33"/>
      <c r="J559" t="s">
        <v>70</v>
      </c>
      <c r="L559" s="114" t="s">
        <v>1478</v>
      </c>
    </row>
    <row r="560" spans="1:31" x14ac:dyDescent="0.25">
      <c r="A560" t="s">
        <v>1465</v>
      </c>
      <c r="B560" t="s">
        <v>1468</v>
      </c>
      <c r="C560" t="s">
        <v>1473</v>
      </c>
      <c r="E560" t="str">
        <f>_xlfn.CONCAT("EvoFretFluvCat",RIGHT(B560,2),"DistMoy")</f>
        <v>EvoFretFluvCat 1DistMoy</v>
      </c>
      <c r="F560" t="s">
        <v>17</v>
      </c>
      <c r="G560" s="5" cm="1">
        <f t="array" ref="G560">IF((INDEX('Remplissage - Sit. Init.'!$C$473:$I$1088,MATCH((_xlfn.CONCAT("Catégorie "&amp;RIGHT(B560,1)))&amp;('Remplissage - Sit. Init.'!$D$483),('Remplissage - Sit. Init.'!$C$473:$C$1088)&amp;('Remplissage - Sit. Init.'!$D$473:$D$1088),0),7))&gt;0,1,0)</f>
        <v>0</v>
      </c>
      <c r="H560" s="8"/>
      <c r="I560" s="33"/>
      <c r="J560" t="s">
        <v>70</v>
      </c>
      <c r="L560" s="114" t="s">
        <v>1479</v>
      </c>
    </row>
    <row r="561" spans="1:12" x14ac:dyDescent="0.25">
      <c r="A561" t="s">
        <v>1465</v>
      </c>
      <c r="B561" t="s">
        <v>1469</v>
      </c>
      <c r="C561" t="s">
        <v>1474</v>
      </c>
      <c r="E561" t="str">
        <f>_xlfn.CONCAT("EvoFretFluvCat",RIGHT(B561,2),"EmportMoy")</f>
        <v>EvoFretFluvCat 1EmportMoy</v>
      </c>
      <c r="F561" t="s">
        <v>17</v>
      </c>
      <c r="G561" s="5" cm="1">
        <f t="array" ref="G561">IF((INDEX('Remplissage - Sit. Init.'!$C$473:$I$1088,MATCH((_xlfn.CONCAT("Catégorie "&amp;RIGHT(B561,1)))&amp;('Remplissage - Sit. Init.'!$D$483),('Remplissage - Sit. Init.'!$C$473:$C$1088)&amp;('Remplissage - Sit. Init.'!$D$473:$D$1088),0),7))&gt;0,1,0)</f>
        <v>0</v>
      </c>
      <c r="H561" s="8"/>
      <c r="I561" s="33"/>
      <c r="J561" t="s">
        <v>70</v>
      </c>
      <c r="L561" s="114" t="s">
        <v>1480</v>
      </c>
    </row>
    <row r="562" spans="1:12" x14ac:dyDescent="0.25">
      <c r="A562" t="s">
        <v>1465</v>
      </c>
      <c r="B562" t="s">
        <v>1470</v>
      </c>
      <c r="C562" t="s">
        <v>1475</v>
      </c>
      <c r="E562" t="str">
        <f>_xlfn.CONCAT("EvoFretFluvCat",RIGHT(B562,2),"DistAn")</f>
        <v>EvoFretFluvCat 1DistAn</v>
      </c>
      <c r="F562" t="s">
        <v>17</v>
      </c>
      <c r="G562" s="5" cm="1">
        <f t="array" ref="G562">IF((INDEX('Remplissage - Sit. Init.'!$C$473:$I$1088,MATCH((_xlfn.CONCAT("Catégorie "&amp;RIGHT(B562,1)))&amp;('Remplissage - Sit. Init.'!$D$483),('Remplissage - Sit. Init.'!$C$473:$C$1088)&amp;('Remplissage - Sit. Init.'!$D$473:$D$1088),0),7))&gt;0,1,0)</f>
        <v>0</v>
      </c>
      <c r="I562" s="33"/>
      <c r="J562" t="s">
        <v>70</v>
      </c>
      <c r="L562" s="114" t="s">
        <v>1479</v>
      </c>
    </row>
    <row r="563" spans="1:12" x14ac:dyDescent="0.25">
      <c r="A563" t="s">
        <v>1465</v>
      </c>
      <c r="B563" t="s">
        <v>1471</v>
      </c>
      <c r="C563" t="s">
        <v>1476</v>
      </c>
      <c r="E563" t="str">
        <f>_xlfn.CONCAT("EvoFretFluvCat",RIGHT(B563,2),"TauxChargeMoy")</f>
        <v>EvoFretFluvCat 1TauxChargeMoy</v>
      </c>
      <c r="F563" t="s">
        <v>17</v>
      </c>
      <c r="G563" s="5" cm="1">
        <f t="array" ref="G563">IF((INDEX('Remplissage - Sit. Init.'!$C$473:$I$1088,MATCH((_xlfn.CONCAT("Catégorie "&amp;RIGHT(B563,1)))&amp;('Remplissage - Sit. Init.'!$D$483),('Remplissage - Sit. Init.'!$C$473:$C$1088)&amp;('Remplissage - Sit. Init.'!$D$473:$D$1088),0),7))&gt;0,1,0)</f>
        <v>0</v>
      </c>
      <c r="I563" s="33"/>
      <c r="J563" t="s">
        <v>70</v>
      </c>
      <c r="L563" s="114" t="s">
        <v>1481</v>
      </c>
    </row>
    <row r="564" spans="1:12" x14ac:dyDescent="0.25">
      <c r="A564" t="s">
        <v>1465</v>
      </c>
      <c r="B564" t="s">
        <v>1467</v>
      </c>
      <c r="C564" s="114" t="s">
        <v>1477</v>
      </c>
      <c r="E564" t="str">
        <f>_xlfn.CONCAT("EvoFretFluvCat",RIGHT(B564,2),"NbBarges")</f>
        <v>EvoFretFluvCat 1NbBarges</v>
      </c>
      <c r="F564" t="s">
        <v>17</v>
      </c>
      <c r="G564" s="5" cm="1">
        <f t="array" ref="G564">IF((INDEX('Remplissage - Sit. Init.'!$C$473:$I$1088,MATCH((_xlfn.CONCAT("Catégorie "&amp;RIGHT(B564,1)))&amp;('Remplissage - Sit. Init.'!$D$483),('Remplissage - Sit. Init.'!$C$473:$C$1088)&amp;('Remplissage - Sit. Init.'!$D$473:$D$1088),0),7))&gt;0,1,0)</f>
        <v>0</v>
      </c>
      <c r="I564" s="33"/>
      <c r="J564" t="s">
        <v>70</v>
      </c>
      <c r="L564" s="114" t="s">
        <v>1482</v>
      </c>
    </row>
    <row r="565" spans="1:12" x14ac:dyDescent="0.25">
      <c r="A565" t="s">
        <v>1465</v>
      </c>
      <c r="B565" t="s">
        <v>1254</v>
      </c>
      <c r="C565" t="str">
        <f t="shared" ref="C565" ca="1" si="645">_xlfn.CONCAT("Pour l'évolution de l'activité associée à la catégorie de barges suivante, catégorie ",INDIRECT("'Parcs types'!C"&amp;D565),", préférez-vous renseigner : ")</f>
        <v xml:space="preserve">Pour l'évolution de l'activité associée à la catégorie de barges suivante, catégorie Automoteurs &lt; 400 tonnes CCNR 2 + SCR, diesel, préférez-vous renseigner : </v>
      </c>
      <c r="D565">
        <v>66</v>
      </c>
      <c r="E565" t="str">
        <f t="shared" ref="E565" si="646">_xlfn.CONCAT("EvoFretFluvCat",RIGHT(B565,2),"Request")</f>
        <v>EvoFretFluvCat 2Request</v>
      </c>
      <c r="F565" s="32" t="s">
        <v>20</v>
      </c>
      <c r="G565" s="5" cm="1">
        <f t="array" ref="G565">IF((INDEX('Remplissage - Sit. Init.'!$C$473:$I$1088,MATCH((_xlfn.CONCAT("Catégorie "&amp;RIGHT(B565,1)))&amp;('Remplissage - Sit. Init.'!$D$483),('Remplissage - Sit. Init.'!$C$473:$C$1088)&amp;('Remplissage - Sit. Init.'!$D$473:$D$1088),0),7))&gt;0,1,0)</f>
        <v>0</v>
      </c>
      <c r="I565" s="33" t="s">
        <v>1466</v>
      </c>
      <c r="K565" s="8"/>
    </row>
    <row r="566" spans="1:12" x14ac:dyDescent="0.25">
      <c r="A566" t="s">
        <v>1465</v>
      </c>
      <c r="B566" t="s">
        <v>1483</v>
      </c>
      <c r="C566" t="s">
        <v>1472</v>
      </c>
      <c r="E566" t="str">
        <f t="shared" ref="E566" si="647">_xlfn.CONCAT("EvoFretFluvCat",RIGHT(B566,2),"NbTraj")</f>
        <v>EvoFretFluvCat 2NbTraj</v>
      </c>
      <c r="F566" t="s">
        <v>17</v>
      </c>
      <c r="G566" s="5" cm="1">
        <f t="array" ref="G566">IF((INDEX('Remplissage - Sit. Init.'!$C$473:$I$1088,MATCH((_xlfn.CONCAT("Catégorie "&amp;RIGHT(B566,1)))&amp;('Remplissage - Sit. Init.'!$D$483),('Remplissage - Sit. Init.'!$C$473:$C$1088)&amp;('Remplissage - Sit. Init.'!$D$473:$D$1088),0),7))&gt;0,1,0)</f>
        <v>0</v>
      </c>
      <c r="H566" s="8"/>
      <c r="I566" s="33"/>
      <c r="J566" t="s">
        <v>70</v>
      </c>
      <c r="L566" s="114" t="s">
        <v>1478</v>
      </c>
    </row>
    <row r="567" spans="1:12" x14ac:dyDescent="0.25">
      <c r="A567" t="s">
        <v>1465</v>
      </c>
      <c r="B567" t="s">
        <v>1484</v>
      </c>
      <c r="C567" t="s">
        <v>1473</v>
      </c>
      <c r="E567" t="str">
        <f t="shared" ref="E567" si="648">_xlfn.CONCAT("EvoFretFluvCat",RIGHT(B567,2),"DistMoy")</f>
        <v>EvoFretFluvCat 2DistMoy</v>
      </c>
      <c r="F567" t="s">
        <v>17</v>
      </c>
      <c r="G567" s="5" cm="1">
        <f t="array" ref="G567">IF((INDEX('Remplissage - Sit. Init.'!$C$473:$I$1088,MATCH((_xlfn.CONCAT("Catégorie "&amp;RIGHT(B567,1)))&amp;('Remplissage - Sit. Init.'!$D$483),('Remplissage - Sit. Init.'!$C$473:$C$1088)&amp;('Remplissage - Sit. Init.'!$D$473:$D$1088),0),7))&gt;0,1,0)</f>
        <v>0</v>
      </c>
      <c r="H567" s="8"/>
      <c r="I567" s="33"/>
      <c r="J567" t="s">
        <v>70</v>
      </c>
      <c r="L567" s="114" t="s">
        <v>1479</v>
      </c>
    </row>
    <row r="568" spans="1:12" x14ac:dyDescent="0.25">
      <c r="A568" t="s">
        <v>1465</v>
      </c>
      <c r="B568" t="s">
        <v>1485</v>
      </c>
      <c r="C568" t="s">
        <v>1474</v>
      </c>
      <c r="E568" t="str">
        <f t="shared" ref="E568" si="649">_xlfn.CONCAT("EvoFretFluvCat",RIGHT(B568,2),"EmportMoy")</f>
        <v>EvoFretFluvCat 2EmportMoy</v>
      </c>
      <c r="F568" t="s">
        <v>17</v>
      </c>
      <c r="G568" s="5" cm="1">
        <f t="array" ref="G568">IF((INDEX('Remplissage - Sit. Init.'!$C$473:$I$1088,MATCH((_xlfn.CONCAT("Catégorie "&amp;RIGHT(B568,1)))&amp;('Remplissage - Sit. Init.'!$D$483),('Remplissage - Sit. Init.'!$C$473:$C$1088)&amp;('Remplissage - Sit. Init.'!$D$473:$D$1088),0),7))&gt;0,1,0)</f>
        <v>0</v>
      </c>
      <c r="H568" s="8"/>
      <c r="I568" s="33"/>
      <c r="J568" t="s">
        <v>70</v>
      </c>
      <c r="L568" s="114" t="s">
        <v>1480</v>
      </c>
    </row>
    <row r="569" spans="1:12" x14ac:dyDescent="0.25">
      <c r="A569" t="s">
        <v>1465</v>
      </c>
      <c r="B569" t="s">
        <v>1486</v>
      </c>
      <c r="C569" t="s">
        <v>1475</v>
      </c>
      <c r="E569" t="str">
        <f t="shared" ref="E569" si="650">_xlfn.CONCAT("EvoFretFluvCat",RIGHT(B569,2),"DistAn")</f>
        <v>EvoFretFluvCat 2DistAn</v>
      </c>
      <c r="F569" t="s">
        <v>17</v>
      </c>
      <c r="G569" s="5" cm="1">
        <f t="array" ref="G569">IF((INDEX('Remplissage - Sit. Init.'!$C$473:$I$1088,MATCH((_xlfn.CONCAT("Catégorie "&amp;RIGHT(B569,1)))&amp;('Remplissage - Sit. Init.'!$D$483),('Remplissage - Sit. Init.'!$C$473:$C$1088)&amp;('Remplissage - Sit. Init.'!$D$473:$D$1088),0),7))&gt;0,1,0)</f>
        <v>0</v>
      </c>
      <c r="I569" s="33"/>
      <c r="J569" t="s">
        <v>70</v>
      </c>
      <c r="L569" s="114" t="s">
        <v>1479</v>
      </c>
    </row>
    <row r="570" spans="1:12" x14ac:dyDescent="0.25">
      <c r="A570" t="s">
        <v>1465</v>
      </c>
      <c r="B570" t="s">
        <v>1487</v>
      </c>
      <c r="C570" t="s">
        <v>1476</v>
      </c>
      <c r="E570" t="str">
        <f t="shared" ref="E570" si="651">_xlfn.CONCAT("EvoFretFluvCat",RIGHT(B570,2),"TauxChargeMoy")</f>
        <v>EvoFretFluvCat 2TauxChargeMoy</v>
      </c>
      <c r="F570" t="s">
        <v>17</v>
      </c>
      <c r="G570" s="5" cm="1">
        <f t="array" ref="G570">IF((INDEX('Remplissage - Sit. Init.'!$C$473:$I$1088,MATCH((_xlfn.CONCAT("Catégorie "&amp;RIGHT(B570,1)))&amp;('Remplissage - Sit. Init.'!$D$483),('Remplissage - Sit. Init.'!$C$473:$C$1088)&amp;('Remplissage - Sit. Init.'!$D$473:$D$1088),0),7))&gt;0,1,0)</f>
        <v>0</v>
      </c>
      <c r="I570" s="33"/>
      <c r="J570" t="s">
        <v>70</v>
      </c>
      <c r="L570" s="114" t="s">
        <v>1481</v>
      </c>
    </row>
    <row r="571" spans="1:12" x14ac:dyDescent="0.25">
      <c r="A571" t="s">
        <v>1465</v>
      </c>
      <c r="B571" t="s">
        <v>1483</v>
      </c>
      <c r="C571" s="114" t="s">
        <v>1477</v>
      </c>
      <c r="E571" t="str">
        <f t="shared" ref="E571" si="652">_xlfn.CONCAT("EvoFretFluvCat",RIGHT(B571,2),"NbBarges")</f>
        <v>EvoFretFluvCat 2NbBarges</v>
      </c>
      <c r="F571" t="s">
        <v>17</v>
      </c>
      <c r="G571" s="5" cm="1">
        <f t="array" ref="G571">IF((INDEX('Remplissage - Sit. Init.'!$C$473:$I$1088,MATCH((_xlfn.CONCAT("Catégorie "&amp;RIGHT(B571,1)))&amp;('Remplissage - Sit. Init.'!$D$483),('Remplissage - Sit. Init.'!$C$473:$C$1088)&amp;('Remplissage - Sit. Init.'!$D$473:$D$1088),0),7))&gt;0,1,0)</f>
        <v>0</v>
      </c>
      <c r="I571" s="33"/>
      <c r="J571" t="s">
        <v>70</v>
      </c>
      <c r="L571" s="114" t="s">
        <v>1482</v>
      </c>
    </row>
    <row r="572" spans="1:12" x14ac:dyDescent="0.25">
      <c r="A572" t="s">
        <v>1465</v>
      </c>
      <c r="B572" t="s">
        <v>1256</v>
      </c>
      <c r="C572" t="str">
        <f t="shared" ref="C572" ca="1" si="653">_xlfn.CONCAT("Pour l'évolution de l'activité associée à la catégorie de barges suivante, catégorie ",INDIRECT("'Parcs types'!C"&amp;D572),", préférez-vous renseigner : ")</f>
        <v xml:space="preserve">Pour l'évolution de l'activité associée à la catégorie de barges suivante, catégorie Automoteurs &lt; 400 tonnes Phase V, diesel, préférez-vous renseigner : </v>
      </c>
      <c r="D572">
        <v>67</v>
      </c>
      <c r="E572" t="str">
        <f t="shared" ref="E572" si="654">_xlfn.CONCAT("EvoFretFluvCat",RIGHT(B572,2),"Request")</f>
        <v>EvoFretFluvCat 3Request</v>
      </c>
      <c r="F572" s="32" t="s">
        <v>20</v>
      </c>
      <c r="G572" s="5" cm="1">
        <f t="array" ref="G572">IF((INDEX('Remplissage - Sit. Init.'!$C$473:$I$1088,MATCH((_xlfn.CONCAT("Catégorie "&amp;RIGHT(B572,1)))&amp;('Remplissage - Sit. Init.'!$D$483),('Remplissage - Sit. Init.'!$C$473:$C$1088)&amp;('Remplissage - Sit. Init.'!$D$473:$D$1088),0),7))&gt;0,1,0)</f>
        <v>0</v>
      </c>
      <c r="I572" s="33" t="s">
        <v>1466</v>
      </c>
      <c r="K572" s="8"/>
    </row>
    <row r="573" spans="1:12" x14ac:dyDescent="0.25">
      <c r="A573" t="s">
        <v>1465</v>
      </c>
      <c r="B573" t="s">
        <v>1488</v>
      </c>
      <c r="C573" t="s">
        <v>1472</v>
      </c>
      <c r="E573" t="str">
        <f t="shared" ref="E573" si="655">_xlfn.CONCAT("EvoFretFluvCat",RIGHT(B573,2),"NbTraj")</f>
        <v>EvoFretFluvCat 3NbTraj</v>
      </c>
      <c r="F573" t="s">
        <v>17</v>
      </c>
      <c r="G573" s="5" cm="1">
        <f t="array" ref="G573">IF((INDEX('Remplissage - Sit. Init.'!$C$473:$I$1088,MATCH((_xlfn.CONCAT("Catégorie "&amp;RIGHT(B573,1)))&amp;('Remplissage - Sit. Init.'!$D$483),('Remplissage - Sit. Init.'!$C$473:$C$1088)&amp;('Remplissage - Sit. Init.'!$D$473:$D$1088),0),7))&gt;0,1,0)</f>
        <v>0</v>
      </c>
      <c r="H573" s="8"/>
      <c r="I573" s="33"/>
      <c r="J573" t="s">
        <v>70</v>
      </c>
      <c r="L573" s="114" t="s">
        <v>1478</v>
      </c>
    </row>
    <row r="574" spans="1:12" x14ac:dyDescent="0.25">
      <c r="A574" t="s">
        <v>1465</v>
      </c>
      <c r="B574" t="s">
        <v>1489</v>
      </c>
      <c r="C574" t="s">
        <v>1473</v>
      </c>
      <c r="E574" t="str">
        <f t="shared" ref="E574" si="656">_xlfn.CONCAT("EvoFretFluvCat",RIGHT(B574,2),"DistMoy")</f>
        <v>EvoFretFluvCat 3DistMoy</v>
      </c>
      <c r="F574" t="s">
        <v>17</v>
      </c>
      <c r="G574" s="5" cm="1">
        <f t="array" ref="G574">IF((INDEX('Remplissage - Sit. Init.'!$C$473:$I$1088,MATCH((_xlfn.CONCAT("Catégorie "&amp;RIGHT(B574,1)))&amp;('Remplissage - Sit. Init.'!$D$483),('Remplissage - Sit. Init.'!$C$473:$C$1088)&amp;('Remplissage - Sit. Init.'!$D$473:$D$1088),0),7))&gt;0,1,0)</f>
        <v>0</v>
      </c>
      <c r="H574" s="8"/>
      <c r="I574" s="33"/>
      <c r="J574" t="s">
        <v>70</v>
      </c>
      <c r="L574" s="114" t="s">
        <v>1479</v>
      </c>
    </row>
    <row r="575" spans="1:12" x14ac:dyDescent="0.25">
      <c r="A575" t="s">
        <v>1465</v>
      </c>
      <c r="B575" t="s">
        <v>1490</v>
      </c>
      <c r="C575" t="s">
        <v>1474</v>
      </c>
      <c r="E575" t="str">
        <f t="shared" ref="E575" si="657">_xlfn.CONCAT("EvoFretFluvCat",RIGHT(B575,2),"EmportMoy")</f>
        <v>EvoFretFluvCat 3EmportMoy</v>
      </c>
      <c r="F575" t="s">
        <v>17</v>
      </c>
      <c r="G575" s="5" cm="1">
        <f t="array" ref="G575">IF((INDEX('Remplissage - Sit. Init.'!$C$473:$I$1088,MATCH((_xlfn.CONCAT("Catégorie "&amp;RIGHT(B575,1)))&amp;('Remplissage - Sit. Init.'!$D$483),('Remplissage - Sit. Init.'!$C$473:$C$1088)&amp;('Remplissage - Sit. Init.'!$D$473:$D$1088),0),7))&gt;0,1,0)</f>
        <v>0</v>
      </c>
      <c r="H575" s="8"/>
      <c r="I575" s="33"/>
      <c r="J575" t="s">
        <v>70</v>
      </c>
      <c r="L575" s="114" t="s">
        <v>1480</v>
      </c>
    </row>
    <row r="576" spans="1:12" x14ac:dyDescent="0.25">
      <c r="A576" t="s">
        <v>1465</v>
      </c>
      <c r="B576" t="s">
        <v>1491</v>
      </c>
      <c r="C576" t="s">
        <v>1475</v>
      </c>
      <c r="E576" t="str">
        <f t="shared" ref="E576" si="658">_xlfn.CONCAT("EvoFretFluvCat",RIGHT(B576,2),"DistAn")</f>
        <v>EvoFretFluvCat 3DistAn</v>
      </c>
      <c r="F576" t="s">
        <v>17</v>
      </c>
      <c r="G576" s="5" cm="1">
        <f t="array" ref="G576">IF((INDEX('Remplissage - Sit. Init.'!$C$473:$I$1088,MATCH((_xlfn.CONCAT("Catégorie "&amp;RIGHT(B576,1)))&amp;('Remplissage - Sit. Init.'!$D$483),('Remplissage - Sit. Init.'!$C$473:$C$1088)&amp;('Remplissage - Sit. Init.'!$D$473:$D$1088),0),7))&gt;0,1,0)</f>
        <v>0</v>
      </c>
      <c r="I576" s="33"/>
      <c r="J576" t="s">
        <v>70</v>
      </c>
      <c r="L576" s="114" t="s">
        <v>1479</v>
      </c>
    </row>
    <row r="577" spans="1:12" x14ac:dyDescent="0.25">
      <c r="A577" t="s">
        <v>1465</v>
      </c>
      <c r="B577" t="s">
        <v>1492</v>
      </c>
      <c r="C577" t="s">
        <v>1476</v>
      </c>
      <c r="E577" t="str">
        <f t="shared" ref="E577" si="659">_xlfn.CONCAT("EvoFretFluvCat",RIGHT(B577,2),"TauxChargeMoy")</f>
        <v>EvoFretFluvCat 3TauxChargeMoy</v>
      </c>
      <c r="F577" t="s">
        <v>17</v>
      </c>
      <c r="G577" s="5" cm="1">
        <f t="array" ref="G577">IF((INDEX('Remplissage - Sit. Init.'!$C$473:$I$1088,MATCH((_xlfn.CONCAT("Catégorie "&amp;RIGHT(B577,1)))&amp;('Remplissage - Sit. Init.'!$D$483),('Remplissage - Sit. Init.'!$C$473:$C$1088)&amp;('Remplissage - Sit. Init.'!$D$473:$D$1088),0),7))&gt;0,1,0)</f>
        <v>0</v>
      </c>
      <c r="I577" s="33"/>
      <c r="J577" t="s">
        <v>70</v>
      </c>
      <c r="L577" s="114" t="s">
        <v>1481</v>
      </c>
    </row>
    <row r="578" spans="1:12" x14ac:dyDescent="0.25">
      <c r="A578" t="s">
        <v>1465</v>
      </c>
      <c r="B578" t="s">
        <v>1488</v>
      </c>
      <c r="C578" s="114" t="s">
        <v>1477</v>
      </c>
      <c r="E578" t="str">
        <f t="shared" ref="E578" si="660">_xlfn.CONCAT("EvoFretFluvCat",RIGHT(B578,2),"NbBarges")</f>
        <v>EvoFretFluvCat 3NbBarges</v>
      </c>
      <c r="F578" t="s">
        <v>17</v>
      </c>
      <c r="G578" s="5" cm="1">
        <f t="array" ref="G578">IF((INDEX('Remplissage - Sit. Init.'!$C$473:$I$1088,MATCH((_xlfn.CONCAT("Catégorie "&amp;RIGHT(B578,1)))&amp;('Remplissage - Sit. Init.'!$D$483),('Remplissage - Sit. Init.'!$C$473:$C$1088)&amp;('Remplissage - Sit. Init.'!$D$473:$D$1088),0),7))&gt;0,1,0)</f>
        <v>0</v>
      </c>
      <c r="I578" s="33"/>
      <c r="J578" t="s">
        <v>70</v>
      </c>
      <c r="L578" s="114" t="s">
        <v>1482</v>
      </c>
    </row>
    <row r="579" spans="1:12" x14ac:dyDescent="0.25">
      <c r="A579" t="s">
        <v>1465</v>
      </c>
      <c r="B579" t="s">
        <v>1258</v>
      </c>
      <c r="C579" t="str">
        <f t="shared" ref="C579" ca="1" si="661">_xlfn.CONCAT("Pour l'évolution de l'activité associée à la catégorie de barges suivante, catégorie ",INDIRECT("'Parcs types'!C"&amp;D579),", préférez-vous renseigner : ")</f>
        <v xml:space="preserve">Pour l'évolution de l'activité associée à la catégorie de barges suivante, catégorie Automoteurs &lt; 400 tonnes Phase V, HVO, préférez-vous renseigner : </v>
      </c>
      <c r="D579">
        <v>68</v>
      </c>
      <c r="E579" t="str">
        <f t="shared" ref="E579" si="662">_xlfn.CONCAT("EvoFretFluvCat",RIGHT(B579,2),"Request")</f>
        <v>EvoFretFluvCat 4Request</v>
      </c>
      <c r="F579" s="32" t="s">
        <v>20</v>
      </c>
      <c r="G579" s="5" cm="1">
        <f t="array" ref="G579">IF((INDEX('Remplissage - Sit. Init.'!$C$473:$I$1088,MATCH((_xlfn.CONCAT("Catégorie "&amp;RIGHT(B579,1)))&amp;('Remplissage - Sit. Init.'!$D$483),('Remplissage - Sit. Init.'!$C$473:$C$1088)&amp;('Remplissage - Sit. Init.'!$D$473:$D$1088),0),7))&gt;0,1,0)</f>
        <v>0</v>
      </c>
      <c r="I579" s="33" t="s">
        <v>1466</v>
      </c>
      <c r="K579" s="8"/>
    </row>
    <row r="580" spans="1:12" x14ac:dyDescent="0.25">
      <c r="A580" t="s">
        <v>1465</v>
      </c>
      <c r="B580" t="s">
        <v>1493</v>
      </c>
      <c r="C580" t="s">
        <v>1472</v>
      </c>
      <c r="E580" t="str">
        <f t="shared" ref="E580" si="663">_xlfn.CONCAT("EvoFretFluvCat",RIGHT(B580,2),"NbTraj")</f>
        <v>EvoFretFluvCat 4NbTraj</v>
      </c>
      <c r="F580" t="s">
        <v>17</v>
      </c>
      <c r="G580" s="5" cm="1">
        <f t="array" ref="G580">IF((INDEX('Remplissage - Sit. Init.'!$C$473:$I$1088,MATCH((_xlfn.CONCAT("Catégorie "&amp;RIGHT(B580,1)))&amp;('Remplissage - Sit. Init.'!$D$483),('Remplissage - Sit. Init.'!$C$473:$C$1088)&amp;('Remplissage - Sit. Init.'!$D$473:$D$1088),0),7))&gt;0,1,0)</f>
        <v>0</v>
      </c>
      <c r="H580" s="8"/>
      <c r="I580" s="33"/>
      <c r="J580" t="s">
        <v>70</v>
      </c>
      <c r="L580" s="114" t="s">
        <v>1478</v>
      </c>
    </row>
    <row r="581" spans="1:12" x14ac:dyDescent="0.25">
      <c r="A581" t="s">
        <v>1465</v>
      </c>
      <c r="B581" t="s">
        <v>1494</v>
      </c>
      <c r="C581" t="s">
        <v>1473</v>
      </c>
      <c r="E581" t="str">
        <f t="shared" ref="E581" si="664">_xlfn.CONCAT("EvoFretFluvCat",RIGHT(B581,2),"DistMoy")</f>
        <v>EvoFretFluvCat 4DistMoy</v>
      </c>
      <c r="F581" t="s">
        <v>17</v>
      </c>
      <c r="G581" s="5" cm="1">
        <f t="array" ref="G581">IF((INDEX('Remplissage - Sit. Init.'!$C$473:$I$1088,MATCH((_xlfn.CONCAT("Catégorie "&amp;RIGHT(B581,1)))&amp;('Remplissage - Sit. Init.'!$D$483),('Remplissage - Sit. Init.'!$C$473:$C$1088)&amp;('Remplissage - Sit. Init.'!$D$473:$D$1088),0),7))&gt;0,1,0)</f>
        <v>0</v>
      </c>
      <c r="H581" s="8"/>
      <c r="I581" s="33"/>
      <c r="J581" t="s">
        <v>70</v>
      </c>
      <c r="L581" s="114" t="s">
        <v>1479</v>
      </c>
    </row>
    <row r="582" spans="1:12" x14ac:dyDescent="0.25">
      <c r="A582" t="s">
        <v>1465</v>
      </c>
      <c r="B582" t="s">
        <v>1495</v>
      </c>
      <c r="C582" t="s">
        <v>1474</v>
      </c>
      <c r="E582" t="str">
        <f t="shared" ref="E582" si="665">_xlfn.CONCAT("EvoFretFluvCat",RIGHT(B582,2),"EmportMoy")</f>
        <v>EvoFretFluvCat 4EmportMoy</v>
      </c>
      <c r="F582" t="s">
        <v>17</v>
      </c>
      <c r="G582" s="5" cm="1">
        <f t="array" ref="G582">IF((INDEX('Remplissage - Sit. Init.'!$C$473:$I$1088,MATCH((_xlfn.CONCAT("Catégorie "&amp;RIGHT(B582,1)))&amp;('Remplissage - Sit. Init.'!$D$483),('Remplissage - Sit. Init.'!$C$473:$C$1088)&amp;('Remplissage - Sit. Init.'!$D$473:$D$1088),0),7))&gt;0,1,0)</f>
        <v>0</v>
      </c>
      <c r="H582" s="8"/>
      <c r="I582" s="33"/>
      <c r="J582" t="s">
        <v>70</v>
      </c>
      <c r="L582" s="114" t="s">
        <v>1480</v>
      </c>
    </row>
    <row r="583" spans="1:12" x14ac:dyDescent="0.25">
      <c r="A583" t="s">
        <v>1465</v>
      </c>
      <c r="B583" t="s">
        <v>1496</v>
      </c>
      <c r="C583" t="s">
        <v>1475</v>
      </c>
      <c r="E583" t="str">
        <f t="shared" ref="E583" si="666">_xlfn.CONCAT("EvoFretFluvCat",RIGHT(B583,2),"DistAn")</f>
        <v>EvoFretFluvCat 4DistAn</v>
      </c>
      <c r="F583" t="s">
        <v>17</v>
      </c>
      <c r="G583" s="5" cm="1">
        <f t="array" ref="G583">IF((INDEX('Remplissage - Sit. Init.'!$C$473:$I$1088,MATCH((_xlfn.CONCAT("Catégorie "&amp;RIGHT(B583,1)))&amp;('Remplissage - Sit. Init.'!$D$483),('Remplissage - Sit. Init.'!$C$473:$C$1088)&amp;('Remplissage - Sit. Init.'!$D$473:$D$1088),0),7))&gt;0,1,0)</f>
        <v>0</v>
      </c>
      <c r="I583" s="33"/>
      <c r="J583" t="s">
        <v>70</v>
      </c>
      <c r="L583" s="114" t="s">
        <v>1479</v>
      </c>
    </row>
    <row r="584" spans="1:12" x14ac:dyDescent="0.25">
      <c r="A584" t="s">
        <v>1465</v>
      </c>
      <c r="B584" t="s">
        <v>1497</v>
      </c>
      <c r="C584" t="s">
        <v>1476</v>
      </c>
      <c r="E584" t="str">
        <f t="shared" ref="E584" si="667">_xlfn.CONCAT("EvoFretFluvCat",RIGHT(B584,2),"TauxChargeMoy")</f>
        <v>EvoFretFluvCat 4TauxChargeMoy</v>
      </c>
      <c r="F584" t="s">
        <v>17</v>
      </c>
      <c r="G584" s="5" cm="1">
        <f t="array" ref="G584">IF((INDEX('Remplissage - Sit. Init.'!$C$473:$I$1088,MATCH((_xlfn.CONCAT("Catégorie "&amp;RIGHT(B584,1)))&amp;('Remplissage - Sit. Init.'!$D$483),('Remplissage - Sit. Init.'!$C$473:$C$1088)&amp;('Remplissage - Sit. Init.'!$D$473:$D$1088),0),7))&gt;0,1,0)</f>
        <v>0</v>
      </c>
      <c r="I584" s="33"/>
      <c r="J584" t="s">
        <v>70</v>
      </c>
      <c r="L584" s="114" t="s">
        <v>1481</v>
      </c>
    </row>
    <row r="585" spans="1:12" x14ac:dyDescent="0.25">
      <c r="A585" t="s">
        <v>1465</v>
      </c>
      <c r="B585" t="s">
        <v>1493</v>
      </c>
      <c r="C585" s="114" t="s">
        <v>1477</v>
      </c>
      <c r="E585" t="str">
        <f t="shared" ref="E585" si="668">_xlfn.CONCAT("EvoFretFluvCat",RIGHT(B585,2),"NbBarges")</f>
        <v>EvoFretFluvCat 4NbBarges</v>
      </c>
      <c r="F585" t="s">
        <v>17</v>
      </c>
      <c r="G585" s="5" cm="1">
        <f t="array" ref="G585">IF((INDEX('Remplissage - Sit. Init.'!$C$473:$I$1088,MATCH((_xlfn.CONCAT("Catégorie "&amp;RIGHT(B585,1)))&amp;('Remplissage - Sit. Init.'!$D$483),('Remplissage - Sit. Init.'!$C$473:$C$1088)&amp;('Remplissage - Sit. Init.'!$D$473:$D$1088),0),7))&gt;0,1,0)</f>
        <v>0</v>
      </c>
      <c r="I585" s="33"/>
      <c r="J585" t="s">
        <v>70</v>
      </c>
      <c r="L585" s="114" t="s">
        <v>1482</v>
      </c>
    </row>
    <row r="586" spans="1:12" x14ac:dyDescent="0.25">
      <c r="A586" t="s">
        <v>1465</v>
      </c>
      <c r="B586" t="s">
        <v>1260</v>
      </c>
      <c r="C586" t="str">
        <f t="shared" ref="C586" ca="1" si="669">_xlfn.CONCAT("Pour l'évolution de l'activité associée à la catégorie de barges suivante, catégorie ",INDIRECT("'Parcs types'!C"&amp;D586),", préférez-vous renseigner : ")</f>
        <v xml:space="preserve">Pour l'évolution de l'activité associée à la catégorie de barges suivante, catégorie Automoteurs &lt; 400 tonnes Batterie, préférez-vous renseigner : </v>
      </c>
      <c r="D586">
        <v>69</v>
      </c>
      <c r="E586" t="str">
        <f t="shared" ref="E586" si="670">_xlfn.CONCAT("EvoFretFluvCat",RIGHT(B586,2),"Request")</f>
        <v>EvoFretFluvCat 5Request</v>
      </c>
      <c r="F586" s="32" t="s">
        <v>20</v>
      </c>
      <c r="G586" s="5" cm="1">
        <f t="array" ref="G586">IF((INDEX('Remplissage - Sit. Init.'!$C$473:$I$1088,MATCH((_xlfn.CONCAT("Catégorie "&amp;RIGHT(B586,1)))&amp;('Remplissage - Sit. Init.'!$D$483),('Remplissage - Sit. Init.'!$C$473:$C$1088)&amp;('Remplissage - Sit. Init.'!$D$473:$D$1088),0),7))&gt;0,1,0)</f>
        <v>0</v>
      </c>
      <c r="I586" s="33" t="s">
        <v>1466</v>
      </c>
      <c r="K586" s="8"/>
    </row>
    <row r="587" spans="1:12" x14ac:dyDescent="0.25">
      <c r="A587" t="s">
        <v>1465</v>
      </c>
      <c r="B587" t="s">
        <v>1498</v>
      </c>
      <c r="C587" t="s">
        <v>1472</v>
      </c>
      <c r="E587" t="str">
        <f t="shared" ref="E587" si="671">_xlfn.CONCAT("EvoFretFluvCat",RIGHT(B587,2),"NbTraj")</f>
        <v>EvoFretFluvCat 5NbTraj</v>
      </c>
      <c r="F587" t="s">
        <v>17</v>
      </c>
      <c r="G587" s="5" cm="1">
        <f t="array" ref="G587">IF((INDEX('Remplissage - Sit. Init.'!$C$473:$I$1088,MATCH((_xlfn.CONCAT("Catégorie "&amp;RIGHT(B587,1)))&amp;('Remplissage - Sit. Init.'!$D$483),('Remplissage - Sit. Init.'!$C$473:$C$1088)&amp;('Remplissage - Sit. Init.'!$D$473:$D$1088),0),7))&gt;0,1,0)</f>
        <v>0</v>
      </c>
      <c r="H587" s="8"/>
      <c r="I587" s="33"/>
      <c r="J587" t="s">
        <v>70</v>
      </c>
      <c r="L587" s="114" t="s">
        <v>1478</v>
      </c>
    </row>
    <row r="588" spans="1:12" x14ac:dyDescent="0.25">
      <c r="A588" t="s">
        <v>1465</v>
      </c>
      <c r="B588" t="s">
        <v>1499</v>
      </c>
      <c r="C588" t="s">
        <v>1473</v>
      </c>
      <c r="E588" t="str">
        <f t="shared" ref="E588" si="672">_xlfn.CONCAT("EvoFretFluvCat",RIGHT(B588,2),"DistMoy")</f>
        <v>EvoFretFluvCat 5DistMoy</v>
      </c>
      <c r="F588" t="s">
        <v>17</v>
      </c>
      <c r="G588" s="5" cm="1">
        <f t="array" ref="G588">IF((INDEX('Remplissage - Sit. Init.'!$C$473:$I$1088,MATCH((_xlfn.CONCAT("Catégorie "&amp;RIGHT(B588,1)))&amp;('Remplissage - Sit. Init.'!$D$483),('Remplissage - Sit. Init.'!$C$473:$C$1088)&amp;('Remplissage - Sit. Init.'!$D$473:$D$1088),0),7))&gt;0,1,0)</f>
        <v>0</v>
      </c>
      <c r="H588" s="8"/>
      <c r="I588" s="33"/>
      <c r="J588" t="s">
        <v>70</v>
      </c>
      <c r="L588" s="114" t="s">
        <v>1479</v>
      </c>
    </row>
    <row r="589" spans="1:12" x14ac:dyDescent="0.25">
      <c r="A589" t="s">
        <v>1465</v>
      </c>
      <c r="B589" t="s">
        <v>1500</v>
      </c>
      <c r="C589" t="s">
        <v>1474</v>
      </c>
      <c r="E589" t="str">
        <f t="shared" ref="E589" si="673">_xlfn.CONCAT("EvoFretFluvCat",RIGHT(B589,2),"EmportMoy")</f>
        <v>EvoFretFluvCat 5EmportMoy</v>
      </c>
      <c r="F589" t="s">
        <v>17</v>
      </c>
      <c r="G589" s="5" cm="1">
        <f t="array" ref="G589">IF((INDEX('Remplissage - Sit. Init.'!$C$473:$I$1088,MATCH((_xlfn.CONCAT("Catégorie "&amp;RIGHT(B589,1)))&amp;('Remplissage - Sit. Init.'!$D$483),('Remplissage - Sit. Init.'!$C$473:$C$1088)&amp;('Remplissage - Sit. Init.'!$D$473:$D$1088),0),7))&gt;0,1,0)</f>
        <v>0</v>
      </c>
      <c r="H589" s="8"/>
      <c r="I589" s="33"/>
      <c r="J589" t="s">
        <v>70</v>
      </c>
      <c r="L589" s="114" t="s">
        <v>1480</v>
      </c>
    </row>
    <row r="590" spans="1:12" x14ac:dyDescent="0.25">
      <c r="A590" t="s">
        <v>1465</v>
      </c>
      <c r="B590" t="s">
        <v>1501</v>
      </c>
      <c r="C590" t="s">
        <v>1475</v>
      </c>
      <c r="E590" t="str">
        <f t="shared" ref="E590" si="674">_xlfn.CONCAT("EvoFretFluvCat",RIGHT(B590,2),"DistAn")</f>
        <v>EvoFretFluvCat 5DistAn</v>
      </c>
      <c r="F590" t="s">
        <v>17</v>
      </c>
      <c r="G590" s="5" cm="1">
        <f t="array" ref="G590">IF((INDEX('Remplissage - Sit. Init.'!$C$473:$I$1088,MATCH((_xlfn.CONCAT("Catégorie "&amp;RIGHT(B590,1)))&amp;('Remplissage - Sit. Init.'!$D$483),('Remplissage - Sit. Init.'!$C$473:$C$1088)&amp;('Remplissage - Sit. Init.'!$D$473:$D$1088),0),7))&gt;0,1,0)</f>
        <v>0</v>
      </c>
      <c r="I590" s="33"/>
      <c r="J590" t="s">
        <v>70</v>
      </c>
      <c r="L590" s="114" t="s">
        <v>1479</v>
      </c>
    </row>
    <row r="591" spans="1:12" x14ac:dyDescent="0.25">
      <c r="A591" t="s">
        <v>1465</v>
      </c>
      <c r="B591" t="s">
        <v>1502</v>
      </c>
      <c r="C591" t="s">
        <v>1476</v>
      </c>
      <c r="E591" t="str">
        <f t="shared" ref="E591" si="675">_xlfn.CONCAT("EvoFretFluvCat",RIGHT(B591,2),"TauxChargeMoy")</f>
        <v>EvoFretFluvCat 5TauxChargeMoy</v>
      </c>
      <c r="F591" t="s">
        <v>17</v>
      </c>
      <c r="G591" s="5" cm="1">
        <f t="array" ref="G591">IF((INDEX('Remplissage - Sit. Init.'!$C$473:$I$1088,MATCH((_xlfn.CONCAT("Catégorie "&amp;RIGHT(B591,1)))&amp;('Remplissage - Sit. Init.'!$D$483),('Remplissage - Sit. Init.'!$C$473:$C$1088)&amp;('Remplissage - Sit. Init.'!$D$473:$D$1088),0),7))&gt;0,1,0)</f>
        <v>0</v>
      </c>
      <c r="I591" s="33"/>
      <c r="J591" t="s">
        <v>70</v>
      </c>
      <c r="L591" s="114" t="s">
        <v>1481</v>
      </c>
    </row>
    <row r="592" spans="1:12" x14ac:dyDescent="0.25">
      <c r="A592" t="s">
        <v>1465</v>
      </c>
      <c r="B592" t="s">
        <v>1498</v>
      </c>
      <c r="C592" s="114" t="s">
        <v>1477</v>
      </c>
      <c r="E592" t="str">
        <f t="shared" ref="E592" si="676">_xlfn.CONCAT("EvoFretFluvCat",RIGHT(B592,2),"NbBarges")</f>
        <v>EvoFretFluvCat 5NbBarges</v>
      </c>
      <c r="F592" t="s">
        <v>17</v>
      </c>
      <c r="G592" s="5" cm="1">
        <f t="array" ref="G592">IF((INDEX('Remplissage - Sit. Init.'!$C$473:$I$1088,MATCH((_xlfn.CONCAT("Catégorie "&amp;RIGHT(B592,1)))&amp;('Remplissage - Sit. Init.'!$D$483),('Remplissage - Sit. Init.'!$C$473:$C$1088)&amp;('Remplissage - Sit. Init.'!$D$473:$D$1088),0),7))&gt;0,1,0)</f>
        <v>0</v>
      </c>
      <c r="I592" s="33"/>
      <c r="J592" t="s">
        <v>70</v>
      </c>
      <c r="L592" s="114" t="s">
        <v>1482</v>
      </c>
    </row>
    <row r="593" spans="1:12" x14ac:dyDescent="0.25">
      <c r="A593" t="s">
        <v>1465</v>
      </c>
      <c r="B593" t="s">
        <v>1262</v>
      </c>
      <c r="C593" t="str">
        <f t="shared" ref="C593" ca="1" si="677">_xlfn.CONCAT("Pour l'évolution de l'activité associée à la catégorie de barges suivante, catégorie ",INDIRECT("'Parcs types'!C"&amp;D593),", préférez-vous renseigner : ")</f>
        <v xml:space="preserve">Pour l'évolution de l'activité associée à la catégorie de barges suivante, catégorie Automoteurs &lt; 400 tonnes H2 , PAC, préférez-vous renseigner : </v>
      </c>
      <c r="D593">
        <v>70</v>
      </c>
      <c r="E593" t="str">
        <f t="shared" ref="E593" si="678">_xlfn.CONCAT("EvoFretFluvCat",RIGHT(B593,2),"Request")</f>
        <v>EvoFretFluvCat 6Request</v>
      </c>
      <c r="F593" s="32" t="s">
        <v>20</v>
      </c>
      <c r="G593" s="5" cm="1">
        <f t="array" ref="G593">IF((INDEX('Remplissage - Sit. Init.'!$C$473:$I$1088,MATCH((_xlfn.CONCAT("Catégorie "&amp;RIGHT(B593,1)))&amp;('Remplissage - Sit. Init.'!$D$483),('Remplissage - Sit. Init.'!$C$473:$C$1088)&amp;('Remplissage - Sit. Init.'!$D$473:$D$1088),0),7))&gt;0,1,0)</f>
        <v>0</v>
      </c>
      <c r="I593" s="33" t="s">
        <v>1466</v>
      </c>
      <c r="K593" s="8"/>
    </row>
    <row r="594" spans="1:12" x14ac:dyDescent="0.25">
      <c r="A594" t="s">
        <v>1465</v>
      </c>
      <c r="B594" t="s">
        <v>1503</v>
      </c>
      <c r="C594" t="s">
        <v>1472</v>
      </c>
      <c r="E594" t="str">
        <f t="shared" ref="E594" si="679">_xlfn.CONCAT("EvoFretFluvCat",RIGHT(B594,2),"NbTraj")</f>
        <v>EvoFretFluvCat 6NbTraj</v>
      </c>
      <c r="F594" t="s">
        <v>17</v>
      </c>
      <c r="G594" s="5" cm="1">
        <f t="array" ref="G594">IF((INDEX('Remplissage - Sit. Init.'!$C$473:$I$1088,MATCH((_xlfn.CONCAT("Catégorie "&amp;RIGHT(B594,1)))&amp;('Remplissage - Sit. Init.'!$D$483),('Remplissage - Sit. Init.'!$C$473:$C$1088)&amp;('Remplissage - Sit. Init.'!$D$473:$D$1088),0),7))&gt;0,1,0)</f>
        <v>0</v>
      </c>
      <c r="H594" s="8"/>
      <c r="I594" s="33"/>
      <c r="J594" t="s">
        <v>70</v>
      </c>
      <c r="L594" s="114" t="s">
        <v>1478</v>
      </c>
    </row>
    <row r="595" spans="1:12" x14ac:dyDescent="0.25">
      <c r="A595" t="s">
        <v>1465</v>
      </c>
      <c r="B595" t="s">
        <v>1504</v>
      </c>
      <c r="C595" t="s">
        <v>1473</v>
      </c>
      <c r="E595" t="str">
        <f t="shared" ref="E595" si="680">_xlfn.CONCAT("EvoFretFluvCat",RIGHT(B595,2),"DistMoy")</f>
        <v>EvoFretFluvCat 6DistMoy</v>
      </c>
      <c r="F595" t="s">
        <v>17</v>
      </c>
      <c r="G595" s="5" cm="1">
        <f t="array" ref="G595">IF((INDEX('Remplissage - Sit. Init.'!$C$473:$I$1088,MATCH((_xlfn.CONCAT("Catégorie "&amp;RIGHT(B595,1)))&amp;('Remplissage - Sit. Init.'!$D$483),('Remplissage - Sit. Init.'!$C$473:$C$1088)&amp;('Remplissage - Sit. Init.'!$D$473:$D$1088),0),7))&gt;0,1,0)</f>
        <v>0</v>
      </c>
      <c r="H595" s="8"/>
      <c r="I595" s="33"/>
      <c r="J595" t="s">
        <v>70</v>
      </c>
      <c r="L595" s="114" t="s">
        <v>1479</v>
      </c>
    </row>
    <row r="596" spans="1:12" x14ac:dyDescent="0.25">
      <c r="A596" t="s">
        <v>1465</v>
      </c>
      <c r="B596" t="s">
        <v>1505</v>
      </c>
      <c r="C596" t="s">
        <v>1474</v>
      </c>
      <c r="E596" t="str">
        <f t="shared" ref="E596" si="681">_xlfn.CONCAT("EvoFretFluvCat",RIGHT(B596,2),"EmportMoy")</f>
        <v>EvoFretFluvCat 6EmportMoy</v>
      </c>
      <c r="F596" t="s">
        <v>17</v>
      </c>
      <c r="G596" s="5" cm="1">
        <f t="array" ref="G596">IF((INDEX('Remplissage - Sit. Init.'!$C$473:$I$1088,MATCH((_xlfn.CONCAT("Catégorie "&amp;RIGHT(B596,1)))&amp;('Remplissage - Sit. Init.'!$D$483),('Remplissage - Sit. Init.'!$C$473:$C$1088)&amp;('Remplissage - Sit. Init.'!$D$473:$D$1088),0),7))&gt;0,1,0)</f>
        <v>0</v>
      </c>
      <c r="H596" s="8"/>
      <c r="I596" s="33"/>
      <c r="J596" t="s">
        <v>70</v>
      </c>
      <c r="L596" s="114" t="s">
        <v>1480</v>
      </c>
    </row>
    <row r="597" spans="1:12" x14ac:dyDescent="0.25">
      <c r="A597" t="s">
        <v>1465</v>
      </c>
      <c r="B597" t="s">
        <v>1506</v>
      </c>
      <c r="C597" t="s">
        <v>1475</v>
      </c>
      <c r="E597" t="str">
        <f t="shared" ref="E597" si="682">_xlfn.CONCAT("EvoFretFluvCat",RIGHT(B597,2),"DistAn")</f>
        <v>EvoFretFluvCat 6DistAn</v>
      </c>
      <c r="F597" t="s">
        <v>17</v>
      </c>
      <c r="G597" s="5" cm="1">
        <f t="array" ref="G597">IF((INDEX('Remplissage - Sit. Init.'!$C$473:$I$1088,MATCH((_xlfn.CONCAT("Catégorie "&amp;RIGHT(B597,1)))&amp;('Remplissage - Sit. Init.'!$D$483),('Remplissage - Sit. Init.'!$C$473:$C$1088)&amp;('Remplissage - Sit. Init.'!$D$473:$D$1088),0),7))&gt;0,1,0)</f>
        <v>0</v>
      </c>
      <c r="I597" s="33"/>
      <c r="J597" t="s">
        <v>70</v>
      </c>
      <c r="L597" s="114" t="s">
        <v>1479</v>
      </c>
    </row>
    <row r="598" spans="1:12" x14ac:dyDescent="0.25">
      <c r="A598" t="s">
        <v>1465</v>
      </c>
      <c r="B598" t="s">
        <v>1507</v>
      </c>
      <c r="C598" t="s">
        <v>1476</v>
      </c>
      <c r="E598" t="str">
        <f t="shared" ref="E598" si="683">_xlfn.CONCAT("EvoFretFluvCat",RIGHT(B598,2),"TauxChargeMoy")</f>
        <v>EvoFretFluvCat 6TauxChargeMoy</v>
      </c>
      <c r="F598" t="s">
        <v>17</v>
      </c>
      <c r="G598" s="5" cm="1">
        <f t="array" ref="G598">IF((INDEX('Remplissage - Sit. Init.'!$C$473:$I$1088,MATCH((_xlfn.CONCAT("Catégorie "&amp;RIGHT(B598,1)))&amp;('Remplissage - Sit. Init.'!$D$483),('Remplissage - Sit. Init.'!$C$473:$C$1088)&amp;('Remplissage - Sit. Init.'!$D$473:$D$1088),0),7))&gt;0,1,0)</f>
        <v>0</v>
      </c>
      <c r="I598" s="33"/>
      <c r="J598" t="s">
        <v>70</v>
      </c>
      <c r="L598" s="114" t="s">
        <v>1481</v>
      </c>
    </row>
    <row r="599" spans="1:12" x14ac:dyDescent="0.25">
      <c r="A599" t="s">
        <v>1465</v>
      </c>
      <c r="B599" t="s">
        <v>1503</v>
      </c>
      <c r="C599" s="114" t="s">
        <v>1477</v>
      </c>
      <c r="E599" t="str">
        <f t="shared" ref="E599" si="684">_xlfn.CONCAT("EvoFretFluvCat",RIGHT(B599,2),"NbBarges")</f>
        <v>EvoFretFluvCat 6NbBarges</v>
      </c>
      <c r="F599" t="s">
        <v>17</v>
      </c>
      <c r="G599" s="5" cm="1">
        <f t="array" ref="G599">IF((INDEX('Remplissage - Sit. Init.'!$C$473:$I$1088,MATCH((_xlfn.CONCAT("Catégorie "&amp;RIGHT(B599,1)))&amp;('Remplissage - Sit. Init.'!$D$483),('Remplissage - Sit. Init.'!$C$473:$C$1088)&amp;('Remplissage - Sit. Init.'!$D$473:$D$1088),0),7))&gt;0,1,0)</f>
        <v>0</v>
      </c>
      <c r="I599" s="33"/>
      <c r="J599" t="s">
        <v>70</v>
      </c>
      <c r="L599" s="114" t="s">
        <v>1482</v>
      </c>
    </row>
    <row r="600" spans="1:12" x14ac:dyDescent="0.25">
      <c r="A600" t="s">
        <v>1465</v>
      </c>
      <c r="B600" t="s">
        <v>1264</v>
      </c>
      <c r="C600" t="str">
        <f t="shared" ref="C600" ca="1" si="685">_xlfn.CONCAT("Pour l'évolution de l'activité associée à la catégorie de barges suivante, catégorie ",INDIRECT("'Parcs types'!C"&amp;D600),", préférez-vous renseigner : ")</f>
        <v xml:space="preserve">Pour l'évolution de l'activité associée à la catégorie de barges suivante, catégorie Automoteurs &lt; 400 tonnes H2 , ICE, préférez-vous renseigner : </v>
      </c>
      <c r="D600">
        <v>71</v>
      </c>
      <c r="E600" t="str">
        <f t="shared" ref="E600" si="686">_xlfn.CONCAT("EvoFretFluvCat",RIGHT(B600,2),"Request")</f>
        <v>EvoFretFluvCat 7Request</v>
      </c>
      <c r="F600" s="32" t="s">
        <v>20</v>
      </c>
      <c r="G600" s="5" cm="1">
        <f t="array" ref="G600">IF((INDEX('Remplissage - Sit. Init.'!$C$473:$I$1088,MATCH((_xlfn.CONCAT("Catégorie "&amp;RIGHT(B600,1)))&amp;('Remplissage - Sit. Init.'!$D$483),('Remplissage - Sit. Init.'!$C$473:$C$1088)&amp;('Remplissage - Sit. Init.'!$D$473:$D$1088),0),7))&gt;0,1,0)</f>
        <v>0</v>
      </c>
      <c r="I600" s="33" t="s">
        <v>1466</v>
      </c>
      <c r="K600" s="8"/>
    </row>
    <row r="601" spans="1:12" x14ac:dyDescent="0.25">
      <c r="A601" t="s">
        <v>1465</v>
      </c>
      <c r="B601" t="s">
        <v>1508</v>
      </c>
      <c r="C601" t="s">
        <v>1472</v>
      </c>
      <c r="E601" t="str">
        <f t="shared" ref="E601" si="687">_xlfn.CONCAT("EvoFretFluvCat",RIGHT(B601,2),"NbTraj")</f>
        <v>EvoFretFluvCat 7NbTraj</v>
      </c>
      <c r="F601" t="s">
        <v>17</v>
      </c>
      <c r="G601" s="5" cm="1">
        <f t="array" ref="G601">IF((INDEX('Remplissage - Sit. Init.'!$C$473:$I$1088,MATCH((_xlfn.CONCAT("Catégorie "&amp;RIGHT(B601,1)))&amp;('Remplissage - Sit. Init.'!$D$483),('Remplissage - Sit. Init.'!$C$473:$C$1088)&amp;('Remplissage - Sit. Init.'!$D$473:$D$1088),0),7))&gt;0,1,0)</f>
        <v>0</v>
      </c>
      <c r="H601" s="8"/>
      <c r="I601" s="33"/>
      <c r="J601" t="s">
        <v>70</v>
      </c>
      <c r="L601" s="114" t="s">
        <v>1478</v>
      </c>
    </row>
    <row r="602" spans="1:12" x14ac:dyDescent="0.25">
      <c r="A602" t="s">
        <v>1465</v>
      </c>
      <c r="B602" t="s">
        <v>1509</v>
      </c>
      <c r="C602" t="s">
        <v>1473</v>
      </c>
      <c r="E602" t="str">
        <f t="shared" ref="E602" si="688">_xlfn.CONCAT("EvoFretFluvCat",RIGHT(B602,2),"DistMoy")</f>
        <v>EvoFretFluvCat 7DistMoy</v>
      </c>
      <c r="F602" t="s">
        <v>17</v>
      </c>
      <c r="G602" s="5" cm="1">
        <f t="array" ref="G602">IF((INDEX('Remplissage - Sit. Init.'!$C$473:$I$1088,MATCH((_xlfn.CONCAT("Catégorie "&amp;RIGHT(B602,1)))&amp;('Remplissage - Sit. Init.'!$D$483),('Remplissage - Sit. Init.'!$C$473:$C$1088)&amp;('Remplissage - Sit. Init.'!$D$473:$D$1088),0),7))&gt;0,1,0)</f>
        <v>0</v>
      </c>
      <c r="H602" s="8"/>
      <c r="I602" s="33"/>
      <c r="J602" t="s">
        <v>70</v>
      </c>
      <c r="L602" s="114" t="s">
        <v>1479</v>
      </c>
    </row>
    <row r="603" spans="1:12" x14ac:dyDescent="0.25">
      <c r="A603" t="s">
        <v>1465</v>
      </c>
      <c r="B603" t="s">
        <v>1510</v>
      </c>
      <c r="C603" t="s">
        <v>1474</v>
      </c>
      <c r="E603" t="str">
        <f t="shared" ref="E603" si="689">_xlfn.CONCAT("EvoFretFluvCat",RIGHT(B603,2),"EmportMoy")</f>
        <v>EvoFretFluvCat 7EmportMoy</v>
      </c>
      <c r="F603" t="s">
        <v>17</v>
      </c>
      <c r="G603" s="5" cm="1">
        <f t="array" ref="G603">IF((INDEX('Remplissage - Sit. Init.'!$C$473:$I$1088,MATCH((_xlfn.CONCAT("Catégorie "&amp;RIGHT(B603,1)))&amp;('Remplissage - Sit. Init.'!$D$483),('Remplissage - Sit. Init.'!$C$473:$C$1088)&amp;('Remplissage - Sit. Init.'!$D$473:$D$1088),0),7))&gt;0,1,0)</f>
        <v>0</v>
      </c>
      <c r="H603" s="8"/>
      <c r="I603" s="33"/>
      <c r="J603" t="s">
        <v>70</v>
      </c>
      <c r="L603" s="114" t="s">
        <v>1480</v>
      </c>
    </row>
    <row r="604" spans="1:12" x14ac:dyDescent="0.25">
      <c r="A604" t="s">
        <v>1465</v>
      </c>
      <c r="B604" t="s">
        <v>1511</v>
      </c>
      <c r="C604" t="s">
        <v>1475</v>
      </c>
      <c r="E604" t="str">
        <f t="shared" ref="E604" si="690">_xlfn.CONCAT("EvoFretFluvCat",RIGHT(B604,2),"DistAn")</f>
        <v>EvoFretFluvCat 7DistAn</v>
      </c>
      <c r="F604" t="s">
        <v>17</v>
      </c>
      <c r="G604" s="5" cm="1">
        <f t="array" ref="G604">IF((INDEX('Remplissage - Sit. Init.'!$C$473:$I$1088,MATCH((_xlfn.CONCAT("Catégorie "&amp;RIGHT(B604,1)))&amp;('Remplissage - Sit. Init.'!$D$483),('Remplissage - Sit. Init.'!$C$473:$C$1088)&amp;('Remplissage - Sit. Init.'!$D$473:$D$1088),0),7))&gt;0,1,0)</f>
        <v>0</v>
      </c>
      <c r="I604" s="33"/>
      <c r="J604" t="s">
        <v>70</v>
      </c>
      <c r="L604" s="114" t="s">
        <v>1479</v>
      </c>
    </row>
    <row r="605" spans="1:12" x14ac:dyDescent="0.25">
      <c r="A605" t="s">
        <v>1465</v>
      </c>
      <c r="B605" t="s">
        <v>1512</v>
      </c>
      <c r="C605" t="s">
        <v>1476</v>
      </c>
      <c r="E605" t="str">
        <f t="shared" ref="E605" si="691">_xlfn.CONCAT("EvoFretFluvCat",RIGHT(B605,2),"TauxChargeMoy")</f>
        <v>EvoFretFluvCat 7TauxChargeMoy</v>
      </c>
      <c r="F605" t="s">
        <v>17</v>
      </c>
      <c r="G605" s="5" cm="1">
        <f t="array" ref="G605">IF((INDEX('Remplissage - Sit. Init.'!$C$473:$I$1088,MATCH((_xlfn.CONCAT("Catégorie "&amp;RIGHT(B605,1)))&amp;('Remplissage - Sit. Init.'!$D$483),('Remplissage - Sit. Init.'!$C$473:$C$1088)&amp;('Remplissage - Sit. Init.'!$D$473:$D$1088),0),7))&gt;0,1,0)</f>
        <v>0</v>
      </c>
      <c r="I605" s="33"/>
      <c r="J605" t="s">
        <v>70</v>
      </c>
      <c r="L605" s="114" t="s">
        <v>1481</v>
      </c>
    </row>
    <row r="606" spans="1:12" x14ac:dyDescent="0.25">
      <c r="A606" t="s">
        <v>1465</v>
      </c>
      <c r="B606" t="s">
        <v>1508</v>
      </c>
      <c r="C606" s="114" t="s">
        <v>1477</v>
      </c>
      <c r="E606" t="str">
        <f t="shared" ref="E606" si="692">_xlfn.CONCAT("EvoFretFluvCat",RIGHT(B606,2),"NbBarges")</f>
        <v>EvoFretFluvCat 7NbBarges</v>
      </c>
      <c r="F606" t="s">
        <v>17</v>
      </c>
      <c r="G606" s="5" cm="1">
        <f t="array" ref="G606">IF((INDEX('Remplissage - Sit. Init.'!$C$473:$I$1088,MATCH((_xlfn.CONCAT("Catégorie "&amp;RIGHT(B606,1)))&amp;('Remplissage - Sit. Init.'!$D$483),('Remplissage - Sit. Init.'!$C$473:$C$1088)&amp;('Remplissage - Sit. Init.'!$D$473:$D$1088),0),7))&gt;0,1,0)</f>
        <v>0</v>
      </c>
      <c r="I606" s="33"/>
      <c r="J606" t="s">
        <v>70</v>
      </c>
      <c r="L606" s="114" t="s">
        <v>1482</v>
      </c>
    </row>
    <row r="607" spans="1:12" x14ac:dyDescent="0.25">
      <c r="A607" t="s">
        <v>1465</v>
      </c>
      <c r="B607" t="s">
        <v>1266</v>
      </c>
      <c r="C607" t="str">
        <f t="shared" ref="C607" ca="1" si="693">_xlfn.CONCAT("Pour l'évolution de l'activité associée à la catégorie de barges suivante, catégorie ",INDIRECT("'Parcs types'!C"&amp;D607),", préférez-vous renseigner : ")</f>
        <v xml:space="preserve">Pour l'évolution de l'activité associée à la catégorie de barges suivante, catégorie Automoteurs 400-649 tonnes CCNR 2 ou inférieur, diesel, préférez-vous renseigner : </v>
      </c>
      <c r="D607">
        <v>72</v>
      </c>
      <c r="E607" t="str">
        <f t="shared" ref="E607" si="694">_xlfn.CONCAT("EvoFretFluvCat",RIGHT(B607,2),"Request")</f>
        <v>EvoFretFluvCat 8Request</v>
      </c>
      <c r="F607" s="32" t="s">
        <v>20</v>
      </c>
      <c r="G607" s="5" cm="1">
        <f t="array" ref="G607">IF((INDEX('Remplissage - Sit. Init.'!$C$473:$I$1088,MATCH((_xlfn.CONCAT("Catégorie "&amp;RIGHT(B607,1)))&amp;('Remplissage - Sit. Init.'!$D$483),('Remplissage - Sit. Init.'!$C$473:$C$1088)&amp;('Remplissage - Sit. Init.'!$D$473:$D$1088),0),7))&gt;0,1,0)</f>
        <v>0</v>
      </c>
      <c r="I607" s="33" t="s">
        <v>1466</v>
      </c>
      <c r="K607" s="8"/>
    </row>
    <row r="608" spans="1:12" x14ac:dyDescent="0.25">
      <c r="A608" t="s">
        <v>1465</v>
      </c>
      <c r="B608" t="s">
        <v>1513</v>
      </c>
      <c r="C608" t="s">
        <v>1472</v>
      </c>
      <c r="E608" t="str">
        <f t="shared" ref="E608" si="695">_xlfn.CONCAT("EvoFretFluvCat",RIGHT(B608,2),"NbTraj")</f>
        <v>EvoFretFluvCat 8NbTraj</v>
      </c>
      <c r="F608" t="s">
        <v>17</v>
      </c>
      <c r="G608" s="5" cm="1">
        <f t="array" ref="G608">IF((INDEX('Remplissage - Sit. Init.'!$C$473:$I$1088,MATCH((_xlfn.CONCAT("Catégorie "&amp;RIGHT(B608,1)))&amp;('Remplissage - Sit. Init.'!$D$483),('Remplissage - Sit. Init.'!$C$473:$C$1088)&amp;('Remplissage - Sit. Init.'!$D$473:$D$1088),0),7))&gt;0,1,0)</f>
        <v>0</v>
      </c>
      <c r="H608" s="8"/>
      <c r="I608" s="33"/>
      <c r="J608" t="s">
        <v>70</v>
      </c>
      <c r="L608" s="114" t="s">
        <v>1478</v>
      </c>
    </row>
    <row r="609" spans="1:12" x14ac:dyDescent="0.25">
      <c r="A609" t="s">
        <v>1465</v>
      </c>
      <c r="B609" t="s">
        <v>1514</v>
      </c>
      <c r="C609" t="s">
        <v>1473</v>
      </c>
      <c r="E609" t="str">
        <f t="shared" ref="E609" si="696">_xlfn.CONCAT("EvoFretFluvCat",RIGHT(B609,2),"DistMoy")</f>
        <v>EvoFretFluvCat 8DistMoy</v>
      </c>
      <c r="F609" t="s">
        <v>17</v>
      </c>
      <c r="G609" s="5" cm="1">
        <f t="array" ref="G609">IF((INDEX('Remplissage - Sit. Init.'!$C$473:$I$1088,MATCH((_xlfn.CONCAT("Catégorie "&amp;RIGHT(B609,1)))&amp;('Remplissage - Sit. Init.'!$D$483),('Remplissage - Sit. Init.'!$C$473:$C$1088)&amp;('Remplissage - Sit. Init.'!$D$473:$D$1088),0),7))&gt;0,1,0)</f>
        <v>0</v>
      </c>
      <c r="H609" s="8"/>
      <c r="I609" s="33"/>
      <c r="J609" t="s">
        <v>70</v>
      </c>
      <c r="L609" s="114" t="s">
        <v>1479</v>
      </c>
    </row>
    <row r="610" spans="1:12" x14ac:dyDescent="0.25">
      <c r="A610" t="s">
        <v>1465</v>
      </c>
      <c r="B610" t="s">
        <v>1515</v>
      </c>
      <c r="C610" t="s">
        <v>1474</v>
      </c>
      <c r="E610" t="str">
        <f t="shared" ref="E610" si="697">_xlfn.CONCAT("EvoFretFluvCat",RIGHT(B610,2),"EmportMoy")</f>
        <v>EvoFretFluvCat 8EmportMoy</v>
      </c>
      <c r="F610" t="s">
        <v>17</v>
      </c>
      <c r="G610" s="5" cm="1">
        <f t="array" ref="G610">IF((INDEX('Remplissage - Sit. Init.'!$C$473:$I$1088,MATCH((_xlfn.CONCAT("Catégorie "&amp;RIGHT(B610,1)))&amp;('Remplissage - Sit. Init.'!$D$483),('Remplissage - Sit. Init.'!$C$473:$C$1088)&amp;('Remplissage - Sit. Init.'!$D$473:$D$1088),0),7))&gt;0,1,0)</f>
        <v>0</v>
      </c>
      <c r="H610" s="8"/>
      <c r="I610" s="33"/>
      <c r="J610" t="s">
        <v>70</v>
      </c>
      <c r="L610" s="114" t="s">
        <v>1480</v>
      </c>
    </row>
    <row r="611" spans="1:12" x14ac:dyDescent="0.25">
      <c r="A611" t="s">
        <v>1465</v>
      </c>
      <c r="B611" t="s">
        <v>1516</v>
      </c>
      <c r="C611" t="s">
        <v>1475</v>
      </c>
      <c r="E611" t="str">
        <f t="shared" ref="E611" si="698">_xlfn.CONCAT("EvoFretFluvCat",RIGHT(B611,2),"DistAn")</f>
        <v>EvoFretFluvCat 8DistAn</v>
      </c>
      <c r="F611" t="s">
        <v>17</v>
      </c>
      <c r="G611" s="5" cm="1">
        <f t="array" ref="G611">IF((INDEX('Remplissage - Sit. Init.'!$C$473:$I$1088,MATCH((_xlfn.CONCAT("Catégorie "&amp;RIGHT(B611,1)))&amp;('Remplissage - Sit. Init.'!$D$483),('Remplissage - Sit. Init.'!$C$473:$C$1088)&amp;('Remplissage - Sit. Init.'!$D$473:$D$1088),0),7))&gt;0,1,0)</f>
        <v>0</v>
      </c>
      <c r="I611" s="33"/>
      <c r="J611" t="s">
        <v>70</v>
      </c>
      <c r="L611" s="114" t="s">
        <v>1479</v>
      </c>
    </row>
    <row r="612" spans="1:12" x14ac:dyDescent="0.25">
      <c r="A612" t="s">
        <v>1465</v>
      </c>
      <c r="B612" t="s">
        <v>1517</v>
      </c>
      <c r="C612" t="s">
        <v>1476</v>
      </c>
      <c r="E612" t="str">
        <f t="shared" ref="E612" si="699">_xlfn.CONCAT("EvoFretFluvCat",RIGHT(B612,2),"TauxChargeMoy")</f>
        <v>EvoFretFluvCat 8TauxChargeMoy</v>
      </c>
      <c r="F612" t="s">
        <v>17</v>
      </c>
      <c r="G612" s="5" cm="1">
        <f t="array" ref="G612">IF((INDEX('Remplissage - Sit. Init.'!$C$473:$I$1088,MATCH((_xlfn.CONCAT("Catégorie "&amp;RIGHT(B612,1)))&amp;('Remplissage - Sit. Init.'!$D$483),('Remplissage - Sit. Init.'!$C$473:$C$1088)&amp;('Remplissage - Sit. Init.'!$D$473:$D$1088),0),7))&gt;0,1,0)</f>
        <v>0</v>
      </c>
      <c r="I612" s="33"/>
      <c r="J612" t="s">
        <v>70</v>
      </c>
      <c r="L612" s="114" t="s">
        <v>1481</v>
      </c>
    </row>
    <row r="613" spans="1:12" x14ac:dyDescent="0.25">
      <c r="A613" t="s">
        <v>1465</v>
      </c>
      <c r="B613" t="s">
        <v>1513</v>
      </c>
      <c r="C613" s="114" t="s">
        <v>1477</v>
      </c>
      <c r="E613" t="str">
        <f t="shared" ref="E613" si="700">_xlfn.CONCAT("EvoFretFluvCat",RIGHT(B613,2),"NbBarges")</f>
        <v>EvoFretFluvCat 8NbBarges</v>
      </c>
      <c r="F613" t="s">
        <v>17</v>
      </c>
      <c r="G613" s="5" cm="1">
        <f t="array" ref="G613">IF((INDEX('Remplissage - Sit. Init.'!$C$473:$I$1088,MATCH((_xlfn.CONCAT("Catégorie "&amp;RIGHT(B613,1)))&amp;('Remplissage - Sit. Init.'!$D$483),('Remplissage - Sit. Init.'!$C$473:$C$1088)&amp;('Remplissage - Sit. Init.'!$D$473:$D$1088),0),7))&gt;0,1,0)</f>
        <v>0</v>
      </c>
      <c r="I613" s="33"/>
      <c r="J613" t="s">
        <v>70</v>
      </c>
      <c r="L613" s="114" t="s">
        <v>1482</v>
      </c>
    </row>
    <row r="614" spans="1:12" x14ac:dyDescent="0.25">
      <c r="A614" t="s">
        <v>1465</v>
      </c>
      <c r="B614" t="s">
        <v>1268</v>
      </c>
      <c r="C614" t="str">
        <f t="shared" ref="C614" ca="1" si="701">_xlfn.CONCAT("Pour l'évolution de l'activité associée à la catégorie de barges suivante, catégorie ",INDIRECT("'Parcs types'!C"&amp;D614),", préférez-vous renseigner : ")</f>
        <v xml:space="preserve">Pour l'évolution de l'activité associée à la catégorie de barges suivante, catégorie Automoteurs 400-649 tonnes CCNR 2 + SCR, diesel, préférez-vous renseigner : </v>
      </c>
      <c r="D614">
        <v>73</v>
      </c>
      <c r="E614" t="str">
        <f t="shared" ref="E614" si="702">_xlfn.CONCAT("EvoFretFluvCat",RIGHT(B614,2),"Request")</f>
        <v>EvoFretFluvCat 9Request</v>
      </c>
      <c r="F614" s="32" t="s">
        <v>20</v>
      </c>
      <c r="G614" s="5" cm="1">
        <f t="array" ref="G614">IF((INDEX('Remplissage - Sit. Init.'!$C$473:$I$1088,MATCH((_xlfn.CONCAT("Catégorie "&amp;RIGHT(B614,1)))&amp;('Remplissage - Sit. Init.'!$D$483),('Remplissage - Sit. Init.'!$C$473:$C$1088)&amp;('Remplissage - Sit. Init.'!$D$473:$D$1088),0),7))&gt;0,1,0)</f>
        <v>0</v>
      </c>
      <c r="I614" s="33" t="s">
        <v>1466</v>
      </c>
      <c r="K614" s="8"/>
    </row>
    <row r="615" spans="1:12" x14ac:dyDescent="0.25">
      <c r="A615" t="s">
        <v>1465</v>
      </c>
      <c r="B615" t="s">
        <v>1518</v>
      </c>
      <c r="C615" t="s">
        <v>1472</v>
      </c>
      <c r="E615" t="str">
        <f t="shared" ref="E615" si="703">_xlfn.CONCAT("EvoFretFluvCat",RIGHT(B615,2),"NbTraj")</f>
        <v>EvoFretFluvCat 9NbTraj</v>
      </c>
      <c r="F615" t="s">
        <v>17</v>
      </c>
      <c r="G615" s="5" cm="1">
        <f t="array" ref="G615">IF((INDEX('Remplissage - Sit. Init.'!$C$473:$I$1088,MATCH((_xlfn.CONCAT("Catégorie "&amp;RIGHT(B615,1)))&amp;('Remplissage - Sit. Init.'!$D$483),('Remplissage - Sit. Init.'!$C$473:$C$1088)&amp;('Remplissage - Sit. Init.'!$D$473:$D$1088),0),7))&gt;0,1,0)</f>
        <v>0</v>
      </c>
      <c r="H615" s="8"/>
      <c r="I615" s="33"/>
      <c r="J615" t="s">
        <v>70</v>
      </c>
      <c r="L615" s="114" t="s">
        <v>1478</v>
      </c>
    </row>
    <row r="616" spans="1:12" x14ac:dyDescent="0.25">
      <c r="A616" t="s">
        <v>1465</v>
      </c>
      <c r="B616" t="s">
        <v>1519</v>
      </c>
      <c r="C616" t="s">
        <v>1473</v>
      </c>
      <c r="E616" t="str">
        <f t="shared" ref="E616" si="704">_xlfn.CONCAT("EvoFretFluvCat",RIGHT(B616,2),"DistMoy")</f>
        <v>EvoFretFluvCat 9DistMoy</v>
      </c>
      <c r="F616" t="s">
        <v>17</v>
      </c>
      <c r="G616" s="5" cm="1">
        <f t="array" ref="G616">IF((INDEX('Remplissage - Sit. Init.'!$C$473:$I$1088,MATCH((_xlfn.CONCAT("Catégorie "&amp;RIGHT(B616,1)))&amp;('Remplissage - Sit. Init.'!$D$483),('Remplissage - Sit. Init.'!$C$473:$C$1088)&amp;('Remplissage - Sit. Init.'!$D$473:$D$1088),0),7))&gt;0,1,0)</f>
        <v>0</v>
      </c>
      <c r="H616" s="8"/>
      <c r="I616" s="33"/>
      <c r="J616" t="s">
        <v>70</v>
      </c>
      <c r="L616" s="114" t="s">
        <v>1479</v>
      </c>
    </row>
    <row r="617" spans="1:12" x14ac:dyDescent="0.25">
      <c r="A617" t="s">
        <v>1465</v>
      </c>
      <c r="B617" t="s">
        <v>1520</v>
      </c>
      <c r="C617" t="s">
        <v>1474</v>
      </c>
      <c r="E617" t="str">
        <f t="shared" ref="E617" si="705">_xlfn.CONCAT("EvoFretFluvCat",RIGHT(B617,2),"EmportMoy")</f>
        <v>EvoFretFluvCat 9EmportMoy</v>
      </c>
      <c r="F617" t="s">
        <v>17</v>
      </c>
      <c r="G617" s="5" cm="1">
        <f t="array" ref="G617">IF((INDEX('Remplissage - Sit. Init.'!$C$473:$I$1088,MATCH((_xlfn.CONCAT("Catégorie "&amp;RIGHT(B617,1)))&amp;('Remplissage - Sit. Init.'!$D$483),('Remplissage - Sit. Init.'!$C$473:$C$1088)&amp;('Remplissage - Sit. Init.'!$D$473:$D$1088),0),7))&gt;0,1,0)</f>
        <v>0</v>
      </c>
      <c r="H617" s="8"/>
      <c r="I617" s="33"/>
      <c r="J617" t="s">
        <v>70</v>
      </c>
      <c r="L617" s="114" t="s">
        <v>1480</v>
      </c>
    </row>
    <row r="618" spans="1:12" x14ac:dyDescent="0.25">
      <c r="A618" t="s">
        <v>1465</v>
      </c>
      <c r="B618" t="s">
        <v>1521</v>
      </c>
      <c r="C618" t="s">
        <v>1475</v>
      </c>
      <c r="E618" t="str">
        <f t="shared" ref="E618" si="706">_xlfn.CONCAT("EvoFretFluvCat",RIGHT(B618,2),"DistAn")</f>
        <v>EvoFretFluvCat 9DistAn</v>
      </c>
      <c r="F618" t="s">
        <v>17</v>
      </c>
      <c r="G618" s="5" cm="1">
        <f t="array" ref="G618">IF((INDEX('Remplissage - Sit. Init.'!$C$473:$I$1088,MATCH((_xlfn.CONCAT("Catégorie "&amp;RIGHT(B618,1)))&amp;('Remplissage - Sit. Init.'!$D$483),('Remplissage - Sit. Init.'!$C$473:$C$1088)&amp;('Remplissage - Sit. Init.'!$D$473:$D$1088),0),7))&gt;0,1,0)</f>
        <v>0</v>
      </c>
      <c r="I618" s="33"/>
      <c r="J618" t="s">
        <v>70</v>
      </c>
      <c r="L618" s="114" t="s">
        <v>1479</v>
      </c>
    </row>
    <row r="619" spans="1:12" x14ac:dyDescent="0.25">
      <c r="A619" t="s">
        <v>1465</v>
      </c>
      <c r="B619" t="s">
        <v>1522</v>
      </c>
      <c r="C619" t="s">
        <v>1476</v>
      </c>
      <c r="E619" t="str">
        <f t="shared" ref="E619" si="707">_xlfn.CONCAT("EvoFretFluvCat",RIGHT(B619,2),"TauxChargeMoy")</f>
        <v>EvoFretFluvCat 9TauxChargeMoy</v>
      </c>
      <c r="F619" t="s">
        <v>17</v>
      </c>
      <c r="G619" s="5" cm="1">
        <f t="array" ref="G619">IF((INDEX('Remplissage - Sit. Init.'!$C$473:$I$1088,MATCH((_xlfn.CONCAT("Catégorie "&amp;RIGHT(B619,1)))&amp;('Remplissage - Sit. Init.'!$D$483),('Remplissage - Sit. Init.'!$C$473:$C$1088)&amp;('Remplissage - Sit. Init.'!$D$473:$D$1088),0),7))&gt;0,1,0)</f>
        <v>0</v>
      </c>
      <c r="I619" s="33"/>
      <c r="J619" t="s">
        <v>70</v>
      </c>
      <c r="L619" s="114" t="s">
        <v>1481</v>
      </c>
    </row>
    <row r="620" spans="1:12" x14ac:dyDescent="0.25">
      <c r="A620" t="s">
        <v>1465</v>
      </c>
      <c r="B620" t="s">
        <v>1518</v>
      </c>
      <c r="C620" s="114" t="s">
        <v>1477</v>
      </c>
      <c r="E620" t="str">
        <f t="shared" ref="E620" si="708">_xlfn.CONCAT("EvoFretFluvCat",RIGHT(B620,2),"NbBarges")</f>
        <v>EvoFretFluvCat 9NbBarges</v>
      </c>
      <c r="F620" t="s">
        <v>17</v>
      </c>
      <c r="G620" s="5" cm="1">
        <f t="array" ref="G620">IF((INDEX('Remplissage - Sit. Init.'!$C$473:$I$1088,MATCH((_xlfn.CONCAT("Catégorie "&amp;RIGHT(B620,1)))&amp;('Remplissage - Sit. Init.'!$D$483),('Remplissage - Sit. Init.'!$C$473:$C$1088)&amp;('Remplissage - Sit. Init.'!$D$473:$D$1088),0),7))&gt;0,1,0)</f>
        <v>0</v>
      </c>
      <c r="I620" s="33"/>
      <c r="J620" t="s">
        <v>70</v>
      </c>
      <c r="L620" s="114" t="s">
        <v>1482</v>
      </c>
    </row>
    <row r="621" spans="1:12" x14ac:dyDescent="0.25">
      <c r="A621" t="s">
        <v>1465</v>
      </c>
      <c r="B621" t="s">
        <v>1270</v>
      </c>
      <c r="C621" t="str">
        <f t="shared" ref="C621" ca="1" si="709">_xlfn.CONCAT("Pour l'évolution de l'activité associée à la catégorie de barges suivante, catégorie ",INDIRECT("'Parcs types'!C"&amp;D621),", préférez-vous renseigner : ")</f>
        <v xml:space="preserve">Pour l'évolution de l'activité associée à la catégorie de barges suivante, catégorie Automoteurs 400-649 tonnes Phase V, diesel, préférez-vous renseigner : </v>
      </c>
      <c r="D621">
        <v>74</v>
      </c>
      <c r="E621" t="str">
        <f t="shared" ref="E621" si="710">_xlfn.CONCAT("EvoFretFluvCat",RIGHT(B621,2),"Request")</f>
        <v>EvoFretFluvCat10Request</v>
      </c>
      <c r="F621" s="32" t="s">
        <v>20</v>
      </c>
      <c r="G621" s="5" cm="1">
        <f t="array" ref="G621">IF((INDEX('Remplissage - Sit. Init.'!$C$473:$I$1088,MATCH((_xlfn.CONCAT("Catégorie "&amp;RIGHT(B621,2)))&amp;('Remplissage - Sit. Init.'!$D$483),('Remplissage - Sit. Init.'!$C$473:$C$1088)&amp;('Remplissage - Sit. Init.'!$D$473:$D$1088),0),7))&gt;0,1,0)</f>
        <v>0</v>
      </c>
      <c r="I621" s="33" t="s">
        <v>1466</v>
      </c>
      <c r="K621" s="8"/>
    </row>
    <row r="622" spans="1:12" x14ac:dyDescent="0.25">
      <c r="A622" t="s">
        <v>1465</v>
      </c>
      <c r="B622" t="s">
        <v>1523</v>
      </c>
      <c r="C622" t="s">
        <v>1472</v>
      </c>
      <c r="E622" t="str">
        <f t="shared" ref="E622" si="711">_xlfn.CONCAT("EvoFretFluvCat",RIGHT(B622,2),"NbTraj")</f>
        <v>EvoFretFluvCat10NbTraj</v>
      </c>
      <c r="F622" t="s">
        <v>17</v>
      </c>
      <c r="G622" s="5" cm="1">
        <f t="array" ref="G622">IF((INDEX('Remplissage - Sit. Init.'!$C$473:$I$1088,MATCH((_xlfn.CONCAT("Catégorie "&amp;RIGHT(B622,2)))&amp;('Remplissage - Sit. Init.'!$D$483),('Remplissage - Sit. Init.'!$C$473:$C$1088)&amp;('Remplissage - Sit. Init.'!$D$473:$D$1088),0),7))&gt;0,1,0)</f>
        <v>0</v>
      </c>
      <c r="H622" s="8"/>
      <c r="I622" s="33"/>
      <c r="J622" t="s">
        <v>70</v>
      </c>
      <c r="L622" s="114" t="s">
        <v>1478</v>
      </c>
    </row>
    <row r="623" spans="1:12" x14ac:dyDescent="0.25">
      <c r="A623" t="s">
        <v>1465</v>
      </c>
      <c r="B623" t="s">
        <v>1524</v>
      </c>
      <c r="C623" t="s">
        <v>1473</v>
      </c>
      <c r="E623" t="str">
        <f t="shared" ref="E623" si="712">_xlfn.CONCAT("EvoFretFluvCat",RIGHT(B623,2),"DistMoy")</f>
        <v>EvoFretFluvCat10DistMoy</v>
      </c>
      <c r="F623" t="s">
        <v>17</v>
      </c>
      <c r="G623" s="5" cm="1">
        <f t="array" ref="G623">IF((INDEX('Remplissage - Sit. Init.'!$C$473:$I$1088,MATCH((_xlfn.CONCAT("Catégorie "&amp;RIGHT(B623,2)))&amp;('Remplissage - Sit. Init.'!$D$483),('Remplissage - Sit. Init.'!$C$473:$C$1088)&amp;('Remplissage - Sit. Init.'!$D$473:$D$1088),0),7))&gt;0,1,0)</f>
        <v>0</v>
      </c>
      <c r="H623" s="8"/>
      <c r="I623" s="33"/>
      <c r="J623" t="s">
        <v>70</v>
      </c>
      <c r="L623" s="114" t="s">
        <v>1479</v>
      </c>
    </row>
    <row r="624" spans="1:12" x14ac:dyDescent="0.25">
      <c r="A624" t="s">
        <v>1465</v>
      </c>
      <c r="B624" t="s">
        <v>1525</v>
      </c>
      <c r="C624" t="s">
        <v>1474</v>
      </c>
      <c r="E624" t="str">
        <f t="shared" ref="E624" si="713">_xlfn.CONCAT("EvoFretFluvCat",RIGHT(B624,2),"EmportMoy")</f>
        <v>EvoFretFluvCat10EmportMoy</v>
      </c>
      <c r="F624" t="s">
        <v>17</v>
      </c>
      <c r="G624" s="5" cm="1">
        <f t="array" ref="G624">IF((INDEX('Remplissage - Sit. Init.'!$C$473:$I$1088,MATCH((_xlfn.CONCAT("Catégorie "&amp;RIGHT(B624,2)))&amp;('Remplissage - Sit. Init.'!$D$483),('Remplissage - Sit. Init.'!$C$473:$C$1088)&amp;('Remplissage - Sit. Init.'!$D$473:$D$1088),0),7))&gt;0,1,0)</f>
        <v>0</v>
      </c>
      <c r="H624" s="8"/>
      <c r="I624" s="33"/>
      <c r="J624" t="s">
        <v>70</v>
      </c>
      <c r="L624" s="114" t="s">
        <v>1480</v>
      </c>
    </row>
    <row r="625" spans="1:12" x14ac:dyDescent="0.25">
      <c r="A625" t="s">
        <v>1465</v>
      </c>
      <c r="B625" t="s">
        <v>1526</v>
      </c>
      <c r="C625" t="s">
        <v>1475</v>
      </c>
      <c r="E625" t="str">
        <f t="shared" ref="E625" si="714">_xlfn.CONCAT("EvoFretFluvCat",RIGHT(B625,2),"DistAn")</f>
        <v>EvoFretFluvCat10DistAn</v>
      </c>
      <c r="F625" t="s">
        <v>17</v>
      </c>
      <c r="G625" s="5" cm="1">
        <f t="array" ref="G625">IF((INDEX('Remplissage - Sit. Init.'!$C$473:$I$1088,MATCH((_xlfn.CONCAT("Catégorie "&amp;RIGHT(B625,2)))&amp;('Remplissage - Sit. Init.'!$D$483),('Remplissage - Sit. Init.'!$C$473:$C$1088)&amp;('Remplissage - Sit. Init.'!$D$473:$D$1088),0),7))&gt;0,1,0)</f>
        <v>0</v>
      </c>
      <c r="I625" s="33"/>
      <c r="J625" t="s">
        <v>70</v>
      </c>
      <c r="L625" s="114" t="s">
        <v>1479</v>
      </c>
    </row>
    <row r="626" spans="1:12" x14ac:dyDescent="0.25">
      <c r="A626" t="s">
        <v>1465</v>
      </c>
      <c r="B626" t="s">
        <v>1527</v>
      </c>
      <c r="C626" t="s">
        <v>1476</v>
      </c>
      <c r="E626" t="str">
        <f t="shared" ref="E626" si="715">_xlfn.CONCAT("EvoFretFluvCat",RIGHT(B626,2),"TauxChargeMoy")</f>
        <v>EvoFretFluvCat10TauxChargeMoy</v>
      </c>
      <c r="F626" t="s">
        <v>17</v>
      </c>
      <c r="G626" s="5" cm="1">
        <f t="array" ref="G626">IF((INDEX('Remplissage - Sit. Init.'!$C$473:$I$1088,MATCH((_xlfn.CONCAT("Catégorie "&amp;RIGHT(B626,2)))&amp;('Remplissage - Sit. Init.'!$D$483),('Remplissage - Sit. Init.'!$C$473:$C$1088)&amp;('Remplissage - Sit. Init.'!$D$473:$D$1088),0),7))&gt;0,1,0)</f>
        <v>0</v>
      </c>
      <c r="I626" s="33"/>
      <c r="J626" t="s">
        <v>70</v>
      </c>
      <c r="L626" s="114" t="s">
        <v>1481</v>
      </c>
    </row>
    <row r="627" spans="1:12" x14ac:dyDescent="0.25">
      <c r="A627" t="s">
        <v>1465</v>
      </c>
      <c r="B627" t="s">
        <v>1523</v>
      </c>
      <c r="C627" s="114" t="s">
        <v>1477</v>
      </c>
      <c r="E627" t="str">
        <f t="shared" ref="E627" si="716">_xlfn.CONCAT("EvoFretFluvCat",RIGHT(B627,2),"NbBarges")</f>
        <v>EvoFretFluvCat10NbBarges</v>
      </c>
      <c r="F627" t="s">
        <v>17</v>
      </c>
      <c r="G627" s="5" cm="1">
        <f t="array" ref="G627">IF((INDEX('Remplissage - Sit. Init.'!$C$473:$I$1088,MATCH((_xlfn.CONCAT("Catégorie "&amp;RIGHT(B627,2)))&amp;('Remplissage - Sit. Init.'!$D$483),('Remplissage - Sit. Init.'!$C$473:$C$1088)&amp;('Remplissage - Sit. Init.'!$D$473:$D$1088),0),7))&gt;0,1,0)</f>
        <v>0</v>
      </c>
      <c r="I627" s="33"/>
      <c r="J627" t="s">
        <v>70</v>
      </c>
      <c r="L627" s="114" t="s">
        <v>1482</v>
      </c>
    </row>
    <row r="628" spans="1:12" x14ac:dyDescent="0.25">
      <c r="A628" t="s">
        <v>1465</v>
      </c>
      <c r="B628" t="s">
        <v>1272</v>
      </c>
      <c r="C628" t="str">
        <f t="shared" ref="C628" ca="1" si="717">_xlfn.CONCAT("Pour l'évolution de l'activité associée à la catégorie de barges suivante, catégorie ",INDIRECT("'Parcs types'!C"&amp;D628),", préférez-vous renseigner : ")</f>
        <v xml:space="preserve">Pour l'évolution de l'activité associée à la catégorie de barges suivante, catégorie Automoteurs 400-649 tonnes Phase V, HVO, préférez-vous renseigner : </v>
      </c>
      <c r="D628">
        <v>75</v>
      </c>
      <c r="E628" t="str">
        <f t="shared" ref="E628" si="718">_xlfn.CONCAT("EvoFretFluvCat",RIGHT(B628,2),"Request")</f>
        <v>EvoFretFluvCat11Request</v>
      </c>
      <c r="F628" s="32" t="s">
        <v>20</v>
      </c>
      <c r="G628" s="5" cm="1">
        <f t="array" ref="G628">IF((INDEX('Remplissage - Sit. Init.'!$C$473:$I$1088,MATCH((_xlfn.CONCAT("Catégorie "&amp;RIGHT(B628,2)))&amp;('Remplissage - Sit. Init.'!$D$483),('Remplissage - Sit. Init.'!$C$473:$C$1088)&amp;('Remplissage - Sit. Init.'!$D$473:$D$1088),0),7))&gt;0,1,0)</f>
        <v>0</v>
      </c>
      <c r="I628" s="33" t="s">
        <v>1466</v>
      </c>
      <c r="K628" s="8"/>
    </row>
    <row r="629" spans="1:12" x14ac:dyDescent="0.25">
      <c r="A629" t="s">
        <v>1465</v>
      </c>
      <c r="B629" t="s">
        <v>1528</v>
      </c>
      <c r="C629" t="s">
        <v>1472</v>
      </c>
      <c r="E629" t="str">
        <f t="shared" ref="E629" si="719">_xlfn.CONCAT("EvoFretFluvCat",RIGHT(B629,2),"NbTraj")</f>
        <v>EvoFretFluvCat11NbTraj</v>
      </c>
      <c r="F629" t="s">
        <v>17</v>
      </c>
      <c r="G629" s="5" cm="1">
        <f t="array" ref="G629">IF((INDEX('Remplissage - Sit. Init.'!$C$473:$I$1088,MATCH((_xlfn.CONCAT("Catégorie "&amp;RIGHT(B629,2)))&amp;('Remplissage - Sit. Init.'!$D$483),('Remplissage - Sit. Init.'!$C$473:$C$1088)&amp;('Remplissage - Sit. Init.'!$D$473:$D$1088),0),7))&gt;0,1,0)</f>
        <v>0</v>
      </c>
      <c r="H629" s="8"/>
      <c r="I629" s="33"/>
      <c r="J629" t="s">
        <v>70</v>
      </c>
      <c r="L629" s="114" t="s">
        <v>1478</v>
      </c>
    </row>
    <row r="630" spans="1:12" x14ac:dyDescent="0.25">
      <c r="A630" t="s">
        <v>1465</v>
      </c>
      <c r="B630" t="s">
        <v>1529</v>
      </c>
      <c r="C630" t="s">
        <v>1473</v>
      </c>
      <c r="E630" t="str">
        <f t="shared" ref="E630" si="720">_xlfn.CONCAT("EvoFretFluvCat",RIGHT(B630,2),"DistMoy")</f>
        <v>EvoFretFluvCat11DistMoy</v>
      </c>
      <c r="F630" t="s">
        <v>17</v>
      </c>
      <c r="G630" s="5" cm="1">
        <f t="array" ref="G630">IF((INDEX('Remplissage - Sit. Init.'!$C$473:$I$1088,MATCH((_xlfn.CONCAT("Catégorie "&amp;RIGHT(B630,2)))&amp;('Remplissage - Sit. Init.'!$D$483),('Remplissage - Sit. Init.'!$C$473:$C$1088)&amp;('Remplissage - Sit. Init.'!$D$473:$D$1088),0),7))&gt;0,1,0)</f>
        <v>0</v>
      </c>
      <c r="H630" s="8"/>
      <c r="I630" s="33"/>
      <c r="J630" t="s">
        <v>70</v>
      </c>
      <c r="L630" s="114" t="s">
        <v>1479</v>
      </c>
    </row>
    <row r="631" spans="1:12" x14ac:dyDescent="0.25">
      <c r="A631" t="s">
        <v>1465</v>
      </c>
      <c r="B631" t="s">
        <v>1530</v>
      </c>
      <c r="C631" t="s">
        <v>1474</v>
      </c>
      <c r="E631" t="str">
        <f t="shared" ref="E631" si="721">_xlfn.CONCAT("EvoFretFluvCat",RIGHT(B631,2),"EmportMoy")</f>
        <v>EvoFretFluvCat11EmportMoy</v>
      </c>
      <c r="F631" t="s">
        <v>17</v>
      </c>
      <c r="G631" s="5" cm="1">
        <f t="array" ref="G631">IF((INDEX('Remplissage - Sit. Init.'!$C$473:$I$1088,MATCH((_xlfn.CONCAT("Catégorie "&amp;RIGHT(B631,2)))&amp;('Remplissage - Sit. Init.'!$D$483),('Remplissage - Sit. Init.'!$C$473:$C$1088)&amp;('Remplissage - Sit. Init.'!$D$473:$D$1088),0),7))&gt;0,1,0)</f>
        <v>0</v>
      </c>
      <c r="H631" s="8"/>
      <c r="I631" s="33"/>
      <c r="J631" t="s">
        <v>70</v>
      </c>
      <c r="L631" s="114" t="s">
        <v>1480</v>
      </c>
    </row>
    <row r="632" spans="1:12" x14ac:dyDescent="0.25">
      <c r="A632" t="s">
        <v>1465</v>
      </c>
      <c r="B632" t="s">
        <v>1531</v>
      </c>
      <c r="C632" t="s">
        <v>1475</v>
      </c>
      <c r="E632" t="str">
        <f t="shared" ref="E632" si="722">_xlfn.CONCAT("EvoFretFluvCat",RIGHT(B632,2),"DistAn")</f>
        <v>EvoFretFluvCat11DistAn</v>
      </c>
      <c r="F632" t="s">
        <v>17</v>
      </c>
      <c r="G632" s="5" cm="1">
        <f t="array" ref="G632">IF((INDEX('Remplissage - Sit. Init.'!$C$473:$I$1088,MATCH((_xlfn.CONCAT("Catégorie "&amp;RIGHT(B632,2)))&amp;('Remplissage - Sit. Init.'!$D$483),('Remplissage - Sit. Init.'!$C$473:$C$1088)&amp;('Remplissage - Sit. Init.'!$D$473:$D$1088),0),7))&gt;0,1,0)</f>
        <v>0</v>
      </c>
      <c r="I632" s="33"/>
      <c r="J632" t="s">
        <v>70</v>
      </c>
      <c r="L632" s="114" t="s">
        <v>1479</v>
      </c>
    </row>
    <row r="633" spans="1:12" x14ac:dyDescent="0.25">
      <c r="A633" t="s">
        <v>1465</v>
      </c>
      <c r="B633" t="s">
        <v>1532</v>
      </c>
      <c r="C633" t="s">
        <v>1476</v>
      </c>
      <c r="E633" t="str">
        <f t="shared" ref="E633" si="723">_xlfn.CONCAT("EvoFretFluvCat",RIGHT(B633,2),"TauxChargeMoy")</f>
        <v>EvoFretFluvCat11TauxChargeMoy</v>
      </c>
      <c r="F633" t="s">
        <v>17</v>
      </c>
      <c r="G633" s="5" cm="1">
        <f t="array" ref="G633">IF((INDEX('Remplissage - Sit. Init.'!$C$473:$I$1088,MATCH((_xlfn.CONCAT("Catégorie "&amp;RIGHT(B633,2)))&amp;('Remplissage - Sit. Init.'!$D$483),('Remplissage - Sit. Init.'!$C$473:$C$1088)&amp;('Remplissage - Sit. Init.'!$D$473:$D$1088),0),7))&gt;0,1,0)</f>
        <v>0</v>
      </c>
      <c r="I633" s="33"/>
      <c r="J633" t="s">
        <v>70</v>
      </c>
      <c r="L633" s="114" t="s">
        <v>1481</v>
      </c>
    </row>
    <row r="634" spans="1:12" x14ac:dyDescent="0.25">
      <c r="A634" t="s">
        <v>1465</v>
      </c>
      <c r="B634" t="s">
        <v>1528</v>
      </c>
      <c r="C634" s="114" t="s">
        <v>1477</v>
      </c>
      <c r="E634" t="str">
        <f t="shared" ref="E634" si="724">_xlfn.CONCAT("EvoFretFluvCat",RIGHT(B634,2),"NbBarges")</f>
        <v>EvoFretFluvCat11NbBarges</v>
      </c>
      <c r="F634" t="s">
        <v>17</v>
      </c>
      <c r="G634" s="5" cm="1">
        <f t="array" ref="G634">IF((INDEX('Remplissage - Sit. Init.'!$C$473:$I$1088,MATCH((_xlfn.CONCAT("Catégorie "&amp;RIGHT(B634,2)))&amp;('Remplissage - Sit. Init.'!$D$483),('Remplissage - Sit. Init.'!$C$473:$C$1088)&amp;('Remplissage - Sit. Init.'!$D$473:$D$1088),0),7))&gt;0,1,0)</f>
        <v>0</v>
      </c>
      <c r="I634" s="33"/>
      <c r="J634" t="s">
        <v>70</v>
      </c>
      <c r="L634" s="114" t="s">
        <v>1482</v>
      </c>
    </row>
    <row r="635" spans="1:12" x14ac:dyDescent="0.25">
      <c r="A635" t="s">
        <v>1465</v>
      </c>
      <c r="B635" t="s">
        <v>1274</v>
      </c>
      <c r="C635" t="str">
        <f t="shared" ref="C635" ca="1" si="725">_xlfn.CONCAT("Pour l'évolution de l'activité associée à la catégorie de barges suivante, catégorie ",INDIRECT("'Parcs types'!C"&amp;D635),", préférez-vous renseigner : ")</f>
        <v xml:space="preserve">Pour l'évolution de l'activité associée à la catégorie de barges suivante, catégorie Automoteurs 400-649 tonnes Batterie, préférez-vous renseigner : </v>
      </c>
      <c r="D635">
        <v>76</v>
      </c>
      <c r="E635" t="str">
        <f t="shared" ref="E635" si="726">_xlfn.CONCAT("EvoFretFluvCat",RIGHT(B635,2),"Request")</f>
        <v>EvoFretFluvCat12Request</v>
      </c>
      <c r="F635" s="32" t="s">
        <v>20</v>
      </c>
      <c r="G635" s="5" cm="1">
        <f t="array" ref="G635">IF((INDEX('Remplissage - Sit. Init.'!$C$473:$I$1088,MATCH((_xlfn.CONCAT("Catégorie "&amp;RIGHT(B635,2)))&amp;('Remplissage - Sit. Init.'!$D$483),('Remplissage - Sit. Init.'!$C$473:$C$1088)&amp;('Remplissage - Sit. Init.'!$D$473:$D$1088),0),7))&gt;0,1,0)</f>
        <v>0</v>
      </c>
      <c r="I635" s="33" t="s">
        <v>1466</v>
      </c>
      <c r="K635" s="8"/>
    </row>
    <row r="636" spans="1:12" x14ac:dyDescent="0.25">
      <c r="A636" t="s">
        <v>1465</v>
      </c>
      <c r="B636" t="s">
        <v>1533</v>
      </c>
      <c r="C636" t="s">
        <v>1472</v>
      </c>
      <c r="E636" t="str">
        <f t="shared" ref="E636" si="727">_xlfn.CONCAT("EvoFretFluvCat",RIGHT(B636,2),"NbTraj")</f>
        <v>EvoFretFluvCat12NbTraj</v>
      </c>
      <c r="F636" t="s">
        <v>17</v>
      </c>
      <c r="G636" s="5" cm="1">
        <f t="array" ref="G636">IF((INDEX('Remplissage - Sit. Init.'!$C$473:$I$1088,MATCH((_xlfn.CONCAT("Catégorie "&amp;RIGHT(B636,2)))&amp;('Remplissage - Sit. Init.'!$D$483),('Remplissage - Sit. Init.'!$C$473:$C$1088)&amp;('Remplissage - Sit. Init.'!$D$473:$D$1088),0),7))&gt;0,1,0)</f>
        <v>0</v>
      </c>
      <c r="H636" s="8"/>
      <c r="I636" s="33"/>
      <c r="J636" t="s">
        <v>70</v>
      </c>
      <c r="L636" s="114" t="s">
        <v>1478</v>
      </c>
    </row>
    <row r="637" spans="1:12" x14ac:dyDescent="0.25">
      <c r="A637" t="s">
        <v>1465</v>
      </c>
      <c r="B637" t="s">
        <v>1534</v>
      </c>
      <c r="C637" t="s">
        <v>1473</v>
      </c>
      <c r="E637" t="str">
        <f t="shared" ref="E637" si="728">_xlfn.CONCAT("EvoFretFluvCat",RIGHT(B637,2),"DistMoy")</f>
        <v>EvoFretFluvCat12DistMoy</v>
      </c>
      <c r="F637" t="s">
        <v>17</v>
      </c>
      <c r="G637" s="5" cm="1">
        <f t="array" ref="G637">IF((INDEX('Remplissage - Sit. Init.'!$C$473:$I$1088,MATCH((_xlfn.CONCAT("Catégorie "&amp;RIGHT(B637,2)))&amp;('Remplissage - Sit. Init.'!$D$483),('Remplissage - Sit. Init.'!$C$473:$C$1088)&amp;('Remplissage - Sit. Init.'!$D$473:$D$1088),0),7))&gt;0,1,0)</f>
        <v>0</v>
      </c>
      <c r="H637" s="8"/>
      <c r="I637" s="33"/>
      <c r="J637" t="s">
        <v>70</v>
      </c>
      <c r="L637" s="114" t="s">
        <v>1479</v>
      </c>
    </row>
    <row r="638" spans="1:12" x14ac:dyDescent="0.25">
      <c r="A638" t="s">
        <v>1465</v>
      </c>
      <c r="B638" t="s">
        <v>1535</v>
      </c>
      <c r="C638" t="s">
        <v>1474</v>
      </c>
      <c r="E638" t="str">
        <f t="shared" ref="E638" si="729">_xlfn.CONCAT("EvoFretFluvCat",RIGHT(B638,2),"EmportMoy")</f>
        <v>EvoFretFluvCat12EmportMoy</v>
      </c>
      <c r="F638" t="s">
        <v>17</v>
      </c>
      <c r="G638" s="5" cm="1">
        <f t="array" ref="G638">IF((INDEX('Remplissage - Sit. Init.'!$C$473:$I$1088,MATCH((_xlfn.CONCAT("Catégorie "&amp;RIGHT(B638,2)))&amp;('Remplissage - Sit. Init.'!$D$483),('Remplissage - Sit. Init.'!$C$473:$C$1088)&amp;('Remplissage - Sit. Init.'!$D$473:$D$1088),0),7))&gt;0,1,0)</f>
        <v>0</v>
      </c>
      <c r="H638" s="8"/>
      <c r="I638" s="33"/>
      <c r="J638" t="s">
        <v>70</v>
      </c>
      <c r="L638" s="114" t="s">
        <v>1480</v>
      </c>
    </row>
    <row r="639" spans="1:12" x14ac:dyDescent="0.25">
      <c r="A639" t="s">
        <v>1465</v>
      </c>
      <c r="B639" t="s">
        <v>1536</v>
      </c>
      <c r="C639" t="s">
        <v>1475</v>
      </c>
      <c r="E639" t="str">
        <f t="shared" ref="E639" si="730">_xlfn.CONCAT("EvoFretFluvCat",RIGHT(B639,2),"DistAn")</f>
        <v>EvoFretFluvCat12DistAn</v>
      </c>
      <c r="F639" t="s">
        <v>17</v>
      </c>
      <c r="G639" s="5" cm="1">
        <f t="array" ref="G639">IF((INDEX('Remplissage - Sit. Init.'!$C$473:$I$1088,MATCH((_xlfn.CONCAT("Catégorie "&amp;RIGHT(B639,2)))&amp;('Remplissage - Sit. Init.'!$D$483),('Remplissage - Sit. Init.'!$C$473:$C$1088)&amp;('Remplissage - Sit. Init.'!$D$473:$D$1088),0),7))&gt;0,1,0)</f>
        <v>0</v>
      </c>
      <c r="I639" s="33"/>
      <c r="J639" t="s">
        <v>70</v>
      </c>
      <c r="L639" s="114" t="s">
        <v>1479</v>
      </c>
    </row>
    <row r="640" spans="1:12" x14ac:dyDescent="0.25">
      <c r="A640" t="s">
        <v>1465</v>
      </c>
      <c r="B640" t="s">
        <v>1537</v>
      </c>
      <c r="C640" t="s">
        <v>1476</v>
      </c>
      <c r="E640" t="str">
        <f t="shared" ref="E640" si="731">_xlfn.CONCAT("EvoFretFluvCat",RIGHT(B640,2),"TauxChargeMoy")</f>
        <v>EvoFretFluvCat12TauxChargeMoy</v>
      </c>
      <c r="F640" t="s">
        <v>17</v>
      </c>
      <c r="G640" s="5" cm="1">
        <f t="array" ref="G640">IF((INDEX('Remplissage - Sit. Init.'!$C$473:$I$1088,MATCH((_xlfn.CONCAT("Catégorie "&amp;RIGHT(B640,2)))&amp;('Remplissage - Sit. Init.'!$D$483),('Remplissage - Sit. Init.'!$C$473:$C$1088)&amp;('Remplissage - Sit. Init.'!$D$473:$D$1088),0),7))&gt;0,1,0)</f>
        <v>0</v>
      </c>
      <c r="I640" s="33"/>
      <c r="J640" t="s">
        <v>70</v>
      </c>
      <c r="L640" s="114" t="s">
        <v>1481</v>
      </c>
    </row>
    <row r="641" spans="1:12" x14ac:dyDescent="0.25">
      <c r="A641" t="s">
        <v>1465</v>
      </c>
      <c r="B641" t="s">
        <v>1533</v>
      </c>
      <c r="C641" s="114" t="s">
        <v>1477</v>
      </c>
      <c r="E641" t="str">
        <f t="shared" ref="E641" si="732">_xlfn.CONCAT("EvoFretFluvCat",RIGHT(B641,2),"NbBarges")</f>
        <v>EvoFretFluvCat12NbBarges</v>
      </c>
      <c r="F641" t="s">
        <v>17</v>
      </c>
      <c r="G641" s="5" cm="1">
        <f t="array" ref="G641">IF((INDEX('Remplissage - Sit. Init.'!$C$473:$I$1088,MATCH((_xlfn.CONCAT("Catégorie "&amp;RIGHT(B641,2)))&amp;('Remplissage - Sit. Init.'!$D$483),('Remplissage - Sit. Init.'!$C$473:$C$1088)&amp;('Remplissage - Sit. Init.'!$D$473:$D$1088),0),7))&gt;0,1,0)</f>
        <v>0</v>
      </c>
      <c r="I641" s="33"/>
      <c r="J641" t="s">
        <v>70</v>
      </c>
      <c r="L641" s="114" t="s">
        <v>1482</v>
      </c>
    </row>
    <row r="642" spans="1:12" x14ac:dyDescent="0.25">
      <c r="A642" t="s">
        <v>1465</v>
      </c>
      <c r="B642" t="s">
        <v>1276</v>
      </c>
      <c r="C642" t="str">
        <f t="shared" ref="C642" ca="1" si="733">_xlfn.CONCAT("Pour l'évolution de l'activité associée à la catégorie de barges suivante, catégorie ",INDIRECT("'Parcs types'!C"&amp;D642),", préférez-vous renseigner : ")</f>
        <v xml:space="preserve">Pour l'évolution de l'activité associée à la catégorie de barges suivante, catégorie Automoteurs 400-649 tonnes H2 , PAC, préférez-vous renseigner : </v>
      </c>
      <c r="D642">
        <v>77</v>
      </c>
      <c r="E642" t="str">
        <f t="shared" ref="E642" si="734">_xlfn.CONCAT("EvoFretFluvCat",RIGHT(B642,2),"Request")</f>
        <v>EvoFretFluvCat13Request</v>
      </c>
      <c r="F642" s="32" t="s">
        <v>20</v>
      </c>
      <c r="G642" s="5" cm="1">
        <f t="array" ref="G642">IF((INDEX('Remplissage - Sit. Init.'!$C$473:$I$1088,MATCH((_xlfn.CONCAT("Catégorie "&amp;RIGHT(B642,2)))&amp;('Remplissage - Sit. Init.'!$D$483),('Remplissage - Sit. Init.'!$C$473:$C$1088)&amp;('Remplissage - Sit. Init.'!$D$473:$D$1088),0),7))&gt;0,1,0)</f>
        <v>0</v>
      </c>
      <c r="I642" s="33" t="s">
        <v>1466</v>
      </c>
      <c r="K642" s="8"/>
    </row>
    <row r="643" spans="1:12" x14ac:dyDescent="0.25">
      <c r="A643" t="s">
        <v>1465</v>
      </c>
      <c r="B643" t="s">
        <v>1538</v>
      </c>
      <c r="C643" t="s">
        <v>1472</v>
      </c>
      <c r="E643" t="str">
        <f t="shared" ref="E643" si="735">_xlfn.CONCAT("EvoFretFluvCat",RIGHT(B643,2),"NbTraj")</f>
        <v>EvoFretFluvCat13NbTraj</v>
      </c>
      <c r="F643" t="s">
        <v>17</v>
      </c>
      <c r="G643" s="5" cm="1">
        <f t="array" ref="G643">IF((INDEX('Remplissage - Sit. Init.'!$C$473:$I$1088,MATCH((_xlfn.CONCAT("Catégorie "&amp;RIGHT(B643,2)))&amp;('Remplissage - Sit. Init.'!$D$483),('Remplissage - Sit. Init.'!$C$473:$C$1088)&amp;('Remplissage - Sit. Init.'!$D$473:$D$1088),0),7))&gt;0,1,0)</f>
        <v>0</v>
      </c>
      <c r="H643" s="8"/>
      <c r="I643" s="33"/>
      <c r="J643" t="s">
        <v>70</v>
      </c>
      <c r="L643" s="114" t="s">
        <v>1478</v>
      </c>
    </row>
    <row r="644" spans="1:12" x14ac:dyDescent="0.25">
      <c r="A644" t="s">
        <v>1465</v>
      </c>
      <c r="B644" t="s">
        <v>1539</v>
      </c>
      <c r="C644" t="s">
        <v>1473</v>
      </c>
      <c r="E644" t="str">
        <f t="shared" ref="E644" si="736">_xlfn.CONCAT("EvoFretFluvCat",RIGHT(B644,2),"DistMoy")</f>
        <v>EvoFretFluvCat13DistMoy</v>
      </c>
      <c r="F644" t="s">
        <v>17</v>
      </c>
      <c r="G644" s="5" cm="1">
        <f t="array" ref="G644">IF((INDEX('Remplissage - Sit. Init.'!$C$473:$I$1088,MATCH((_xlfn.CONCAT("Catégorie "&amp;RIGHT(B644,2)))&amp;('Remplissage - Sit. Init.'!$D$483),('Remplissage - Sit. Init.'!$C$473:$C$1088)&amp;('Remplissage - Sit. Init.'!$D$473:$D$1088),0),7))&gt;0,1,0)</f>
        <v>0</v>
      </c>
      <c r="H644" s="8"/>
      <c r="I644" s="33"/>
      <c r="J644" t="s">
        <v>70</v>
      </c>
      <c r="L644" s="114" t="s">
        <v>1479</v>
      </c>
    </row>
    <row r="645" spans="1:12" x14ac:dyDescent="0.25">
      <c r="A645" t="s">
        <v>1465</v>
      </c>
      <c r="B645" t="s">
        <v>1540</v>
      </c>
      <c r="C645" t="s">
        <v>1474</v>
      </c>
      <c r="E645" t="str">
        <f t="shared" ref="E645" si="737">_xlfn.CONCAT("EvoFretFluvCat",RIGHT(B645,2),"EmportMoy")</f>
        <v>EvoFretFluvCat13EmportMoy</v>
      </c>
      <c r="F645" t="s">
        <v>17</v>
      </c>
      <c r="G645" s="5" cm="1">
        <f t="array" ref="G645">IF((INDEX('Remplissage - Sit. Init.'!$C$473:$I$1088,MATCH((_xlfn.CONCAT("Catégorie "&amp;RIGHT(B645,2)))&amp;('Remplissage - Sit. Init.'!$D$483),('Remplissage - Sit. Init.'!$C$473:$C$1088)&amp;('Remplissage - Sit. Init.'!$D$473:$D$1088),0),7))&gt;0,1,0)</f>
        <v>0</v>
      </c>
      <c r="H645" s="8"/>
      <c r="I645" s="33"/>
      <c r="J645" t="s">
        <v>70</v>
      </c>
      <c r="L645" s="114" t="s">
        <v>1480</v>
      </c>
    </row>
    <row r="646" spans="1:12" x14ac:dyDescent="0.25">
      <c r="A646" t="s">
        <v>1465</v>
      </c>
      <c r="B646" t="s">
        <v>1541</v>
      </c>
      <c r="C646" t="s">
        <v>1475</v>
      </c>
      <c r="E646" t="str">
        <f t="shared" ref="E646" si="738">_xlfn.CONCAT("EvoFretFluvCat",RIGHT(B646,2),"DistAn")</f>
        <v>EvoFretFluvCat13DistAn</v>
      </c>
      <c r="F646" t="s">
        <v>17</v>
      </c>
      <c r="G646" s="5" cm="1">
        <f t="array" ref="G646">IF((INDEX('Remplissage - Sit. Init.'!$C$473:$I$1088,MATCH((_xlfn.CONCAT("Catégorie "&amp;RIGHT(B646,2)))&amp;('Remplissage - Sit. Init.'!$D$483),('Remplissage - Sit. Init.'!$C$473:$C$1088)&amp;('Remplissage - Sit. Init.'!$D$473:$D$1088),0),7))&gt;0,1,0)</f>
        <v>0</v>
      </c>
      <c r="I646" s="33"/>
      <c r="J646" t="s">
        <v>70</v>
      </c>
      <c r="L646" s="114" t="s">
        <v>1479</v>
      </c>
    </row>
    <row r="647" spans="1:12" x14ac:dyDescent="0.25">
      <c r="A647" t="s">
        <v>1465</v>
      </c>
      <c r="B647" t="s">
        <v>1542</v>
      </c>
      <c r="C647" t="s">
        <v>1476</v>
      </c>
      <c r="E647" t="str">
        <f t="shared" ref="E647" si="739">_xlfn.CONCAT("EvoFretFluvCat",RIGHT(B647,2),"TauxChargeMoy")</f>
        <v>EvoFretFluvCat13TauxChargeMoy</v>
      </c>
      <c r="F647" t="s">
        <v>17</v>
      </c>
      <c r="G647" s="5" cm="1">
        <f t="array" ref="G647">IF((INDEX('Remplissage - Sit. Init.'!$C$473:$I$1088,MATCH((_xlfn.CONCAT("Catégorie "&amp;RIGHT(B647,2)))&amp;('Remplissage - Sit. Init.'!$D$483),('Remplissage - Sit. Init.'!$C$473:$C$1088)&amp;('Remplissage - Sit. Init.'!$D$473:$D$1088),0),7))&gt;0,1,0)</f>
        <v>0</v>
      </c>
      <c r="I647" s="33"/>
      <c r="J647" t="s">
        <v>70</v>
      </c>
      <c r="L647" s="114" t="s">
        <v>1481</v>
      </c>
    </row>
    <row r="648" spans="1:12" x14ac:dyDescent="0.25">
      <c r="A648" t="s">
        <v>1465</v>
      </c>
      <c r="B648" t="s">
        <v>1538</v>
      </c>
      <c r="C648" s="114" t="s">
        <v>1477</v>
      </c>
      <c r="E648" t="str">
        <f t="shared" ref="E648" si="740">_xlfn.CONCAT("EvoFretFluvCat",RIGHT(B648,2),"NbBarges")</f>
        <v>EvoFretFluvCat13NbBarges</v>
      </c>
      <c r="F648" t="s">
        <v>17</v>
      </c>
      <c r="G648" s="5" cm="1">
        <f t="array" ref="G648">IF((INDEX('Remplissage - Sit. Init.'!$C$473:$I$1088,MATCH((_xlfn.CONCAT("Catégorie "&amp;RIGHT(B648,2)))&amp;('Remplissage - Sit. Init.'!$D$483),('Remplissage - Sit. Init.'!$C$473:$C$1088)&amp;('Remplissage - Sit. Init.'!$D$473:$D$1088),0),7))&gt;0,1,0)</f>
        <v>0</v>
      </c>
      <c r="I648" s="33"/>
      <c r="J648" t="s">
        <v>70</v>
      </c>
      <c r="L648" s="114" t="s">
        <v>1482</v>
      </c>
    </row>
    <row r="649" spans="1:12" x14ac:dyDescent="0.25">
      <c r="A649" t="s">
        <v>1465</v>
      </c>
      <c r="B649" t="s">
        <v>1278</v>
      </c>
      <c r="C649" t="str">
        <f t="shared" ref="C649" ca="1" si="741">_xlfn.CONCAT("Pour l'évolution de l'activité associée à la catégorie de barges suivante, catégorie ",INDIRECT("'Parcs types'!C"&amp;D649),", préférez-vous renseigner : ")</f>
        <v xml:space="preserve">Pour l'évolution de l'activité associée à la catégorie de barges suivante, catégorie Automoteurs 400-649 tonnes H2 , ICE, préférez-vous renseigner : </v>
      </c>
      <c r="D649">
        <v>78</v>
      </c>
      <c r="E649" t="str">
        <f t="shared" ref="E649" si="742">_xlfn.CONCAT("EvoFretFluvCat",RIGHT(B649,2),"Request")</f>
        <v>EvoFretFluvCat14Request</v>
      </c>
      <c r="F649" s="32" t="s">
        <v>20</v>
      </c>
      <c r="G649" s="5" cm="1">
        <f t="array" ref="G649">IF((INDEX('Remplissage - Sit. Init.'!$C$473:$I$1088,MATCH((_xlfn.CONCAT("Catégorie "&amp;RIGHT(B649,2)))&amp;('Remplissage - Sit. Init.'!$D$483),('Remplissage - Sit. Init.'!$C$473:$C$1088)&amp;('Remplissage - Sit. Init.'!$D$473:$D$1088),0),7))&gt;0,1,0)</f>
        <v>0</v>
      </c>
      <c r="I649" s="33" t="s">
        <v>1466</v>
      </c>
      <c r="K649" s="8"/>
    </row>
    <row r="650" spans="1:12" x14ac:dyDescent="0.25">
      <c r="A650" t="s">
        <v>1465</v>
      </c>
      <c r="B650" t="s">
        <v>1543</v>
      </c>
      <c r="C650" t="s">
        <v>1472</v>
      </c>
      <c r="E650" t="str">
        <f t="shared" ref="E650" si="743">_xlfn.CONCAT("EvoFretFluvCat",RIGHT(B650,2),"NbTraj")</f>
        <v>EvoFretFluvCat14NbTraj</v>
      </c>
      <c r="F650" t="s">
        <v>17</v>
      </c>
      <c r="G650" s="5" cm="1">
        <f t="array" ref="G650">IF((INDEX('Remplissage - Sit. Init.'!$C$473:$I$1088,MATCH((_xlfn.CONCAT("Catégorie "&amp;RIGHT(B650,2)))&amp;('Remplissage - Sit. Init.'!$D$483),('Remplissage - Sit. Init.'!$C$473:$C$1088)&amp;('Remplissage - Sit. Init.'!$D$473:$D$1088),0),7))&gt;0,1,0)</f>
        <v>0</v>
      </c>
      <c r="H650" s="8"/>
      <c r="I650" s="33"/>
      <c r="J650" t="s">
        <v>70</v>
      </c>
      <c r="L650" s="114" t="s">
        <v>1478</v>
      </c>
    </row>
    <row r="651" spans="1:12" x14ac:dyDescent="0.25">
      <c r="A651" t="s">
        <v>1465</v>
      </c>
      <c r="B651" t="s">
        <v>1544</v>
      </c>
      <c r="C651" t="s">
        <v>1473</v>
      </c>
      <c r="E651" t="str">
        <f t="shared" ref="E651" si="744">_xlfn.CONCAT("EvoFretFluvCat",RIGHT(B651,2),"DistMoy")</f>
        <v>EvoFretFluvCat14DistMoy</v>
      </c>
      <c r="F651" t="s">
        <v>17</v>
      </c>
      <c r="G651" s="5" cm="1">
        <f t="array" ref="G651">IF((INDEX('Remplissage - Sit. Init.'!$C$473:$I$1088,MATCH((_xlfn.CONCAT("Catégorie "&amp;RIGHT(B651,2)))&amp;('Remplissage - Sit. Init.'!$D$483),('Remplissage - Sit. Init.'!$C$473:$C$1088)&amp;('Remplissage - Sit. Init.'!$D$473:$D$1088),0),7))&gt;0,1,0)</f>
        <v>0</v>
      </c>
      <c r="H651" s="8"/>
      <c r="I651" s="33"/>
      <c r="J651" t="s">
        <v>70</v>
      </c>
      <c r="L651" s="114" t="s">
        <v>1479</v>
      </c>
    </row>
    <row r="652" spans="1:12" x14ac:dyDescent="0.25">
      <c r="A652" t="s">
        <v>1465</v>
      </c>
      <c r="B652" t="s">
        <v>1545</v>
      </c>
      <c r="C652" t="s">
        <v>1474</v>
      </c>
      <c r="E652" t="str">
        <f t="shared" ref="E652" si="745">_xlfn.CONCAT("EvoFretFluvCat",RIGHT(B652,2),"EmportMoy")</f>
        <v>EvoFretFluvCat14EmportMoy</v>
      </c>
      <c r="F652" t="s">
        <v>17</v>
      </c>
      <c r="G652" s="5" cm="1">
        <f t="array" ref="G652">IF((INDEX('Remplissage - Sit. Init.'!$C$473:$I$1088,MATCH((_xlfn.CONCAT("Catégorie "&amp;RIGHT(B652,2)))&amp;('Remplissage - Sit. Init.'!$D$483),('Remplissage - Sit. Init.'!$C$473:$C$1088)&amp;('Remplissage - Sit. Init.'!$D$473:$D$1088),0),7))&gt;0,1,0)</f>
        <v>0</v>
      </c>
      <c r="H652" s="8"/>
      <c r="I652" s="33"/>
      <c r="J652" t="s">
        <v>70</v>
      </c>
      <c r="L652" s="114" t="s">
        <v>1480</v>
      </c>
    </row>
    <row r="653" spans="1:12" x14ac:dyDescent="0.25">
      <c r="A653" t="s">
        <v>1465</v>
      </c>
      <c r="B653" t="s">
        <v>1546</v>
      </c>
      <c r="C653" t="s">
        <v>1475</v>
      </c>
      <c r="E653" t="str">
        <f t="shared" ref="E653" si="746">_xlfn.CONCAT("EvoFretFluvCat",RIGHT(B653,2),"DistAn")</f>
        <v>EvoFretFluvCat14DistAn</v>
      </c>
      <c r="F653" t="s">
        <v>17</v>
      </c>
      <c r="G653" s="5" cm="1">
        <f t="array" ref="G653">IF((INDEX('Remplissage - Sit. Init.'!$C$473:$I$1088,MATCH((_xlfn.CONCAT("Catégorie "&amp;RIGHT(B653,2)))&amp;('Remplissage - Sit. Init.'!$D$483),('Remplissage - Sit. Init.'!$C$473:$C$1088)&amp;('Remplissage - Sit. Init.'!$D$473:$D$1088),0),7))&gt;0,1,0)</f>
        <v>0</v>
      </c>
      <c r="I653" s="33"/>
      <c r="J653" t="s">
        <v>70</v>
      </c>
      <c r="L653" s="114" t="s">
        <v>1479</v>
      </c>
    </row>
    <row r="654" spans="1:12" x14ac:dyDescent="0.25">
      <c r="A654" t="s">
        <v>1465</v>
      </c>
      <c r="B654" t="s">
        <v>1547</v>
      </c>
      <c r="C654" t="s">
        <v>1476</v>
      </c>
      <c r="E654" t="str">
        <f t="shared" ref="E654" si="747">_xlfn.CONCAT("EvoFretFluvCat",RIGHT(B654,2),"TauxChargeMoy")</f>
        <v>EvoFretFluvCat14TauxChargeMoy</v>
      </c>
      <c r="F654" t="s">
        <v>17</v>
      </c>
      <c r="G654" s="5" cm="1">
        <f t="array" ref="G654">IF((INDEX('Remplissage - Sit. Init.'!$C$473:$I$1088,MATCH((_xlfn.CONCAT("Catégorie "&amp;RIGHT(B654,2)))&amp;('Remplissage - Sit. Init.'!$D$483),('Remplissage - Sit. Init.'!$C$473:$C$1088)&amp;('Remplissage - Sit. Init.'!$D$473:$D$1088),0),7))&gt;0,1,0)</f>
        <v>0</v>
      </c>
      <c r="I654" s="33"/>
      <c r="J654" t="s">
        <v>70</v>
      </c>
      <c r="L654" s="114" t="s">
        <v>1481</v>
      </c>
    </row>
    <row r="655" spans="1:12" x14ac:dyDescent="0.25">
      <c r="A655" t="s">
        <v>1465</v>
      </c>
      <c r="B655" t="s">
        <v>1543</v>
      </c>
      <c r="C655" s="114" t="s">
        <v>1477</v>
      </c>
      <c r="E655" t="str">
        <f t="shared" ref="E655" si="748">_xlfn.CONCAT("EvoFretFluvCat",RIGHT(B655,2),"NbBarges")</f>
        <v>EvoFretFluvCat14NbBarges</v>
      </c>
      <c r="F655" t="s">
        <v>17</v>
      </c>
      <c r="G655" s="5" cm="1">
        <f t="array" ref="G655">IF((INDEX('Remplissage - Sit. Init.'!$C$473:$I$1088,MATCH((_xlfn.CONCAT("Catégorie "&amp;RIGHT(B655,2)))&amp;('Remplissage - Sit. Init.'!$D$483),('Remplissage - Sit. Init.'!$C$473:$C$1088)&amp;('Remplissage - Sit. Init.'!$D$473:$D$1088),0),7))&gt;0,1,0)</f>
        <v>0</v>
      </c>
      <c r="I655" s="33"/>
      <c r="J655" t="s">
        <v>70</v>
      </c>
      <c r="L655" s="114" t="s">
        <v>1482</v>
      </c>
    </row>
    <row r="656" spans="1:12" x14ac:dyDescent="0.25">
      <c r="A656" t="s">
        <v>1465</v>
      </c>
      <c r="B656" t="s">
        <v>1280</v>
      </c>
      <c r="C656" t="str">
        <f t="shared" ref="C656" ca="1" si="749">_xlfn.CONCAT("Pour l'évolution de l'activité associée à la catégorie de barges suivante, catégorie ",INDIRECT("'Parcs types'!C"&amp;D656),", préférez-vous renseigner : ")</f>
        <v xml:space="preserve">Pour l'évolution de l'activité associée à la catégorie de barges suivante, catégorie Automoteurs 650-999 tonnes CCNR 2 ou inférieur, diesel, préférez-vous renseigner : </v>
      </c>
      <c r="D656">
        <v>79</v>
      </c>
      <c r="E656" t="str">
        <f t="shared" ref="E656" si="750">_xlfn.CONCAT("EvoFretFluvCat",RIGHT(B656,2),"Request")</f>
        <v>EvoFretFluvCat15Request</v>
      </c>
      <c r="F656" s="32" t="s">
        <v>20</v>
      </c>
      <c r="G656" s="5" cm="1">
        <f t="array" ref="G656">IF((INDEX('Remplissage - Sit. Init.'!$C$473:$I$1088,MATCH((_xlfn.CONCAT("Catégorie "&amp;RIGHT(B656,2)))&amp;('Remplissage - Sit. Init.'!$D$483),('Remplissage - Sit. Init.'!$C$473:$C$1088)&amp;('Remplissage - Sit. Init.'!$D$473:$D$1088),0),7))&gt;0,1,0)</f>
        <v>0</v>
      </c>
      <c r="I656" s="33" t="s">
        <v>1466</v>
      </c>
      <c r="K656" s="8"/>
    </row>
    <row r="657" spans="1:12" x14ac:dyDescent="0.25">
      <c r="A657" t="s">
        <v>1465</v>
      </c>
      <c r="B657" t="s">
        <v>1548</v>
      </c>
      <c r="C657" t="s">
        <v>1472</v>
      </c>
      <c r="E657" t="str">
        <f t="shared" ref="E657" si="751">_xlfn.CONCAT("EvoFretFluvCat",RIGHT(B657,2),"NbTraj")</f>
        <v>EvoFretFluvCat15NbTraj</v>
      </c>
      <c r="F657" t="s">
        <v>17</v>
      </c>
      <c r="G657" s="5" cm="1">
        <f t="array" ref="G657">IF((INDEX('Remplissage - Sit. Init.'!$C$473:$I$1088,MATCH((_xlfn.CONCAT("Catégorie "&amp;RIGHT(B657,2)))&amp;('Remplissage - Sit. Init.'!$D$483),('Remplissage - Sit. Init.'!$C$473:$C$1088)&amp;('Remplissage - Sit. Init.'!$D$473:$D$1088),0),7))&gt;0,1,0)</f>
        <v>0</v>
      </c>
      <c r="H657" s="8"/>
      <c r="I657" s="33"/>
      <c r="J657" t="s">
        <v>70</v>
      </c>
      <c r="L657" s="114" t="s">
        <v>1478</v>
      </c>
    </row>
    <row r="658" spans="1:12" x14ac:dyDescent="0.25">
      <c r="A658" t="s">
        <v>1465</v>
      </c>
      <c r="B658" t="s">
        <v>1549</v>
      </c>
      <c r="C658" t="s">
        <v>1473</v>
      </c>
      <c r="E658" t="str">
        <f t="shared" ref="E658" si="752">_xlfn.CONCAT("EvoFretFluvCat",RIGHT(B658,2),"DistMoy")</f>
        <v>EvoFretFluvCat15DistMoy</v>
      </c>
      <c r="F658" t="s">
        <v>17</v>
      </c>
      <c r="G658" s="5" cm="1">
        <f t="array" ref="G658">IF((INDEX('Remplissage - Sit. Init.'!$C$473:$I$1088,MATCH((_xlfn.CONCAT("Catégorie "&amp;RIGHT(B658,2)))&amp;('Remplissage - Sit. Init.'!$D$483),('Remplissage - Sit. Init.'!$C$473:$C$1088)&amp;('Remplissage - Sit. Init.'!$D$473:$D$1088),0),7))&gt;0,1,0)</f>
        <v>0</v>
      </c>
      <c r="H658" s="8"/>
      <c r="I658" s="33"/>
      <c r="J658" t="s">
        <v>70</v>
      </c>
      <c r="L658" s="114" t="s">
        <v>1479</v>
      </c>
    </row>
    <row r="659" spans="1:12" x14ac:dyDescent="0.25">
      <c r="A659" t="s">
        <v>1465</v>
      </c>
      <c r="B659" t="s">
        <v>1550</v>
      </c>
      <c r="C659" t="s">
        <v>1474</v>
      </c>
      <c r="E659" t="str">
        <f t="shared" ref="E659" si="753">_xlfn.CONCAT("EvoFretFluvCat",RIGHT(B659,2),"EmportMoy")</f>
        <v>EvoFretFluvCat15EmportMoy</v>
      </c>
      <c r="F659" t="s">
        <v>17</v>
      </c>
      <c r="G659" s="5" cm="1">
        <f t="array" ref="G659">IF((INDEX('Remplissage - Sit. Init.'!$C$473:$I$1088,MATCH((_xlfn.CONCAT("Catégorie "&amp;RIGHT(B659,2)))&amp;('Remplissage - Sit. Init.'!$D$483),('Remplissage - Sit. Init.'!$C$473:$C$1088)&amp;('Remplissage - Sit. Init.'!$D$473:$D$1088),0),7))&gt;0,1,0)</f>
        <v>0</v>
      </c>
      <c r="H659" s="8"/>
      <c r="I659" s="33"/>
      <c r="J659" t="s">
        <v>70</v>
      </c>
      <c r="L659" s="114" t="s">
        <v>1480</v>
      </c>
    </row>
    <row r="660" spans="1:12" x14ac:dyDescent="0.25">
      <c r="A660" t="s">
        <v>1465</v>
      </c>
      <c r="B660" t="s">
        <v>1551</v>
      </c>
      <c r="C660" t="s">
        <v>1475</v>
      </c>
      <c r="E660" t="str">
        <f t="shared" ref="E660" si="754">_xlfn.CONCAT("EvoFretFluvCat",RIGHT(B660,2),"DistAn")</f>
        <v>EvoFretFluvCat15DistAn</v>
      </c>
      <c r="F660" t="s">
        <v>17</v>
      </c>
      <c r="G660" s="5" cm="1">
        <f t="array" ref="G660">IF((INDEX('Remplissage - Sit. Init.'!$C$473:$I$1088,MATCH((_xlfn.CONCAT("Catégorie "&amp;RIGHT(B660,2)))&amp;('Remplissage - Sit. Init.'!$D$483),('Remplissage - Sit. Init.'!$C$473:$C$1088)&amp;('Remplissage - Sit. Init.'!$D$473:$D$1088),0),7))&gt;0,1,0)</f>
        <v>0</v>
      </c>
      <c r="I660" s="33"/>
      <c r="J660" t="s">
        <v>70</v>
      </c>
      <c r="L660" s="114" t="s">
        <v>1479</v>
      </c>
    </row>
    <row r="661" spans="1:12" x14ac:dyDescent="0.25">
      <c r="A661" t="s">
        <v>1465</v>
      </c>
      <c r="B661" t="s">
        <v>1552</v>
      </c>
      <c r="C661" t="s">
        <v>1476</v>
      </c>
      <c r="E661" t="str">
        <f t="shared" ref="E661" si="755">_xlfn.CONCAT("EvoFretFluvCat",RIGHT(B661,2),"TauxChargeMoy")</f>
        <v>EvoFretFluvCat15TauxChargeMoy</v>
      </c>
      <c r="F661" t="s">
        <v>17</v>
      </c>
      <c r="G661" s="5" cm="1">
        <f t="array" ref="G661">IF((INDEX('Remplissage - Sit. Init.'!$C$473:$I$1088,MATCH((_xlfn.CONCAT("Catégorie "&amp;RIGHT(B661,2)))&amp;('Remplissage - Sit. Init.'!$D$483),('Remplissage - Sit. Init.'!$C$473:$C$1088)&amp;('Remplissage - Sit. Init.'!$D$473:$D$1088),0),7))&gt;0,1,0)</f>
        <v>0</v>
      </c>
      <c r="I661" s="33"/>
      <c r="J661" t="s">
        <v>70</v>
      </c>
      <c r="L661" s="114" t="s">
        <v>1481</v>
      </c>
    </row>
    <row r="662" spans="1:12" x14ac:dyDescent="0.25">
      <c r="A662" t="s">
        <v>1465</v>
      </c>
      <c r="B662" t="s">
        <v>1548</v>
      </c>
      <c r="C662" s="114" t="s">
        <v>1477</v>
      </c>
      <c r="E662" t="str">
        <f t="shared" ref="E662" si="756">_xlfn.CONCAT("EvoFretFluvCat",RIGHT(B662,2),"NbBarges")</f>
        <v>EvoFretFluvCat15NbBarges</v>
      </c>
      <c r="F662" t="s">
        <v>17</v>
      </c>
      <c r="G662" s="5" cm="1">
        <f t="array" ref="G662">IF((INDEX('Remplissage - Sit. Init.'!$C$473:$I$1088,MATCH((_xlfn.CONCAT("Catégorie "&amp;RIGHT(B662,2)))&amp;('Remplissage - Sit. Init.'!$D$483),('Remplissage - Sit. Init.'!$C$473:$C$1088)&amp;('Remplissage - Sit. Init.'!$D$473:$D$1088),0),7))&gt;0,1,0)</f>
        <v>0</v>
      </c>
      <c r="I662" s="33"/>
      <c r="J662" t="s">
        <v>70</v>
      </c>
      <c r="L662" s="114" t="s">
        <v>1482</v>
      </c>
    </row>
    <row r="663" spans="1:12" x14ac:dyDescent="0.25">
      <c r="A663" t="s">
        <v>1465</v>
      </c>
      <c r="B663" t="s">
        <v>1282</v>
      </c>
      <c r="C663" t="str">
        <f t="shared" ref="C663" ca="1" si="757">_xlfn.CONCAT("Pour l'évolution de l'activité associée à la catégorie de barges suivante, catégorie ",INDIRECT("'Parcs types'!C"&amp;D663),", préférez-vous renseigner : ")</f>
        <v xml:space="preserve">Pour l'évolution de l'activité associée à la catégorie de barges suivante, catégorie Automoteurs 650-999 tonnes CCNR 2 + SCR, diesel, préférez-vous renseigner : </v>
      </c>
      <c r="D663">
        <v>80</v>
      </c>
      <c r="E663" t="str">
        <f t="shared" ref="E663" si="758">_xlfn.CONCAT("EvoFretFluvCat",RIGHT(B663,2),"Request")</f>
        <v>EvoFretFluvCat16Request</v>
      </c>
      <c r="F663" s="32" t="s">
        <v>20</v>
      </c>
      <c r="G663" s="5" cm="1">
        <f t="array" ref="G663">IF((INDEX('Remplissage - Sit. Init.'!$C$473:$I$1088,MATCH((_xlfn.CONCAT("Catégorie "&amp;RIGHT(B663,2)))&amp;('Remplissage - Sit. Init.'!$D$483),('Remplissage - Sit. Init.'!$C$473:$C$1088)&amp;('Remplissage - Sit. Init.'!$D$473:$D$1088),0),7))&gt;0,1,0)</f>
        <v>0</v>
      </c>
      <c r="I663" s="33" t="s">
        <v>1466</v>
      </c>
      <c r="K663" s="8"/>
    </row>
    <row r="664" spans="1:12" x14ac:dyDescent="0.25">
      <c r="A664" t="s">
        <v>1465</v>
      </c>
      <c r="B664" t="s">
        <v>1553</v>
      </c>
      <c r="C664" t="s">
        <v>1472</v>
      </c>
      <c r="E664" t="str">
        <f t="shared" ref="E664" si="759">_xlfn.CONCAT("EvoFretFluvCat",RIGHT(B664,2),"NbTraj")</f>
        <v>EvoFretFluvCat16NbTraj</v>
      </c>
      <c r="F664" t="s">
        <v>17</v>
      </c>
      <c r="G664" s="5" cm="1">
        <f t="array" ref="G664">IF((INDEX('Remplissage - Sit. Init.'!$C$473:$I$1088,MATCH((_xlfn.CONCAT("Catégorie "&amp;RIGHT(B664,2)))&amp;('Remplissage - Sit. Init.'!$D$483),('Remplissage - Sit. Init.'!$C$473:$C$1088)&amp;('Remplissage - Sit. Init.'!$D$473:$D$1088),0),7))&gt;0,1,0)</f>
        <v>0</v>
      </c>
      <c r="H664" s="8"/>
      <c r="I664" s="33"/>
      <c r="J664" t="s">
        <v>70</v>
      </c>
      <c r="L664" s="114" t="s">
        <v>1478</v>
      </c>
    </row>
    <row r="665" spans="1:12" x14ac:dyDescent="0.25">
      <c r="A665" t="s">
        <v>1465</v>
      </c>
      <c r="B665" t="s">
        <v>1554</v>
      </c>
      <c r="C665" t="s">
        <v>1473</v>
      </c>
      <c r="E665" t="str">
        <f t="shared" ref="E665" si="760">_xlfn.CONCAT("EvoFretFluvCat",RIGHT(B665,2),"DistMoy")</f>
        <v>EvoFretFluvCat16DistMoy</v>
      </c>
      <c r="F665" t="s">
        <v>17</v>
      </c>
      <c r="G665" s="5" cm="1">
        <f t="array" ref="G665">IF((INDEX('Remplissage - Sit. Init.'!$C$473:$I$1088,MATCH((_xlfn.CONCAT("Catégorie "&amp;RIGHT(B665,2)))&amp;('Remplissage - Sit. Init.'!$D$483),('Remplissage - Sit. Init.'!$C$473:$C$1088)&amp;('Remplissage - Sit. Init.'!$D$473:$D$1088),0),7))&gt;0,1,0)</f>
        <v>0</v>
      </c>
      <c r="H665" s="8"/>
      <c r="I665" s="33"/>
      <c r="J665" t="s">
        <v>70</v>
      </c>
      <c r="L665" s="114" t="s">
        <v>1479</v>
      </c>
    </row>
    <row r="666" spans="1:12" x14ac:dyDescent="0.25">
      <c r="A666" t="s">
        <v>1465</v>
      </c>
      <c r="B666" t="s">
        <v>1555</v>
      </c>
      <c r="C666" t="s">
        <v>1474</v>
      </c>
      <c r="E666" t="str">
        <f t="shared" ref="E666" si="761">_xlfn.CONCAT("EvoFretFluvCat",RIGHT(B666,2),"EmportMoy")</f>
        <v>EvoFretFluvCat16EmportMoy</v>
      </c>
      <c r="F666" t="s">
        <v>17</v>
      </c>
      <c r="G666" s="5" cm="1">
        <f t="array" ref="G666">IF((INDEX('Remplissage - Sit. Init.'!$C$473:$I$1088,MATCH((_xlfn.CONCAT("Catégorie "&amp;RIGHT(B666,2)))&amp;('Remplissage - Sit. Init.'!$D$483),('Remplissage - Sit. Init.'!$C$473:$C$1088)&amp;('Remplissage - Sit. Init.'!$D$473:$D$1088),0),7))&gt;0,1,0)</f>
        <v>0</v>
      </c>
      <c r="H666" s="8"/>
      <c r="I666" s="33"/>
      <c r="J666" t="s">
        <v>70</v>
      </c>
      <c r="L666" s="114" t="s">
        <v>1480</v>
      </c>
    </row>
    <row r="667" spans="1:12" x14ac:dyDescent="0.25">
      <c r="A667" t="s">
        <v>1465</v>
      </c>
      <c r="B667" t="s">
        <v>1556</v>
      </c>
      <c r="C667" t="s">
        <v>1475</v>
      </c>
      <c r="E667" t="str">
        <f t="shared" ref="E667" si="762">_xlfn.CONCAT("EvoFretFluvCat",RIGHT(B667,2),"DistAn")</f>
        <v>EvoFretFluvCat16DistAn</v>
      </c>
      <c r="F667" t="s">
        <v>17</v>
      </c>
      <c r="G667" s="5" cm="1">
        <f t="array" ref="G667">IF((INDEX('Remplissage - Sit. Init.'!$C$473:$I$1088,MATCH((_xlfn.CONCAT("Catégorie "&amp;RIGHT(B667,2)))&amp;('Remplissage - Sit. Init.'!$D$483),('Remplissage - Sit. Init.'!$C$473:$C$1088)&amp;('Remplissage - Sit. Init.'!$D$473:$D$1088),0),7))&gt;0,1,0)</f>
        <v>0</v>
      </c>
      <c r="I667" s="33"/>
      <c r="J667" t="s">
        <v>70</v>
      </c>
      <c r="L667" s="114" t="s">
        <v>1479</v>
      </c>
    </row>
    <row r="668" spans="1:12" x14ac:dyDescent="0.25">
      <c r="A668" t="s">
        <v>1465</v>
      </c>
      <c r="B668" t="s">
        <v>1557</v>
      </c>
      <c r="C668" t="s">
        <v>1476</v>
      </c>
      <c r="E668" t="str">
        <f t="shared" ref="E668" si="763">_xlfn.CONCAT("EvoFretFluvCat",RIGHT(B668,2),"TauxChargeMoy")</f>
        <v>EvoFretFluvCat16TauxChargeMoy</v>
      </c>
      <c r="F668" t="s">
        <v>17</v>
      </c>
      <c r="G668" s="5" cm="1">
        <f t="array" ref="G668">IF((INDEX('Remplissage - Sit. Init.'!$C$473:$I$1088,MATCH((_xlfn.CONCAT("Catégorie "&amp;RIGHT(B668,2)))&amp;('Remplissage - Sit. Init.'!$D$483),('Remplissage - Sit. Init.'!$C$473:$C$1088)&amp;('Remplissage - Sit. Init.'!$D$473:$D$1088),0),7))&gt;0,1,0)</f>
        <v>0</v>
      </c>
      <c r="I668" s="33"/>
      <c r="J668" t="s">
        <v>70</v>
      </c>
      <c r="L668" s="114" t="s">
        <v>1481</v>
      </c>
    </row>
    <row r="669" spans="1:12" x14ac:dyDescent="0.25">
      <c r="A669" t="s">
        <v>1465</v>
      </c>
      <c r="B669" t="s">
        <v>1553</v>
      </c>
      <c r="C669" s="114" t="s">
        <v>1477</v>
      </c>
      <c r="E669" t="str">
        <f t="shared" ref="E669" si="764">_xlfn.CONCAT("EvoFretFluvCat",RIGHT(B669,2),"NbBarges")</f>
        <v>EvoFretFluvCat16NbBarges</v>
      </c>
      <c r="F669" t="s">
        <v>17</v>
      </c>
      <c r="G669" s="5" cm="1">
        <f t="array" ref="G669">IF((INDEX('Remplissage - Sit. Init.'!$C$473:$I$1088,MATCH((_xlfn.CONCAT("Catégorie "&amp;RIGHT(B669,2)))&amp;('Remplissage - Sit. Init.'!$D$483),('Remplissage - Sit. Init.'!$C$473:$C$1088)&amp;('Remplissage - Sit. Init.'!$D$473:$D$1088),0),7))&gt;0,1,0)</f>
        <v>0</v>
      </c>
      <c r="I669" s="33"/>
      <c r="J669" t="s">
        <v>70</v>
      </c>
      <c r="L669" s="114" t="s">
        <v>1482</v>
      </c>
    </row>
    <row r="670" spans="1:12" x14ac:dyDescent="0.25">
      <c r="A670" t="s">
        <v>1465</v>
      </c>
      <c r="B670" t="s">
        <v>1284</v>
      </c>
      <c r="C670" t="str">
        <f t="shared" ref="C670" ca="1" si="765">_xlfn.CONCAT("Pour l'évolution de l'activité associée à la catégorie de barges suivante, catégorie ",INDIRECT("'Parcs types'!C"&amp;D670),", préférez-vous renseigner : ")</f>
        <v xml:space="preserve">Pour l'évolution de l'activité associée à la catégorie de barges suivante, catégorie Automoteurs 650-999 tonnes Phase V, diesel, préférez-vous renseigner : </v>
      </c>
      <c r="D670">
        <v>81</v>
      </c>
      <c r="E670" t="str">
        <f t="shared" ref="E670" si="766">_xlfn.CONCAT("EvoFretFluvCat",RIGHT(B670,2),"Request")</f>
        <v>EvoFretFluvCat17Request</v>
      </c>
      <c r="F670" s="32" t="s">
        <v>20</v>
      </c>
      <c r="G670" s="5" cm="1">
        <f t="array" ref="G670">IF((INDEX('Remplissage - Sit. Init.'!$C$473:$I$1088,MATCH((_xlfn.CONCAT("Catégorie "&amp;RIGHT(B670,2)))&amp;('Remplissage - Sit. Init.'!$D$483),('Remplissage - Sit. Init.'!$C$473:$C$1088)&amp;('Remplissage - Sit. Init.'!$D$473:$D$1088),0),7))&gt;0,1,0)</f>
        <v>0</v>
      </c>
      <c r="I670" s="33" t="s">
        <v>1466</v>
      </c>
      <c r="K670" s="8"/>
    </row>
    <row r="671" spans="1:12" x14ac:dyDescent="0.25">
      <c r="A671" t="s">
        <v>1465</v>
      </c>
      <c r="B671" t="s">
        <v>1558</v>
      </c>
      <c r="C671" t="s">
        <v>1472</v>
      </c>
      <c r="E671" t="str">
        <f t="shared" ref="E671" si="767">_xlfn.CONCAT("EvoFretFluvCat",RIGHT(B671,2),"NbTraj")</f>
        <v>EvoFretFluvCat17NbTraj</v>
      </c>
      <c r="F671" t="s">
        <v>17</v>
      </c>
      <c r="G671" s="5" cm="1">
        <f t="array" ref="G671">IF((INDEX('Remplissage - Sit. Init.'!$C$473:$I$1088,MATCH((_xlfn.CONCAT("Catégorie "&amp;RIGHT(B671,2)))&amp;('Remplissage - Sit. Init.'!$D$483),('Remplissage - Sit. Init.'!$C$473:$C$1088)&amp;('Remplissage - Sit. Init.'!$D$473:$D$1088),0),7))&gt;0,1,0)</f>
        <v>0</v>
      </c>
      <c r="H671" s="8"/>
      <c r="I671" s="33"/>
      <c r="J671" t="s">
        <v>70</v>
      </c>
      <c r="L671" s="114" t="s">
        <v>1478</v>
      </c>
    </row>
    <row r="672" spans="1:12" x14ac:dyDescent="0.25">
      <c r="A672" t="s">
        <v>1465</v>
      </c>
      <c r="B672" t="s">
        <v>1559</v>
      </c>
      <c r="C672" t="s">
        <v>1473</v>
      </c>
      <c r="E672" t="str">
        <f t="shared" ref="E672" si="768">_xlfn.CONCAT("EvoFretFluvCat",RIGHT(B672,2),"DistMoy")</f>
        <v>EvoFretFluvCat17DistMoy</v>
      </c>
      <c r="F672" t="s">
        <v>17</v>
      </c>
      <c r="G672" s="5" cm="1">
        <f t="array" ref="G672">IF((INDEX('Remplissage - Sit. Init.'!$C$473:$I$1088,MATCH((_xlfn.CONCAT("Catégorie "&amp;RIGHT(B672,2)))&amp;('Remplissage - Sit. Init.'!$D$483),('Remplissage - Sit. Init.'!$C$473:$C$1088)&amp;('Remplissage - Sit. Init.'!$D$473:$D$1088),0),7))&gt;0,1,0)</f>
        <v>0</v>
      </c>
      <c r="H672" s="8"/>
      <c r="I672" s="33"/>
      <c r="J672" t="s">
        <v>70</v>
      </c>
      <c r="L672" s="114" t="s">
        <v>1479</v>
      </c>
    </row>
    <row r="673" spans="1:12" x14ac:dyDescent="0.25">
      <c r="A673" t="s">
        <v>1465</v>
      </c>
      <c r="B673" t="s">
        <v>1560</v>
      </c>
      <c r="C673" t="s">
        <v>1474</v>
      </c>
      <c r="E673" t="str">
        <f t="shared" ref="E673" si="769">_xlfn.CONCAT("EvoFretFluvCat",RIGHT(B673,2),"EmportMoy")</f>
        <v>EvoFretFluvCat17EmportMoy</v>
      </c>
      <c r="F673" t="s">
        <v>17</v>
      </c>
      <c r="G673" s="5" cm="1">
        <f t="array" ref="G673">IF((INDEX('Remplissage - Sit. Init.'!$C$473:$I$1088,MATCH((_xlfn.CONCAT("Catégorie "&amp;RIGHT(B673,2)))&amp;('Remplissage - Sit. Init.'!$D$483),('Remplissage - Sit. Init.'!$C$473:$C$1088)&amp;('Remplissage - Sit. Init.'!$D$473:$D$1088),0),7))&gt;0,1,0)</f>
        <v>0</v>
      </c>
      <c r="H673" s="8"/>
      <c r="I673" s="33"/>
      <c r="J673" t="s">
        <v>70</v>
      </c>
      <c r="L673" s="114" t="s">
        <v>1480</v>
      </c>
    </row>
    <row r="674" spans="1:12" x14ac:dyDescent="0.25">
      <c r="A674" t="s">
        <v>1465</v>
      </c>
      <c r="B674" t="s">
        <v>1561</v>
      </c>
      <c r="C674" t="s">
        <v>1475</v>
      </c>
      <c r="E674" t="str">
        <f t="shared" ref="E674" si="770">_xlfn.CONCAT("EvoFretFluvCat",RIGHT(B674,2),"DistAn")</f>
        <v>EvoFretFluvCat17DistAn</v>
      </c>
      <c r="F674" t="s">
        <v>17</v>
      </c>
      <c r="G674" s="5" cm="1">
        <f t="array" ref="G674">IF((INDEX('Remplissage - Sit. Init.'!$C$473:$I$1088,MATCH((_xlfn.CONCAT("Catégorie "&amp;RIGHT(B674,2)))&amp;('Remplissage - Sit. Init.'!$D$483),('Remplissage - Sit. Init.'!$C$473:$C$1088)&amp;('Remplissage - Sit. Init.'!$D$473:$D$1088),0),7))&gt;0,1,0)</f>
        <v>0</v>
      </c>
      <c r="I674" s="33"/>
      <c r="J674" t="s">
        <v>70</v>
      </c>
      <c r="L674" s="114" t="s">
        <v>1479</v>
      </c>
    </row>
    <row r="675" spans="1:12" x14ac:dyDescent="0.25">
      <c r="A675" t="s">
        <v>1465</v>
      </c>
      <c r="B675" t="s">
        <v>1562</v>
      </c>
      <c r="C675" t="s">
        <v>1476</v>
      </c>
      <c r="E675" t="str">
        <f t="shared" ref="E675" si="771">_xlfn.CONCAT("EvoFretFluvCat",RIGHT(B675,2),"TauxChargeMoy")</f>
        <v>EvoFretFluvCat17TauxChargeMoy</v>
      </c>
      <c r="F675" t="s">
        <v>17</v>
      </c>
      <c r="G675" s="5" cm="1">
        <f t="array" ref="G675">IF((INDEX('Remplissage - Sit. Init.'!$C$473:$I$1088,MATCH((_xlfn.CONCAT("Catégorie "&amp;RIGHT(B675,2)))&amp;('Remplissage - Sit. Init.'!$D$483),('Remplissage - Sit. Init.'!$C$473:$C$1088)&amp;('Remplissage - Sit. Init.'!$D$473:$D$1088),0),7))&gt;0,1,0)</f>
        <v>0</v>
      </c>
      <c r="I675" s="33"/>
      <c r="J675" t="s">
        <v>70</v>
      </c>
      <c r="L675" s="114" t="s">
        <v>1481</v>
      </c>
    </row>
    <row r="676" spans="1:12" x14ac:dyDescent="0.25">
      <c r="A676" t="s">
        <v>1465</v>
      </c>
      <c r="B676" t="s">
        <v>1558</v>
      </c>
      <c r="C676" s="114" t="s">
        <v>1477</v>
      </c>
      <c r="E676" t="str">
        <f t="shared" ref="E676" si="772">_xlfn.CONCAT("EvoFretFluvCat",RIGHT(B676,2),"NbBarges")</f>
        <v>EvoFretFluvCat17NbBarges</v>
      </c>
      <c r="F676" t="s">
        <v>17</v>
      </c>
      <c r="G676" s="5" cm="1">
        <f t="array" ref="G676">IF((INDEX('Remplissage - Sit. Init.'!$C$473:$I$1088,MATCH((_xlfn.CONCAT("Catégorie "&amp;RIGHT(B676,2)))&amp;('Remplissage - Sit. Init.'!$D$483),('Remplissage - Sit. Init.'!$C$473:$C$1088)&amp;('Remplissage - Sit. Init.'!$D$473:$D$1088),0),7))&gt;0,1,0)</f>
        <v>0</v>
      </c>
      <c r="I676" s="33"/>
      <c r="J676" t="s">
        <v>70</v>
      </c>
      <c r="L676" s="114" t="s">
        <v>1482</v>
      </c>
    </row>
    <row r="677" spans="1:12" x14ac:dyDescent="0.25">
      <c r="A677" t="s">
        <v>1465</v>
      </c>
      <c r="B677" t="s">
        <v>1286</v>
      </c>
      <c r="C677" t="str">
        <f t="shared" ref="C677" ca="1" si="773">_xlfn.CONCAT("Pour l'évolution de l'activité associée à la catégorie de barges suivante, catégorie ",INDIRECT("'Parcs types'!C"&amp;D677),", préférez-vous renseigner : ")</f>
        <v xml:space="preserve">Pour l'évolution de l'activité associée à la catégorie de barges suivante, catégorie Automoteurs 650-999 tonnes Phase V, HVO, préférez-vous renseigner : </v>
      </c>
      <c r="D677">
        <v>82</v>
      </c>
      <c r="E677" t="str">
        <f t="shared" ref="E677" si="774">_xlfn.CONCAT("EvoFretFluvCat",RIGHT(B677,2),"Request")</f>
        <v>EvoFretFluvCat18Request</v>
      </c>
      <c r="F677" s="32" t="s">
        <v>20</v>
      </c>
      <c r="G677" s="5" cm="1">
        <f t="array" ref="G677">IF((INDEX('Remplissage - Sit. Init.'!$C$473:$I$1088,MATCH((_xlfn.CONCAT("Catégorie "&amp;RIGHT(B677,2)))&amp;('Remplissage - Sit. Init.'!$D$483),('Remplissage - Sit. Init.'!$C$473:$C$1088)&amp;('Remplissage - Sit. Init.'!$D$473:$D$1088),0),7))&gt;0,1,0)</f>
        <v>0</v>
      </c>
      <c r="I677" s="33" t="s">
        <v>1466</v>
      </c>
      <c r="K677" s="8"/>
    </row>
    <row r="678" spans="1:12" x14ac:dyDescent="0.25">
      <c r="A678" t="s">
        <v>1465</v>
      </c>
      <c r="B678" t="s">
        <v>1563</v>
      </c>
      <c r="C678" t="s">
        <v>1472</v>
      </c>
      <c r="E678" t="str">
        <f t="shared" ref="E678" si="775">_xlfn.CONCAT("EvoFretFluvCat",RIGHT(B678,2),"NbTraj")</f>
        <v>EvoFretFluvCat18NbTraj</v>
      </c>
      <c r="F678" t="s">
        <v>17</v>
      </c>
      <c r="G678" s="5" cm="1">
        <f t="array" ref="G678">IF((INDEX('Remplissage - Sit. Init.'!$C$473:$I$1088,MATCH((_xlfn.CONCAT("Catégorie "&amp;RIGHT(B678,2)))&amp;('Remplissage - Sit. Init.'!$D$483),('Remplissage - Sit. Init.'!$C$473:$C$1088)&amp;('Remplissage - Sit. Init.'!$D$473:$D$1088),0),7))&gt;0,1,0)</f>
        <v>0</v>
      </c>
      <c r="H678" s="8"/>
      <c r="I678" s="33"/>
      <c r="J678" t="s">
        <v>70</v>
      </c>
      <c r="L678" s="114" t="s">
        <v>1478</v>
      </c>
    </row>
    <row r="679" spans="1:12" x14ac:dyDescent="0.25">
      <c r="A679" t="s">
        <v>1465</v>
      </c>
      <c r="B679" t="s">
        <v>1564</v>
      </c>
      <c r="C679" t="s">
        <v>1473</v>
      </c>
      <c r="E679" t="str">
        <f t="shared" ref="E679" si="776">_xlfn.CONCAT("EvoFretFluvCat",RIGHT(B679,2),"DistMoy")</f>
        <v>EvoFretFluvCat18DistMoy</v>
      </c>
      <c r="F679" t="s">
        <v>17</v>
      </c>
      <c r="G679" s="5" cm="1">
        <f t="array" ref="G679">IF((INDEX('Remplissage - Sit. Init.'!$C$473:$I$1088,MATCH((_xlfn.CONCAT("Catégorie "&amp;RIGHT(B679,2)))&amp;('Remplissage - Sit. Init.'!$D$483),('Remplissage - Sit. Init.'!$C$473:$C$1088)&amp;('Remplissage - Sit. Init.'!$D$473:$D$1088),0),7))&gt;0,1,0)</f>
        <v>0</v>
      </c>
      <c r="H679" s="8"/>
      <c r="I679" s="33"/>
      <c r="J679" t="s">
        <v>70</v>
      </c>
      <c r="L679" s="114" t="s">
        <v>1479</v>
      </c>
    </row>
    <row r="680" spans="1:12" x14ac:dyDescent="0.25">
      <c r="A680" t="s">
        <v>1465</v>
      </c>
      <c r="B680" t="s">
        <v>1565</v>
      </c>
      <c r="C680" t="s">
        <v>1474</v>
      </c>
      <c r="E680" t="str">
        <f t="shared" ref="E680" si="777">_xlfn.CONCAT("EvoFretFluvCat",RIGHT(B680,2),"EmportMoy")</f>
        <v>EvoFretFluvCat18EmportMoy</v>
      </c>
      <c r="F680" t="s">
        <v>17</v>
      </c>
      <c r="G680" s="5" cm="1">
        <f t="array" ref="G680">IF((INDEX('Remplissage - Sit. Init.'!$C$473:$I$1088,MATCH((_xlfn.CONCAT("Catégorie "&amp;RIGHT(B680,2)))&amp;('Remplissage - Sit. Init.'!$D$483),('Remplissage - Sit. Init.'!$C$473:$C$1088)&amp;('Remplissage - Sit. Init.'!$D$473:$D$1088),0),7))&gt;0,1,0)</f>
        <v>0</v>
      </c>
      <c r="H680" s="8"/>
      <c r="I680" s="33"/>
      <c r="J680" t="s">
        <v>70</v>
      </c>
      <c r="L680" s="114" t="s">
        <v>1480</v>
      </c>
    </row>
    <row r="681" spans="1:12" x14ac:dyDescent="0.25">
      <c r="A681" t="s">
        <v>1465</v>
      </c>
      <c r="B681" t="s">
        <v>1566</v>
      </c>
      <c r="C681" t="s">
        <v>1475</v>
      </c>
      <c r="E681" t="str">
        <f t="shared" ref="E681" si="778">_xlfn.CONCAT("EvoFretFluvCat",RIGHT(B681,2),"DistAn")</f>
        <v>EvoFretFluvCat18DistAn</v>
      </c>
      <c r="F681" t="s">
        <v>17</v>
      </c>
      <c r="G681" s="5" cm="1">
        <f t="array" ref="G681">IF((INDEX('Remplissage - Sit. Init.'!$C$473:$I$1088,MATCH((_xlfn.CONCAT("Catégorie "&amp;RIGHT(B681,2)))&amp;('Remplissage - Sit. Init.'!$D$483),('Remplissage - Sit. Init.'!$C$473:$C$1088)&amp;('Remplissage - Sit. Init.'!$D$473:$D$1088),0),7))&gt;0,1,0)</f>
        <v>0</v>
      </c>
      <c r="I681" s="33"/>
      <c r="J681" t="s">
        <v>70</v>
      </c>
      <c r="L681" s="114" t="s">
        <v>1479</v>
      </c>
    </row>
    <row r="682" spans="1:12" x14ac:dyDescent="0.25">
      <c r="A682" t="s">
        <v>1465</v>
      </c>
      <c r="B682" t="s">
        <v>1567</v>
      </c>
      <c r="C682" t="s">
        <v>1476</v>
      </c>
      <c r="E682" t="str">
        <f t="shared" ref="E682" si="779">_xlfn.CONCAT("EvoFretFluvCat",RIGHT(B682,2),"TauxChargeMoy")</f>
        <v>EvoFretFluvCat18TauxChargeMoy</v>
      </c>
      <c r="F682" t="s">
        <v>17</v>
      </c>
      <c r="G682" s="5" cm="1">
        <f t="array" ref="G682">IF((INDEX('Remplissage - Sit. Init.'!$C$473:$I$1088,MATCH((_xlfn.CONCAT("Catégorie "&amp;RIGHT(B682,2)))&amp;('Remplissage - Sit. Init.'!$D$483),('Remplissage - Sit. Init.'!$C$473:$C$1088)&amp;('Remplissage - Sit. Init.'!$D$473:$D$1088),0),7))&gt;0,1,0)</f>
        <v>0</v>
      </c>
      <c r="I682" s="33"/>
      <c r="J682" t="s">
        <v>70</v>
      </c>
      <c r="L682" s="114" t="s">
        <v>1481</v>
      </c>
    </row>
    <row r="683" spans="1:12" x14ac:dyDescent="0.25">
      <c r="A683" t="s">
        <v>1465</v>
      </c>
      <c r="B683" t="s">
        <v>1563</v>
      </c>
      <c r="C683" s="114" t="s">
        <v>1477</v>
      </c>
      <c r="E683" t="str">
        <f t="shared" ref="E683" si="780">_xlfn.CONCAT("EvoFretFluvCat",RIGHT(B683,2),"NbBarges")</f>
        <v>EvoFretFluvCat18NbBarges</v>
      </c>
      <c r="F683" t="s">
        <v>17</v>
      </c>
      <c r="G683" s="5" cm="1">
        <f t="array" ref="G683">IF((INDEX('Remplissage - Sit. Init.'!$C$473:$I$1088,MATCH((_xlfn.CONCAT("Catégorie "&amp;RIGHT(B683,2)))&amp;('Remplissage - Sit. Init.'!$D$483),('Remplissage - Sit. Init.'!$C$473:$C$1088)&amp;('Remplissage - Sit. Init.'!$D$473:$D$1088),0),7))&gt;0,1,0)</f>
        <v>0</v>
      </c>
      <c r="I683" s="33"/>
      <c r="J683" t="s">
        <v>70</v>
      </c>
      <c r="L683" s="114" t="s">
        <v>1482</v>
      </c>
    </row>
    <row r="684" spans="1:12" x14ac:dyDescent="0.25">
      <c r="A684" t="s">
        <v>1465</v>
      </c>
      <c r="B684" t="s">
        <v>1288</v>
      </c>
      <c r="C684" t="str">
        <f t="shared" ref="C684" ca="1" si="781">_xlfn.CONCAT("Pour l'évolution de l'activité associée à la catégorie de barges suivante, catégorie ",INDIRECT("'Parcs types'!C"&amp;D684),", préférez-vous renseigner : ")</f>
        <v xml:space="preserve">Pour l'évolution de l'activité associée à la catégorie de barges suivante, catégorie Automoteurs 650-999 tonnes Batterie, préférez-vous renseigner : </v>
      </c>
      <c r="D684">
        <v>83</v>
      </c>
      <c r="E684" t="str">
        <f t="shared" ref="E684" si="782">_xlfn.CONCAT("EvoFretFluvCat",RIGHT(B684,2),"Request")</f>
        <v>EvoFretFluvCat19Request</v>
      </c>
      <c r="F684" s="32" t="s">
        <v>20</v>
      </c>
      <c r="G684" s="5" cm="1">
        <f t="array" ref="G684">IF((INDEX('Remplissage - Sit. Init.'!$C$473:$I$1088,MATCH((_xlfn.CONCAT("Catégorie "&amp;RIGHT(B684,2)))&amp;('Remplissage - Sit. Init.'!$D$483),('Remplissage - Sit. Init.'!$C$473:$C$1088)&amp;('Remplissage - Sit. Init.'!$D$473:$D$1088),0),7))&gt;0,1,0)</f>
        <v>0</v>
      </c>
      <c r="I684" s="33" t="s">
        <v>1466</v>
      </c>
      <c r="K684" s="8"/>
    </row>
    <row r="685" spans="1:12" x14ac:dyDescent="0.25">
      <c r="A685" t="s">
        <v>1465</v>
      </c>
      <c r="B685" t="s">
        <v>1568</v>
      </c>
      <c r="C685" t="s">
        <v>1472</v>
      </c>
      <c r="E685" t="str">
        <f t="shared" ref="E685" si="783">_xlfn.CONCAT("EvoFretFluvCat",RIGHT(B685,2),"NbTraj")</f>
        <v>EvoFretFluvCat19NbTraj</v>
      </c>
      <c r="F685" t="s">
        <v>17</v>
      </c>
      <c r="G685" s="5" cm="1">
        <f t="array" ref="G685">IF((INDEX('Remplissage - Sit. Init.'!$C$473:$I$1088,MATCH((_xlfn.CONCAT("Catégorie "&amp;RIGHT(B685,2)))&amp;('Remplissage - Sit. Init.'!$D$483),('Remplissage - Sit. Init.'!$C$473:$C$1088)&amp;('Remplissage - Sit. Init.'!$D$473:$D$1088),0),7))&gt;0,1,0)</f>
        <v>0</v>
      </c>
      <c r="H685" s="8"/>
      <c r="I685" s="33"/>
      <c r="J685" t="s">
        <v>70</v>
      </c>
      <c r="L685" s="114" t="s">
        <v>1478</v>
      </c>
    </row>
    <row r="686" spans="1:12" x14ac:dyDescent="0.25">
      <c r="A686" t="s">
        <v>1465</v>
      </c>
      <c r="B686" t="s">
        <v>1569</v>
      </c>
      <c r="C686" t="s">
        <v>1473</v>
      </c>
      <c r="E686" t="str">
        <f t="shared" ref="E686" si="784">_xlfn.CONCAT("EvoFretFluvCat",RIGHT(B686,2),"DistMoy")</f>
        <v>EvoFretFluvCat19DistMoy</v>
      </c>
      <c r="F686" t="s">
        <v>17</v>
      </c>
      <c r="G686" s="5" cm="1">
        <f t="array" ref="G686">IF((INDEX('Remplissage - Sit. Init.'!$C$473:$I$1088,MATCH((_xlfn.CONCAT("Catégorie "&amp;RIGHT(B686,2)))&amp;('Remplissage - Sit. Init.'!$D$483),('Remplissage - Sit. Init.'!$C$473:$C$1088)&amp;('Remplissage - Sit. Init.'!$D$473:$D$1088),0),7))&gt;0,1,0)</f>
        <v>0</v>
      </c>
      <c r="H686" s="8"/>
      <c r="I686" s="33"/>
      <c r="J686" t="s">
        <v>70</v>
      </c>
      <c r="L686" s="114" t="s">
        <v>1479</v>
      </c>
    </row>
    <row r="687" spans="1:12" x14ac:dyDescent="0.25">
      <c r="A687" t="s">
        <v>1465</v>
      </c>
      <c r="B687" t="s">
        <v>1570</v>
      </c>
      <c r="C687" t="s">
        <v>1474</v>
      </c>
      <c r="E687" t="str">
        <f t="shared" ref="E687" si="785">_xlfn.CONCAT("EvoFretFluvCat",RIGHT(B687,2),"EmportMoy")</f>
        <v>EvoFretFluvCat19EmportMoy</v>
      </c>
      <c r="F687" t="s">
        <v>17</v>
      </c>
      <c r="G687" s="5" cm="1">
        <f t="array" ref="G687">IF((INDEX('Remplissage - Sit. Init.'!$C$473:$I$1088,MATCH((_xlfn.CONCAT("Catégorie "&amp;RIGHT(B687,2)))&amp;('Remplissage - Sit. Init.'!$D$483),('Remplissage - Sit. Init.'!$C$473:$C$1088)&amp;('Remplissage - Sit. Init.'!$D$473:$D$1088),0),7))&gt;0,1,0)</f>
        <v>0</v>
      </c>
      <c r="H687" s="8"/>
      <c r="I687" s="33"/>
      <c r="J687" t="s">
        <v>70</v>
      </c>
      <c r="L687" s="114" t="s">
        <v>1480</v>
      </c>
    </row>
    <row r="688" spans="1:12" x14ac:dyDescent="0.25">
      <c r="A688" t="s">
        <v>1465</v>
      </c>
      <c r="B688" t="s">
        <v>1571</v>
      </c>
      <c r="C688" t="s">
        <v>1475</v>
      </c>
      <c r="E688" t="str">
        <f t="shared" ref="E688" si="786">_xlfn.CONCAT("EvoFretFluvCat",RIGHT(B688,2),"DistAn")</f>
        <v>EvoFretFluvCat19DistAn</v>
      </c>
      <c r="F688" t="s">
        <v>17</v>
      </c>
      <c r="G688" s="5" cm="1">
        <f t="array" ref="G688">IF((INDEX('Remplissage - Sit. Init.'!$C$473:$I$1088,MATCH((_xlfn.CONCAT("Catégorie "&amp;RIGHT(B688,2)))&amp;('Remplissage - Sit. Init.'!$D$483),('Remplissage - Sit. Init.'!$C$473:$C$1088)&amp;('Remplissage - Sit. Init.'!$D$473:$D$1088),0),7))&gt;0,1,0)</f>
        <v>0</v>
      </c>
      <c r="I688" s="33"/>
      <c r="J688" t="s">
        <v>70</v>
      </c>
      <c r="L688" s="114" t="s">
        <v>1479</v>
      </c>
    </row>
    <row r="689" spans="1:12" x14ac:dyDescent="0.25">
      <c r="A689" t="s">
        <v>1465</v>
      </c>
      <c r="B689" t="s">
        <v>1572</v>
      </c>
      <c r="C689" t="s">
        <v>1476</v>
      </c>
      <c r="E689" t="str">
        <f t="shared" ref="E689" si="787">_xlfn.CONCAT("EvoFretFluvCat",RIGHT(B689,2),"TauxChargeMoy")</f>
        <v>EvoFretFluvCat19TauxChargeMoy</v>
      </c>
      <c r="F689" t="s">
        <v>17</v>
      </c>
      <c r="G689" s="5" cm="1">
        <f t="array" ref="G689">IF((INDEX('Remplissage - Sit. Init.'!$C$473:$I$1088,MATCH((_xlfn.CONCAT("Catégorie "&amp;RIGHT(B689,2)))&amp;('Remplissage - Sit. Init.'!$D$483),('Remplissage - Sit. Init.'!$C$473:$C$1088)&amp;('Remplissage - Sit. Init.'!$D$473:$D$1088),0),7))&gt;0,1,0)</f>
        <v>0</v>
      </c>
      <c r="I689" s="33"/>
      <c r="J689" t="s">
        <v>70</v>
      </c>
      <c r="L689" s="114" t="s">
        <v>1481</v>
      </c>
    </row>
    <row r="690" spans="1:12" x14ac:dyDescent="0.25">
      <c r="A690" t="s">
        <v>1465</v>
      </c>
      <c r="B690" t="s">
        <v>1568</v>
      </c>
      <c r="C690" s="114" t="s">
        <v>1477</v>
      </c>
      <c r="E690" t="str">
        <f t="shared" ref="E690" si="788">_xlfn.CONCAT("EvoFretFluvCat",RIGHT(B690,2),"NbBarges")</f>
        <v>EvoFretFluvCat19NbBarges</v>
      </c>
      <c r="F690" t="s">
        <v>17</v>
      </c>
      <c r="G690" s="5" cm="1">
        <f t="array" ref="G690">IF((INDEX('Remplissage - Sit. Init.'!$C$473:$I$1088,MATCH((_xlfn.CONCAT("Catégorie "&amp;RIGHT(B690,2)))&amp;('Remplissage - Sit. Init.'!$D$483),('Remplissage - Sit. Init.'!$C$473:$C$1088)&amp;('Remplissage - Sit. Init.'!$D$473:$D$1088),0),7))&gt;0,1,0)</f>
        <v>0</v>
      </c>
      <c r="I690" s="33"/>
      <c r="J690" t="s">
        <v>70</v>
      </c>
      <c r="L690" s="114" t="s">
        <v>1482</v>
      </c>
    </row>
    <row r="691" spans="1:12" x14ac:dyDescent="0.25">
      <c r="A691" t="s">
        <v>1465</v>
      </c>
      <c r="B691" t="s">
        <v>1290</v>
      </c>
      <c r="C691" t="str">
        <f t="shared" ref="C691" ca="1" si="789">_xlfn.CONCAT("Pour l'évolution de l'activité associée à la catégorie de barges suivante, catégorie ",INDIRECT("'Parcs types'!C"&amp;D691),", préférez-vous renseigner : ")</f>
        <v xml:space="preserve">Pour l'évolution de l'activité associée à la catégorie de barges suivante, catégorie Automoteurs 650-999 tonnes H2 , PAC, préférez-vous renseigner : </v>
      </c>
      <c r="D691">
        <v>84</v>
      </c>
      <c r="E691" t="str">
        <f t="shared" ref="E691" si="790">_xlfn.CONCAT("EvoFretFluvCat",RIGHT(B691,2),"Request")</f>
        <v>EvoFretFluvCat20Request</v>
      </c>
      <c r="F691" s="32" t="s">
        <v>20</v>
      </c>
      <c r="G691" s="5" cm="1">
        <f t="array" ref="G691">IF((INDEX('Remplissage - Sit. Init.'!$C$473:$I$1088,MATCH((_xlfn.CONCAT("Catégorie "&amp;RIGHT(B691,2)))&amp;('Remplissage - Sit. Init.'!$D$483),('Remplissage - Sit. Init.'!$C$473:$C$1088)&amp;('Remplissage - Sit. Init.'!$D$473:$D$1088),0),7))&gt;0,1,0)</f>
        <v>0</v>
      </c>
      <c r="I691" s="33" t="s">
        <v>1466</v>
      </c>
      <c r="K691" s="8"/>
    </row>
    <row r="692" spans="1:12" x14ac:dyDescent="0.25">
      <c r="A692" t="s">
        <v>1465</v>
      </c>
      <c r="B692" t="s">
        <v>1573</v>
      </c>
      <c r="C692" t="s">
        <v>1472</v>
      </c>
      <c r="E692" t="str">
        <f t="shared" ref="E692" si="791">_xlfn.CONCAT("EvoFretFluvCat",RIGHT(B692,2),"NbTraj")</f>
        <v>EvoFretFluvCat20NbTraj</v>
      </c>
      <c r="F692" t="s">
        <v>17</v>
      </c>
      <c r="G692" s="5" cm="1">
        <f t="array" ref="G692">IF((INDEX('Remplissage - Sit. Init.'!$C$473:$I$1088,MATCH((_xlfn.CONCAT("Catégorie "&amp;RIGHT(B692,2)))&amp;('Remplissage - Sit. Init.'!$D$483),('Remplissage - Sit. Init.'!$C$473:$C$1088)&amp;('Remplissage - Sit. Init.'!$D$473:$D$1088),0),7))&gt;0,1,0)</f>
        <v>0</v>
      </c>
      <c r="H692" s="8"/>
      <c r="I692" s="33"/>
      <c r="J692" t="s">
        <v>70</v>
      </c>
      <c r="L692" s="114" t="s">
        <v>1478</v>
      </c>
    </row>
    <row r="693" spans="1:12" x14ac:dyDescent="0.25">
      <c r="A693" t="s">
        <v>1465</v>
      </c>
      <c r="B693" t="s">
        <v>1574</v>
      </c>
      <c r="C693" t="s">
        <v>1473</v>
      </c>
      <c r="E693" t="str">
        <f t="shared" ref="E693" si="792">_xlfn.CONCAT("EvoFretFluvCat",RIGHT(B693,2),"DistMoy")</f>
        <v>EvoFretFluvCat20DistMoy</v>
      </c>
      <c r="F693" t="s">
        <v>17</v>
      </c>
      <c r="G693" s="5" cm="1">
        <f t="array" ref="G693">IF((INDEX('Remplissage - Sit. Init.'!$C$473:$I$1088,MATCH((_xlfn.CONCAT("Catégorie "&amp;RIGHT(B693,2)))&amp;('Remplissage - Sit. Init.'!$D$483),('Remplissage - Sit. Init.'!$C$473:$C$1088)&amp;('Remplissage - Sit. Init.'!$D$473:$D$1088),0),7))&gt;0,1,0)</f>
        <v>0</v>
      </c>
      <c r="H693" s="8"/>
      <c r="I693" s="33"/>
      <c r="J693" t="s">
        <v>70</v>
      </c>
      <c r="L693" s="114" t="s">
        <v>1479</v>
      </c>
    </row>
    <row r="694" spans="1:12" x14ac:dyDescent="0.25">
      <c r="A694" t="s">
        <v>1465</v>
      </c>
      <c r="B694" t="s">
        <v>1575</v>
      </c>
      <c r="C694" t="s">
        <v>1474</v>
      </c>
      <c r="E694" t="str">
        <f t="shared" ref="E694" si="793">_xlfn.CONCAT("EvoFretFluvCat",RIGHT(B694,2),"EmportMoy")</f>
        <v>EvoFretFluvCat20EmportMoy</v>
      </c>
      <c r="F694" t="s">
        <v>17</v>
      </c>
      <c r="G694" s="5" cm="1">
        <f t="array" ref="G694">IF((INDEX('Remplissage - Sit. Init.'!$C$473:$I$1088,MATCH((_xlfn.CONCAT("Catégorie "&amp;RIGHT(B694,2)))&amp;('Remplissage - Sit. Init.'!$D$483),('Remplissage - Sit. Init.'!$C$473:$C$1088)&amp;('Remplissage - Sit. Init.'!$D$473:$D$1088),0),7))&gt;0,1,0)</f>
        <v>0</v>
      </c>
      <c r="H694" s="8"/>
      <c r="I694" s="33"/>
      <c r="J694" t="s">
        <v>70</v>
      </c>
      <c r="L694" s="114" t="s">
        <v>1480</v>
      </c>
    </row>
    <row r="695" spans="1:12" x14ac:dyDescent="0.25">
      <c r="A695" t="s">
        <v>1465</v>
      </c>
      <c r="B695" t="s">
        <v>1576</v>
      </c>
      <c r="C695" t="s">
        <v>1475</v>
      </c>
      <c r="E695" t="str">
        <f t="shared" ref="E695" si="794">_xlfn.CONCAT("EvoFretFluvCat",RIGHT(B695,2),"DistAn")</f>
        <v>EvoFretFluvCat20DistAn</v>
      </c>
      <c r="F695" t="s">
        <v>17</v>
      </c>
      <c r="G695" s="5" cm="1">
        <f t="array" ref="G695">IF((INDEX('Remplissage - Sit. Init.'!$C$473:$I$1088,MATCH((_xlfn.CONCAT("Catégorie "&amp;RIGHT(B695,2)))&amp;('Remplissage - Sit. Init.'!$D$483),('Remplissage - Sit. Init.'!$C$473:$C$1088)&amp;('Remplissage - Sit. Init.'!$D$473:$D$1088),0),7))&gt;0,1,0)</f>
        <v>0</v>
      </c>
      <c r="I695" s="33"/>
      <c r="J695" t="s">
        <v>70</v>
      </c>
      <c r="L695" s="114" t="s">
        <v>1479</v>
      </c>
    </row>
    <row r="696" spans="1:12" x14ac:dyDescent="0.25">
      <c r="A696" t="s">
        <v>1465</v>
      </c>
      <c r="B696" t="s">
        <v>1577</v>
      </c>
      <c r="C696" t="s">
        <v>1476</v>
      </c>
      <c r="E696" t="str">
        <f t="shared" ref="E696" si="795">_xlfn.CONCAT("EvoFretFluvCat",RIGHT(B696,2),"TauxChargeMoy")</f>
        <v>EvoFretFluvCat20TauxChargeMoy</v>
      </c>
      <c r="F696" t="s">
        <v>17</v>
      </c>
      <c r="G696" s="5" cm="1">
        <f t="array" ref="G696">IF((INDEX('Remplissage - Sit. Init.'!$C$473:$I$1088,MATCH((_xlfn.CONCAT("Catégorie "&amp;RIGHT(B696,2)))&amp;('Remplissage - Sit. Init.'!$D$483),('Remplissage - Sit. Init.'!$C$473:$C$1088)&amp;('Remplissage - Sit. Init.'!$D$473:$D$1088),0),7))&gt;0,1,0)</f>
        <v>0</v>
      </c>
      <c r="I696" s="33"/>
      <c r="J696" t="s">
        <v>70</v>
      </c>
      <c r="L696" s="114" t="s">
        <v>1481</v>
      </c>
    </row>
    <row r="697" spans="1:12" x14ac:dyDescent="0.25">
      <c r="A697" t="s">
        <v>1465</v>
      </c>
      <c r="B697" t="s">
        <v>1573</v>
      </c>
      <c r="C697" s="114" t="s">
        <v>1477</v>
      </c>
      <c r="E697" t="str">
        <f t="shared" ref="E697" si="796">_xlfn.CONCAT("EvoFretFluvCat",RIGHT(B697,2),"NbBarges")</f>
        <v>EvoFretFluvCat20NbBarges</v>
      </c>
      <c r="F697" t="s">
        <v>17</v>
      </c>
      <c r="G697" s="5" cm="1">
        <f t="array" ref="G697">IF((INDEX('Remplissage - Sit. Init.'!$C$473:$I$1088,MATCH((_xlfn.CONCAT("Catégorie "&amp;RIGHT(B697,2)))&amp;('Remplissage - Sit. Init.'!$D$483),('Remplissage - Sit. Init.'!$C$473:$C$1088)&amp;('Remplissage - Sit. Init.'!$D$473:$D$1088),0),7))&gt;0,1,0)</f>
        <v>0</v>
      </c>
      <c r="I697" s="33"/>
      <c r="J697" t="s">
        <v>70</v>
      </c>
      <c r="L697" s="114" t="s">
        <v>1482</v>
      </c>
    </row>
    <row r="698" spans="1:12" x14ac:dyDescent="0.25">
      <c r="A698" t="s">
        <v>1465</v>
      </c>
      <c r="B698" t="s">
        <v>1292</v>
      </c>
      <c r="C698" t="str">
        <f t="shared" ref="C698" ca="1" si="797">_xlfn.CONCAT("Pour l'évolution de l'activité associée à la catégorie de barges suivante, catégorie ",INDIRECT("'Parcs types'!C"&amp;D698),", préférez-vous renseigner : ")</f>
        <v xml:space="preserve">Pour l'évolution de l'activité associée à la catégorie de barges suivante, catégorie Automoteurs 650-999 tonnes H2 , ICE, préférez-vous renseigner : </v>
      </c>
      <c r="D698">
        <v>85</v>
      </c>
      <c r="E698" t="str">
        <f t="shared" ref="E698" si="798">_xlfn.CONCAT("EvoFretFluvCat",RIGHT(B698,2),"Request")</f>
        <v>EvoFretFluvCat21Request</v>
      </c>
      <c r="F698" s="32" t="s">
        <v>20</v>
      </c>
      <c r="G698" s="5" cm="1">
        <f t="array" ref="G698">IF((INDEX('Remplissage - Sit. Init.'!$C$473:$I$1088,MATCH((_xlfn.CONCAT("Catégorie "&amp;RIGHT(B698,2)))&amp;('Remplissage - Sit. Init.'!$D$483),('Remplissage - Sit. Init.'!$C$473:$C$1088)&amp;('Remplissage - Sit. Init.'!$D$473:$D$1088),0),7))&gt;0,1,0)</f>
        <v>0</v>
      </c>
      <c r="I698" s="33" t="s">
        <v>1466</v>
      </c>
      <c r="K698" s="8"/>
    </row>
    <row r="699" spans="1:12" x14ac:dyDescent="0.25">
      <c r="A699" t="s">
        <v>1465</v>
      </c>
      <c r="B699" t="s">
        <v>1578</v>
      </c>
      <c r="C699" t="s">
        <v>1472</v>
      </c>
      <c r="E699" t="str">
        <f t="shared" ref="E699" si="799">_xlfn.CONCAT("EvoFretFluvCat",RIGHT(B699,2),"NbTraj")</f>
        <v>EvoFretFluvCat21NbTraj</v>
      </c>
      <c r="F699" t="s">
        <v>17</v>
      </c>
      <c r="G699" s="5" cm="1">
        <f t="array" ref="G699">IF((INDEX('Remplissage - Sit. Init.'!$C$473:$I$1088,MATCH((_xlfn.CONCAT("Catégorie "&amp;RIGHT(B699,2)))&amp;('Remplissage - Sit. Init.'!$D$483),('Remplissage - Sit. Init.'!$C$473:$C$1088)&amp;('Remplissage - Sit. Init.'!$D$473:$D$1088),0),7))&gt;0,1,0)</f>
        <v>0</v>
      </c>
      <c r="H699" s="8"/>
      <c r="I699" s="33"/>
      <c r="J699" t="s">
        <v>70</v>
      </c>
      <c r="L699" s="114" t="s">
        <v>1478</v>
      </c>
    </row>
    <row r="700" spans="1:12" x14ac:dyDescent="0.25">
      <c r="A700" t="s">
        <v>1465</v>
      </c>
      <c r="B700" t="s">
        <v>1579</v>
      </c>
      <c r="C700" t="s">
        <v>1473</v>
      </c>
      <c r="E700" t="str">
        <f t="shared" ref="E700" si="800">_xlfn.CONCAT("EvoFretFluvCat",RIGHT(B700,2),"DistMoy")</f>
        <v>EvoFretFluvCat21DistMoy</v>
      </c>
      <c r="F700" t="s">
        <v>17</v>
      </c>
      <c r="G700" s="5" cm="1">
        <f t="array" ref="G700">IF((INDEX('Remplissage - Sit. Init.'!$C$473:$I$1088,MATCH((_xlfn.CONCAT("Catégorie "&amp;RIGHT(B700,2)))&amp;('Remplissage - Sit. Init.'!$D$483),('Remplissage - Sit. Init.'!$C$473:$C$1088)&amp;('Remplissage - Sit. Init.'!$D$473:$D$1088),0),7))&gt;0,1,0)</f>
        <v>0</v>
      </c>
      <c r="H700" s="8"/>
      <c r="I700" s="33"/>
      <c r="J700" t="s">
        <v>70</v>
      </c>
      <c r="L700" s="114" t="s">
        <v>1479</v>
      </c>
    </row>
    <row r="701" spans="1:12" x14ac:dyDescent="0.25">
      <c r="A701" t="s">
        <v>1465</v>
      </c>
      <c r="B701" t="s">
        <v>1580</v>
      </c>
      <c r="C701" t="s">
        <v>1474</v>
      </c>
      <c r="E701" t="str">
        <f t="shared" ref="E701" si="801">_xlfn.CONCAT("EvoFretFluvCat",RIGHT(B701,2),"EmportMoy")</f>
        <v>EvoFretFluvCat21EmportMoy</v>
      </c>
      <c r="F701" t="s">
        <v>17</v>
      </c>
      <c r="G701" s="5" cm="1">
        <f t="array" ref="G701">IF((INDEX('Remplissage - Sit. Init.'!$C$473:$I$1088,MATCH((_xlfn.CONCAT("Catégorie "&amp;RIGHT(B701,2)))&amp;('Remplissage - Sit. Init.'!$D$483),('Remplissage - Sit. Init.'!$C$473:$C$1088)&amp;('Remplissage - Sit. Init.'!$D$473:$D$1088),0),7))&gt;0,1,0)</f>
        <v>0</v>
      </c>
      <c r="H701" s="8"/>
      <c r="I701" s="33"/>
      <c r="J701" t="s">
        <v>70</v>
      </c>
      <c r="L701" s="114" t="s">
        <v>1480</v>
      </c>
    </row>
    <row r="702" spans="1:12" x14ac:dyDescent="0.25">
      <c r="A702" t="s">
        <v>1465</v>
      </c>
      <c r="B702" t="s">
        <v>1581</v>
      </c>
      <c r="C702" t="s">
        <v>1475</v>
      </c>
      <c r="E702" t="str">
        <f t="shared" ref="E702" si="802">_xlfn.CONCAT("EvoFretFluvCat",RIGHT(B702,2),"DistAn")</f>
        <v>EvoFretFluvCat21DistAn</v>
      </c>
      <c r="F702" t="s">
        <v>17</v>
      </c>
      <c r="G702" s="5" cm="1">
        <f t="array" ref="G702">IF((INDEX('Remplissage - Sit. Init.'!$C$473:$I$1088,MATCH((_xlfn.CONCAT("Catégorie "&amp;RIGHT(B702,2)))&amp;('Remplissage - Sit. Init.'!$D$483),('Remplissage - Sit. Init.'!$C$473:$C$1088)&amp;('Remplissage - Sit. Init.'!$D$473:$D$1088),0),7))&gt;0,1,0)</f>
        <v>0</v>
      </c>
      <c r="I702" s="33"/>
      <c r="J702" t="s">
        <v>70</v>
      </c>
      <c r="L702" s="114" t="s">
        <v>1479</v>
      </c>
    </row>
    <row r="703" spans="1:12" x14ac:dyDescent="0.25">
      <c r="A703" t="s">
        <v>1465</v>
      </c>
      <c r="B703" t="s">
        <v>1582</v>
      </c>
      <c r="C703" t="s">
        <v>1476</v>
      </c>
      <c r="E703" t="str">
        <f t="shared" ref="E703" si="803">_xlfn.CONCAT("EvoFretFluvCat",RIGHT(B703,2),"TauxChargeMoy")</f>
        <v>EvoFretFluvCat21TauxChargeMoy</v>
      </c>
      <c r="F703" t="s">
        <v>17</v>
      </c>
      <c r="G703" s="5" cm="1">
        <f t="array" ref="G703">IF((INDEX('Remplissage - Sit. Init.'!$C$473:$I$1088,MATCH((_xlfn.CONCAT("Catégorie "&amp;RIGHT(B703,2)))&amp;('Remplissage - Sit. Init.'!$D$483),('Remplissage - Sit. Init.'!$C$473:$C$1088)&amp;('Remplissage - Sit. Init.'!$D$473:$D$1088),0),7))&gt;0,1,0)</f>
        <v>0</v>
      </c>
      <c r="I703" s="33"/>
      <c r="J703" t="s">
        <v>70</v>
      </c>
      <c r="L703" s="114" t="s">
        <v>1481</v>
      </c>
    </row>
    <row r="704" spans="1:12" x14ac:dyDescent="0.25">
      <c r="A704" t="s">
        <v>1465</v>
      </c>
      <c r="B704" t="s">
        <v>1578</v>
      </c>
      <c r="C704" s="114" t="s">
        <v>1477</v>
      </c>
      <c r="E704" t="str">
        <f t="shared" ref="E704" si="804">_xlfn.CONCAT("EvoFretFluvCat",RIGHT(B704,2),"NbBarges")</f>
        <v>EvoFretFluvCat21NbBarges</v>
      </c>
      <c r="F704" t="s">
        <v>17</v>
      </c>
      <c r="G704" s="5" cm="1">
        <f t="array" ref="G704">IF((INDEX('Remplissage - Sit. Init.'!$C$473:$I$1088,MATCH((_xlfn.CONCAT("Catégorie "&amp;RIGHT(B704,2)))&amp;('Remplissage - Sit. Init.'!$D$483),('Remplissage - Sit. Init.'!$C$473:$C$1088)&amp;('Remplissage - Sit. Init.'!$D$473:$D$1088),0),7))&gt;0,1,0)</f>
        <v>0</v>
      </c>
      <c r="I704" s="33"/>
      <c r="J704" t="s">
        <v>70</v>
      </c>
      <c r="L704" s="114" t="s">
        <v>1482</v>
      </c>
    </row>
    <row r="705" spans="1:12" x14ac:dyDescent="0.25">
      <c r="A705" t="s">
        <v>1465</v>
      </c>
      <c r="B705" t="s">
        <v>1294</v>
      </c>
      <c r="C705" t="str">
        <f t="shared" ref="C705" ca="1" si="805">_xlfn.CONCAT("Pour l'évolution de l'activité associée à la catégorie de barges suivante, catégorie ",INDIRECT("'Parcs types'!C"&amp;D705),", préférez-vous renseigner : ")</f>
        <v xml:space="preserve">Pour l'évolution de l'activité associée à la catégorie de barges suivante, catégorie Automoteurs 1000-1499 tonnes CCNR 2 ou inférieur, diesel, préférez-vous renseigner : </v>
      </c>
      <c r="D705">
        <v>86</v>
      </c>
      <c r="E705" t="str">
        <f t="shared" ref="E705" si="806">_xlfn.CONCAT("EvoFretFluvCat",RIGHT(B705,2),"Request")</f>
        <v>EvoFretFluvCat22Request</v>
      </c>
      <c r="F705" s="32" t="s">
        <v>20</v>
      </c>
      <c r="G705" s="5" cm="1">
        <f t="array" ref="G705">IF((INDEX('Remplissage - Sit. Init.'!$C$473:$I$1088,MATCH((_xlfn.CONCAT("Catégorie "&amp;RIGHT(B705,2)))&amp;('Remplissage - Sit. Init.'!$D$483),('Remplissage - Sit. Init.'!$C$473:$C$1088)&amp;('Remplissage - Sit. Init.'!$D$473:$D$1088),0),7))&gt;0,1,0)</f>
        <v>0</v>
      </c>
      <c r="I705" s="33" t="s">
        <v>1466</v>
      </c>
      <c r="K705" s="8"/>
    </row>
    <row r="706" spans="1:12" x14ac:dyDescent="0.25">
      <c r="A706" t="s">
        <v>1465</v>
      </c>
      <c r="B706" t="s">
        <v>1583</v>
      </c>
      <c r="C706" t="s">
        <v>1472</v>
      </c>
      <c r="E706" t="str">
        <f t="shared" ref="E706" si="807">_xlfn.CONCAT("EvoFretFluvCat",RIGHT(B706,2),"NbTraj")</f>
        <v>EvoFretFluvCat22NbTraj</v>
      </c>
      <c r="F706" t="s">
        <v>17</v>
      </c>
      <c r="G706" s="5" cm="1">
        <f t="array" ref="G706">IF((INDEX('Remplissage - Sit. Init.'!$C$473:$I$1088,MATCH((_xlfn.CONCAT("Catégorie "&amp;RIGHT(B706,2)))&amp;('Remplissage - Sit. Init.'!$D$483),('Remplissage - Sit. Init.'!$C$473:$C$1088)&amp;('Remplissage - Sit. Init.'!$D$473:$D$1088),0),7))&gt;0,1,0)</f>
        <v>0</v>
      </c>
      <c r="H706" s="8"/>
      <c r="I706" s="33"/>
      <c r="J706" t="s">
        <v>70</v>
      </c>
      <c r="L706" s="114" t="s">
        <v>1478</v>
      </c>
    </row>
    <row r="707" spans="1:12" x14ac:dyDescent="0.25">
      <c r="A707" t="s">
        <v>1465</v>
      </c>
      <c r="B707" t="s">
        <v>1584</v>
      </c>
      <c r="C707" t="s">
        <v>1473</v>
      </c>
      <c r="E707" t="str">
        <f t="shared" ref="E707" si="808">_xlfn.CONCAT("EvoFretFluvCat",RIGHT(B707,2),"DistMoy")</f>
        <v>EvoFretFluvCat22DistMoy</v>
      </c>
      <c r="F707" t="s">
        <v>17</v>
      </c>
      <c r="G707" s="5" cm="1">
        <f t="array" ref="G707">IF((INDEX('Remplissage - Sit. Init.'!$C$473:$I$1088,MATCH((_xlfn.CONCAT("Catégorie "&amp;RIGHT(B707,2)))&amp;('Remplissage - Sit. Init.'!$D$483),('Remplissage - Sit. Init.'!$C$473:$C$1088)&amp;('Remplissage - Sit. Init.'!$D$473:$D$1088),0),7))&gt;0,1,0)</f>
        <v>0</v>
      </c>
      <c r="H707" s="8"/>
      <c r="I707" s="33"/>
      <c r="J707" t="s">
        <v>70</v>
      </c>
      <c r="L707" s="114" t="s">
        <v>1479</v>
      </c>
    </row>
    <row r="708" spans="1:12" x14ac:dyDescent="0.25">
      <c r="A708" t="s">
        <v>1465</v>
      </c>
      <c r="B708" t="s">
        <v>1585</v>
      </c>
      <c r="C708" t="s">
        <v>1474</v>
      </c>
      <c r="E708" t="str">
        <f t="shared" ref="E708" si="809">_xlfn.CONCAT("EvoFretFluvCat",RIGHT(B708,2),"EmportMoy")</f>
        <v>EvoFretFluvCat22EmportMoy</v>
      </c>
      <c r="F708" t="s">
        <v>17</v>
      </c>
      <c r="G708" s="5" cm="1">
        <f t="array" ref="G708">IF((INDEX('Remplissage - Sit. Init.'!$C$473:$I$1088,MATCH((_xlfn.CONCAT("Catégorie "&amp;RIGHT(B708,2)))&amp;('Remplissage - Sit. Init.'!$D$483),('Remplissage - Sit. Init.'!$C$473:$C$1088)&amp;('Remplissage - Sit. Init.'!$D$473:$D$1088),0),7))&gt;0,1,0)</f>
        <v>0</v>
      </c>
      <c r="H708" s="8"/>
      <c r="I708" s="33"/>
      <c r="J708" t="s">
        <v>70</v>
      </c>
      <c r="L708" s="114" t="s">
        <v>1480</v>
      </c>
    </row>
    <row r="709" spans="1:12" x14ac:dyDescent="0.25">
      <c r="A709" t="s">
        <v>1465</v>
      </c>
      <c r="B709" t="s">
        <v>1586</v>
      </c>
      <c r="C709" t="s">
        <v>1475</v>
      </c>
      <c r="E709" t="str">
        <f t="shared" ref="E709" si="810">_xlfn.CONCAT("EvoFretFluvCat",RIGHT(B709,2),"DistAn")</f>
        <v>EvoFretFluvCat22DistAn</v>
      </c>
      <c r="F709" t="s">
        <v>17</v>
      </c>
      <c r="G709" s="5" cm="1">
        <f t="array" ref="G709">IF((INDEX('Remplissage - Sit. Init.'!$C$473:$I$1088,MATCH((_xlfn.CONCAT("Catégorie "&amp;RIGHT(B709,2)))&amp;('Remplissage - Sit. Init.'!$D$483),('Remplissage - Sit. Init.'!$C$473:$C$1088)&amp;('Remplissage - Sit. Init.'!$D$473:$D$1088),0),7))&gt;0,1,0)</f>
        <v>0</v>
      </c>
      <c r="I709" s="33"/>
      <c r="J709" t="s">
        <v>70</v>
      </c>
      <c r="L709" s="114" t="s">
        <v>1479</v>
      </c>
    </row>
    <row r="710" spans="1:12" x14ac:dyDescent="0.25">
      <c r="A710" t="s">
        <v>1465</v>
      </c>
      <c r="B710" t="s">
        <v>1587</v>
      </c>
      <c r="C710" t="s">
        <v>1476</v>
      </c>
      <c r="E710" t="str">
        <f t="shared" ref="E710" si="811">_xlfn.CONCAT("EvoFretFluvCat",RIGHT(B710,2),"TauxChargeMoy")</f>
        <v>EvoFretFluvCat22TauxChargeMoy</v>
      </c>
      <c r="F710" t="s">
        <v>17</v>
      </c>
      <c r="G710" s="5" cm="1">
        <f t="array" ref="G710">IF((INDEX('Remplissage - Sit. Init.'!$C$473:$I$1088,MATCH((_xlfn.CONCAT("Catégorie "&amp;RIGHT(B710,2)))&amp;('Remplissage - Sit. Init.'!$D$483),('Remplissage - Sit. Init.'!$C$473:$C$1088)&amp;('Remplissage - Sit. Init.'!$D$473:$D$1088),0),7))&gt;0,1,0)</f>
        <v>0</v>
      </c>
      <c r="I710" s="33"/>
      <c r="J710" t="s">
        <v>70</v>
      </c>
      <c r="L710" s="114" t="s">
        <v>1481</v>
      </c>
    </row>
    <row r="711" spans="1:12" x14ac:dyDescent="0.25">
      <c r="A711" t="s">
        <v>1465</v>
      </c>
      <c r="B711" t="s">
        <v>1583</v>
      </c>
      <c r="C711" s="114" t="s">
        <v>1477</v>
      </c>
      <c r="E711" t="str">
        <f t="shared" ref="E711" si="812">_xlfn.CONCAT("EvoFretFluvCat",RIGHT(B711,2),"NbBarges")</f>
        <v>EvoFretFluvCat22NbBarges</v>
      </c>
      <c r="F711" t="s">
        <v>17</v>
      </c>
      <c r="G711" s="5" cm="1">
        <f t="array" ref="G711">IF((INDEX('Remplissage - Sit. Init.'!$C$473:$I$1088,MATCH((_xlfn.CONCAT("Catégorie "&amp;RIGHT(B711,2)))&amp;('Remplissage - Sit. Init.'!$D$483),('Remplissage - Sit. Init.'!$C$473:$C$1088)&amp;('Remplissage - Sit. Init.'!$D$473:$D$1088),0),7))&gt;0,1,0)</f>
        <v>0</v>
      </c>
      <c r="I711" s="33"/>
      <c r="J711" t="s">
        <v>70</v>
      </c>
      <c r="L711" s="114" t="s">
        <v>1482</v>
      </c>
    </row>
    <row r="712" spans="1:12" x14ac:dyDescent="0.25">
      <c r="A712" t="s">
        <v>1465</v>
      </c>
      <c r="B712" t="s">
        <v>1296</v>
      </c>
      <c r="C712" t="str">
        <f t="shared" ref="C712" ca="1" si="813">_xlfn.CONCAT("Pour l'évolution de l'activité associée à la catégorie de barges suivante, catégorie ",INDIRECT("'Parcs types'!C"&amp;D712),", préférez-vous renseigner : ")</f>
        <v xml:space="preserve">Pour l'évolution de l'activité associée à la catégorie de barges suivante, catégorie Automoteurs 1000-1499 tonnes CCNR 2 + SCR, diesel, préférez-vous renseigner : </v>
      </c>
      <c r="D712">
        <v>87</v>
      </c>
      <c r="E712" t="str">
        <f t="shared" ref="E712" si="814">_xlfn.CONCAT("EvoFretFluvCat",RIGHT(B712,2),"Request")</f>
        <v>EvoFretFluvCat23Request</v>
      </c>
      <c r="F712" s="32" t="s">
        <v>20</v>
      </c>
      <c r="G712" s="5" cm="1">
        <f t="array" ref="G712">IF((INDEX('Remplissage - Sit. Init.'!$C$473:$I$1088,MATCH((_xlfn.CONCAT("Catégorie "&amp;RIGHT(B712,2)))&amp;('Remplissage - Sit. Init.'!$D$483),('Remplissage - Sit. Init.'!$C$473:$C$1088)&amp;('Remplissage - Sit. Init.'!$D$473:$D$1088),0),7))&gt;0,1,0)</f>
        <v>0</v>
      </c>
      <c r="I712" s="33" t="s">
        <v>1466</v>
      </c>
      <c r="K712" s="8"/>
    </row>
    <row r="713" spans="1:12" x14ac:dyDescent="0.25">
      <c r="A713" t="s">
        <v>1465</v>
      </c>
      <c r="B713" t="s">
        <v>1588</v>
      </c>
      <c r="C713" t="s">
        <v>1472</v>
      </c>
      <c r="E713" t="str">
        <f t="shared" ref="E713" si="815">_xlfn.CONCAT("EvoFretFluvCat",RIGHT(B713,2),"NbTraj")</f>
        <v>EvoFretFluvCat23NbTraj</v>
      </c>
      <c r="F713" t="s">
        <v>17</v>
      </c>
      <c r="G713" s="5" cm="1">
        <f t="array" ref="G713">IF((INDEX('Remplissage - Sit. Init.'!$C$473:$I$1088,MATCH((_xlfn.CONCAT("Catégorie "&amp;RIGHT(B713,2)))&amp;('Remplissage - Sit. Init.'!$D$483),('Remplissage - Sit. Init.'!$C$473:$C$1088)&amp;('Remplissage - Sit. Init.'!$D$473:$D$1088),0),7))&gt;0,1,0)</f>
        <v>0</v>
      </c>
      <c r="H713" s="8"/>
      <c r="I713" s="33"/>
      <c r="J713" t="s">
        <v>70</v>
      </c>
      <c r="L713" s="114" t="s">
        <v>1478</v>
      </c>
    </row>
    <row r="714" spans="1:12" x14ac:dyDescent="0.25">
      <c r="A714" t="s">
        <v>1465</v>
      </c>
      <c r="B714" t="s">
        <v>1589</v>
      </c>
      <c r="C714" t="s">
        <v>1473</v>
      </c>
      <c r="E714" t="str">
        <f t="shared" ref="E714" si="816">_xlfn.CONCAT("EvoFretFluvCat",RIGHT(B714,2),"DistMoy")</f>
        <v>EvoFretFluvCat23DistMoy</v>
      </c>
      <c r="F714" t="s">
        <v>17</v>
      </c>
      <c r="G714" s="5" cm="1">
        <f t="array" ref="G714">IF((INDEX('Remplissage - Sit. Init.'!$C$473:$I$1088,MATCH((_xlfn.CONCAT("Catégorie "&amp;RIGHT(B714,2)))&amp;('Remplissage - Sit. Init.'!$D$483),('Remplissage - Sit. Init.'!$C$473:$C$1088)&amp;('Remplissage - Sit. Init.'!$D$473:$D$1088),0),7))&gt;0,1,0)</f>
        <v>0</v>
      </c>
      <c r="H714" s="8"/>
      <c r="I714" s="33"/>
      <c r="J714" t="s">
        <v>70</v>
      </c>
      <c r="L714" s="114" t="s">
        <v>1479</v>
      </c>
    </row>
    <row r="715" spans="1:12" x14ac:dyDescent="0.25">
      <c r="A715" t="s">
        <v>1465</v>
      </c>
      <c r="B715" t="s">
        <v>1590</v>
      </c>
      <c r="C715" t="s">
        <v>1474</v>
      </c>
      <c r="E715" t="str">
        <f t="shared" ref="E715" si="817">_xlfn.CONCAT("EvoFretFluvCat",RIGHT(B715,2),"EmportMoy")</f>
        <v>EvoFretFluvCat23EmportMoy</v>
      </c>
      <c r="F715" t="s">
        <v>17</v>
      </c>
      <c r="G715" s="5" cm="1">
        <f t="array" ref="G715">IF((INDEX('Remplissage - Sit. Init.'!$C$473:$I$1088,MATCH((_xlfn.CONCAT("Catégorie "&amp;RIGHT(B715,2)))&amp;('Remplissage - Sit. Init.'!$D$483),('Remplissage - Sit. Init.'!$C$473:$C$1088)&amp;('Remplissage - Sit. Init.'!$D$473:$D$1088),0),7))&gt;0,1,0)</f>
        <v>0</v>
      </c>
      <c r="H715" s="8"/>
      <c r="I715" s="33"/>
      <c r="J715" t="s">
        <v>70</v>
      </c>
      <c r="L715" s="114" t="s">
        <v>1480</v>
      </c>
    </row>
    <row r="716" spans="1:12" x14ac:dyDescent="0.25">
      <c r="A716" t="s">
        <v>1465</v>
      </c>
      <c r="B716" t="s">
        <v>1591</v>
      </c>
      <c r="C716" t="s">
        <v>1475</v>
      </c>
      <c r="E716" t="str">
        <f t="shared" ref="E716" si="818">_xlfn.CONCAT("EvoFretFluvCat",RIGHT(B716,2),"DistAn")</f>
        <v>EvoFretFluvCat23DistAn</v>
      </c>
      <c r="F716" t="s">
        <v>17</v>
      </c>
      <c r="G716" s="5" cm="1">
        <f t="array" ref="G716">IF((INDEX('Remplissage - Sit. Init.'!$C$473:$I$1088,MATCH((_xlfn.CONCAT("Catégorie "&amp;RIGHT(B716,2)))&amp;('Remplissage - Sit. Init.'!$D$483),('Remplissage - Sit. Init.'!$C$473:$C$1088)&amp;('Remplissage - Sit. Init.'!$D$473:$D$1088),0),7))&gt;0,1,0)</f>
        <v>0</v>
      </c>
      <c r="I716" s="33"/>
      <c r="J716" t="s">
        <v>70</v>
      </c>
      <c r="L716" s="114" t="s">
        <v>1479</v>
      </c>
    </row>
    <row r="717" spans="1:12" x14ac:dyDescent="0.25">
      <c r="A717" t="s">
        <v>1465</v>
      </c>
      <c r="B717" t="s">
        <v>1592</v>
      </c>
      <c r="C717" t="s">
        <v>1476</v>
      </c>
      <c r="E717" t="str">
        <f t="shared" ref="E717" si="819">_xlfn.CONCAT("EvoFretFluvCat",RIGHT(B717,2),"TauxChargeMoy")</f>
        <v>EvoFretFluvCat23TauxChargeMoy</v>
      </c>
      <c r="F717" t="s">
        <v>17</v>
      </c>
      <c r="G717" s="5" cm="1">
        <f t="array" ref="G717">IF((INDEX('Remplissage - Sit. Init.'!$C$473:$I$1088,MATCH((_xlfn.CONCAT("Catégorie "&amp;RIGHT(B717,2)))&amp;('Remplissage - Sit. Init.'!$D$483),('Remplissage - Sit. Init.'!$C$473:$C$1088)&amp;('Remplissage - Sit. Init.'!$D$473:$D$1088),0),7))&gt;0,1,0)</f>
        <v>0</v>
      </c>
      <c r="I717" s="33"/>
      <c r="J717" t="s">
        <v>70</v>
      </c>
      <c r="L717" s="114" t="s">
        <v>1481</v>
      </c>
    </row>
    <row r="718" spans="1:12" x14ac:dyDescent="0.25">
      <c r="A718" t="s">
        <v>1465</v>
      </c>
      <c r="B718" t="s">
        <v>1588</v>
      </c>
      <c r="C718" s="114" t="s">
        <v>1477</v>
      </c>
      <c r="E718" t="str">
        <f t="shared" ref="E718" si="820">_xlfn.CONCAT("EvoFretFluvCat",RIGHT(B718,2),"NbBarges")</f>
        <v>EvoFretFluvCat23NbBarges</v>
      </c>
      <c r="F718" t="s">
        <v>17</v>
      </c>
      <c r="G718" s="5" cm="1">
        <f t="array" ref="G718">IF((INDEX('Remplissage - Sit. Init.'!$C$473:$I$1088,MATCH((_xlfn.CONCAT("Catégorie "&amp;RIGHT(B718,2)))&amp;('Remplissage - Sit. Init.'!$D$483),('Remplissage - Sit. Init.'!$C$473:$C$1088)&amp;('Remplissage - Sit. Init.'!$D$473:$D$1088),0),7))&gt;0,1,0)</f>
        <v>0</v>
      </c>
      <c r="I718" s="33"/>
      <c r="J718" t="s">
        <v>70</v>
      </c>
      <c r="L718" s="114" t="s">
        <v>1482</v>
      </c>
    </row>
    <row r="719" spans="1:12" x14ac:dyDescent="0.25">
      <c r="A719" t="s">
        <v>1465</v>
      </c>
      <c r="B719" t="s">
        <v>1298</v>
      </c>
      <c r="C719" t="str">
        <f t="shared" ref="C719" ca="1" si="821">_xlfn.CONCAT("Pour l'évolution de l'activité associée à la catégorie de barges suivante, catégorie ",INDIRECT("'Parcs types'!C"&amp;D719),", préférez-vous renseigner : ")</f>
        <v xml:space="preserve">Pour l'évolution de l'activité associée à la catégorie de barges suivante, catégorie Automoteurs 1000-1499 tonnes Phase V, diesel, préférez-vous renseigner : </v>
      </c>
      <c r="D719">
        <v>88</v>
      </c>
      <c r="E719" t="str">
        <f t="shared" ref="E719" si="822">_xlfn.CONCAT("EvoFretFluvCat",RIGHT(B719,2),"Request")</f>
        <v>EvoFretFluvCat24Request</v>
      </c>
      <c r="F719" s="32" t="s">
        <v>20</v>
      </c>
      <c r="G719" s="5" cm="1">
        <f t="array" ref="G719">IF((INDEX('Remplissage - Sit. Init.'!$C$473:$I$1088,MATCH((_xlfn.CONCAT("Catégorie "&amp;RIGHT(B719,2)))&amp;('Remplissage - Sit. Init.'!$D$483),('Remplissage - Sit. Init.'!$C$473:$C$1088)&amp;('Remplissage - Sit. Init.'!$D$473:$D$1088),0),7))&gt;0,1,0)</f>
        <v>0</v>
      </c>
      <c r="I719" s="33" t="s">
        <v>1466</v>
      </c>
      <c r="K719" s="8"/>
    </row>
    <row r="720" spans="1:12" x14ac:dyDescent="0.25">
      <c r="A720" t="s">
        <v>1465</v>
      </c>
      <c r="B720" t="s">
        <v>1593</v>
      </c>
      <c r="C720" t="s">
        <v>1472</v>
      </c>
      <c r="E720" t="str">
        <f t="shared" ref="E720" si="823">_xlfn.CONCAT("EvoFretFluvCat",RIGHT(B720,2),"NbTraj")</f>
        <v>EvoFretFluvCat24NbTraj</v>
      </c>
      <c r="F720" t="s">
        <v>17</v>
      </c>
      <c r="G720" s="5" cm="1">
        <f t="array" ref="G720">IF((INDEX('Remplissage - Sit. Init.'!$C$473:$I$1088,MATCH((_xlfn.CONCAT("Catégorie "&amp;RIGHT(B720,2)))&amp;('Remplissage - Sit. Init.'!$D$483),('Remplissage - Sit. Init.'!$C$473:$C$1088)&amp;('Remplissage - Sit. Init.'!$D$473:$D$1088),0),7))&gt;0,1,0)</f>
        <v>0</v>
      </c>
      <c r="H720" s="8"/>
      <c r="I720" s="33"/>
      <c r="J720" t="s">
        <v>70</v>
      </c>
      <c r="L720" s="114" t="s">
        <v>1478</v>
      </c>
    </row>
    <row r="721" spans="1:12" x14ac:dyDescent="0.25">
      <c r="A721" t="s">
        <v>1465</v>
      </c>
      <c r="B721" t="s">
        <v>1594</v>
      </c>
      <c r="C721" t="s">
        <v>1473</v>
      </c>
      <c r="E721" t="str">
        <f t="shared" ref="E721" si="824">_xlfn.CONCAT("EvoFretFluvCat",RIGHT(B721,2),"DistMoy")</f>
        <v>EvoFretFluvCat24DistMoy</v>
      </c>
      <c r="F721" t="s">
        <v>17</v>
      </c>
      <c r="G721" s="5" cm="1">
        <f t="array" ref="G721">IF((INDEX('Remplissage - Sit. Init.'!$C$473:$I$1088,MATCH((_xlfn.CONCAT("Catégorie "&amp;RIGHT(B721,2)))&amp;('Remplissage - Sit. Init.'!$D$483),('Remplissage - Sit. Init.'!$C$473:$C$1088)&amp;('Remplissage - Sit. Init.'!$D$473:$D$1088),0),7))&gt;0,1,0)</f>
        <v>0</v>
      </c>
      <c r="H721" s="8"/>
      <c r="I721" s="33"/>
      <c r="J721" t="s">
        <v>70</v>
      </c>
      <c r="L721" s="114" t="s">
        <v>1479</v>
      </c>
    </row>
    <row r="722" spans="1:12" x14ac:dyDescent="0.25">
      <c r="A722" t="s">
        <v>1465</v>
      </c>
      <c r="B722" t="s">
        <v>1595</v>
      </c>
      <c r="C722" t="s">
        <v>1474</v>
      </c>
      <c r="E722" t="str">
        <f t="shared" ref="E722" si="825">_xlfn.CONCAT("EvoFretFluvCat",RIGHT(B722,2),"EmportMoy")</f>
        <v>EvoFretFluvCat24EmportMoy</v>
      </c>
      <c r="F722" t="s">
        <v>17</v>
      </c>
      <c r="G722" s="5" cm="1">
        <f t="array" ref="G722">IF((INDEX('Remplissage - Sit. Init.'!$C$473:$I$1088,MATCH((_xlfn.CONCAT("Catégorie "&amp;RIGHT(B722,2)))&amp;('Remplissage - Sit. Init.'!$D$483),('Remplissage - Sit. Init.'!$C$473:$C$1088)&amp;('Remplissage - Sit. Init.'!$D$473:$D$1088),0),7))&gt;0,1,0)</f>
        <v>0</v>
      </c>
      <c r="H722" s="8"/>
      <c r="I722" s="33"/>
      <c r="J722" t="s">
        <v>70</v>
      </c>
      <c r="L722" s="114" t="s">
        <v>1480</v>
      </c>
    </row>
    <row r="723" spans="1:12" x14ac:dyDescent="0.25">
      <c r="A723" t="s">
        <v>1465</v>
      </c>
      <c r="B723" t="s">
        <v>1596</v>
      </c>
      <c r="C723" t="s">
        <v>1475</v>
      </c>
      <c r="E723" t="str">
        <f t="shared" ref="E723" si="826">_xlfn.CONCAT("EvoFretFluvCat",RIGHT(B723,2),"DistAn")</f>
        <v>EvoFretFluvCat24DistAn</v>
      </c>
      <c r="F723" t="s">
        <v>17</v>
      </c>
      <c r="G723" s="5" cm="1">
        <f t="array" ref="G723">IF((INDEX('Remplissage - Sit. Init.'!$C$473:$I$1088,MATCH((_xlfn.CONCAT("Catégorie "&amp;RIGHT(B723,2)))&amp;('Remplissage - Sit. Init.'!$D$483),('Remplissage - Sit. Init.'!$C$473:$C$1088)&amp;('Remplissage - Sit. Init.'!$D$473:$D$1088),0),7))&gt;0,1,0)</f>
        <v>0</v>
      </c>
      <c r="I723" s="33"/>
      <c r="J723" t="s">
        <v>70</v>
      </c>
      <c r="L723" s="114" t="s">
        <v>1479</v>
      </c>
    </row>
    <row r="724" spans="1:12" x14ac:dyDescent="0.25">
      <c r="A724" t="s">
        <v>1465</v>
      </c>
      <c r="B724" t="s">
        <v>1597</v>
      </c>
      <c r="C724" t="s">
        <v>1476</v>
      </c>
      <c r="E724" t="str">
        <f t="shared" ref="E724" si="827">_xlfn.CONCAT("EvoFretFluvCat",RIGHT(B724,2),"TauxChargeMoy")</f>
        <v>EvoFretFluvCat24TauxChargeMoy</v>
      </c>
      <c r="F724" t="s">
        <v>17</v>
      </c>
      <c r="G724" s="5" cm="1">
        <f t="array" ref="G724">IF((INDEX('Remplissage - Sit. Init.'!$C$473:$I$1088,MATCH((_xlfn.CONCAT("Catégorie "&amp;RIGHT(B724,2)))&amp;('Remplissage - Sit. Init.'!$D$483),('Remplissage - Sit. Init.'!$C$473:$C$1088)&amp;('Remplissage - Sit. Init.'!$D$473:$D$1088),0),7))&gt;0,1,0)</f>
        <v>0</v>
      </c>
      <c r="I724" s="33"/>
      <c r="J724" t="s">
        <v>70</v>
      </c>
      <c r="L724" s="114" t="s">
        <v>1481</v>
      </c>
    </row>
    <row r="725" spans="1:12" x14ac:dyDescent="0.25">
      <c r="A725" t="s">
        <v>1465</v>
      </c>
      <c r="B725" t="s">
        <v>1593</v>
      </c>
      <c r="C725" s="114" t="s">
        <v>1477</v>
      </c>
      <c r="E725" t="str">
        <f t="shared" ref="E725" si="828">_xlfn.CONCAT("EvoFretFluvCat",RIGHT(B725,2),"NbBarges")</f>
        <v>EvoFretFluvCat24NbBarges</v>
      </c>
      <c r="F725" t="s">
        <v>17</v>
      </c>
      <c r="G725" s="5" cm="1">
        <f t="array" ref="G725">IF((INDEX('Remplissage - Sit. Init.'!$C$473:$I$1088,MATCH((_xlfn.CONCAT("Catégorie "&amp;RIGHT(B725,2)))&amp;('Remplissage - Sit. Init.'!$D$483),('Remplissage - Sit. Init.'!$C$473:$C$1088)&amp;('Remplissage - Sit. Init.'!$D$473:$D$1088),0),7))&gt;0,1,0)</f>
        <v>0</v>
      </c>
      <c r="I725" s="33"/>
      <c r="J725" t="s">
        <v>70</v>
      </c>
      <c r="L725" s="114" t="s">
        <v>1482</v>
      </c>
    </row>
    <row r="726" spans="1:12" x14ac:dyDescent="0.25">
      <c r="A726" t="s">
        <v>1465</v>
      </c>
      <c r="B726" t="s">
        <v>1300</v>
      </c>
      <c r="C726" t="str">
        <f t="shared" ref="C726" ca="1" si="829">_xlfn.CONCAT("Pour l'évolution de l'activité associée à la catégorie de barges suivante, catégorie ",INDIRECT("'Parcs types'!C"&amp;D726),", préférez-vous renseigner : ")</f>
        <v xml:space="preserve">Pour l'évolution de l'activité associée à la catégorie de barges suivante, catégorie Automoteurs 1000-1499 tonnes Phase V, HVO, préférez-vous renseigner : </v>
      </c>
      <c r="D726">
        <v>89</v>
      </c>
      <c r="E726" t="str">
        <f t="shared" ref="E726" si="830">_xlfn.CONCAT("EvoFretFluvCat",RIGHT(B726,2),"Request")</f>
        <v>EvoFretFluvCat25Request</v>
      </c>
      <c r="F726" s="32" t="s">
        <v>20</v>
      </c>
      <c r="G726" s="5" cm="1">
        <f t="array" ref="G726">IF((INDEX('Remplissage - Sit. Init.'!$C$473:$I$1088,MATCH((_xlfn.CONCAT("Catégorie "&amp;RIGHT(B726,2)))&amp;('Remplissage - Sit. Init.'!$D$483),('Remplissage - Sit. Init.'!$C$473:$C$1088)&amp;('Remplissage - Sit. Init.'!$D$473:$D$1088),0),7))&gt;0,1,0)</f>
        <v>0</v>
      </c>
      <c r="I726" s="33" t="s">
        <v>1466</v>
      </c>
      <c r="K726" s="8"/>
    </row>
    <row r="727" spans="1:12" x14ac:dyDescent="0.25">
      <c r="A727" t="s">
        <v>1465</v>
      </c>
      <c r="B727" t="s">
        <v>1598</v>
      </c>
      <c r="C727" t="s">
        <v>1472</v>
      </c>
      <c r="E727" t="str">
        <f t="shared" ref="E727" si="831">_xlfn.CONCAT("EvoFretFluvCat",RIGHT(B727,2),"NbTraj")</f>
        <v>EvoFretFluvCat25NbTraj</v>
      </c>
      <c r="F727" t="s">
        <v>17</v>
      </c>
      <c r="G727" s="5" cm="1">
        <f t="array" ref="G727">IF((INDEX('Remplissage - Sit. Init.'!$C$473:$I$1088,MATCH((_xlfn.CONCAT("Catégorie "&amp;RIGHT(B727,2)))&amp;('Remplissage - Sit. Init.'!$D$483),('Remplissage - Sit. Init.'!$C$473:$C$1088)&amp;('Remplissage - Sit. Init.'!$D$473:$D$1088),0),7))&gt;0,1,0)</f>
        <v>0</v>
      </c>
      <c r="H727" s="8"/>
      <c r="I727" s="33"/>
      <c r="J727" t="s">
        <v>70</v>
      </c>
      <c r="L727" s="114" t="s">
        <v>1478</v>
      </c>
    </row>
    <row r="728" spans="1:12" x14ac:dyDescent="0.25">
      <c r="A728" t="s">
        <v>1465</v>
      </c>
      <c r="B728" t="s">
        <v>1599</v>
      </c>
      <c r="C728" t="s">
        <v>1473</v>
      </c>
      <c r="E728" t="str">
        <f t="shared" ref="E728" si="832">_xlfn.CONCAT("EvoFretFluvCat",RIGHT(B728,2),"DistMoy")</f>
        <v>EvoFretFluvCat25DistMoy</v>
      </c>
      <c r="F728" t="s">
        <v>17</v>
      </c>
      <c r="G728" s="5" cm="1">
        <f t="array" ref="G728">IF((INDEX('Remplissage - Sit. Init.'!$C$473:$I$1088,MATCH((_xlfn.CONCAT("Catégorie "&amp;RIGHT(B728,2)))&amp;('Remplissage - Sit. Init.'!$D$483),('Remplissage - Sit. Init.'!$C$473:$C$1088)&amp;('Remplissage - Sit. Init.'!$D$473:$D$1088),0),7))&gt;0,1,0)</f>
        <v>0</v>
      </c>
      <c r="H728" s="8"/>
      <c r="I728" s="33"/>
      <c r="J728" t="s">
        <v>70</v>
      </c>
      <c r="L728" s="114" t="s">
        <v>1479</v>
      </c>
    </row>
    <row r="729" spans="1:12" x14ac:dyDescent="0.25">
      <c r="A729" t="s">
        <v>1465</v>
      </c>
      <c r="B729" t="s">
        <v>1600</v>
      </c>
      <c r="C729" t="s">
        <v>1474</v>
      </c>
      <c r="E729" t="str">
        <f t="shared" ref="E729" si="833">_xlfn.CONCAT("EvoFretFluvCat",RIGHT(B729,2),"EmportMoy")</f>
        <v>EvoFretFluvCat25EmportMoy</v>
      </c>
      <c r="F729" t="s">
        <v>17</v>
      </c>
      <c r="G729" s="5" cm="1">
        <f t="array" ref="G729">IF((INDEX('Remplissage - Sit. Init.'!$C$473:$I$1088,MATCH((_xlfn.CONCAT("Catégorie "&amp;RIGHT(B729,2)))&amp;('Remplissage - Sit. Init.'!$D$483),('Remplissage - Sit. Init.'!$C$473:$C$1088)&amp;('Remplissage - Sit. Init.'!$D$473:$D$1088),0),7))&gt;0,1,0)</f>
        <v>0</v>
      </c>
      <c r="H729" s="8"/>
      <c r="I729" s="33"/>
      <c r="J729" t="s">
        <v>70</v>
      </c>
      <c r="L729" s="114" t="s">
        <v>1480</v>
      </c>
    </row>
    <row r="730" spans="1:12" x14ac:dyDescent="0.25">
      <c r="A730" t="s">
        <v>1465</v>
      </c>
      <c r="B730" t="s">
        <v>1601</v>
      </c>
      <c r="C730" t="s">
        <v>1475</v>
      </c>
      <c r="E730" t="str">
        <f t="shared" ref="E730" si="834">_xlfn.CONCAT("EvoFretFluvCat",RIGHT(B730,2),"DistAn")</f>
        <v>EvoFretFluvCat25DistAn</v>
      </c>
      <c r="F730" t="s">
        <v>17</v>
      </c>
      <c r="G730" s="5" cm="1">
        <f t="array" ref="G730">IF((INDEX('Remplissage - Sit. Init.'!$C$473:$I$1088,MATCH((_xlfn.CONCAT("Catégorie "&amp;RIGHT(B730,2)))&amp;('Remplissage - Sit. Init.'!$D$483),('Remplissage - Sit. Init.'!$C$473:$C$1088)&amp;('Remplissage - Sit. Init.'!$D$473:$D$1088),0),7))&gt;0,1,0)</f>
        <v>0</v>
      </c>
      <c r="I730" s="33"/>
      <c r="J730" t="s">
        <v>70</v>
      </c>
      <c r="L730" s="114" t="s">
        <v>1479</v>
      </c>
    </row>
    <row r="731" spans="1:12" x14ac:dyDescent="0.25">
      <c r="A731" t="s">
        <v>1465</v>
      </c>
      <c r="B731" t="s">
        <v>1602</v>
      </c>
      <c r="C731" t="s">
        <v>1476</v>
      </c>
      <c r="E731" t="str">
        <f t="shared" ref="E731" si="835">_xlfn.CONCAT("EvoFretFluvCat",RIGHT(B731,2),"TauxChargeMoy")</f>
        <v>EvoFretFluvCat25TauxChargeMoy</v>
      </c>
      <c r="F731" t="s">
        <v>17</v>
      </c>
      <c r="G731" s="5" cm="1">
        <f t="array" ref="G731">IF((INDEX('Remplissage - Sit. Init.'!$C$473:$I$1088,MATCH((_xlfn.CONCAT("Catégorie "&amp;RIGHT(B731,2)))&amp;('Remplissage - Sit. Init.'!$D$483),('Remplissage - Sit. Init.'!$C$473:$C$1088)&amp;('Remplissage - Sit. Init.'!$D$473:$D$1088),0),7))&gt;0,1,0)</f>
        <v>0</v>
      </c>
      <c r="I731" s="33"/>
      <c r="J731" t="s">
        <v>70</v>
      </c>
      <c r="L731" s="114" t="s">
        <v>1481</v>
      </c>
    </row>
    <row r="732" spans="1:12" x14ac:dyDescent="0.25">
      <c r="A732" t="s">
        <v>1465</v>
      </c>
      <c r="B732" t="s">
        <v>1598</v>
      </c>
      <c r="C732" s="114" t="s">
        <v>1477</v>
      </c>
      <c r="E732" t="str">
        <f t="shared" ref="E732" si="836">_xlfn.CONCAT("EvoFretFluvCat",RIGHT(B732,2),"NbBarges")</f>
        <v>EvoFretFluvCat25NbBarges</v>
      </c>
      <c r="F732" t="s">
        <v>17</v>
      </c>
      <c r="G732" s="5" cm="1">
        <f t="array" ref="G732">IF((INDEX('Remplissage - Sit. Init.'!$C$473:$I$1088,MATCH((_xlfn.CONCAT("Catégorie "&amp;RIGHT(B732,2)))&amp;('Remplissage - Sit. Init.'!$D$483),('Remplissage - Sit. Init.'!$C$473:$C$1088)&amp;('Remplissage - Sit. Init.'!$D$473:$D$1088),0),7))&gt;0,1,0)</f>
        <v>0</v>
      </c>
      <c r="I732" s="33"/>
      <c r="J732" t="s">
        <v>70</v>
      </c>
      <c r="L732" s="114" t="s">
        <v>1482</v>
      </c>
    </row>
    <row r="733" spans="1:12" x14ac:dyDescent="0.25">
      <c r="A733" t="s">
        <v>1465</v>
      </c>
      <c r="B733" t="s">
        <v>1302</v>
      </c>
      <c r="C733" t="str">
        <f t="shared" ref="C733" ca="1" si="837">_xlfn.CONCAT("Pour l'évolution de l'activité associée à la catégorie de barges suivante, catégorie ",INDIRECT("'Parcs types'!C"&amp;D733),", préférez-vous renseigner : ")</f>
        <v xml:space="preserve">Pour l'évolution de l'activité associée à la catégorie de barges suivante, catégorie Automoteurs 1000-1499 tonnes Batterie, préférez-vous renseigner : </v>
      </c>
      <c r="D733">
        <v>90</v>
      </c>
      <c r="E733" t="str">
        <f t="shared" ref="E733" si="838">_xlfn.CONCAT("EvoFretFluvCat",RIGHT(B733,2),"Request")</f>
        <v>EvoFretFluvCat26Request</v>
      </c>
      <c r="F733" s="32" t="s">
        <v>20</v>
      </c>
      <c r="G733" s="5" cm="1">
        <f t="array" ref="G733">IF((INDEX('Remplissage - Sit. Init.'!$C$473:$I$1088,MATCH((_xlfn.CONCAT("Catégorie "&amp;RIGHT(B733,2)))&amp;('Remplissage - Sit. Init.'!$D$483),('Remplissage - Sit. Init.'!$C$473:$C$1088)&amp;('Remplissage - Sit. Init.'!$D$473:$D$1088),0),7))&gt;0,1,0)</f>
        <v>0</v>
      </c>
      <c r="I733" s="33" t="s">
        <v>1466</v>
      </c>
      <c r="K733" s="8"/>
    </row>
    <row r="734" spans="1:12" x14ac:dyDescent="0.25">
      <c r="A734" t="s">
        <v>1465</v>
      </c>
      <c r="B734" t="s">
        <v>1603</v>
      </c>
      <c r="C734" t="s">
        <v>1472</v>
      </c>
      <c r="E734" t="str">
        <f t="shared" ref="E734" si="839">_xlfn.CONCAT("EvoFretFluvCat",RIGHT(B734,2),"NbTraj")</f>
        <v>EvoFretFluvCat26NbTraj</v>
      </c>
      <c r="F734" t="s">
        <v>17</v>
      </c>
      <c r="G734" s="5" cm="1">
        <f t="array" ref="G734">IF((INDEX('Remplissage - Sit. Init.'!$C$473:$I$1088,MATCH((_xlfn.CONCAT("Catégorie "&amp;RIGHT(B734,2)))&amp;('Remplissage - Sit. Init.'!$D$483),('Remplissage - Sit. Init.'!$C$473:$C$1088)&amp;('Remplissage - Sit. Init.'!$D$473:$D$1088),0),7))&gt;0,1,0)</f>
        <v>0</v>
      </c>
      <c r="H734" s="8"/>
      <c r="I734" s="33"/>
      <c r="J734" t="s">
        <v>70</v>
      </c>
      <c r="L734" s="114" t="s">
        <v>1478</v>
      </c>
    </row>
    <row r="735" spans="1:12" x14ac:dyDescent="0.25">
      <c r="A735" t="s">
        <v>1465</v>
      </c>
      <c r="B735" t="s">
        <v>1604</v>
      </c>
      <c r="C735" t="s">
        <v>1473</v>
      </c>
      <c r="E735" t="str">
        <f t="shared" ref="E735" si="840">_xlfn.CONCAT("EvoFretFluvCat",RIGHT(B735,2),"DistMoy")</f>
        <v>EvoFretFluvCat26DistMoy</v>
      </c>
      <c r="F735" t="s">
        <v>17</v>
      </c>
      <c r="G735" s="5" cm="1">
        <f t="array" ref="G735">IF((INDEX('Remplissage - Sit. Init.'!$C$473:$I$1088,MATCH((_xlfn.CONCAT("Catégorie "&amp;RIGHT(B735,2)))&amp;('Remplissage - Sit. Init.'!$D$483),('Remplissage - Sit. Init.'!$C$473:$C$1088)&amp;('Remplissage - Sit. Init.'!$D$473:$D$1088),0),7))&gt;0,1,0)</f>
        <v>0</v>
      </c>
      <c r="H735" s="8"/>
      <c r="I735" s="33"/>
      <c r="J735" t="s">
        <v>70</v>
      </c>
      <c r="L735" s="114" t="s">
        <v>1479</v>
      </c>
    </row>
    <row r="736" spans="1:12" x14ac:dyDescent="0.25">
      <c r="A736" t="s">
        <v>1465</v>
      </c>
      <c r="B736" t="s">
        <v>1605</v>
      </c>
      <c r="C736" t="s">
        <v>1474</v>
      </c>
      <c r="E736" t="str">
        <f t="shared" ref="E736" si="841">_xlfn.CONCAT("EvoFretFluvCat",RIGHT(B736,2),"EmportMoy")</f>
        <v>EvoFretFluvCat26EmportMoy</v>
      </c>
      <c r="F736" t="s">
        <v>17</v>
      </c>
      <c r="G736" s="5" cm="1">
        <f t="array" ref="G736">IF((INDEX('Remplissage - Sit. Init.'!$C$473:$I$1088,MATCH((_xlfn.CONCAT("Catégorie "&amp;RIGHT(B736,2)))&amp;('Remplissage - Sit. Init.'!$D$483),('Remplissage - Sit. Init.'!$C$473:$C$1088)&amp;('Remplissage - Sit. Init.'!$D$473:$D$1088),0),7))&gt;0,1,0)</f>
        <v>0</v>
      </c>
      <c r="H736" s="8"/>
      <c r="I736" s="33"/>
      <c r="J736" t="s">
        <v>70</v>
      </c>
      <c r="L736" s="114" t="s">
        <v>1480</v>
      </c>
    </row>
    <row r="737" spans="1:12" x14ac:dyDescent="0.25">
      <c r="A737" t="s">
        <v>1465</v>
      </c>
      <c r="B737" t="s">
        <v>1606</v>
      </c>
      <c r="C737" t="s">
        <v>1475</v>
      </c>
      <c r="E737" t="str">
        <f t="shared" ref="E737" si="842">_xlfn.CONCAT("EvoFretFluvCat",RIGHT(B737,2),"DistAn")</f>
        <v>EvoFretFluvCat26DistAn</v>
      </c>
      <c r="F737" t="s">
        <v>17</v>
      </c>
      <c r="G737" s="5" cm="1">
        <f t="array" ref="G737">IF((INDEX('Remplissage - Sit. Init.'!$C$473:$I$1088,MATCH((_xlfn.CONCAT("Catégorie "&amp;RIGHT(B737,2)))&amp;('Remplissage - Sit. Init.'!$D$483),('Remplissage - Sit. Init.'!$C$473:$C$1088)&amp;('Remplissage - Sit. Init.'!$D$473:$D$1088),0),7))&gt;0,1,0)</f>
        <v>0</v>
      </c>
      <c r="I737" s="33"/>
      <c r="J737" t="s">
        <v>70</v>
      </c>
      <c r="L737" s="114" t="s">
        <v>1479</v>
      </c>
    </row>
    <row r="738" spans="1:12" x14ac:dyDescent="0.25">
      <c r="A738" t="s">
        <v>1465</v>
      </c>
      <c r="B738" t="s">
        <v>1607</v>
      </c>
      <c r="C738" t="s">
        <v>1476</v>
      </c>
      <c r="E738" t="str">
        <f t="shared" ref="E738" si="843">_xlfn.CONCAT("EvoFretFluvCat",RIGHT(B738,2),"TauxChargeMoy")</f>
        <v>EvoFretFluvCat26TauxChargeMoy</v>
      </c>
      <c r="F738" t="s">
        <v>17</v>
      </c>
      <c r="G738" s="5" cm="1">
        <f t="array" ref="G738">IF((INDEX('Remplissage - Sit. Init.'!$C$473:$I$1088,MATCH((_xlfn.CONCAT("Catégorie "&amp;RIGHT(B738,2)))&amp;('Remplissage - Sit. Init.'!$D$483),('Remplissage - Sit. Init.'!$C$473:$C$1088)&amp;('Remplissage - Sit. Init.'!$D$473:$D$1088),0),7))&gt;0,1,0)</f>
        <v>0</v>
      </c>
      <c r="I738" s="33"/>
      <c r="J738" t="s">
        <v>70</v>
      </c>
      <c r="L738" s="114" t="s">
        <v>1481</v>
      </c>
    </row>
    <row r="739" spans="1:12" x14ac:dyDescent="0.25">
      <c r="A739" t="s">
        <v>1465</v>
      </c>
      <c r="B739" t="s">
        <v>1603</v>
      </c>
      <c r="C739" s="114" t="s">
        <v>1477</v>
      </c>
      <c r="E739" t="str">
        <f t="shared" ref="E739" si="844">_xlfn.CONCAT("EvoFretFluvCat",RIGHT(B739,2),"NbBarges")</f>
        <v>EvoFretFluvCat26NbBarges</v>
      </c>
      <c r="F739" t="s">
        <v>17</v>
      </c>
      <c r="G739" s="5" cm="1">
        <f t="array" ref="G739">IF((INDEX('Remplissage - Sit. Init.'!$C$473:$I$1088,MATCH((_xlfn.CONCAT("Catégorie "&amp;RIGHT(B739,2)))&amp;('Remplissage - Sit. Init.'!$D$483),('Remplissage - Sit. Init.'!$C$473:$C$1088)&amp;('Remplissage - Sit. Init.'!$D$473:$D$1088),0),7))&gt;0,1,0)</f>
        <v>0</v>
      </c>
      <c r="I739" s="33"/>
      <c r="J739" t="s">
        <v>70</v>
      </c>
      <c r="L739" s="114" t="s">
        <v>1482</v>
      </c>
    </row>
    <row r="740" spans="1:12" x14ac:dyDescent="0.25">
      <c r="A740" t="s">
        <v>1465</v>
      </c>
      <c r="B740" t="s">
        <v>1304</v>
      </c>
      <c r="C740" t="str">
        <f t="shared" ref="C740" ca="1" si="845">_xlfn.CONCAT("Pour l'évolution de l'activité associée à la catégorie de barges suivante, catégorie ",INDIRECT("'Parcs types'!C"&amp;D740),", préférez-vous renseigner : ")</f>
        <v xml:space="preserve">Pour l'évolution de l'activité associée à la catégorie de barges suivante, catégorie Automoteurs 1000-1499 tonnes H2 , PAC, préférez-vous renseigner : </v>
      </c>
      <c r="D740">
        <v>91</v>
      </c>
      <c r="E740" t="str">
        <f t="shared" ref="E740" si="846">_xlfn.CONCAT("EvoFretFluvCat",RIGHT(B740,2),"Request")</f>
        <v>EvoFretFluvCat27Request</v>
      </c>
      <c r="F740" s="32" t="s">
        <v>20</v>
      </c>
      <c r="G740" s="5" cm="1">
        <f t="array" ref="G740">IF((INDEX('Remplissage - Sit. Init.'!$C$473:$I$1088,MATCH((_xlfn.CONCAT("Catégorie "&amp;RIGHT(B740,2)))&amp;('Remplissage - Sit. Init.'!$D$483),('Remplissage - Sit. Init.'!$C$473:$C$1088)&amp;('Remplissage - Sit. Init.'!$D$473:$D$1088),0),7))&gt;0,1,0)</f>
        <v>0</v>
      </c>
      <c r="I740" s="33" t="s">
        <v>1466</v>
      </c>
      <c r="K740" s="8"/>
    </row>
    <row r="741" spans="1:12" x14ac:dyDescent="0.25">
      <c r="A741" t="s">
        <v>1465</v>
      </c>
      <c r="B741" t="s">
        <v>1608</v>
      </c>
      <c r="C741" t="s">
        <v>1472</v>
      </c>
      <c r="E741" t="str">
        <f t="shared" ref="E741" si="847">_xlfn.CONCAT("EvoFretFluvCat",RIGHT(B741,2),"NbTraj")</f>
        <v>EvoFretFluvCat27NbTraj</v>
      </c>
      <c r="F741" t="s">
        <v>17</v>
      </c>
      <c r="G741" s="5" cm="1">
        <f t="array" ref="G741">IF((INDEX('Remplissage - Sit. Init.'!$C$473:$I$1088,MATCH((_xlfn.CONCAT("Catégorie "&amp;RIGHT(B741,2)))&amp;('Remplissage - Sit. Init.'!$D$483),('Remplissage - Sit. Init.'!$C$473:$C$1088)&amp;('Remplissage - Sit. Init.'!$D$473:$D$1088),0),7))&gt;0,1,0)</f>
        <v>0</v>
      </c>
      <c r="H741" s="8"/>
      <c r="I741" s="33"/>
      <c r="J741" t="s">
        <v>70</v>
      </c>
      <c r="L741" s="114" t="s">
        <v>1478</v>
      </c>
    </row>
    <row r="742" spans="1:12" x14ac:dyDescent="0.25">
      <c r="A742" t="s">
        <v>1465</v>
      </c>
      <c r="B742" t="s">
        <v>1609</v>
      </c>
      <c r="C742" t="s">
        <v>1473</v>
      </c>
      <c r="E742" t="str">
        <f t="shared" ref="E742" si="848">_xlfn.CONCAT("EvoFretFluvCat",RIGHT(B742,2),"DistMoy")</f>
        <v>EvoFretFluvCat27DistMoy</v>
      </c>
      <c r="F742" t="s">
        <v>17</v>
      </c>
      <c r="G742" s="5" cm="1">
        <f t="array" ref="G742">IF((INDEX('Remplissage - Sit. Init.'!$C$473:$I$1088,MATCH((_xlfn.CONCAT("Catégorie "&amp;RIGHT(B742,2)))&amp;('Remplissage - Sit. Init.'!$D$483),('Remplissage - Sit. Init.'!$C$473:$C$1088)&amp;('Remplissage - Sit. Init.'!$D$473:$D$1088),0),7))&gt;0,1,0)</f>
        <v>0</v>
      </c>
      <c r="H742" s="8"/>
      <c r="I742" s="33"/>
      <c r="J742" t="s">
        <v>70</v>
      </c>
      <c r="L742" s="114" t="s">
        <v>1479</v>
      </c>
    </row>
    <row r="743" spans="1:12" x14ac:dyDescent="0.25">
      <c r="A743" t="s">
        <v>1465</v>
      </c>
      <c r="B743" t="s">
        <v>1610</v>
      </c>
      <c r="C743" t="s">
        <v>1474</v>
      </c>
      <c r="E743" t="str">
        <f t="shared" ref="E743" si="849">_xlfn.CONCAT("EvoFretFluvCat",RIGHT(B743,2),"EmportMoy")</f>
        <v>EvoFretFluvCat27EmportMoy</v>
      </c>
      <c r="F743" t="s">
        <v>17</v>
      </c>
      <c r="G743" s="5" cm="1">
        <f t="array" ref="G743">IF((INDEX('Remplissage - Sit. Init.'!$C$473:$I$1088,MATCH((_xlfn.CONCAT("Catégorie "&amp;RIGHT(B743,2)))&amp;('Remplissage - Sit. Init.'!$D$483),('Remplissage - Sit. Init.'!$C$473:$C$1088)&amp;('Remplissage - Sit. Init.'!$D$473:$D$1088),0),7))&gt;0,1,0)</f>
        <v>0</v>
      </c>
      <c r="H743" s="8"/>
      <c r="I743" s="33"/>
      <c r="J743" t="s">
        <v>70</v>
      </c>
      <c r="L743" s="114" t="s">
        <v>1480</v>
      </c>
    </row>
    <row r="744" spans="1:12" x14ac:dyDescent="0.25">
      <c r="A744" t="s">
        <v>1465</v>
      </c>
      <c r="B744" t="s">
        <v>1611</v>
      </c>
      <c r="C744" t="s">
        <v>1475</v>
      </c>
      <c r="E744" t="str">
        <f t="shared" ref="E744" si="850">_xlfn.CONCAT("EvoFretFluvCat",RIGHT(B744,2),"DistAn")</f>
        <v>EvoFretFluvCat27DistAn</v>
      </c>
      <c r="F744" t="s">
        <v>17</v>
      </c>
      <c r="G744" s="5" cm="1">
        <f t="array" ref="G744">IF((INDEX('Remplissage - Sit. Init.'!$C$473:$I$1088,MATCH((_xlfn.CONCAT("Catégorie "&amp;RIGHT(B744,2)))&amp;('Remplissage - Sit. Init.'!$D$483),('Remplissage - Sit. Init.'!$C$473:$C$1088)&amp;('Remplissage - Sit. Init.'!$D$473:$D$1088),0),7))&gt;0,1,0)</f>
        <v>0</v>
      </c>
      <c r="I744" s="33"/>
      <c r="J744" t="s">
        <v>70</v>
      </c>
      <c r="L744" s="114" t="s">
        <v>1479</v>
      </c>
    </row>
    <row r="745" spans="1:12" x14ac:dyDescent="0.25">
      <c r="A745" t="s">
        <v>1465</v>
      </c>
      <c r="B745" t="s">
        <v>1612</v>
      </c>
      <c r="C745" t="s">
        <v>1476</v>
      </c>
      <c r="E745" t="str">
        <f t="shared" ref="E745" si="851">_xlfn.CONCAT("EvoFretFluvCat",RIGHT(B745,2),"TauxChargeMoy")</f>
        <v>EvoFretFluvCat27TauxChargeMoy</v>
      </c>
      <c r="F745" t="s">
        <v>17</v>
      </c>
      <c r="G745" s="5" cm="1">
        <f t="array" ref="G745">IF((INDEX('Remplissage - Sit. Init.'!$C$473:$I$1088,MATCH((_xlfn.CONCAT("Catégorie "&amp;RIGHT(B745,2)))&amp;('Remplissage - Sit. Init.'!$D$483),('Remplissage - Sit. Init.'!$C$473:$C$1088)&amp;('Remplissage - Sit. Init.'!$D$473:$D$1088),0),7))&gt;0,1,0)</f>
        <v>0</v>
      </c>
      <c r="I745" s="33"/>
      <c r="J745" t="s">
        <v>70</v>
      </c>
      <c r="L745" s="114" t="s">
        <v>1481</v>
      </c>
    </row>
    <row r="746" spans="1:12" x14ac:dyDescent="0.25">
      <c r="A746" t="s">
        <v>1465</v>
      </c>
      <c r="B746" t="s">
        <v>1608</v>
      </c>
      <c r="C746" s="114" t="s">
        <v>1477</v>
      </c>
      <c r="E746" t="str">
        <f t="shared" ref="E746" si="852">_xlfn.CONCAT("EvoFretFluvCat",RIGHT(B746,2),"NbBarges")</f>
        <v>EvoFretFluvCat27NbBarges</v>
      </c>
      <c r="F746" t="s">
        <v>17</v>
      </c>
      <c r="G746" s="5" cm="1">
        <f t="array" ref="G746">IF((INDEX('Remplissage - Sit. Init.'!$C$473:$I$1088,MATCH((_xlfn.CONCAT("Catégorie "&amp;RIGHT(B746,2)))&amp;('Remplissage - Sit. Init.'!$D$483),('Remplissage - Sit. Init.'!$C$473:$C$1088)&amp;('Remplissage - Sit. Init.'!$D$473:$D$1088),0),7))&gt;0,1,0)</f>
        <v>0</v>
      </c>
      <c r="I746" s="33"/>
      <c r="J746" t="s">
        <v>70</v>
      </c>
      <c r="L746" s="114" t="s">
        <v>1482</v>
      </c>
    </row>
    <row r="747" spans="1:12" x14ac:dyDescent="0.25">
      <c r="A747" t="s">
        <v>1465</v>
      </c>
      <c r="B747" t="s">
        <v>1306</v>
      </c>
      <c r="C747" t="str">
        <f t="shared" ref="C747" ca="1" si="853">_xlfn.CONCAT("Pour l'évolution de l'activité associée à la catégorie de barges suivante, catégorie ",INDIRECT("'Parcs types'!C"&amp;D747),", préférez-vous renseigner : ")</f>
        <v xml:space="preserve">Pour l'évolution de l'activité associée à la catégorie de barges suivante, catégorie Automoteurs 1000-1499 tonnes H2 , ICE, préférez-vous renseigner : </v>
      </c>
      <c r="D747">
        <v>92</v>
      </c>
      <c r="E747" t="str">
        <f t="shared" ref="E747" si="854">_xlfn.CONCAT("EvoFretFluvCat",RIGHT(B747,2),"Request")</f>
        <v>EvoFretFluvCat28Request</v>
      </c>
      <c r="F747" s="32" t="s">
        <v>20</v>
      </c>
      <c r="G747" s="5" cm="1">
        <f t="array" ref="G747">IF((INDEX('Remplissage - Sit. Init.'!$C$473:$I$1088,MATCH((_xlfn.CONCAT("Catégorie "&amp;RIGHT(B747,2)))&amp;('Remplissage - Sit. Init.'!$D$483),('Remplissage - Sit. Init.'!$C$473:$C$1088)&amp;('Remplissage - Sit. Init.'!$D$473:$D$1088),0),7))&gt;0,1,0)</f>
        <v>0</v>
      </c>
      <c r="I747" s="33" t="s">
        <v>1466</v>
      </c>
      <c r="K747" s="8"/>
    </row>
    <row r="748" spans="1:12" x14ac:dyDescent="0.25">
      <c r="A748" t="s">
        <v>1465</v>
      </c>
      <c r="B748" t="s">
        <v>1613</v>
      </c>
      <c r="C748" t="s">
        <v>1472</v>
      </c>
      <c r="E748" t="str">
        <f t="shared" ref="E748" si="855">_xlfn.CONCAT("EvoFretFluvCat",RIGHT(B748,2),"NbTraj")</f>
        <v>EvoFretFluvCat28NbTraj</v>
      </c>
      <c r="F748" t="s">
        <v>17</v>
      </c>
      <c r="G748" s="5" cm="1">
        <f t="array" ref="G748">IF((INDEX('Remplissage - Sit. Init.'!$C$473:$I$1088,MATCH((_xlfn.CONCAT("Catégorie "&amp;RIGHT(B748,2)))&amp;('Remplissage - Sit. Init.'!$D$483),('Remplissage - Sit. Init.'!$C$473:$C$1088)&amp;('Remplissage - Sit. Init.'!$D$473:$D$1088),0),7))&gt;0,1,0)</f>
        <v>0</v>
      </c>
      <c r="H748" s="8"/>
      <c r="I748" s="33"/>
      <c r="J748" t="s">
        <v>70</v>
      </c>
      <c r="L748" s="114" t="s">
        <v>1478</v>
      </c>
    </row>
    <row r="749" spans="1:12" x14ac:dyDescent="0.25">
      <c r="A749" t="s">
        <v>1465</v>
      </c>
      <c r="B749" t="s">
        <v>1614</v>
      </c>
      <c r="C749" t="s">
        <v>1473</v>
      </c>
      <c r="E749" t="str">
        <f t="shared" ref="E749" si="856">_xlfn.CONCAT("EvoFretFluvCat",RIGHT(B749,2),"DistMoy")</f>
        <v>EvoFretFluvCat28DistMoy</v>
      </c>
      <c r="F749" t="s">
        <v>17</v>
      </c>
      <c r="G749" s="5" cm="1">
        <f t="array" ref="G749">IF((INDEX('Remplissage - Sit. Init.'!$C$473:$I$1088,MATCH((_xlfn.CONCAT("Catégorie "&amp;RIGHT(B749,2)))&amp;('Remplissage - Sit. Init.'!$D$483),('Remplissage - Sit. Init.'!$C$473:$C$1088)&amp;('Remplissage - Sit. Init.'!$D$473:$D$1088),0),7))&gt;0,1,0)</f>
        <v>0</v>
      </c>
      <c r="H749" s="8"/>
      <c r="I749" s="33"/>
      <c r="J749" t="s">
        <v>70</v>
      </c>
      <c r="L749" s="114" t="s">
        <v>1479</v>
      </c>
    </row>
    <row r="750" spans="1:12" x14ac:dyDescent="0.25">
      <c r="A750" t="s">
        <v>1465</v>
      </c>
      <c r="B750" t="s">
        <v>1615</v>
      </c>
      <c r="C750" t="s">
        <v>1474</v>
      </c>
      <c r="E750" t="str">
        <f t="shared" ref="E750" si="857">_xlfn.CONCAT("EvoFretFluvCat",RIGHT(B750,2),"EmportMoy")</f>
        <v>EvoFretFluvCat28EmportMoy</v>
      </c>
      <c r="F750" t="s">
        <v>17</v>
      </c>
      <c r="G750" s="5" cm="1">
        <f t="array" ref="G750">IF((INDEX('Remplissage - Sit. Init.'!$C$473:$I$1088,MATCH((_xlfn.CONCAT("Catégorie "&amp;RIGHT(B750,2)))&amp;('Remplissage - Sit. Init.'!$D$483),('Remplissage - Sit. Init.'!$C$473:$C$1088)&amp;('Remplissage - Sit. Init.'!$D$473:$D$1088),0),7))&gt;0,1,0)</f>
        <v>0</v>
      </c>
      <c r="H750" s="8"/>
      <c r="I750" s="33"/>
      <c r="J750" t="s">
        <v>70</v>
      </c>
      <c r="L750" s="114" t="s">
        <v>1480</v>
      </c>
    </row>
    <row r="751" spans="1:12" x14ac:dyDescent="0.25">
      <c r="A751" t="s">
        <v>1465</v>
      </c>
      <c r="B751" t="s">
        <v>1616</v>
      </c>
      <c r="C751" t="s">
        <v>1475</v>
      </c>
      <c r="E751" t="str">
        <f t="shared" ref="E751" si="858">_xlfn.CONCAT("EvoFretFluvCat",RIGHT(B751,2),"DistAn")</f>
        <v>EvoFretFluvCat28DistAn</v>
      </c>
      <c r="F751" t="s">
        <v>17</v>
      </c>
      <c r="G751" s="5" cm="1">
        <f t="array" ref="G751">IF((INDEX('Remplissage - Sit. Init.'!$C$473:$I$1088,MATCH((_xlfn.CONCAT("Catégorie "&amp;RIGHT(B751,2)))&amp;('Remplissage - Sit. Init.'!$D$483),('Remplissage - Sit. Init.'!$C$473:$C$1088)&amp;('Remplissage - Sit. Init.'!$D$473:$D$1088),0),7))&gt;0,1,0)</f>
        <v>0</v>
      </c>
      <c r="I751" s="33"/>
      <c r="J751" t="s">
        <v>70</v>
      </c>
      <c r="L751" s="114" t="s">
        <v>1479</v>
      </c>
    </row>
    <row r="752" spans="1:12" x14ac:dyDescent="0.25">
      <c r="A752" t="s">
        <v>1465</v>
      </c>
      <c r="B752" t="s">
        <v>1617</v>
      </c>
      <c r="C752" t="s">
        <v>1476</v>
      </c>
      <c r="E752" t="str">
        <f t="shared" ref="E752" si="859">_xlfn.CONCAT("EvoFretFluvCat",RIGHT(B752,2),"TauxChargeMoy")</f>
        <v>EvoFretFluvCat28TauxChargeMoy</v>
      </c>
      <c r="F752" t="s">
        <v>17</v>
      </c>
      <c r="G752" s="5" cm="1">
        <f t="array" ref="G752">IF((INDEX('Remplissage - Sit. Init.'!$C$473:$I$1088,MATCH((_xlfn.CONCAT("Catégorie "&amp;RIGHT(B752,2)))&amp;('Remplissage - Sit. Init.'!$D$483),('Remplissage - Sit. Init.'!$C$473:$C$1088)&amp;('Remplissage - Sit. Init.'!$D$473:$D$1088),0),7))&gt;0,1,0)</f>
        <v>0</v>
      </c>
      <c r="I752" s="33"/>
      <c r="J752" t="s">
        <v>70</v>
      </c>
      <c r="L752" s="114" t="s">
        <v>1481</v>
      </c>
    </row>
    <row r="753" spans="1:12" x14ac:dyDescent="0.25">
      <c r="A753" t="s">
        <v>1465</v>
      </c>
      <c r="B753" t="s">
        <v>1613</v>
      </c>
      <c r="C753" s="114" t="s">
        <v>1477</v>
      </c>
      <c r="E753" t="str">
        <f t="shared" ref="E753" si="860">_xlfn.CONCAT("EvoFretFluvCat",RIGHT(B753,2),"NbBarges")</f>
        <v>EvoFretFluvCat28NbBarges</v>
      </c>
      <c r="F753" t="s">
        <v>17</v>
      </c>
      <c r="G753" s="5" cm="1">
        <f t="array" ref="G753">IF((INDEX('Remplissage - Sit. Init.'!$C$473:$I$1088,MATCH((_xlfn.CONCAT("Catégorie "&amp;RIGHT(B753,2)))&amp;('Remplissage - Sit. Init.'!$D$483),('Remplissage - Sit. Init.'!$C$473:$C$1088)&amp;('Remplissage - Sit. Init.'!$D$473:$D$1088),0),7))&gt;0,1,0)</f>
        <v>0</v>
      </c>
      <c r="I753" s="33"/>
      <c r="J753" t="s">
        <v>70</v>
      </c>
      <c r="L753" s="114" t="s">
        <v>1482</v>
      </c>
    </row>
    <row r="754" spans="1:12" x14ac:dyDescent="0.25">
      <c r="A754" t="s">
        <v>1465</v>
      </c>
      <c r="B754" t="s">
        <v>1308</v>
      </c>
      <c r="C754" t="str">
        <f t="shared" ref="C754" ca="1" si="861">_xlfn.CONCAT("Pour l'évolution de l'activité associée à la catégorie de barges suivante, catégorie ",INDIRECT("'Parcs types'!C"&amp;D754),", préférez-vous renseigner : ")</f>
        <v xml:space="preserve">Pour l'évolution de l'activité associée à la catégorie de barges suivante, catégorie Automoteurs 1500-3000 tonnes CCNR 2 ou inférieur, diesel, préférez-vous renseigner : </v>
      </c>
      <c r="D754">
        <v>93</v>
      </c>
      <c r="E754" t="str">
        <f t="shared" ref="E754" si="862">_xlfn.CONCAT("EvoFretFluvCat",RIGHT(B754,2),"Request")</f>
        <v>EvoFretFluvCat29Request</v>
      </c>
      <c r="F754" s="32" t="s">
        <v>20</v>
      </c>
      <c r="G754" s="5" cm="1">
        <f t="array" ref="G754">IF((INDEX('Remplissage - Sit. Init.'!$C$473:$I$1088,MATCH((_xlfn.CONCAT("Catégorie "&amp;RIGHT(B754,2)))&amp;('Remplissage - Sit. Init.'!$D$483),('Remplissage - Sit. Init.'!$C$473:$C$1088)&amp;('Remplissage - Sit. Init.'!$D$473:$D$1088),0),7))&gt;0,1,0)</f>
        <v>0</v>
      </c>
      <c r="I754" s="33" t="s">
        <v>1466</v>
      </c>
      <c r="K754" s="8"/>
    </row>
    <row r="755" spans="1:12" x14ac:dyDescent="0.25">
      <c r="A755" t="s">
        <v>1465</v>
      </c>
      <c r="B755" t="s">
        <v>1618</v>
      </c>
      <c r="C755" t="s">
        <v>1472</v>
      </c>
      <c r="E755" t="str">
        <f t="shared" ref="E755" si="863">_xlfn.CONCAT("EvoFretFluvCat",RIGHT(B755,2),"NbTraj")</f>
        <v>EvoFretFluvCat29NbTraj</v>
      </c>
      <c r="F755" t="s">
        <v>17</v>
      </c>
      <c r="G755" s="5" cm="1">
        <f t="array" ref="G755">IF((INDEX('Remplissage - Sit. Init.'!$C$473:$I$1088,MATCH((_xlfn.CONCAT("Catégorie "&amp;RIGHT(B755,2)))&amp;('Remplissage - Sit. Init.'!$D$483),('Remplissage - Sit. Init.'!$C$473:$C$1088)&amp;('Remplissage - Sit. Init.'!$D$473:$D$1088),0),7))&gt;0,1,0)</f>
        <v>0</v>
      </c>
      <c r="H755" s="8"/>
      <c r="I755" s="33"/>
      <c r="J755" t="s">
        <v>70</v>
      </c>
      <c r="L755" s="114" t="s">
        <v>1478</v>
      </c>
    </row>
    <row r="756" spans="1:12" x14ac:dyDescent="0.25">
      <c r="A756" t="s">
        <v>1465</v>
      </c>
      <c r="B756" t="s">
        <v>1619</v>
      </c>
      <c r="C756" t="s">
        <v>1473</v>
      </c>
      <c r="E756" t="str">
        <f t="shared" ref="E756" si="864">_xlfn.CONCAT("EvoFretFluvCat",RIGHT(B756,2),"DistMoy")</f>
        <v>EvoFretFluvCat29DistMoy</v>
      </c>
      <c r="F756" t="s">
        <v>17</v>
      </c>
      <c r="G756" s="5" cm="1">
        <f t="array" ref="G756">IF((INDEX('Remplissage - Sit. Init.'!$C$473:$I$1088,MATCH((_xlfn.CONCAT("Catégorie "&amp;RIGHT(B756,2)))&amp;('Remplissage - Sit. Init.'!$D$483),('Remplissage - Sit. Init.'!$C$473:$C$1088)&amp;('Remplissage - Sit. Init.'!$D$473:$D$1088),0),7))&gt;0,1,0)</f>
        <v>0</v>
      </c>
      <c r="H756" s="8"/>
      <c r="I756" s="33"/>
      <c r="J756" t="s">
        <v>70</v>
      </c>
      <c r="L756" s="114" t="s">
        <v>1479</v>
      </c>
    </row>
    <row r="757" spans="1:12" x14ac:dyDescent="0.25">
      <c r="A757" t="s">
        <v>1465</v>
      </c>
      <c r="B757" t="s">
        <v>1620</v>
      </c>
      <c r="C757" t="s">
        <v>1474</v>
      </c>
      <c r="E757" t="str">
        <f t="shared" ref="E757" si="865">_xlfn.CONCAT("EvoFretFluvCat",RIGHT(B757,2),"EmportMoy")</f>
        <v>EvoFretFluvCat29EmportMoy</v>
      </c>
      <c r="F757" t="s">
        <v>17</v>
      </c>
      <c r="G757" s="5" cm="1">
        <f t="array" ref="G757">IF((INDEX('Remplissage - Sit. Init.'!$C$473:$I$1088,MATCH((_xlfn.CONCAT("Catégorie "&amp;RIGHT(B757,2)))&amp;('Remplissage - Sit. Init.'!$D$483),('Remplissage - Sit. Init.'!$C$473:$C$1088)&amp;('Remplissage - Sit. Init.'!$D$473:$D$1088),0),7))&gt;0,1,0)</f>
        <v>0</v>
      </c>
      <c r="H757" s="8"/>
      <c r="I757" s="33"/>
      <c r="J757" t="s">
        <v>70</v>
      </c>
      <c r="L757" s="114" t="s">
        <v>1480</v>
      </c>
    </row>
    <row r="758" spans="1:12" x14ac:dyDescent="0.25">
      <c r="A758" t="s">
        <v>1465</v>
      </c>
      <c r="B758" t="s">
        <v>1621</v>
      </c>
      <c r="C758" t="s">
        <v>1475</v>
      </c>
      <c r="E758" t="str">
        <f t="shared" ref="E758" si="866">_xlfn.CONCAT("EvoFretFluvCat",RIGHT(B758,2),"DistAn")</f>
        <v>EvoFretFluvCat29DistAn</v>
      </c>
      <c r="F758" t="s">
        <v>17</v>
      </c>
      <c r="G758" s="5" cm="1">
        <f t="array" ref="G758">IF((INDEX('Remplissage - Sit. Init.'!$C$473:$I$1088,MATCH((_xlfn.CONCAT("Catégorie "&amp;RIGHT(B758,2)))&amp;('Remplissage - Sit. Init.'!$D$483),('Remplissage - Sit. Init.'!$C$473:$C$1088)&amp;('Remplissage - Sit. Init.'!$D$473:$D$1088),0),7))&gt;0,1,0)</f>
        <v>0</v>
      </c>
      <c r="I758" s="33"/>
      <c r="J758" t="s">
        <v>70</v>
      </c>
      <c r="L758" s="114" t="s">
        <v>1479</v>
      </c>
    </row>
    <row r="759" spans="1:12" x14ac:dyDescent="0.25">
      <c r="A759" t="s">
        <v>1465</v>
      </c>
      <c r="B759" t="s">
        <v>1622</v>
      </c>
      <c r="C759" t="s">
        <v>1476</v>
      </c>
      <c r="E759" t="str">
        <f t="shared" ref="E759" si="867">_xlfn.CONCAT("EvoFretFluvCat",RIGHT(B759,2),"TauxChargeMoy")</f>
        <v>EvoFretFluvCat29TauxChargeMoy</v>
      </c>
      <c r="F759" t="s">
        <v>17</v>
      </c>
      <c r="G759" s="5" cm="1">
        <f t="array" ref="G759">IF((INDEX('Remplissage - Sit. Init.'!$C$473:$I$1088,MATCH((_xlfn.CONCAT("Catégorie "&amp;RIGHT(B759,2)))&amp;('Remplissage - Sit. Init.'!$D$483),('Remplissage - Sit. Init.'!$C$473:$C$1088)&amp;('Remplissage - Sit. Init.'!$D$473:$D$1088),0),7))&gt;0,1,0)</f>
        <v>0</v>
      </c>
      <c r="I759" s="33"/>
      <c r="J759" t="s">
        <v>70</v>
      </c>
      <c r="L759" s="114" t="s">
        <v>1481</v>
      </c>
    </row>
    <row r="760" spans="1:12" x14ac:dyDescent="0.25">
      <c r="A760" t="s">
        <v>1465</v>
      </c>
      <c r="B760" t="s">
        <v>1618</v>
      </c>
      <c r="C760" s="114" t="s">
        <v>1477</v>
      </c>
      <c r="E760" t="str">
        <f t="shared" ref="E760" si="868">_xlfn.CONCAT("EvoFretFluvCat",RIGHT(B760,2),"NbBarges")</f>
        <v>EvoFretFluvCat29NbBarges</v>
      </c>
      <c r="F760" t="s">
        <v>17</v>
      </c>
      <c r="G760" s="5" cm="1">
        <f t="array" ref="G760">IF((INDEX('Remplissage - Sit. Init.'!$C$473:$I$1088,MATCH((_xlfn.CONCAT("Catégorie "&amp;RIGHT(B760,2)))&amp;('Remplissage - Sit. Init.'!$D$483),('Remplissage - Sit. Init.'!$C$473:$C$1088)&amp;('Remplissage - Sit. Init.'!$D$473:$D$1088),0),7))&gt;0,1,0)</f>
        <v>0</v>
      </c>
      <c r="I760" s="33"/>
      <c r="J760" t="s">
        <v>70</v>
      </c>
      <c r="L760" s="114" t="s">
        <v>1482</v>
      </c>
    </row>
    <row r="761" spans="1:12" x14ac:dyDescent="0.25">
      <c r="A761" t="s">
        <v>1465</v>
      </c>
      <c r="B761" t="s">
        <v>1310</v>
      </c>
      <c r="C761" t="str">
        <f t="shared" ref="C761" ca="1" si="869">_xlfn.CONCAT("Pour l'évolution de l'activité associée à la catégorie de barges suivante, catégorie ",INDIRECT("'Parcs types'!C"&amp;D761),", préférez-vous renseigner : ")</f>
        <v xml:space="preserve">Pour l'évolution de l'activité associée à la catégorie de barges suivante, catégorie Automoteurs 1500-3000 tonnes CCNR 2 + SCR, diesel, préférez-vous renseigner : </v>
      </c>
      <c r="D761">
        <v>94</v>
      </c>
      <c r="E761" t="str">
        <f t="shared" ref="E761" si="870">_xlfn.CONCAT("EvoFretFluvCat",RIGHT(B761,2),"Request")</f>
        <v>EvoFretFluvCat30Request</v>
      </c>
      <c r="F761" s="32" t="s">
        <v>20</v>
      </c>
      <c r="G761" s="5" cm="1">
        <f t="array" ref="G761">IF((INDEX('Remplissage - Sit. Init.'!$C$473:$I$1088,MATCH((_xlfn.CONCAT("Catégorie "&amp;RIGHT(B761,2)))&amp;('Remplissage - Sit. Init.'!$D$483),('Remplissage - Sit. Init.'!$C$473:$C$1088)&amp;('Remplissage - Sit. Init.'!$D$473:$D$1088),0),7))&gt;0,1,0)</f>
        <v>0</v>
      </c>
      <c r="I761" s="33" t="s">
        <v>1466</v>
      </c>
      <c r="K761" s="8"/>
    </row>
    <row r="762" spans="1:12" x14ac:dyDescent="0.25">
      <c r="A762" t="s">
        <v>1465</v>
      </c>
      <c r="B762" t="s">
        <v>1623</v>
      </c>
      <c r="C762" t="s">
        <v>1472</v>
      </c>
      <c r="E762" t="str">
        <f t="shared" ref="E762" si="871">_xlfn.CONCAT("EvoFretFluvCat",RIGHT(B762,2),"NbTraj")</f>
        <v>EvoFretFluvCat30NbTraj</v>
      </c>
      <c r="F762" t="s">
        <v>17</v>
      </c>
      <c r="G762" s="5" cm="1">
        <f t="array" ref="G762">IF((INDEX('Remplissage - Sit. Init.'!$C$473:$I$1088,MATCH((_xlfn.CONCAT("Catégorie "&amp;RIGHT(B762,2)))&amp;('Remplissage - Sit. Init.'!$D$483),('Remplissage - Sit. Init.'!$C$473:$C$1088)&amp;('Remplissage - Sit. Init.'!$D$473:$D$1088),0),7))&gt;0,1,0)</f>
        <v>0</v>
      </c>
      <c r="H762" s="8"/>
      <c r="I762" s="33"/>
      <c r="J762" t="s">
        <v>70</v>
      </c>
      <c r="L762" s="114" t="s">
        <v>1478</v>
      </c>
    </row>
    <row r="763" spans="1:12" x14ac:dyDescent="0.25">
      <c r="A763" t="s">
        <v>1465</v>
      </c>
      <c r="B763" t="s">
        <v>1624</v>
      </c>
      <c r="C763" t="s">
        <v>1473</v>
      </c>
      <c r="E763" t="str">
        <f t="shared" ref="E763" si="872">_xlfn.CONCAT("EvoFretFluvCat",RIGHT(B763,2),"DistMoy")</f>
        <v>EvoFretFluvCat30DistMoy</v>
      </c>
      <c r="F763" t="s">
        <v>17</v>
      </c>
      <c r="G763" s="5" cm="1">
        <f t="array" ref="G763">IF((INDEX('Remplissage - Sit. Init.'!$C$473:$I$1088,MATCH((_xlfn.CONCAT("Catégorie "&amp;RIGHT(B763,2)))&amp;('Remplissage - Sit. Init.'!$D$483),('Remplissage - Sit. Init.'!$C$473:$C$1088)&amp;('Remplissage - Sit. Init.'!$D$473:$D$1088),0),7))&gt;0,1,0)</f>
        <v>0</v>
      </c>
      <c r="H763" s="8"/>
      <c r="I763" s="33"/>
      <c r="J763" t="s">
        <v>70</v>
      </c>
      <c r="L763" s="114" t="s">
        <v>1479</v>
      </c>
    </row>
    <row r="764" spans="1:12" x14ac:dyDescent="0.25">
      <c r="A764" t="s">
        <v>1465</v>
      </c>
      <c r="B764" t="s">
        <v>1625</v>
      </c>
      <c r="C764" t="s">
        <v>1474</v>
      </c>
      <c r="E764" t="str">
        <f t="shared" ref="E764" si="873">_xlfn.CONCAT("EvoFretFluvCat",RIGHT(B764,2),"EmportMoy")</f>
        <v>EvoFretFluvCat30EmportMoy</v>
      </c>
      <c r="F764" t="s">
        <v>17</v>
      </c>
      <c r="G764" s="5" cm="1">
        <f t="array" ref="G764">IF((INDEX('Remplissage - Sit. Init.'!$C$473:$I$1088,MATCH((_xlfn.CONCAT("Catégorie "&amp;RIGHT(B764,2)))&amp;('Remplissage - Sit. Init.'!$D$483),('Remplissage - Sit. Init.'!$C$473:$C$1088)&amp;('Remplissage - Sit. Init.'!$D$473:$D$1088),0),7))&gt;0,1,0)</f>
        <v>0</v>
      </c>
      <c r="H764" s="8"/>
      <c r="I764" s="33"/>
      <c r="J764" t="s">
        <v>70</v>
      </c>
      <c r="L764" s="114" t="s">
        <v>1480</v>
      </c>
    </row>
    <row r="765" spans="1:12" x14ac:dyDescent="0.25">
      <c r="A765" t="s">
        <v>1465</v>
      </c>
      <c r="B765" t="s">
        <v>1626</v>
      </c>
      <c r="C765" t="s">
        <v>1475</v>
      </c>
      <c r="E765" t="str">
        <f t="shared" ref="E765" si="874">_xlfn.CONCAT("EvoFretFluvCat",RIGHT(B765,2),"DistAn")</f>
        <v>EvoFretFluvCat30DistAn</v>
      </c>
      <c r="F765" t="s">
        <v>17</v>
      </c>
      <c r="G765" s="5" cm="1">
        <f t="array" ref="G765">IF((INDEX('Remplissage - Sit. Init.'!$C$473:$I$1088,MATCH((_xlfn.CONCAT("Catégorie "&amp;RIGHT(B765,2)))&amp;('Remplissage - Sit. Init.'!$D$483),('Remplissage - Sit. Init.'!$C$473:$C$1088)&amp;('Remplissage - Sit. Init.'!$D$473:$D$1088),0),7))&gt;0,1,0)</f>
        <v>0</v>
      </c>
      <c r="I765" s="33"/>
      <c r="J765" t="s">
        <v>70</v>
      </c>
      <c r="L765" s="114" t="s">
        <v>1479</v>
      </c>
    </row>
    <row r="766" spans="1:12" x14ac:dyDescent="0.25">
      <c r="A766" t="s">
        <v>1465</v>
      </c>
      <c r="B766" t="s">
        <v>1627</v>
      </c>
      <c r="C766" t="s">
        <v>1476</v>
      </c>
      <c r="E766" t="str">
        <f t="shared" ref="E766" si="875">_xlfn.CONCAT("EvoFretFluvCat",RIGHT(B766,2),"TauxChargeMoy")</f>
        <v>EvoFretFluvCat30TauxChargeMoy</v>
      </c>
      <c r="F766" t="s">
        <v>17</v>
      </c>
      <c r="G766" s="5" cm="1">
        <f t="array" ref="G766">IF((INDEX('Remplissage - Sit. Init.'!$C$473:$I$1088,MATCH((_xlfn.CONCAT("Catégorie "&amp;RIGHT(B766,2)))&amp;('Remplissage - Sit. Init.'!$D$483),('Remplissage - Sit. Init.'!$C$473:$C$1088)&amp;('Remplissage - Sit. Init.'!$D$473:$D$1088),0),7))&gt;0,1,0)</f>
        <v>0</v>
      </c>
      <c r="I766" s="33"/>
      <c r="J766" t="s">
        <v>70</v>
      </c>
      <c r="L766" s="114" t="s">
        <v>1481</v>
      </c>
    </row>
    <row r="767" spans="1:12" x14ac:dyDescent="0.25">
      <c r="A767" t="s">
        <v>1465</v>
      </c>
      <c r="B767" t="s">
        <v>1623</v>
      </c>
      <c r="C767" s="114" t="s">
        <v>1477</v>
      </c>
      <c r="E767" t="str">
        <f t="shared" ref="E767" si="876">_xlfn.CONCAT("EvoFretFluvCat",RIGHT(B767,2),"NbBarges")</f>
        <v>EvoFretFluvCat30NbBarges</v>
      </c>
      <c r="F767" t="s">
        <v>17</v>
      </c>
      <c r="G767" s="5" cm="1">
        <f t="array" ref="G767">IF((INDEX('Remplissage - Sit. Init.'!$C$473:$I$1088,MATCH((_xlfn.CONCAT("Catégorie "&amp;RIGHT(B767,2)))&amp;('Remplissage - Sit. Init.'!$D$483),('Remplissage - Sit. Init.'!$C$473:$C$1088)&amp;('Remplissage - Sit. Init.'!$D$473:$D$1088),0),7))&gt;0,1,0)</f>
        <v>0</v>
      </c>
      <c r="I767" s="33"/>
      <c r="J767" t="s">
        <v>70</v>
      </c>
      <c r="L767" s="114" t="s">
        <v>1482</v>
      </c>
    </row>
    <row r="768" spans="1:12" x14ac:dyDescent="0.25">
      <c r="A768" t="s">
        <v>1465</v>
      </c>
      <c r="B768" t="s">
        <v>1312</v>
      </c>
      <c r="C768" t="str">
        <f t="shared" ref="C768" ca="1" si="877">_xlfn.CONCAT("Pour l'évolution de l'activité associée à la catégorie de barges suivante, catégorie ",INDIRECT("'Parcs types'!C"&amp;D768),", préférez-vous renseigner : ")</f>
        <v xml:space="preserve">Pour l'évolution de l'activité associée à la catégorie de barges suivante, catégorie Automoteurs 1500-3000 tonnes Phase V, diesel, préférez-vous renseigner : </v>
      </c>
      <c r="D768">
        <v>95</v>
      </c>
      <c r="E768" t="str">
        <f t="shared" ref="E768" si="878">_xlfn.CONCAT("EvoFretFluvCat",RIGHT(B768,2),"Request")</f>
        <v>EvoFretFluvCat31Request</v>
      </c>
      <c r="F768" s="32" t="s">
        <v>20</v>
      </c>
      <c r="G768" s="5" cm="1">
        <f t="array" ref="G768">IF((INDEX('Remplissage - Sit. Init.'!$C$473:$I$1088,MATCH((_xlfn.CONCAT("Catégorie "&amp;RIGHT(B768,2)))&amp;('Remplissage - Sit. Init.'!$D$483),('Remplissage - Sit. Init.'!$C$473:$C$1088)&amp;('Remplissage - Sit. Init.'!$D$473:$D$1088),0),7))&gt;0,1,0)</f>
        <v>0</v>
      </c>
      <c r="I768" s="33" t="s">
        <v>1466</v>
      </c>
      <c r="K768" s="8"/>
    </row>
    <row r="769" spans="1:12" x14ac:dyDescent="0.25">
      <c r="A769" t="s">
        <v>1465</v>
      </c>
      <c r="B769" t="s">
        <v>1628</v>
      </c>
      <c r="C769" t="s">
        <v>1472</v>
      </c>
      <c r="E769" t="str">
        <f t="shared" ref="E769" si="879">_xlfn.CONCAT("EvoFretFluvCat",RIGHT(B769,2),"NbTraj")</f>
        <v>EvoFretFluvCat31NbTraj</v>
      </c>
      <c r="F769" t="s">
        <v>17</v>
      </c>
      <c r="G769" s="5" cm="1">
        <f t="array" ref="G769">IF((INDEX('Remplissage - Sit. Init.'!$C$473:$I$1088,MATCH((_xlfn.CONCAT("Catégorie "&amp;RIGHT(B769,2)))&amp;('Remplissage - Sit. Init.'!$D$483),('Remplissage - Sit. Init.'!$C$473:$C$1088)&amp;('Remplissage - Sit. Init.'!$D$473:$D$1088),0),7))&gt;0,1,0)</f>
        <v>0</v>
      </c>
      <c r="H769" s="8"/>
      <c r="I769" s="33"/>
      <c r="J769" t="s">
        <v>70</v>
      </c>
      <c r="L769" s="114" t="s">
        <v>1478</v>
      </c>
    </row>
    <row r="770" spans="1:12" x14ac:dyDescent="0.25">
      <c r="A770" t="s">
        <v>1465</v>
      </c>
      <c r="B770" t="s">
        <v>1629</v>
      </c>
      <c r="C770" t="s">
        <v>1473</v>
      </c>
      <c r="E770" t="str">
        <f t="shared" ref="E770" si="880">_xlfn.CONCAT("EvoFretFluvCat",RIGHT(B770,2),"DistMoy")</f>
        <v>EvoFretFluvCat31DistMoy</v>
      </c>
      <c r="F770" t="s">
        <v>17</v>
      </c>
      <c r="G770" s="5" cm="1">
        <f t="array" ref="G770">IF((INDEX('Remplissage - Sit. Init.'!$C$473:$I$1088,MATCH((_xlfn.CONCAT("Catégorie "&amp;RIGHT(B770,2)))&amp;('Remplissage - Sit. Init.'!$D$483),('Remplissage - Sit. Init.'!$C$473:$C$1088)&amp;('Remplissage - Sit. Init.'!$D$473:$D$1088),0),7))&gt;0,1,0)</f>
        <v>0</v>
      </c>
      <c r="H770" s="8"/>
      <c r="I770" s="33"/>
      <c r="J770" t="s">
        <v>70</v>
      </c>
      <c r="L770" s="114" t="s">
        <v>1479</v>
      </c>
    </row>
    <row r="771" spans="1:12" x14ac:dyDescent="0.25">
      <c r="A771" t="s">
        <v>1465</v>
      </c>
      <c r="B771" t="s">
        <v>1630</v>
      </c>
      <c r="C771" t="s">
        <v>1474</v>
      </c>
      <c r="E771" t="str">
        <f t="shared" ref="E771" si="881">_xlfn.CONCAT("EvoFretFluvCat",RIGHT(B771,2),"EmportMoy")</f>
        <v>EvoFretFluvCat31EmportMoy</v>
      </c>
      <c r="F771" t="s">
        <v>17</v>
      </c>
      <c r="G771" s="5" cm="1">
        <f t="array" ref="G771">IF((INDEX('Remplissage - Sit. Init.'!$C$473:$I$1088,MATCH((_xlfn.CONCAT("Catégorie "&amp;RIGHT(B771,2)))&amp;('Remplissage - Sit. Init.'!$D$483),('Remplissage - Sit. Init.'!$C$473:$C$1088)&amp;('Remplissage - Sit. Init.'!$D$473:$D$1088),0),7))&gt;0,1,0)</f>
        <v>0</v>
      </c>
      <c r="H771" s="8"/>
      <c r="I771" s="33"/>
      <c r="J771" t="s">
        <v>70</v>
      </c>
      <c r="L771" s="114" t="s">
        <v>1480</v>
      </c>
    </row>
    <row r="772" spans="1:12" x14ac:dyDescent="0.25">
      <c r="A772" t="s">
        <v>1465</v>
      </c>
      <c r="B772" t="s">
        <v>1631</v>
      </c>
      <c r="C772" t="s">
        <v>1475</v>
      </c>
      <c r="E772" t="str">
        <f t="shared" ref="E772" si="882">_xlfn.CONCAT("EvoFretFluvCat",RIGHT(B772,2),"DistAn")</f>
        <v>EvoFretFluvCat31DistAn</v>
      </c>
      <c r="F772" t="s">
        <v>17</v>
      </c>
      <c r="G772" s="5" cm="1">
        <f t="array" ref="G772">IF((INDEX('Remplissage - Sit. Init.'!$C$473:$I$1088,MATCH((_xlfn.CONCAT("Catégorie "&amp;RIGHT(B772,2)))&amp;('Remplissage - Sit. Init.'!$D$483),('Remplissage - Sit. Init.'!$C$473:$C$1088)&amp;('Remplissage - Sit. Init.'!$D$473:$D$1088),0),7))&gt;0,1,0)</f>
        <v>0</v>
      </c>
      <c r="I772" s="33"/>
      <c r="J772" t="s">
        <v>70</v>
      </c>
      <c r="L772" s="114" t="s">
        <v>1479</v>
      </c>
    </row>
    <row r="773" spans="1:12" x14ac:dyDescent="0.25">
      <c r="A773" t="s">
        <v>1465</v>
      </c>
      <c r="B773" t="s">
        <v>1632</v>
      </c>
      <c r="C773" t="s">
        <v>1476</v>
      </c>
      <c r="E773" t="str">
        <f t="shared" ref="E773" si="883">_xlfn.CONCAT("EvoFretFluvCat",RIGHT(B773,2),"TauxChargeMoy")</f>
        <v>EvoFretFluvCat31TauxChargeMoy</v>
      </c>
      <c r="F773" t="s">
        <v>17</v>
      </c>
      <c r="G773" s="5" cm="1">
        <f t="array" ref="G773">IF((INDEX('Remplissage - Sit. Init.'!$C$473:$I$1088,MATCH((_xlfn.CONCAT("Catégorie "&amp;RIGHT(B773,2)))&amp;('Remplissage - Sit. Init.'!$D$483),('Remplissage - Sit. Init.'!$C$473:$C$1088)&amp;('Remplissage - Sit. Init.'!$D$473:$D$1088),0),7))&gt;0,1,0)</f>
        <v>0</v>
      </c>
      <c r="I773" s="33"/>
      <c r="J773" t="s">
        <v>70</v>
      </c>
      <c r="L773" s="114" t="s">
        <v>1481</v>
      </c>
    </row>
    <row r="774" spans="1:12" x14ac:dyDescent="0.25">
      <c r="A774" t="s">
        <v>1465</v>
      </c>
      <c r="B774" t="s">
        <v>1628</v>
      </c>
      <c r="C774" s="114" t="s">
        <v>1477</v>
      </c>
      <c r="E774" t="str">
        <f t="shared" ref="E774" si="884">_xlfn.CONCAT("EvoFretFluvCat",RIGHT(B774,2),"NbBarges")</f>
        <v>EvoFretFluvCat31NbBarges</v>
      </c>
      <c r="F774" t="s">
        <v>17</v>
      </c>
      <c r="G774" s="5" cm="1">
        <f t="array" ref="G774">IF((INDEX('Remplissage - Sit. Init.'!$C$473:$I$1088,MATCH((_xlfn.CONCAT("Catégorie "&amp;RIGHT(B774,2)))&amp;('Remplissage - Sit. Init.'!$D$483),('Remplissage - Sit. Init.'!$C$473:$C$1088)&amp;('Remplissage - Sit. Init.'!$D$473:$D$1088),0),7))&gt;0,1,0)</f>
        <v>0</v>
      </c>
      <c r="I774" s="33"/>
      <c r="J774" t="s">
        <v>70</v>
      </c>
      <c r="L774" s="114" t="s">
        <v>1482</v>
      </c>
    </row>
    <row r="775" spans="1:12" x14ac:dyDescent="0.25">
      <c r="A775" t="s">
        <v>1465</v>
      </c>
      <c r="B775" t="s">
        <v>1314</v>
      </c>
      <c r="C775" t="str">
        <f t="shared" ref="C775" ca="1" si="885">_xlfn.CONCAT("Pour l'évolution de l'activité associée à la catégorie de barges suivante, catégorie ",INDIRECT("'Parcs types'!C"&amp;D775),", préférez-vous renseigner : ")</f>
        <v xml:space="preserve">Pour l'évolution de l'activité associée à la catégorie de barges suivante, catégorie Automoteurs 1500-3000 tonnes Phase V, HVO, préférez-vous renseigner : </v>
      </c>
      <c r="D775">
        <v>96</v>
      </c>
      <c r="E775" t="str">
        <f t="shared" ref="E775" si="886">_xlfn.CONCAT("EvoFretFluvCat",RIGHT(B775,2),"Request")</f>
        <v>EvoFretFluvCat32Request</v>
      </c>
      <c r="F775" s="32" t="s">
        <v>20</v>
      </c>
      <c r="G775" s="5" cm="1">
        <f t="array" ref="G775">IF((INDEX('Remplissage - Sit. Init.'!$C$473:$I$1088,MATCH((_xlfn.CONCAT("Catégorie "&amp;RIGHT(B775,2)))&amp;('Remplissage - Sit. Init.'!$D$483),('Remplissage - Sit. Init.'!$C$473:$C$1088)&amp;('Remplissage - Sit. Init.'!$D$473:$D$1088),0),7))&gt;0,1,0)</f>
        <v>0</v>
      </c>
      <c r="I775" s="33" t="s">
        <v>1466</v>
      </c>
      <c r="K775" s="8"/>
    </row>
    <row r="776" spans="1:12" x14ac:dyDescent="0.25">
      <c r="A776" t="s">
        <v>1465</v>
      </c>
      <c r="B776" t="s">
        <v>1633</v>
      </c>
      <c r="C776" t="s">
        <v>1472</v>
      </c>
      <c r="E776" t="str">
        <f t="shared" ref="E776" si="887">_xlfn.CONCAT("EvoFretFluvCat",RIGHT(B776,2),"NbTraj")</f>
        <v>EvoFretFluvCat32NbTraj</v>
      </c>
      <c r="F776" t="s">
        <v>17</v>
      </c>
      <c r="G776" s="5" cm="1">
        <f t="array" ref="G776">IF((INDEX('Remplissage - Sit. Init.'!$C$473:$I$1088,MATCH((_xlfn.CONCAT("Catégorie "&amp;RIGHT(B776,2)))&amp;('Remplissage - Sit. Init.'!$D$483),('Remplissage - Sit. Init.'!$C$473:$C$1088)&amp;('Remplissage - Sit. Init.'!$D$473:$D$1088),0),7))&gt;0,1,0)</f>
        <v>0</v>
      </c>
      <c r="H776" s="8"/>
      <c r="I776" s="33"/>
      <c r="J776" t="s">
        <v>70</v>
      </c>
      <c r="L776" s="114" t="s">
        <v>1478</v>
      </c>
    </row>
    <row r="777" spans="1:12" x14ac:dyDescent="0.25">
      <c r="A777" t="s">
        <v>1465</v>
      </c>
      <c r="B777" t="s">
        <v>1634</v>
      </c>
      <c r="C777" t="s">
        <v>1473</v>
      </c>
      <c r="E777" t="str">
        <f t="shared" ref="E777" si="888">_xlfn.CONCAT("EvoFretFluvCat",RIGHT(B777,2),"DistMoy")</f>
        <v>EvoFretFluvCat32DistMoy</v>
      </c>
      <c r="F777" t="s">
        <v>17</v>
      </c>
      <c r="G777" s="5" cm="1">
        <f t="array" ref="G777">IF((INDEX('Remplissage - Sit. Init.'!$C$473:$I$1088,MATCH((_xlfn.CONCAT("Catégorie "&amp;RIGHT(B777,2)))&amp;('Remplissage - Sit. Init.'!$D$483),('Remplissage - Sit. Init.'!$C$473:$C$1088)&amp;('Remplissage - Sit. Init.'!$D$473:$D$1088),0),7))&gt;0,1,0)</f>
        <v>0</v>
      </c>
      <c r="H777" s="8"/>
      <c r="I777" s="33"/>
      <c r="J777" t="s">
        <v>70</v>
      </c>
      <c r="L777" s="114" t="s">
        <v>1479</v>
      </c>
    </row>
    <row r="778" spans="1:12" x14ac:dyDescent="0.25">
      <c r="A778" t="s">
        <v>1465</v>
      </c>
      <c r="B778" t="s">
        <v>1635</v>
      </c>
      <c r="C778" t="s">
        <v>1474</v>
      </c>
      <c r="E778" t="str">
        <f t="shared" ref="E778" si="889">_xlfn.CONCAT("EvoFretFluvCat",RIGHT(B778,2),"EmportMoy")</f>
        <v>EvoFretFluvCat32EmportMoy</v>
      </c>
      <c r="F778" t="s">
        <v>17</v>
      </c>
      <c r="G778" s="5" cm="1">
        <f t="array" ref="G778">IF((INDEX('Remplissage - Sit. Init.'!$C$473:$I$1088,MATCH((_xlfn.CONCAT("Catégorie "&amp;RIGHT(B778,2)))&amp;('Remplissage - Sit. Init.'!$D$483),('Remplissage - Sit. Init.'!$C$473:$C$1088)&amp;('Remplissage - Sit. Init.'!$D$473:$D$1088),0),7))&gt;0,1,0)</f>
        <v>0</v>
      </c>
      <c r="H778" s="8"/>
      <c r="I778" s="33"/>
      <c r="J778" t="s">
        <v>70</v>
      </c>
      <c r="L778" s="114" t="s">
        <v>1480</v>
      </c>
    </row>
    <row r="779" spans="1:12" x14ac:dyDescent="0.25">
      <c r="A779" t="s">
        <v>1465</v>
      </c>
      <c r="B779" t="s">
        <v>1636</v>
      </c>
      <c r="C779" t="s">
        <v>1475</v>
      </c>
      <c r="E779" t="str">
        <f t="shared" ref="E779" si="890">_xlfn.CONCAT("EvoFretFluvCat",RIGHT(B779,2),"DistAn")</f>
        <v>EvoFretFluvCat32DistAn</v>
      </c>
      <c r="F779" t="s">
        <v>17</v>
      </c>
      <c r="G779" s="5" cm="1">
        <f t="array" ref="G779">IF((INDEX('Remplissage - Sit. Init.'!$C$473:$I$1088,MATCH((_xlfn.CONCAT("Catégorie "&amp;RIGHT(B779,2)))&amp;('Remplissage - Sit. Init.'!$D$483),('Remplissage - Sit. Init.'!$C$473:$C$1088)&amp;('Remplissage - Sit. Init.'!$D$473:$D$1088),0),7))&gt;0,1,0)</f>
        <v>0</v>
      </c>
      <c r="I779" s="33"/>
      <c r="J779" t="s">
        <v>70</v>
      </c>
      <c r="L779" s="114" t="s">
        <v>1479</v>
      </c>
    </row>
    <row r="780" spans="1:12" x14ac:dyDescent="0.25">
      <c r="A780" t="s">
        <v>1465</v>
      </c>
      <c r="B780" t="s">
        <v>1637</v>
      </c>
      <c r="C780" t="s">
        <v>1476</v>
      </c>
      <c r="E780" t="str">
        <f t="shared" ref="E780" si="891">_xlfn.CONCAT("EvoFretFluvCat",RIGHT(B780,2),"TauxChargeMoy")</f>
        <v>EvoFretFluvCat32TauxChargeMoy</v>
      </c>
      <c r="F780" t="s">
        <v>17</v>
      </c>
      <c r="G780" s="5" cm="1">
        <f t="array" ref="G780">IF((INDEX('Remplissage - Sit. Init.'!$C$473:$I$1088,MATCH((_xlfn.CONCAT("Catégorie "&amp;RIGHT(B780,2)))&amp;('Remplissage - Sit. Init.'!$D$483),('Remplissage - Sit. Init.'!$C$473:$C$1088)&amp;('Remplissage - Sit. Init.'!$D$473:$D$1088),0),7))&gt;0,1,0)</f>
        <v>0</v>
      </c>
      <c r="I780" s="33"/>
      <c r="J780" t="s">
        <v>70</v>
      </c>
      <c r="L780" s="114" t="s">
        <v>1481</v>
      </c>
    </row>
    <row r="781" spans="1:12" x14ac:dyDescent="0.25">
      <c r="A781" t="s">
        <v>1465</v>
      </c>
      <c r="B781" t="s">
        <v>1633</v>
      </c>
      <c r="C781" s="114" t="s">
        <v>1477</v>
      </c>
      <c r="E781" t="str">
        <f t="shared" ref="E781" si="892">_xlfn.CONCAT("EvoFretFluvCat",RIGHT(B781,2),"NbBarges")</f>
        <v>EvoFretFluvCat32NbBarges</v>
      </c>
      <c r="F781" t="s">
        <v>17</v>
      </c>
      <c r="G781" s="5" cm="1">
        <f t="array" ref="G781">IF((INDEX('Remplissage - Sit. Init.'!$C$473:$I$1088,MATCH((_xlfn.CONCAT("Catégorie "&amp;RIGHT(B781,2)))&amp;('Remplissage - Sit. Init.'!$D$483),('Remplissage - Sit. Init.'!$C$473:$C$1088)&amp;('Remplissage - Sit. Init.'!$D$473:$D$1088),0),7))&gt;0,1,0)</f>
        <v>0</v>
      </c>
      <c r="I781" s="33"/>
      <c r="J781" t="s">
        <v>70</v>
      </c>
      <c r="L781" s="114" t="s">
        <v>1482</v>
      </c>
    </row>
    <row r="782" spans="1:12" x14ac:dyDescent="0.25">
      <c r="A782" t="s">
        <v>1465</v>
      </c>
      <c r="B782" t="s">
        <v>1316</v>
      </c>
      <c r="C782" t="str">
        <f t="shared" ref="C782" ca="1" si="893">_xlfn.CONCAT("Pour l'évolution de l'activité associée à la catégorie de barges suivante, catégorie ",INDIRECT("'Parcs types'!C"&amp;D782),", préférez-vous renseigner : ")</f>
        <v xml:space="preserve">Pour l'évolution de l'activité associée à la catégorie de barges suivante, catégorie Automoteurs 1500-3000 tonnes Batterie, préférez-vous renseigner : </v>
      </c>
      <c r="D782">
        <v>97</v>
      </c>
      <c r="E782" t="str">
        <f t="shared" ref="E782" si="894">_xlfn.CONCAT("EvoFretFluvCat",RIGHT(B782,2),"Request")</f>
        <v>EvoFretFluvCat33Request</v>
      </c>
      <c r="F782" s="32" t="s">
        <v>20</v>
      </c>
      <c r="G782" s="5" cm="1">
        <f t="array" ref="G782">IF((INDEX('Remplissage - Sit. Init.'!$C$473:$I$1088,MATCH((_xlfn.CONCAT("Catégorie "&amp;RIGHT(B782,2)))&amp;('Remplissage - Sit. Init.'!$D$483),('Remplissage - Sit. Init.'!$C$473:$C$1088)&amp;('Remplissage - Sit. Init.'!$D$473:$D$1088),0),7))&gt;0,1,0)</f>
        <v>0</v>
      </c>
      <c r="I782" s="33" t="s">
        <v>1466</v>
      </c>
      <c r="K782" s="8"/>
    </row>
    <row r="783" spans="1:12" x14ac:dyDescent="0.25">
      <c r="A783" t="s">
        <v>1465</v>
      </c>
      <c r="B783" t="s">
        <v>1638</v>
      </c>
      <c r="C783" t="s">
        <v>1472</v>
      </c>
      <c r="E783" t="str">
        <f t="shared" ref="E783" si="895">_xlfn.CONCAT("EvoFretFluvCat",RIGHT(B783,2),"NbTraj")</f>
        <v>EvoFretFluvCat33NbTraj</v>
      </c>
      <c r="F783" t="s">
        <v>17</v>
      </c>
      <c r="G783" s="5" cm="1">
        <f t="array" ref="G783">IF((INDEX('Remplissage - Sit. Init.'!$C$473:$I$1088,MATCH((_xlfn.CONCAT("Catégorie "&amp;RIGHT(B783,2)))&amp;('Remplissage - Sit. Init.'!$D$483),('Remplissage - Sit. Init.'!$C$473:$C$1088)&amp;('Remplissage - Sit. Init.'!$D$473:$D$1088),0),7))&gt;0,1,0)</f>
        <v>0</v>
      </c>
      <c r="H783" s="8"/>
      <c r="I783" s="33"/>
      <c r="J783" t="s">
        <v>70</v>
      </c>
      <c r="L783" s="114" t="s">
        <v>1478</v>
      </c>
    </row>
    <row r="784" spans="1:12" x14ac:dyDescent="0.25">
      <c r="A784" t="s">
        <v>1465</v>
      </c>
      <c r="B784" t="s">
        <v>1639</v>
      </c>
      <c r="C784" t="s">
        <v>1473</v>
      </c>
      <c r="E784" t="str">
        <f t="shared" ref="E784" si="896">_xlfn.CONCAT("EvoFretFluvCat",RIGHT(B784,2),"DistMoy")</f>
        <v>EvoFretFluvCat33DistMoy</v>
      </c>
      <c r="F784" t="s">
        <v>17</v>
      </c>
      <c r="G784" s="5" cm="1">
        <f t="array" ref="G784">IF((INDEX('Remplissage - Sit. Init.'!$C$473:$I$1088,MATCH((_xlfn.CONCAT("Catégorie "&amp;RIGHT(B784,2)))&amp;('Remplissage - Sit. Init.'!$D$483),('Remplissage - Sit. Init.'!$C$473:$C$1088)&amp;('Remplissage - Sit. Init.'!$D$473:$D$1088),0),7))&gt;0,1,0)</f>
        <v>0</v>
      </c>
      <c r="H784" s="8"/>
      <c r="I784" s="33"/>
      <c r="J784" t="s">
        <v>70</v>
      </c>
      <c r="L784" s="114" t="s">
        <v>1479</v>
      </c>
    </row>
    <row r="785" spans="1:12" x14ac:dyDescent="0.25">
      <c r="A785" t="s">
        <v>1465</v>
      </c>
      <c r="B785" t="s">
        <v>1640</v>
      </c>
      <c r="C785" t="s">
        <v>1474</v>
      </c>
      <c r="E785" t="str">
        <f t="shared" ref="E785" si="897">_xlfn.CONCAT("EvoFretFluvCat",RIGHT(B785,2),"EmportMoy")</f>
        <v>EvoFretFluvCat33EmportMoy</v>
      </c>
      <c r="F785" t="s">
        <v>17</v>
      </c>
      <c r="G785" s="5" cm="1">
        <f t="array" ref="G785">IF((INDEX('Remplissage - Sit. Init.'!$C$473:$I$1088,MATCH((_xlfn.CONCAT("Catégorie "&amp;RIGHT(B785,2)))&amp;('Remplissage - Sit. Init.'!$D$483),('Remplissage - Sit. Init.'!$C$473:$C$1088)&amp;('Remplissage - Sit. Init.'!$D$473:$D$1088),0),7))&gt;0,1,0)</f>
        <v>0</v>
      </c>
      <c r="H785" s="8"/>
      <c r="I785" s="33"/>
      <c r="J785" t="s">
        <v>70</v>
      </c>
      <c r="L785" s="114" t="s">
        <v>1480</v>
      </c>
    </row>
    <row r="786" spans="1:12" x14ac:dyDescent="0.25">
      <c r="A786" t="s">
        <v>1465</v>
      </c>
      <c r="B786" t="s">
        <v>1641</v>
      </c>
      <c r="C786" t="s">
        <v>1475</v>
      </c>
      <c r="E786" t="str">
        <f t="shared" ref="E786" si="898">_xlfn.CONCAT("EvoFretFluvCat",RIGHT(B786,2),"DistAn")</f>
        <v>EvoFretFluvCat33DistAn</v>
      </c>
      <c r="F786" t="s">
        <v>17</v>
      </c>
      <c r="G786" s="5" cm="1">
        <f t="array" ref="G786">IF((INDEX('Remplissage - Sit. Init.'!$C$473:$I$1088,MATCH((_xlfn.CONCAT("Catégorie "&amp;RIGHT(B786,2)))&amp;('Remplissage - Sit. Init.'!$D$483),('Remplissage - Sit. Init.'!$C$473:$C$1088)&amp;('Remplissage - Sit. Init.'!$D$473:$D$1088),0),7))&gt;0,1,0)</f>
        <v>0</v>
      </c>
      <c r="I786" s="33"/>
      <c r="J786" t="s">
        <v>70</v>
      </c>
      <c r="L786" s="114" t="s">
        <v>1479</v>
      </c>
    </row>
    <row r="787" spans="1:12" x14ac:dyDescent="0.25">
      <c r="A787" t="s">
        <v>1465</v>
      </c>
      <c r="B787" t="s">
        <v>1642</v>
      </c>
      <c r="C787" t="s">
        <v>1476</v>
      </c>
      <c r="E787" t="str">
        <f t="shared" ref="E787" si="899">_xlfn.CONCAT("EvoFretFluvCat",RIGHT(B787,2),"TauxChargeMoy")</f>
        <v>EvoFretFluvCat33TauxChargeMoy</v>
      </c>
      <c r="F787" t="s">
        <v>17</v>
      </c>
      <c r="G787" s="5" cm="1">
        <f t="array" ref="G787">IF((INDEX('Remplissage - Sit. Init.'!$C$473:$I$1088,MATCH((_xlfn.CONCAT("Catégorie "&amp;RIGHT(B787,2)))&amp;('Remplissage - Sit. Init.'!$D$483),('Remplissage - Sit. Init.'!$C$473:$C$1088)&amp;('Remplissage - Sit. Init.'!$D$473:$D$1088),0),7))&gt;0,1,0)</f>
        <v>0</v>
      </c>
      <c r="I787" s="33"/>
      <c r="J787" t="s">
        <v>70</v>
      </c>
      <c r="L787" s="114" t="s">
        <v>1481</v>
      </c>
    </row>
    <row r="788" spans="1:12" x14ac:dyDescent="0.25">
      <c r="A788" t="s">
        <v>1465</v>
      </c>
      <c r="B788" t="s">
        <v>1638</v>
      </c>
      <c r="C788" s="114" t="s">
        <v>1477</v>
      </c>
      <c r="E788" t="str">
        <f t="shared" ref="E788" si="900">_xlfn.CONCAT("EvoFretFluvCat",RIGHT(B788,2),"NbBarges")</f>
        <v>EvoFretFluvCat33NbBarges</v>
      </c>
      <c r="F788" t="s">
        <v>17</v>
      </c>
      <c r="G788" s="5" cm="1">
        <f t="array" ref="G788">IF((INDEX('Remplissage - Sit. Init.'!$C$473:$I$1088,MATCH((_xlfn.CONCAT("Catégorie "&amp;RIGHT(B788,2)))&amp;('Remplissage - Sit. Init.'!$D$483),('Remplissage - Sit. Init.'!$C$473:$C$1088)&amp;('Remplissage - Sit. Init.'!$D$473:$D$1088),0),7))&gt;0,1,0)</f>
        <v>0</v>
      </c>
      <c r="I788" s="33"/>
      <c r="J788" t="s">
        <v>70</v>
      </c>
      <c r="L788" s="114" t="s">
        <v>1482</v>
      </c>
    </row>
    <row r="789" spans="1:12" x14ac:dyDescent="0.25">
      <c r="A789" t="s">
        <v>1465</v>
      </c>
      <c r="B789" t="s">
        <v>1318</v>
      </c>
      <c r="C789" t="str">
        <f t="shared" ref="C789" ca="1" si="901">_xlfn.CONCAT("Pour l'évolution de l'activité associée à la catégorie de barges suivante, catégorie ",INDIRECT("'Parcs types'!C"&amp;D789),", préférez-vous renseigner : ")</f>
        <v xml:space="preserve">Pour l'évolution de l'activité associée à la catégorie de barges suivante, catégorie Automoteurs 1500-3000 tonnes H2 , PAC, préférez-vous renseigner : </v>
      </c>
      <c r="D789">
        <v>98</v>
      </c>
      <c r="E789" t="str">
        <f t="shared" ref="E789" si="902">_xlfn.CONCAT("EvoFretFluvCat",RIGHT(B789,2),"Request")</f>
        <v>EvoFretFluvCat34Request</v>
      </c>
      <c r="F789" s="32" t="s">
        <v>20</v>
      </c>
      <c r="G789" s="5" cm="1">
        <f t="array" ref="G789">IF((INDEX('Remplissage - Sit. Init.'!$C$473:$I$1088,MATCH((_xlfn.CONCAT("Catégorie "&amp;RIGHT(B789,2)))&amp;('Remplissage - Sit. Init.'!$D$483),('Remplissage - Sit. Init.'!$C$473:$C$1088)&amp;('Remplissage - Sit. Init.'!$D$473:$D$1088),0),7))&gt;0,1,0)</f>
        <v>0</v>
      </c>
      <c r="I789" s="33" t="s">
        <v>1466</v>
      </c>
      <c r="K789" s="8"/>
    </row>
    <row r="790" spans="1:12" x14ac:dyDescent="0.25">
      <c r="A790" t="s">
        <v>1465</v>
      </c>
      <c r="B790" t="s">
        <v>1643</v>
      </c>
      <c r="C790" t="s">
        <v>1472</v>
      </c>
      <c r="E790" t="str">
        <f t="shared" ref="E790" si="903">_xlfn.CONCAT("EvoFretFluvCat",RIGHT(B790,2),"NbTraj")</f>
        <v>EvoFretFluvCat34NbTraj</v>
      </c>
      <c r="F790" t="s">
        <v>17</v>
      </c>
      <c r="G790" s="5" cm="1">
        <f t="array" ref="G790">IF((INDEX('Remplissage - Sit. Init.'!$C$473:$I$1088,MATCH((_xlfn.CONCAT("Catégorie "&amp;RIGHT(B790,2)))&amp;('Remplissage - Sit. Init.'!$D$483),('Remplissage - Sit. Init.'!$C$473:$C$1088)&amp;('Remplissage - Sit. Init.'!$D$473:$D$1088),0),7))&gt;0,1,0)</f>
        <v>0</v>
      </c>
      <c r="H790" s="8"/>
      <c r="I790" s="33"/>
      <c r="J790" t="s">
        <v>70</v>
      </c>
      <c r="L790" s="114" t="s">
        <v>1478</v>
      </c>
    </row>
    <row r="791" spans="1:12" x14ac:dyDescent="0.25">
      <c r="A791" t="s">
        <v>1465</v>
      </c>
      <c r="B791" t="s">
        <v>1644</v>
      </c>
      <c r="C791" t="s">
        <v>1473</v>
      </c>
      <c r="E791" t="str">
        <f t="shared" ref="E791" si="904">_xlfn.CONCAT("EvoFretFluvCat",RIGHT(B791,2),"DistMoy")</f>
        <v>EvoFretFluvCat34DistMoy</v>
      </c>
      <c r="F791" t="s">
        <v>17</v>
      </c>
      <c r="G791" s="5" cm="1">
        <f t="array" ref="G791">IF((INDEX('Remplissage - Sit. Init.'!$C$473:$I$1088,MATCH((_xlfn.CONCAT("Catégorie "&amp;RIGHT(B791,2)))&amp;('Remplissage - Sit. Init.'!$D$483),('Remplissage - Sit. Init.'!$C$473:$C$1088)&amp;('Remplissage - Sit. Init.'!$D$473:$D$1088),0),7))&gt;0,1,0)</f>
        <v>0</v>
      </c>
      <c r="H791" s="8"/>
      <c r="I791" s="33"/>
      <c r="J791" t="s">
        <v>70</v>
      </c>
      <c r="L791" s="114" t="s">
        <v>1479</v>
      </c>
    </row>
    <row r="792" spans="1:12" x14ac:dyDescent="0.25">
      <c r="A792" t="s">
        <v>1465</v>
      </c>
      <c r="B792" t="s">
        <v>1645</v>
      </c>
      <c r="C792" t="s">
        <v>1474</v>
      </c>
      <c r="E792" t="str">
        <f t="shared" ref="E792" si="905">_xlfn.CONCAT("EvoFretFluvCat",RIGHT(B792,2),"EmportMoy")</f>
        <v>EvoFretFluvCat34EmportMoy</v>
      </c>
      <c r="F792" t="s">
        <v>17</v>
      </c>
      <c r="G792" s="5" cm="1">
        <f t="array" ref="G792">IF((INDEX('Remplissage - Sit. Init.'!$C$473:$I$1088,MATCH((_xlfn.CONCAT("Catégorie "&amp;RIGHT(B792,2)))&amp;('Remplissage - Sit. Init.'!$D$483),('Remplissage - Sit. Init.'!$C$473:$C$1088)&amp;('Remplissage - Sit. Init.'!$D$473:$D$1088),0),7))&gt;0,1,0)</f>
        <v>0</v>
      </c>
      <c r="H792" s="8"/>
      <c r="I792" s="33"/>
      <c r="J792" t="s">
        <v>70</v>
      </c>
      <c r="L792" s="114" t="s">
        <v>1480</v>
      </c>
    </row>
    <row r="793" spans="1:12" x14ac:dyDescent="0.25">
      <c r="A793" t="s">
        <v>1465</v>
      </c>
      <c r="B793" t="s">
        <v>1646</v>
      </c>
      <c r="C793" t="s">
        <v>1475</v>
      </c>
      <c r="E793" t="str">
        <f t="shared" ref="E793" si="906">_xlfn.CONCAT("EvoFretFluvCat",RIGHT(B793,2),"DistAn")</f>
        <v>EvoFretFluvCat34DistAn</v>
      </c>
      <c r="F793" t="s">
        <v>17</v>
      </c>
      <c r="G793" s="5" cm="1">
        <f t="array" ref="G793">IF((INDEX('Remplissage - Sit. Init.'!$C$473:$I$1088,MATCH((_xlfn.CONCAT("Catégorie "&amp;RIGHT(B793,2)))&amp;('Remplissage - Sit. Init.'!$D$483),('Remplissage - Sit. Init.'!$C$473:$C$1088)&amp;('Remplissage - Sit. Init.'!$D$473:$D$1088),0),7))&gt;0,1,0)</f>
        <v>0</v>
      </c>
      <c r="I793" s="33"/>
      <c r="J793" t="s">
        <v>70</v>
      </c>
      <c r="L793" s="114" t="s">
        <v>1479</v>
      </c>
    </row>
    <row r="794" spans="1:12" x14ac:dyDescent="0.25">
      <c r="A794" t="s">
        <v>1465</v>
      </c>
      <c r="B794" t="s">
        <v>1647</v>
      </c>
      <c r="C794" t="s">
        <v>1476</v>
      </c>
      <c r="E794" t="str">
        <f t="shared" ref="E794" si="907">_xlfn.CONCAT("EvoFretFluvCat",RIGHT(B794,2),"TauxChargeMoy")</f>
        <v>EvoFretFluvCat34TauxChargeMoy</v>
      </c>
      <c r="F794" t="s">
        <v>17</v>
      </c>
      <c r="G794" s="5" cm="1">
        <f t="array" ref="G794">IF((INDEX('Remplissage - Sit. Init.'!$C$473:$I$1088,MATCH((_xlfn.CONCAT("Catégorie "&amp;RIGHT(B794,2)))&amp;('Remplissage - Sit. Init.'!$D$483),('Remplissage - Sit. Init.'!$C$473:$C$1088)&amp;('Remplissage - Sit. Init.'!$D$473:$D$1088),0),7))&gt;0,1,0)</f>
        <v>0</v>
      </c>
      <c r="I794" s="33"/>
      <c r="J794" t="s">
        <v>70</v>
      </c>
      <c r="L794" s="114" t="s">
        <v>1481</v>
      </c>
    </row>
    <row r="795" spans="1:12" x14ac:dyDescent="0.25">
      <c r="A795" t="s">
        <v>1465</v>
      </c>
      <c r="B795" t="s">
        <v>1643</v>
      </c>
      <c r="C795" s="114" t="s">
        <v>1477</v>
      </c>
      <c r="E795" t="str">
        <f t="shared" ref="E795" si="908">_xlfn.CONCAT("EvoFretFluvCat",RIGHT(B795,2),"NbBarges")</f>
        <v>EvoFretFluvCat34NbBarges</v>
      </c>
      <c r="F795" t="s">
        <v>17</v>
      </c>
      <c r="G795" s="5" cm="1">
        <f t="array" ref="G795">IF((INDEX('Remplissage - Sit. Init.'!$C$473:$I$1088,MATCH((_xlfn.CONCAT("Catégorie "&amp;RIGHT(B795,2)))&amp;('Remplissage - Sit. Init.'!$D$483),('Remplissage - Sit. Init.'!$C$473:$C$1088)&amp;('Remplissage - Sit. Init.'!$D$473:$D$1088),0),7))&gt;0,1,0)</f>
        <v>0</v>
      </c>
      <c r="I795" s="33"/>
      <c r="J795" t="s">
        <v>70</v>
      </c>
      <c r="L795" s="114" t="s">
        <v>1482</v>
      </c>
    </row>
    <row r="796" spans="1:12" x14ac:dyDescent="0.25">
      <c r="A796" t="s">
        <v>1465</v>
      </c>
      <c r="B796" t="s">
        <v>1320</v>
      </c>
      <c r="C796" t="str">
        <f t="shared" ref="C796" ca="1" si="909">_xlfn.CONCAT("Pour l'évolution de l'activité associée à la catégorie de barges suivante, catégorie ",INDIRECT("'Parcs types'!C"&amp;D796),", préférez-vous renseigner : ")</f>
        <v xml:space="preserve">Pour l'évolution de l'activité associée à la catégorie de barges suivante, catégorie Automoteurs 1500-3000 tonnes H2 , ICE, préférez-vous renseigner : </v>
      </c>
      <c r="D796">
        <v>99</v>
      </c>
      <c r="E796" t="str">
        <f t="shared" ref="E796" si="910">_xlfn.CONCAT("EvoFretFluvCat",RIGHT(B796,2),"Request")</f>
        <v>EvoFretFluvCat35Request</v>
      </c>
      <c r="F796" s="32" t="s">
        <v>20</v>
      </c>
      <c r="G796" s="5" cm="1">
        <f t="array" ref="G796">IF((INDEX('Remplissage - Sit. Init.'!$C$473:$I$1088,MATCH((_xlfn.CONCAT("Catégorie "&amp;RIGHT(B796,2)))&amp;('Remplissage - Sit. Init.'!$D$483),('Remplissage - Sit. Init.'!$C$473:$C$1088)&amp;('Remplissage - Sit. Init.'!$D$473:$D$1088),0),7))&gt;0,1,0)</f>
        <v>0</v>
      </c>
      <c r="I796" s="33" t="s">
        <v>1466</v>
      </c>
      <c r="K796" s="8"/>
    </row>
    <row r="797" spans="1:12" x14ac:dyDescent="0.25">
      <c r="A797" t="s">
        <v>1465</v>
      </c>
      <c r="B797" t="s">
        <v>1648</v>
      </c>
      <c r="C797" t="s">
        <v>1472</v>
      </c>
      <c r="E797" t="str">
        <f t="shared" ref="E797" si="911">_xlfn.CONCAT("EvoFretFluvCat",RIGHT(B797,2),"NbTraj")</f>
        <v>EvoFretFluvCat35NbTraj</v>
      </c>
      <c r="F797" t="s">
        <v>17</v>
      </c>
      <c r="G797" s="5" cm="1">
        <f t="array" ref="G797">IF((INDEX('Remplissage - Sit. Init.'!$C$473:$I$1088,MATCH((_xlfn.CONCAT("Catégorie "&amp;RIGHT(B797,2)))&amp;('Remplissage - Sit. Init.'!$D$483),('Remplissage - Sit. Init.'!$C$473:$C$1088)&amp;('Remplissage - Sit. Init.'!$D$473:$D$1088),0),7))&gt;0,1,0)</f>
        <v>0</v>
      </c>
      <c r="H797" s="8"/>
      <c r="I797" s="33"/>
      <c r="J797" t="s">
        <v>70</v>
      </c>
      <c r="L797" s="114" t="s">
        <v>1478</v>
      </c>
    </row>
    <row r="798" spans="1:12" x14ac:dyDescent="0.25">
      <c r="A798" t="s">
        <v>1465</v>
      </c>
      <c r="B798" t="s">
        <v>1649</v>
      </c>
      <c r="C798" t="s">
        <v>1473</v>
      </c>
      <c r="E798" t="str">
        <f t="shared" ref="E798" si="912">_xlfn.CONCAT("EvoFretFluvCat",RIGHT(B798,2),"DistMoy")</f>
        <v>EvoFretFluvCat35DistMoy</v>
      </c>
      <c r="F798" t="s">
        <v>17</v>
      </c>
      <c r="G798" s="5" cm="1">
        <f t="array" ref="G798">IF((INDEX('Remplissage - Sit. Init.'!$C$473:$I$1088,MATCH((_xlfn.CONCAT("Catégorie "&amp;RIGHT(B798,2)))&amp;('Remplissage - Sit. Init.'!$D$483),('Remplissage - Sit. Init.'!$C$473:$C$1088)&amp;('Remplissage - Sit. Init.'!$D$473:$D$1088),0),7))&gt;0,1,0)</f>
        <v>0</v>
      </c>
      <c r="H798" s="8"/>
      <c r="I798" s="33"/>
      <c r="J798" t="s">
        <v>70</v>
      </c>
      <c r="L798" s="114" t="s">
        <v>1479</v>
      </c>
    </row>
    <row r="799" spans="1:12" x14ac:dyDescent="0.25">
      <c r="A799" t="s">
        <v>1465</v>
      </c>
      <c r="B799" t="s">
        <v>1650</v>
      </c>
      <c r="C799" t="s">
        <v>1474</v>
      </c>
      <c r="E799" t="str">
        <f t="shared" ref="E799" si="913">_xlfn.CONCAT("EvoFretFluvCat",RIGHT(B799,2),"EmportMoy")</f>
        <v>EvoFretFluvCat35EmportMoy</v>
      </c>
      <c r="F799" t="s">
        <v>17</v>
      </c>
      <c r="G799" s="5" cm="1">
        <f t="array" ref="G799">IF((INDEX('Remplissage - Sit. Init.'!$C$473:$I$1088,MATCH((_xlfn.CONCAT("Catégorie "&amp;RIGHT(B799,2)))&amp;('Remplissage - Sit. Init.'!$D$483),('Remplissage - Sit. Init.'!$C$473:$C$1088)&amp;('Remplissage - Sit. Init.'!$D$473:$D$1088),0),7))&gt;0,1,0)</f>
        <v>0</v>
      </c>
      <c r="H799" s="8"/>
      <c r="I799" s="33"/>
      <c r="J799" t="s">
        <v>70</v>
      </c>
      <c r="L799" s="114" t="s">
        <v>1480</v>
      </c>
    </row>
    <row r="800" spans="1:12" x14ac:dyDescent="0.25">
      <c r="A800" t="s">
        <v>1465</v>
      </c>
      <c r="B800" t="s">
        <v>1651</v>
      </c>
      <c r="C800" t="s">
        <v>1475</v>
      </c>
      <c r="E800" t="str">
        <f t="shared" ref="E800" si="914">_xlfn.CONCAT("EvoFretFluvCat",RIGHT(B800,2),"DistAn")</f>
        <v>EvoFretFluvCat35DistAn</v>
      </c>
      <c r="F800" t="s">
        <v>17</v>
      </c>
      <c r="G800" s="5" cm="1">
        <f t="array" ref="G800">IF((INDEX('Remplissage - Sit. Init.'!$C$473:$I$1088,MATCH((_xlfn.CONCAT("Catégorie "&amp;RIGHT(B800,2)))&amp;('Remplissage - Sit. Init.'!$D$483),('Remplissage - Sit. Init.'!$C$473:$C$1088)&amp;('Remplissage - Sit. Init.'!$D$473:$D$1088),0),7))&gt;0,1,0)</f>
        <v>0</v>
      </c>
      <c r="I800" s="33"/>
      <c r="J800" t="s">
        <v>70</v>
      </c>
      <c r="L800" s="114" t="s">
        <v>1479</v>
      </c>
    </row>
    <row r="801" spans="1:12" x14ac:dyDescent="0.25">
      <c r="A801" t="s">
        <v>1465</v>
      </c>
      <c r="B801" t="s">
        <v>1652</v>
      </c>
      <c r="C801" t="s">
        <v>1476</v>
      </c>
      <c r="E801" t="str">
        <f t="shared" ref="E801" si="915">_xlfn.CONCAT("EvoFretFluvCat",RIGHT(B801,2),"TauxChargeMoy")</f>
        <v>EvoFretFluvCat35TauxChargeMoy</v>
      </c>
      <c r="F801" t="s">
        <v>17</v>
      </c>
      <c r="G801" s="5" cm="1">
        <f t="array" ref="G801">IF((INDEX('Remplissage - Sit. Init.'!$C$473:$I$1088,MATCH((_xlfn.CONCAT("Catégorie "&amp;RIGHT(B801,2)))&amp;('Remplissage - Sit. Init.'!$D$483),('Remplissage - Sit. Init.'!$C$473:$C$1088)&amp;('Remplissage - Sit. Init.'!$D$473:$D$1088),0),7))&gt;0,1,0)</f>
        <v>0</v>
      </c>
      <c r="I801" s="33"/>
      <c r="J801" t="s">
        <v>70</v>
      </c>
      <c r="L801" s="114" t="s">
        <v>1481</v>
      </c>
    </row>
    <row r="802" spans="1:12" x14ac:dyDescent="0.25">
      <c r="A802" t="s">
        <v>1465</v>
      </c>
      <c r="B802" t="s">
        <v>1648</v>
      </c>
      <c r="C802" s="114" t="s">
        <v>1477</v>
      </c>
      <c r="E802" t="str">
        <f t="shared" ref="E802" si="916">_xlfn.CONCAT("EvoFretFluvCat",RIGHT(B802,2),"NbBarges")</f>
        <v>EvoFretFluvCat35NbBarges</v>
      </c>
      <c r="F802" t="s">
        <v>17</v>
      </c>
      <c r="G802" s="5" cm="1">
        <f t="array" ref="G802">IF((INDEX('Remplissage - Sit. Init.'!$C$473:$I$1088,MATCH((_xlfn.CONCAT("Catégorie "&amp;RIGHT(B802,2)))&amp;('Remplissage - Sit. Init.'!$D$483),('Remplissage - Sit. Init.'!$C$473:$C$1088)&amp;('Remplissage - Sit. Init.'!$D$473:$D$1088),0),7))&gt;0,1,0)</f>
        <v>0</v>
      </c>
      <c r="I802" s="33"/>
      <c r="J802" t="s">
        <v>70</v>
      </c>
      <c r="L802" s="114" t="s">
        <v>1482</v>
      </c>
    </row>
    <row r="803" spans="1:12" x14ac:dyDescent="0.25">
      <c r="A803" t="s">
        <v>1465</v>
      </c>
      <c r="B803" t="s">
        <v>1322</v>
      </c>
      <c r="C803" t="str">
        <f t="shared" ref="C803" ca="1" si="917">_xlfn.CONCAT("Pour l'évolution de l'activité associée à la catégorie de barges suivante, catégorie ",INDIRECT("'Parcs types'!C"&amp;D803),", préférez-vous renseigner : ")</f>
        <v xml:space="preserve">Pour l'évolution de l'activité associée à la catégorie de barges suivante, catégorie Automoteurs &gt;3000 tonnes CCNR 2 ou inférieur, diesel, préférez-vous renseigner : </v>
      </c>
      <c r="D803">
        <v>100</v>
      </c>
      <c r="E803" t="str">
        <f t="shared" ref="E803" si="918">_xlfn.CONCAT("EvoFretFluvCat",RIGHT(B803,2),"Request")</f>
        <v>EvoFretFluvCat36Request</v>
      </c>
      <c r="F803" s="32" t="s">
        <v>20</v>
      </c>
      <c r="G803" s="5" cm="1">
        <f t="array" ref="G803">IF((INDEX('Remplissage - Sit. Init.'!$C$473:$I$1088,MATCH((_xlfn.CONCAT("Catégorie "&amp;RIGHT(B803,2)))&amp;('Remplissage - Sit. Init.'!$D$483),('Remplissage - Sit. Init.'!$C$473:$C$1088)&amp;('Remplissage - Sit. Init.'!$D$473:$D$1088),0),7))&gt;0,1,0)</f>
        <v>0</v>
      </c>
      <c r="I803" s="33" t="s">
        <v>1466</v>
      </c>
      <c r="K803" s="8"/>
    </row>
    <row r="804" spans="1:12" x14ac:dyDescent="0.25">
      <c r="A804" t="s">
        <v>1465</v>
      </c>
      <c r="B804" t="s">
        <v>1653</v>
      </c>
      <c r="C804" t="s">
        <v>1472</v>
      </c>
      <c r="E804" t="str">
        <f t="shared" ref="E804" si="919">_xlfn.CONCAT("EvoFretFluvCat",RIGHT(B804,2),"NbTraj")</f>
        <v>EvoFretFluvCat36NbTraj</v>
      </c>
      <c r="F804" t="s">
        <v>17</v>
      </c>
      <c r="G804" s="5" cm="1">
        <f t="array" ref="G804">IF((INDEX('Remplissage - Sit. Init.'!$C$473:$I$1088,MATCH((_xlfn.CONCAT("Catégorie "&amp;RIGHT(B804,2)))&amp;('Remplissage - Sit. Init.'!$D$483),('Remplissage - Sit. Init.'!$C$473:$C$1088)&amp;('Remplissage - Sit. Init.'!$D$473:$D$1088),0),7))&gt;0,1,0)</f>
        <v>0</v>
      </c>
      <c r="H804" s="8"/>
      <c r="I804" s="33"/>
      <c r="J804" t="s">
        <v>70</v>
      </c>
      <c r="L804" s="114" t="s">
        <v>1478</v>
      </c>
    </row>
    <row r="805" spans="1:12" x14ac:dyDescent="0.25">
      <c r="A805" t="s">
        <v>1465</v>
      </c>
      <c r="B805" t="s">
        <v>1654</v>
      </c>
      <c r="C805" t="s">
        <v>1473</v>
      </c>
      <c r="E805" t="str">
        <f t="shared" ref="E805" si="920">_xlfn.CONCAT("EvoFretFluvCat",RIGHT(B805,2),"DistMoy")</f>
        <v>EvoFretFluvCat36DistMoy</v>
      </c>
      <c r="F805" t="s">
        <v>17</v>
      </c>
      <c r="G805" s="5" cm="1">
        <f t="array" ref="G805">IF((INDEX('Remplissage - Sit. Init.'!$C$473:$I$1088,MATCH((_xlfn.CONCAT("Catégorie "&amp;RIGHT(B805,2)))&amp;('Remplissage - Sit. Init.'!$D$483),('Remplissage - Sit. Init.'!$C$473:$C$1088)&amp;('Remplissage - Sit. Init.'!$D$473:$D$1088),0),7))&gt;0,1,0)</f>
        <v>0</v>
      </c>
      <c r="H805" s="8"/>
      <c r="I805" s="33"/>
      <c r="J805" t="s">
        <v>70</v>
      </c>
      <c r="L805" s="114" t="s">
        <v>1479</v>
      </c>
    </row>
    <row r="806" spans="1:12" x14ac:dyDescent="0.25">
      <c r="A806" t="s">
        <v>1465</v>
      </c>
      <c r="B806" t="s">
        <v>1655</v>
      </c>
      <c r="C806" t="s">
        <v>1474</v>
      </c>
      <c r="E806" t="str">
        <f t="shared" ref="E806" si="921">_xlfn.CONCAT("EvoFretFluvCat",RIGHT(B806,2),"EmportMoy")</f>
        <v>EvoFretFluvCat36EmportMoy</v>
      </c>
      <c r="F806" t="s">
        <v>17</v>
      </c>
      <c r="G806" s="5" cm="1">
        <f t="array" ref="G806">IF((INDEX('Remplissage - Sit. Init.'!$C$473:$I$1088,MATCH((_xlfn.CONCAT("Catégorie "&amp;RIGHT(B806,2)))&amp;('Remplissage - Sit. Init.'!$D$483),('Remplissage - Sit. Init.'!$C$473:$C$1088)&amp;('Remplissage - Sit. Init.'!$D$473:$D$1088),0),7))&gt;0,1,0)</f>
        <v>0</v>
      </c>
      <c r="H806" s="8"/>
      <c r="I806" s="33"/>
      <c r="J806" t="s">
        <v>70</v>
      </c>
      <c r="L806" s="114" t="s">
        <v>1480</v>
      </c>
    </row>
    <row r="807" spans="1:12" x14ac:dyDescent="0.25">
      <c r="A807" t="s">
        <v>1465</v>
      </c>
      <c r="B807" t="s">
        <v>1656</v>
      </c>
      <c r="C807" t="s">
        <v>1475</v>
      </c>
      <c r="E807" t="str">
        <f t="shared" ref="E807" si="922">_xlfn.CONCAT("EvoFretFluvCat",RIGHT(B807,2),"DistAn")</f>
        <v>EvoFretFluvCat36DistAn</v>
      </c>
      <c r="F807" t="s">
        <v>17</v>
      </c>
      <c r="G807" s="5" cm="1">
        <f t="array" ref="G807">IF((INDEX('Remplissage - Sit. Init.'!$C$473:$I$1088,MATCH((_xlfn.CONCAT("Catégorie "&amp;RIGHT(B807,2)))&amp;('Remplissage - Sit. Init.'!$D$483),('Remplissage - Sit. Init.'!$C$473:$C$1088)&amp;('Remplissage - Sit. Init.'!$D$473:$D$1088),0),7))&gt;0,1,0)</f>
        <v>0</v>
      </c>
      <c r="I807" s="33"/>
      <c r="J807" t="s">
        <v>70</v>
      </c>
      <c r="L807" s="114" t="s">
        <v>1479</v>
      </c>
    </row>
    <row r="808" spans="1:12" x14ac:dyDescent="0.25">
      <c r="A808" t="s">
        <v>1465</v>
      </c>
      <c r="B808" t="s">
        <v>1657</v>
      </c>
      <c r="C808" t="s">
        <v>1476</v>
      </c>
      <c r="E808" t="str">
        <f t="shared" ref="E808" si="923">_xlfn.CONCAT("EvoFretFluvCat",RIGHT(B808,2),"TauxChargeMoy")</f>
        <v>EvoFretFluvCat36TauxChargeMoy</v>
      </c>
      <c r="F808" t="s">
        <v>17</v>
      </c>
      <c r="G808" s="5" cm="1">
        <f t="array" ref="G808">IF((INDEX('Remplissage - Sit. Init.'!$C$473:$I$1088,MATCH((_xlfn.CONCAT("Catégorie "&amp;RIGHT(B808,2)))&amp;('Remplissage - Sit. Init.'!$D$483),('Remplissage - Sit. Init.'!$C$473:$C$1088)&amp;('Remplissage - Sit. Init.'!$D$473:$D$1088),0),7))&gt;0,1,0)</f>
        <v>0</v>
      </c>
      <c r="I808" s="33"/>
      <c r="J808" t="s">
        <v>70</v>
      </c>
      <c r="L808" s="114" t="s">
        <v>1481</v>
      </c>
    </row>
    <row r="809" spans="1:12" x14ac:dyDescent="0.25">
      <c r="A809" t="s">
        <v>1465</v>
      </c>
      <c r="B809" t="s">
        <v>1653</v>
      </c>
      <c r="C809" s="114" t="s">
        <v>1477</v>
      </c>
      <c r="E809" t="str">
        <f t="shared" ref="E809" si="924">_xlfn.CONCAT("EvoFretFluvCat",RIGHT(B809,2),"NbBarges")</f>
        <v>EvoFretFluvCat36NbBarges</v>
      </c>
      <c r="F809" t="s">
        <v>17</v>
      </c>
      <c r="G809" s="5" cm="1">
        <f t="array" ref="G809">IF((INDEX('Remplissage - Sit. Init.'!$C$473:$I$1088,MATCH((_xlfn.CONCAT("Catégorie "&amp;RIGHT(B809,2)))&amp;('Remplissage - Sit. Init.'!$D$483),('Remplissage - Sit. Init.'!$C$473:$C$1088)&amp;('Remplissage - Sit. Init.'!$D$473:$D$1088),0),7))&gt;0,1,0)</f>
        <v>0</v>
      </c>
      <c r="I809" s="33"/>
      <c r="J809" t="s">
        <v>70</v>
      </c>
      <c r="L809" s="114" t="s">
        <v>1482</v>
      </c>
    </row>
    <row r="810" spans="1:12" x14ac:dyDescent="0.25">
      <c r="A810" t="s">
        <v>1465</v>
      </c>
      <c r="B810" t="s">
        <v>1324</v>
      </c>
      <c r="C810" t="str">
        <f t="shared" ref="C810" ca="1" si="925">_xlfn.CONCAT("Pour l'évolution de l'activité associée à la catégorie de barges suivante, catégorie ",INDIRECT("'Parcs types'!C"&amp;D810),", préférez-vous renseigner : ")</f>
        <v xml:space="preserve">Pour l'évolution de l'activité associée à la catégorie de barges suivante, catégorie Automoteurs &gt;3000 tonnes CCNR 2 + SCR, diesel, préférez-vous renseigner : </v>
      </c>
      <c r="D810">
        <v>101</v>
      </c>
      <c r="E810" t="str">
        <f t="shared" ref="E810" si="926">_xlfn.CONCAT("EvoFretFluvCat",RIGHT(B810,2),"Request")</f>
        <v>EvoFretFluvCat37Request</v>
      </c>
      <c r="F810" s="32" t="s">
        <v>20</v>
      </c>
      <c r="G810" s="5" cm="1">
        <f t="array" ref="G810">IF((INDEX('Remplissage - Sit. Init.'!$C$473:$I$1088,MATCH((_xlfn.CONCAT("Catégorie "&amp;RIGHT(B810,2)))&amp;('Remplissage - Sit. Init.'!$D$483),('Remplissage - Sit. Init.'!$C$473:$C$1088)&amp;('Remplissage - Sit. Init.'!$D$473:$D$1088),0),7))&gt;0,1,0)</f>
        <v>0</v>
      </c>
      <c r="I810" s="33" t="s">
        <v>1466</v>
      </c>
      <c r="K810" s="8"/>
    </row>
    <row r="811" spans="1:12" x14ac:dyDescent="0.25">
      <c r="A811" t="s">
        <v>1465</v>
      </c>
      <c r="B811" t="s">
        <v>1658</v>
      </c>
      <c r="C811" t="s">
        <v>1472</v>
      </c>
      <c r="E811" t="str">
        <f t="shared" ref="E811" si="927">_xlfn.CONCAT("EvoFretFluvCat",RIGHT(B811,2),"NbTraj")</f>
        <v>EvoFretFluvCat37NbTraj</v>
      </c>
      <c r="F811" t="s">
        <v>17</v>
      </c>
      <c r="G811" s="5" cm="1">
        <f t="array" ref="G811">IF((INDEX('Remplissage - Sit. Init.'!$C$473:$I$1088,MATCH((_xlfn.CONCAT("Catégorie "&amp;RIGHT(B811,2)))&amp;('Remplissage - Sit. Init.'!$D$483),('Remplissage - Sit. Init.'!$C$473:$C$1088)&amp;('Remplissage - Sit. Init.'!$D$473:$D$1088),0),7))&gt;0,1,0)</f>
        <v>0</v>
      </c>
      <c r="H811" s="8"/>
      <c r="I811" s="33"/>
      <c r="J811" t="s">
        <v>70</v>
      </c>
      <c r="L811" s="114" t="s">
        <v>1478</v>
      </c>
    </row>
    <row r="812" spans="1:12" x14ac:dyDescent="0.25">
      <c r="A812" t="s">
        <v>1465</v>
      </c>
      <c r="B812" t="s">
        <v>1659</v>
      </c>
      <c r="C812" t="s">
        <v>1473</v>
      </c>
      <c r="E812" t="str">
        <f t="shared" ref="E812" si="928">_xlfn.CONCAT("EvoFretFluvCat",RIGHT(B812,2),"DistMoy")</f>
        <v>EvoFretFluvCat37DistMoy</v>
      </c>
      <c r="F812" t="s">
        <v>17</v>
      </c>
      <c r="G812" s="5" cm="1">
        <f t="array" ref="G812">IF((INDEX('Remplissage - Sit. Init.'!$C$473:$I$1088,MATCH((_xlfn.CONCAT("Catégorie "&amp;RIGHT(B812,2)))&amp;('Remplissage - Sit. Init.'!$D$483),('Remplissage - Sit. Init.'!$C$473:$C$1088)&amp;('Remplissage - Sit. Init.'!$D$473:$D$1088),0),7))&gt;0,1,0)</f>
        <v>0</v>
      </c>
      <c r="H812" s="8"/>
      <c r="I812" s="33"/>
      <c r="J812" t="s">
        <v>70</v>
      </c>
      <c r="L812" s="114" t="s">
        <v>1479</v>
      </c>
    </row>
    <row r="813" spans="1:12" x14ac:dyDescent="0.25">
      <c r="A813" t="s">
        <v>1465</v>
      </c>
      <c r="B813" t="s">
        <v>1660</v>
      </c>
      <c r="C813" t="s">
        <v>1474</v>
      </c>
      <c r="E813" t="str">
        <f t="shared" ref="E813" si="929">_xlfn.CONCAT("EvoFretFluvCat",RIGHT(B813,2),"EmportMoy")</f>
        <v>EvoFretFluvCat37EmportMoy</v>
      </c>
      <c r="F813" t="s">
        <v>17</v>
      </c>
      <c r="G813" s="5" cm="1">
        <f t="array" ref="G813">IF((INDEX('Remplissage - Sit. Init.'!$C$473:$I$1088,MATCH((_xlfn.CONCAT("Catégorie "&amp;RIGHT(B813,2)))&amp;('Remplissage - Sit. Init.'!$D$483),('Remplissage - Sit. Init.'!$C$473:$C$1088)&amp;('Remplissage - Sit. Init.'!$D$473:$D$1088),0),7))&gt;0,1,0)</f>
        <v>0</v>
      </c>
      <c r="H813" s="8"/>
      <c r="I813" s="33"/>
      <c r="J813" t="s">
        <v>70</v>
      </c>
      <c r="L813" s="114" t="s">
        <v>1480</v>
      </c>
    </row>
    <row r="814" spans="1:12" x14ac:dyDescent="0.25">
      <c r="A814" t="s">
        <v>1465</v>
      </c>
      <c r="B814" t="s">
        <v>1661</v>
      </c>
      <c r="C814" t="s">
        <v>1475</v>
      </c>
      <c r="E814" t="str">
        <f t="shared" ref="E814" si="930">_xlfn.CONCAT("EvoFretFluvCat",RIGHT(B814,2),"DistAn")</f>
        <v>EvoFretFluvCat37DistAn</v>
      </c>
      <c r="F814" t="s">
        <v>17</v>
      </c>
      <c r="G814" s="5" cm="1">
        <f t="array" ref="G814">IF((INDEX('Remplissage - Sit. Init.'!$C$473:$I$1088,MATCH((_xlfn.CONCAT("Catégorie "&amp;RIGHT(B814,2)))&amp;('Remplissage - Sit. Init.'!$D$483),('Remplissage - Sit. Init.'!$C$473:$C$1088)&amp;('Remplissage - Sit. Init.'!$D$473:$D$1088),0),7))&gt;0,1,0)</f>
        <v>0</v>
      </c>
      <c r="I814" s="33"/>
      <c r="J814" t="s">
        <v>70</v>
      </c>
      <c r="L814" s="114" t="s">
        <v>1479</v>
      </c>
    </row>
    <row r="815" spans="1:12" x14ac:dyDescent="0.25">
      <c r="A815" t="s">
        <v>1465</v>
      </c>
      <c r="B815" t="s">
        <v>1662</v>
      </c>
      <c r="C815" t="s">
        <v>1476</v>
      </c>
      <c r="E815" t="str">
        <f t="shared" ref="E815" si="931">_xlfn.CONCAT("EvoFretFluvCat",RIGHT(B815,2),"TauxChargeMoy")</f>
        <v>EvoFretFluvCat37TauxChargeMoy</v>
      </c>
      <c r="F815" t="s">
        <v>17</v>
      </c>
      <c r="G815" s="5" cm="1">
        <f t="array" ref="G815">IF((INDEX('Remplissage - Sit. Init.'!$C$473:$I$1088,MATCH((_xlfn.CONCAT("Catégorie "&amp;RIGHT(B815,2)))&amp;('Remplissage - Sit. Init.'!$D$483),('Remplissage - Sit. Init.'!$C$473:$C$1088)&amp;('Remplissage - Sit. Init.'!$D$473:$D$1088),0),7))&gt;0,1,0)</f>
        <v>0</v>
      </c>
      <c r="I815" s="33"/>
      <c r="J815" t="s">
        <v>70</v>
      </c>
      <c r="L815" s="114" t="s">
        <v>1481</v>
      </c>
    </row>
    <row r="816" spans="1:12" x14ac:dyDescent="0.25">
      <c r="A816" t="s">
        <v>1465</v>
      </c>
      <c r="B816" t="s">
        <v>1658</v>
      </c>
      <c r="C816" s="114" t="s">
        <v>1477</v>
      </c>
      <c r="E816" t="str">
        <f t="shared" ref="E816" si="932">_xlfn.CONCAT("EvoFretFluvCat",RIGHT(B816,2),"NbBarges")</f>
        <v>EvoFretFluvCat37NbBarges</v>
      </c>
      <c r="F816" t="s">
        <v>17</v>
      </c>
      <c r="G816" s="5" cm="1">
        <f t="array" ref="G816">IF((INDEX('Remplissage - Sit. Init.'!$C$473:$I$1088,MATCH((_xlfn.CONCAT("Catégorie "&amp;RIGHT(B816,2)))&amp;('Remplissage - Sit. Init.'!$D$483),('Remplissage - Sit. Init.'!$C$473:$C$1088)&amp;('Remplissage - Sit. Init.'!$D$473:$D$1088),0),7))&gt;0,1,0)</f>
        <v>0</v>
      </c>
      <c r="I816" s="33"/>
      <c r="J816" t="s">
        <v>70</v>
      </c>
      <c r="L816" s="114" t="s">
        <v>1482</v>
      </c>
    </row>
    <row r="817" spans="1:12" x14ac:dyDescent="0.25">
      <c r="A817" t="s">
        <v>1465</v>
      </c>
      <c r="B817" t="s">
        <v>1326</v>
      </c>
      <c r="C817" t="str">
        <f t="shared" ref="C817" ca="1" si="933">_xlfn.CONCAT("Pour l'évolution de l'activité associée à la catégorie de barges suivante, catégorie ",INDIRECT("'Parcs types'!C"&amp;D817),", préférez-vous renseigner : ")</f>
        <v xml:space="preserve">Pour l'évolution de l'activité associée à la catégorie de barges suivante, catégorie Automoteurs &gt;3000 tonnes Phase V, diesel, préférez-vous renseigner : </v>
      </c>
      <c r="D817">
        <v>102</v>
      </c>
      <c r="E817" t="str">
        <f t="shared" ref="E817" si="934">_xlfn.CONCAT("EvoFretFluvCat",RIGHT(B817,2),"Request")</f>
        <v>EvoFretFluvCat38Request</v>
      </c>
      <c r="F817" s="32" t="s">
        <v>20</v>
      </c>
      <c r="G817" s="5" cm="1">
        <f t="array" ref="G817">IF((INDEX('Remplissage - Sit. Init.'!$C$473:$I$1088,MATCH((_xlfn.CONCAT("Catégorie "&amp;RIGHT(B817,2)))&amp;('Remplissage - Sit. Init.'!$D$483),('Remplissage - Sit. Init.'!$C$473:$C$1088)&amp;('Remplissage - Sit. Init.'!$D$473:$D$1088),0),7))&gt;0,1,0)</f>
        <v>0</v>
      </c>
      <c r="I817" s="33" t="s">
        <v>1466</v>
      </c>
      <c r="K817" s="8"/>
    </row>
    <row r="818" spans="1:12" x14ac:dyDescent="0.25">
      <c r="A818" t="s">
        <v>1465</v>
      </c>
      <c r="B818" t="s">
        <v>1663</v>
      </c>
      <c r="C818" t="s">
        <v>1472</v>
      </c>
      <c r="E818" t="str">
        <f t="shared" ref="E818" si="935">_xlfn.CONCAT("EvoFretFluvCat",RIGHT(B818,2),"NbTraj")</f>
        <v>EvoFretFluvCat38NbTraj</v>
      </c>
      <c r="F818" t="s">
        <v>17</v>
      </c>
      <c r="G818" s="5" cm="1">
        <f t="array" ref="G818">IF((INDEX('Remplissage - Sit. Init.'!$C$473:$I$1088,MATCH((_xlfn.CONCAT("Catégorie "&amp;RIGHT(B818,2)))&amp;('Remplissage - Sit. Init.'!$D$483),('Remplissage - Sit. Init.'!$C$473:$C$1088)&amp;('Remplissage - Sit. Init.'!$D$473:$D$1088),0),7))&gt;0,1,0)</f>
        <v>0</v>
      </c>
      <c r="H818" s="8"/>
      <c r="I818" s="33"/>
      <c r="J818" t="s">
        <v>70</v>
      </c>
      <c r="L818" s="114" t="s">
        <v>1478</v>
      </c>
    </row>
    <row r="819" spans="1:12" x14ac:dyDescent="0.25">
      <c r="A819" t="s">
        <v>1465</v>
      </c>
      <c r="B819" t="s">
        <v>1664</v>
      </c>
      <c r="C819" t="s">
        <v>1473</v>
      </c>
      <c r="E819" t="str">
        <f t="shared" ref="E819" si="936">_xlfn.CONCAT("EvoFretFluvCat",RIGHT(B819,2),"DistMoy")</f>
        <v>EvoFretFluvCat38DistMoy</v>
      </c>
      <c r="F819" t="s">
        <v>17</v>
      </c>
      <c r="G819" s="5" cm="1">
        <f t="array" ref="G819">IF((INDEX('Remplissage - Sit. Init.'!$C$473:$I$1088,MATCH((_xlfn.CONCAT("Catégorie "&amp;RIGHT(B819,2)))&amp;('Remplissage - Sit. Init.'!$D$483),('Remplissage - Sit. Init.'!$C$473:$C$1088)&amp;('Remplissage - Sit. Init.'!$D$473:$D$1088),0),7))&gt;0,1,0)</f>
        <v>0</v>
      </c>
      <c r="H819" s="8"/>
      <c r="I819" s="33"/>
      <c r="J819" t="s">
        <v>70</v>
      </c>
      <c r="L819" s="114" t="s">
        <v>1479</v>
      </c>
    </row>
    <row r="820" spans="1:12" x14ac:dyDescent="0.25">
      <c r="A820" t="s">
        <v>1465</v>
      </c>
      <c r="B820" t="s">
        <v>1665</v>
      </c>
      <c r="C820" t="s">
        <v>1474</v>
      </c>
      <c r="E820" t="str">
        <f t="shared" ref="E820" si="937">_xlfn.CONCAT("EvoFretFluvCat",RIGHT(B820,2),"EmportMoy")</f>
        <v>EvoFretFluvCat38EmportMoy</v>
      </c>
      <c r="F820" t="s">
        <v>17</v>
      </c>
      <c r="G820" s="5" cm="1">
        <f t="array" ref="G820">IF((INDEX('Remplissage - Sit. Init.'!$C$473:$I$1088,MATCH((_xlfn.CONCAT("Catégorie "&amp;RIGHT(B820,2)))&amp;('Remplissage - Sit. Init.'!$D$483),('Remplissage - Sit. Init.'!$C$473:$C$1088)&amp;('Remplissage - Sit. Init.'!$D$473:$D$1088),0),7))&gt;0,1,0)</f>
        <v>0</v>
      </c>
      <c r="H820" s="8"/>
      <c r="I820" s="33"/>
      <c r="J820" t="s">
        <v>70</v>
      </c>
      <c r="L820" s="114" t="s">
        <v>1480</v>
      </c>
    </row>
    <row r="821" spans="1:12" x14ac:dyDescent="0.25">
      <c r="A821" t="s">
        <v>1465</v>
      </c>
      <c r="B821" t="s">
        <v>1666</v>
      </c>
      <c r="C821" t="s">
        <v>1475</v>
      </c>
      <c r="E821" t="str">
        <f t="shared" ref="E821" si="938">_xlfn.CONCAT("EvoFretFluvCat",RIGHT(B821,2),"DistAn")</f>
        <v>EvoFretFluvCat38DistAn</v>
      </c>
      <c r="F821" t="s">
        <v>17</v>
      </c>
      <c r="G821" s="5" cm="1">
        <f t="array" ref="G821">IF((INDEX('Remplissage - Sit. Init.'!$C$473:$I$1088,MATCH((_xlfn.CONCAT("Catégorie "&amp;RIGHT(B821,2)))&amp;('Remplissage - Sit. Init.'!$D$483),('Remplissage - Sit. Init.'!$C$473:$C$1088)&amp;('Remplissage - Sit. Init.'!$D$473:$D$1088),0),7))&gt;0,1,0)</f>
        <v>0</v>
      </c>
      <c r="I821" s="33"/>
      <c r="J821" t="s">
        <v>70</v>
      </c>
      <c r="L821" s="114" t="s">
        <v>1479</v>
      </c>
    </row>
    <row r="822" spans="1:12" x14ac:dyDescent="0.25">
      <c r="A822" t="s">
        <v>1465</v>
      </c>
      <c r="B822" t="s">
        <v>1667</v>
      </c>
      <c r="C822" t="s">
        <v>1476</v>
      </c>
      <c r="E822" t="str">
        <f t="shared" ref="E822" si="939">_xlfn.CONCAT("EvoFretFluvCat",RIGHT(B822,2),"TauxChargeMoy")</f>
        <v>EvoFretFluvCat38TauxChargeMoy</v>
      </c>
      <c r="F822" t="s">
        <v>17</v>
      </c>
      <c r="G822" s="5" cm="1">
        <f t="array" ref="G822">IF((INDEX('Remplissage - Sit. Init.'!$C$473:$I$1088,MATCH((_xlfn.CONCAT("Catégorie "&amp;RIGHT(B822,2)))&amp;('Remplissage - Sit. Init.'!$D$483),('Remplissage - Sit. Init.'!$C$473:$C$1088)&amp;('Remplissage - Sit. Init.'!$D$473:$D$1088),0),7))&gt;0,1,0)</f>
        <v>0</v>
      </c>
      <c r="I822" s="33"/>
      <c r="J822" t="s">
        <v>70</v>
      </c>
      <c r="L822" s="114" t="s">
        <v>1481</v>
      </c>
    </row>
    <row r="823" spans="1:12" x14ac:dyDescent="0.25">
      <c r="A823" t="s">
        <v>1465</v>
      </c>
      <c r="B823" t="s">
        <v>1663</v>
      </c>
      <c r="C823" s="114" t="s">
        <v>1477</v>
      </c>
      <c r="E823" t="str">
        <f t="shared" ref="E823" si="940">_xlfn.CONCAT("EvoFretFluvCat",RIGHT(B823,2),"NbBarges")</f>
        <v>EvoFretFluvCat38NbBarges</v>
      </c>
      <c r="F823" t="s">
        <v>17</v>
      </c>
      <c r="G823" s="5" cm="1">
        <f t="array" ref="G823">IF((INDEX('Remplissage - Sit. Init.'!$C$473:$I$1088,MATCH((_xlfn.CONCAT("Catégorie "&amp;RIGHT(B823,2)))&amp;('Remplissage - Sit. Init.'!$D$483),('Remplissage - Sit. Init.'!$C$473:$C$1088)&amp;('Remplissage - Sit. Init.'!$D$473:$D$1088),0),7))&gt;0,1,0)</f>
        <v>0</v>
      </c>
      <c r="I823" s="33"/>
      <c r="J823" t="s">
        <v>70</v>
      </c>
      <c r="L823" s="114" t="s">
        <v>1482</v>
      </c>
    </row>
    <row r="824" spans="1:12" x14ac:dyDescent="0.25">
      <c r="A824" t="s">
        <v>1465</v>
      </c>
      <c r="B824" t="s">
        <v>1328</v>
      </c>
      <c r="C824" t="str">
        <f t="shared" ref="C824" ca="1" si="941">_xlfn.CONCAT("Pour l'évolution de l'activité associée à la catégorie de barges suivante, catégorie ",INDIRECT("'Parcs types'!C"&amp;D824),", préférez-vous renseigner : ")</f>
        <v xml:space="preserve">Pour l'évolution de l'activité associée à la catégorie de barges suivante, catégorie Automoteurs &gt;3000 tonnes Phase V, HVO, préférez-vous renseigner : </v>
      </c>
      <c r="D824">
        <v>103</v>
      </c>
      <c r="E824" t="str">
        <f t="shared" ref="E824" si="942">_xlfn.CONCAT("EvoFretFluvCat",RIGHT(B824,2),"Request")</f>
        <v>EvoFretFluvCat39Request</v>
      </c>
      <c r="F824" s="32" t="s">
        <v>20</v>
      </c>
      <c r="G824" s="5" cm="1">
        <f t="array" ref="G824">IF((INDEX('Remplissage - Sit. Init.'!$C$473:$I$1088,MATCH((_xlfn.CONCAT("Catégorie "&amp;RIGHT(B824,2)))&amp;('Remplissage - Sit. Init.'!$D$483),('Remplissage - Sit. Init.'!$C$473:$C$1088)&amp;('Remplissage - Sit. Init.'!$D$473:$D$1088),0),7))&gt;0,1,0)</f>
        <v>0</v>
      </c>
      <c r="I824" s="33" t="s">
        <v>1466</v>
      </c>
      <c r="K824" s="8"/>
    </row>
    <row r="825" spans="1:12" x14ac:dyDescent="0.25">
      <c r="A825" t="s">
        <v>1465</v>
      </c>
      <c r="B825" t="s">
        <v>1668</v>
      </c>
      <c r="C825" t="s">
        <v>1472</v>
      </c>
      <c r="E825" t="str">
        <f t="shared" ref="E825" si="943">_xlfn.CONCAT("EvoFretFluvCat",RIGHT(B825,2),"NbTraj")</f>
        <v>EvoFretFluvCat39NbTraj</v>
      </c>
      <c r="F825" t="s">
        <v>17</v>
      </c>
      <c r="G825" s="5" cm="1">
        <f t="array" ref="G825">IF((INDEX('Remplissage - Sit. Init.'!$C$473:$I$1088,MATCH((_xlfn.CONCAT("Catégorie "&amp;RIGHT(B825,2)))&amp;('Remplissage - Sit. Init.'!$D$483),('Remplissage - Sit. Init.'!$C$473:$C$1088)&amp;('Remplissage - Sit. Init.'!$D$473:$D$1088),0),7))&gt;0,1,0)</f>
        <v>0</v>
      </c>
      <c r="H825" s="8"/>
      <c r="I825" s="33"/>
      <c r="J825" t="s">
        <v>70</v>
      </c>
      <c r="L825" s="114" t="s">
        <v>1478</v>
      </c>
    </row>
    <row r="826" spans="1:12" x14ac:dyDescent="0.25">
      <c r="A826" t="s">
        <v>1465</v>
      </c>
      <c r="B826" t="s">
        <v>1669</v>
      </c>
      <c r="C826" t="s">
        <v>1473</v>
      </c>
      <c r="E826" t="str">
        <f t="shared" ref="E826" si="944">_xlfn.CONCAT("EvoFretFluvCat",RIGHT(B826,2),"DistMoy")</f>
        <v>EvoFretFluvCat39DistMoy</v>
      </c>
      <c r="F826" t="s">
        <v>17</v>
      </c>
      <c r="G826" s="5" cm="1">
        <f t="array" ref="G826">IF((INDEX('Remplissage - Sit. Init.'!$C$473:$I$1088,MATCH((_xlfn.CONCAT("Catégorie "&amp;RIGHT(B826,2)))&amp;('Remplissage - Sit. Init.'!$D$483),('Remplissage - Sit. Init.'!$C$473:$C$1088)&amp;('Remplissage - Sit. Init.'!$D$473:$D$1088),0),7))&gt;0,1,0)</f>
        <v>0</v>
      </c>
      <c r="H826" s="8"/>
      <c r="I826" s="33"/>
      <c r="J826" t="s">
        <v>70</v>
      </c>
      <c r="L826" s="114" t="s">
        <v>1479</v>
      </c>
    </row>
    <row r="827" spans="1:12" x14ac:dyDescent="0.25">
      <c r="A827" t="s">
        <v>1465</v>
      </c>
      <c r="B827" t="s">
        <v>1670</v>
      </c>
      <c r="C827" t="s">
        <v>1474</v>
      </c>
      <c r="E827" t="str">
        <f t="shared" ref="E827" si="945">_xlfn.CONCAT("EvoFretFluvCat",RIGHT(B827,2),"EmportMoy")</f>
        <v>EvoFretFluvCat39EmportMoy</v>
      </c>
      <c r="F827" t="s">
        <v>17</v>
      </c>
      <c r="G827" s="5" cm="1">
        <f t="array" ref="G827">IF((INDEX('Remplissage - Sit. Init.'!$C$473:$I$1088,MATCH((_xlfn.CONCAT("Catégorie "&amp;RIGHT(B827,2)))&amp;('Remplissage - Sit. Init.'!$D$483),('Remplissage - Sit. Init.'!$C$473:$C$1088)&amp;('Remplissage - Sit. Init.'!$D$473:$D$1088),0),7))&gt;0,1,0)</f>
        <v>0</v>
      </c>
      <c r="H827" s="8"/>
      <c r="I827" s="33"/>
      <c r="J827" t="s">
        <v>70</v>
      </c>
      <c r="L827" s="114" t="s">
        <v>1480</v>
      </c>
    </row>
    <row r="828" spans="1:12" x14ac:dyDescent="0.25">
      <c r="A828" t="s">
        <v>1465</v>
      </c>
      <c r="B828" t="s">
        <v>1671</v>
      </c>
      <c r="C828" t="s">
        <v>1475</v>
      </c>
      <c r="E828" t="str">
        <f t="shared" ref="E828" si="946">_xlfn.CONCAT("EvoFretFluvCat",RIGHT(B828,2),"DistAn")</f>
        <v>EvoFretFluvCat39DistAn</v>
      </c>
      <c r="F828" t="s">
        <v>17</v>
      </c>
      <c r="G828" s="5" cm="1">
        <f t="array" ref="G828">IF((INDEX('Remplissage - Sit. Init.'!$C$473:$I$1088,MATCH((_xlfn.CONCAT("Catégorie "&amp;RIGHT(B828,2)))&amp;('Remplissage - Sit. Init.'!$D$483),('Remplissage - Sit. Init.'!$C$473:$C$1088)&amp;('Remplissage - Sit. Init.'!$D$473:$D$1088),0),7))&gt;0,1,0)</f>
        <v>0</v>
      </c>
      <c r="I828" s="33"/>
      <c r="J828" t="s">
        <v>70</v>
      </c>
      <c r="L828" s="114" t="s">
        <v>1479</v>
      </c>
    </row>
    <row r="829" spans="1:12" x14ac:dyDescent="0.25">
      <c r="A829" t="s">
        <v>1465</v>
      </c>
      <c r="B829" t="s">
        <v>1672</v>
      </c>
      <c r="C829" t="s">
        <v>1476</v>
      </c>
      <c r="E829" t="str">
        <f t="shared" ref="E829" si="947">_xlfn.CONCAT("EvoFretFluvCat",RIGHT(B829,2),"TauxChargeMoy")</f>
        <v>EvoFretFluvCat39TauxChargeMoy</v>
      </c>
      <c r="F829" t="s">
        <v>17</v>
      </c>
      <c r="G829" s="5" cm="1">
        <f t="array" ref="G829">IF((INDEX('Remplissage - Sit. Init.'!$C$473:$I$1088,MATCH((_xlfn.CONCAT("Catégorie "&amp;RIGHT(B829,2)))&amp;('Remplissage - Sit. Init.'!$D$483),('Remplissage - Sit. Init.'!$C$473:$C$1088)&amp;('Remplissage - Sit. Init.'!$D$473:$D$1088),0),7))&gt;0,1,0)</f>
        <v>0</v>
      </c>
      <c r="I829" s="33"/>
      <c r="J829" t="s">
        <v>70</v>
      </c>
      <c r="L829" s="114" t="s">
        <v>1481</v>
      </c>
    </row>
    <row r="830" spans="1:12" x14ac:dyDescent="0.25">
      <c r="A830" t="s">
        <v>1465</v>
      </c>
      <c r="B830" t="s">
        <v>1668</v>
      </c>
      <c r="C830" s="114" t="s">
        <v>1477</v>
      </c>
      <c r="E830" t="str">
        <f t="shared" ref="E830" si="948">_xlfn.CONCAT("EvoFretFluvCat",RIGHT(B830,2),"NbBarges")</f>
        <v>EvoFretFluvCat39NbBarges</v>
      </c>
      <c r="F830" t="s">
        <v>17</v>
      </c>
      <c r="G830" s="5" cm="1">
        <f t="array" ref="G830">IF((INDEX('Remplissage - Sit. Init.'!$C$473:$I$1088,MATCH((_xlfn.CONCAT("Catégorie "&amp;RIGHT(B830,2)))&amp;('Remplissage - Sit. Init.'!$D$483),('Remplissage - Sit. Init.'!$C$473:$C$1088)&amp;('Remplissage - Sit. Init.'!$D$473:$D$1088),0),7))&gt;0,1,0)</f>
        <v>0</v>
      </c>
      <c r="I830" s="33"/>
      <c r="J830" t="s">
        <v>70</v>
      </c>
      <c r="L830" s="114" t="s">
        <v>1482</v>
      </c>
    </row>
    <row r="831" spans="1:12" x14ac:dyDescent="0.25">
      <c r="A831" t="s">
        <v>1465</v>
      </c>
      <c r="B831" t="s">
        <v>1330</v>
      </c>
      <c r="C831" t="str">
        <f t="shared" ref="C831" ca="1" si="949">_xlfn.CONCAT("Pour l'évolution de l'activité associée à la catégorie de barges suivante, catégorie ",INDIRECT("'Parcs types'!C"&amp;D831),", préférez-vous renseigner : ")</f>
        <v xml:space="preserve">Pour l'évolution de l'activité associée à la catégorie de barges suivante, catégorie Automoteurs &gt;3000 tonnes Batterie, préférez-vous renseigner : </v>
      </c>
      <c r="D831">
        <v>104</v>
      </c>
      <c r="E831" t="str">
        <f t="shared" ref="E831" si="950">_xlfn.CONCAT("EvoFretFluvCat",RIGHT(B831,2),"Request")</f>
        <v>EvoFretFluvCat40Request</v>
      </c>
      <c r="F831" s="32" t="s">
        <v>20</v>
      </c>
      <c r="G831" s="5" cm="1">
        <f t="array" ref="G831">IF((INDEX('Remplissage - Sit. Init.'!$C$473:$I$1088,MATCH((_xlfn.CONCAT("Catégorie "&amp;RIGHT(B831,2)))&amp;('Remplissage - Sit. Init.'!$D$483),('Remplissage - Sit. Init.'!$C$473:$C$1088)&amp;('Remplissage - Sit. Init.'!$D$473:$D$1088),0),7))&gt;0,1,0)</f>
        <v>0</v>
      </c>
      <c r="I831" s="33" t="s">
        <v>1466</v>
      </c>
      <c r="K831" s="8"/>
    </row>
    <row r="832" spans="1:12" x14ac:dyDescent="0.25">
      <c r="A832" t="s">
        <v>1465</v>
      </c>
      <c r="B832" t="s">
        <v>1673</v>
      </c>
      <c r="C832" t="s">
        <v>1472</v>
      </c>
      <c r="E832" t="str">
        <f t="shared" ref="E832" si="951">_xlfn.CONCAT("EvoFretFluvCat",RIGHT(B832,2),"NbTraj")</f>
        <v>EvoFretFluvCat40NbTraj</v>
      </c>
      <c r="F832" t="s">
        <v>17</v>
      </c>
      <c r="G832" s="5" cm="1">
        <f t="array" ref="G832">IF((INDEX('Remplissage - Sit. Init.'!$C$473:$I$1088,MATCH((_xlfn.CONCAT("Catégorie "&amp;RIGHT(B832,2)))&amp;('Remplissage - Sit. Init.'!$D$483),('Remplissage - Sit. Init.'!$C$473:$C$1088)&amp;('Remplissage - Sit. Init.'!$D$473:$D$1088),0),7))&gt;0,1,0)</f>
        <v>0</v>
      </c>
      <c r="H832" s="8"/>
      <c r="I832" s="33"/>
      <c r="J832" t="s">
        <v>70</v>
      </c>
      <c r="L832" s="114" t="s">
        <v>1478</v>
      </c>
    </row>
    <row r="833" spans="1:12" x14ac:dyDescent="0.25">
      <c r="A833" t="s">
        <v>1465</v>
      </c>
      <c r="B833" t="s">
        <v>1674</v>
      </c>
      <c r="C833" t="s">
        <v>1473</v>
      </c>
      <c r="E833" t="str">
        <f t="shared" ref="E833" si="952">_xlfn.CONCAT("EvoFretFluvCat",RIGHT(B833,2),"DistMoy")</f>
        <v>EvoFretFluvCat40DistMoy</v>
      </c>
      <c r="F833" t="s">
        <v>17</v>
      </c>
      <c r="G833" s="5" cm="1">
        <f t="array" ref="G833">IF((INDEX('Remplissage - Sit. Init.'!$C$473:$I$1088,MATCH((_xlfn.CONCAT("Catégorie "&amp;RIGHT(B833,2)))&amp;('Remplissage - Sit. Init.'!$D$483),('Remplissage - Sit. Init.'!$C$473:$C$1088)&amp;('Remplissage - Sit. Init.'!$D$473:$D$1088),0),7))&gt;0,1,0)</f>
        <v>0</v>
      </c>
      <c r="H833" s="8"/>
      <c r="I833" s="33"/>
      <c r="J833" t="s">
        <v>70</v>
      </c>
      <c r="L833" s="114" t="s">
        <v>1479</v>
      </c>
    </row>
    <row r="834" spans="1:12" x14ac:dyDescent="0.25">
      <c r="A834" t="s">
        <v>1465</v>
      </c>
      <c r="B834" t="s">
        <v>1675</v>
      </c>
      <c r="C834" t="s">
        <v>1474</v>
      </c>
      <c r="E834" t="str">
        <f t="shared" ref="E834" si="953">_xlfn.CONCAT("EvoFretFluvCat",RIGHT(B834,2),"EmportMoy")</f>
        <v>EvoFretFluvCat40EmportMoy</v>
      </c>
      <c r="F834" t="s">
        <v>17</v>
      </c>
      <c r="G834" s="5" cm="1">
        <f t="array" ref="G834">IF((INDEX('Remplissage - Sit. Init.'!$C$473:$I$1088,MATCH((_xlfn.CONCAT("Catégorie "&amp;RIGHT(B834,2)))&amp;('Remplissage - Sit. Init.'!$D$483),('Remplissage - Sit. Init.'!$C$473:$C$1088)&amp;('Remplissage - Sit. Init.'!$D$473:$D$1088),0),7))&gt;0,1,0)</f>
        <v>0</v>
      </c>
      <c r="H834" s="8"/>
      <c r="I834" s="33"/>
      <c r="J834" t="s">
        <v>70</v>
      </c>
      <c r="L834" s="114" t="s">
        <v>1480</v>
      </c>
    </row>
    <row r="835" spans="1:12" x14ac:dyDescent="0.25">
      <c r="A835" t="s">
        <v>1465</v>
      </c>
      <c r="B835" t="s">
        <v>1676</v>
      </c>
      <c r="C835" t="s">
        <v>1475</v>
      </c>
      <c r="E835" t="str">
        <f t="shared" ref="E835" si="954">_xlfn.CONCAT("EvoFretFluvCat",RIGHT(B835,2),"DistAn")</f>
        <v>EvoFretFluvCat40DistAn</v>
      </c>
      <c r="F835" t="s">
        <v>17</v>
      </c>
      <c r="G835" s="5" cm="1">
        <f t="array" ref="G835">IF((INDEX('Remplissage - Sit. Init.'!$C$473:$I$1088,MATCH((_xlfn.CONCAT("Catégorie "&amp;RIGHT(B835,2)))&amp;('Remplissage - Sit. Init.'!$D$483),('Remplissage - Sit. Init.'!$C$473:$C$1088)&amp;('Remplissage - Sit. Init.'!$D$473:$D$1088),0),7))&gt;0,1,0)</f>
        <v>0</v>
      </c>
      <c r="I835" s="33"/>
      <c r="J835" t="s">
        <v>70</v>
      </c>
      <c r="L835" s="114" t="s">
        <v>1479</v>
      </c>
    </row>
    <row r="836" spans="1:12" x14ac:dyDescent="0.25">
      <c r="A836" t="s">
        <v>1465</v>
      </c>
      <c r="B836" t="s">
        <v>1677</v>
      </c>
      <c r="C836" t="s">
        <v>1476</v>
      </c>
      <c r="E836" t="str">
        <f t="shared" ref="E836" si="955">_xlfn.CONCAT("EvoFretFluvCat",RIGHT(B836,2),"TauxChargeMoy")</f>
        <v>EvoFretFluvCat40TauxChargeMoy</v>
      </c>
      <c r="F836" t="s">
        <v>17</v>
      </c>
      <c r="G836" s="5" cm="1">
        <f t="array" ref="G836">IF((INDEX('Remplissage - Sit. Init.'!$C$473:$I$1088,MATCH((_xlfn.CONCAT("Catégorie "&amp;RIGHT(B836,2)))&amp;('Remplissage - Sit. Init.'!$D$483),('Remplissage - Sit. Init.'!$C$473:$C$1088)&amp;('Remplissage - Sit. Init.'!$D$473:$D$1088),0),7))&gt;0,1,0)</f>
        <v>0</v>
      </c>
      <c r="I836" s="33"/>
      <c r="J836" t="s">
        <v>70</v>
      </c>
      <c r="L836" s="114" t="s">
        <v>1481</v>
      </c>
    </row>
    <row r="837" spans="1:12" x14ac:dyDescent="0.25">
      <c r="A837" t="s">
        <v>1465</v>
      </c>
      <c r="B837" t="s">
        <v>1673</v>
      </c>
      <c r="C837" s="114" t="s">
        <v>1477</v>
      </c>
      <c r="E837" t="str">
        <f t="shared" ref="E837" si="956">_xlfn.CONCAT("EvoFretFluvCat",RIGHT(B837,2),"NbBarges")</f>
        <v>EvoFretFluvCat40NbBarges</v>
      </c>
      <c r="F837" t="s">
        <v>17</v>
      </c>
      <c r="G837" s="5" cm="1">
        <f t="array" ref="G837">IF((INDEX('Remplissage - Sit. Init.'!$C$473:$I$1088,MATCH((_xlfn.CONCAT("Catégorie "&amp;RIGHT(B837,2)))&amp;('Remplissage - Sit. Init.'!$D$483),('Remplissage - Sit. Init.'!$C$473:$C$1088)&amp;('Remplissage - Sit. Init.'!$D$473:$D$1088),0),7))&gt;0,1,0)</f>
        <v>0</v>
      </c>
      <c r="I837" s="33"/>
      <c r="J837" t="s">
        <v>70</v>
      </c>
      <c r="L837" s="114" t="s">
        <v>1482</v>
      </c>
    </row>
    <row r="838" spans="1:12" x14ac:dyDescent="0.25">
      <c r="A838" t="s">
        <v>1465</v>
      </c>
      <c r="B838" t="s">
        <v>1332</v>
      </c>
      <c r="C838" t="str">
        <f t="shared" ref="C838" ca="1" si="957">_xlfn.CONCAT("Pour l'évolution de l'activité associée à la catégorie de barges suivante, catégorie ",INDIRECT("'Parcs types'!C"&amp;D838),", préférez-vous renseigner : ")</f>
        <v xml:space="preserve">Pour l'évolution de l'activité associée à la catégorie de barges suivante, catégorie Automoteurs &gt;3000 tonnes H2 , PAC, préférez-vous renseigner : </v>
      </c>
      <c r="D838">
        <v>105</v>
      </c>
      <c r="E838" t="str">
        <f t="shared" ref="E838" si="958">_xlfn.CONCAT("EvoFretFluvCat",RIGHT(B838,2),"Request")</f>
        <v>EvoFretFluvCat41Request</v>
      </c>
      <c r="F838" s="32" t="s">
        <v>20</v>
      </c>
      <c r="G838" s="5" cm="1">
        <f t="array" ref="G838">IF((INDEX('Remplissage - Sit. Init.'!$C$473:$I$1088,MATCH((_xlfn.CONCAT("Catégorie "&amp;RIGHT(B838,2)))&amp;('Remplissage - Sit. Init.'!$D$483),('Remplissage - Sit. Init.'!$C$473:$C$1088)&amp;('Remplissage - Sit. Init.'!$D$473:$D$1088),0),7))&gt;0,1,0)</f>
        <v>0</v>
      </c>
      <c r="I838" s="33" t="s">
        <v>1466</v>
      </c>
      <c r="K838" s="8"/>
    </row>
    <row r="839" spans="1:12" x14ac:dyDescent="0.25">
      <c r="A839" t="s">
        <v>1465</v>
      </c>
      <c r="B839" t="s">
        <v>1678</v>
      </c>
      <c r="C839" t="s">
        <v>1472</v>
      </c>
      <c r="E839" t="str">
        <f t="shared" ref="E839" si="959">_xlfn.CONCAT("EvoFretFluvCat",RIGHT(B839,2),"NbTraj")</f>
        <v>EvoFretFluvCat41NbTraj</v>
      </c>
      <c r="F839" t="s">
        <v>17</v>
      </c>
      <c r="G839" s="5" cm="1">
        <f t="array" ref="G839">IF((INDEX('Remplissage - Sit. Init.'!$C$473:$I$1088,MATCH((_xlfn.CONCAT("Catégorie "&amp;RIGHT(B839,2)))&amp;('Remplissage - Sit. Init.'!$D$483),('Remplissage - Sit. Init.'!$C$473:$C$1088)&amp;('Remplissage - Sit. Init.'!$D$473:$D$1088),0),7))&gt;0,1,0)</f>
        <v>0</v>
      </c>
      <c r="H839" s="8"/>
      <c r="I839" s="33"/>
      <c r="J839" t="s">
        <v>70</v>
      </c>
      <c r="L839" s="114" t="s">
        <v>1478</v>
      </c>
    </row>
    <row r="840" spans="1:12" x14ac:dyDescent="0.25">
      <c r="A840" t="s">
        <v>1465</v>
      </c>
      <c r="B840" t="s">
        <v>1679</v>
      </c>
      <c r="C840" t="s">
        <v>1473</v>
      </c>
      <c r="E840" t="str">
        <f t="shared" ref="E840" si="960">_xlfn.CONCAT("EvoFretFluvCat",RIGHT(B840,2),"DistMoy")</f>
        <v>EvoFretFluvCat41DistMoy</v>
      </c>
      <c r="F840" t="s">
        <v>17</v>
      </c>
      <c r="G840" s="5" cm="1">
        <f t="array" ref="G840">IF((INDEX('Remplissage - Sit. Init.'!$C$473:$I$1088,MATCH((_xlfn.CONCAT("Catégorie "&amp;RIGHT(B840,2)))&amp;('Remplissage - Sit. Init.'!$D$483),('Remplissage - Sit. Init.'!$C$473:$C$1088)&amp;('Remplissage - Sit. Init.'!$D$473:$D$1088),0),7))&gt;0,1,0)</f>
        <v>0</v>
      </c>
      <c r="H840" s="8"/>
      <c r="I840" s="33"/>
      <c r="J840" t="s">
        <v>70</v>
      </c>
      <c r="L840" s="114" t="s">
        <v>1479</v>
      </c>
    </row>
    <row r="841" spans="1:12" x14ac:dyDescent="0.25">
      <c r="A841" t="s">
        <v>1465</v>
      </c>
      <c r="B841" t="s">
        <v>1680</v>
      </c>
      <c r="C841" t="s">
        <v>1474</v>
      </c>
      <c r="E841" t="str">
        <f t="shared" ref="E841" si="961">_xlfn.CONCAT("EvoFretFluvCat",RIGHT(B841,2),"EmportMoy")</f>
        <v>EvoFretFluvCat41EmportMoy</v>
      </c>
      <c r="F841" t="s">
        <v>17</v>
      </c>
      <c r="G841" s="5" cm="1">
        <f t="array" ref="G841">IF((INDEX('Remplissage - Sit. Init.'!$C$473:$I$1088,MATCH((_xlfn.CONCAT("Catégorie "&amp;RIGHT(B841,2)))&amp;('Remplissage - Sit. Init.'!$D$483),('Remplissage - Sit. Init.'!$C$473:$C$1088)&amp;('Remplissage - Sit. Init.'!$D$473:$D$1088),0),7))&gt;0,1,0)</f>
        <v>0</v>
      </c>
      <c r="H841" s="8"/>
      <c r="I841" s="33"/>
      <c r="J841" t="s">
        <v>70</v>
      </c>
      <c r="L841" s="114" t="s">
        <v>1480</v>
      </c>
    </row>
    <row r="842" spans="1:12" x14ac:dyDescent="0.25">
      <c r="A842" t="s">
        <v>1465</v>
      </c>
      <c r="B842" t="s">
        <v>1681</v>
      </c>
      <c r="C842" t="s">
        <v>1475</v>
      </c>
      <c r="E842" t="str">
        <f t="shared" ref="E842" si="962">_xlfn.CONCAT("EvoFretFluvCat",RIGHT(B842,2),"DistAn")</f>
        <v>EvoFretFluvCat41DistAn</v>
      </c>
      <c r="F842" t="s">
        <v>17</v>
      </c>
      <c r="G842" s="5" cm="1">
        <f t="array" ref="G842">IF((INDEX('Remplissage - Sit. Init.'!$C$473:$I$1088,MATCH((_xlfn.CONCAT("Catégorie "&amp;RIGHT(B842,2)))&amp;('Remplissage - Sit. Init.'!$D$483),('Remplissage - Sit. Init.'!$C$473:$C$1088)&amp;('Remplissage - Sit. Init.'!$D$473:$D$1088),0),7))&gt;0,1,0)</f>
        <v>0</v>
      </c>
      <c r="I842" s="33"/>
      <c r="J842" t="s">
        <v>70</v>
      </c>
      <c r="L842" s="114" t="s">
        <v>1479</v>
      </c>
    </row>
    <row r="843" spans="1:12" x14ac:dyDescent="0.25">
      <c r="A843" t="s">
        <v>1465</v>
      </c>
      <c r="B843" t="s">
        <v>1682</v>
      </c>
      <c r="C843" t="s">
        <v>1476</v>
      </c>
      <c r="E843" t="str">
        <f t="shared" ref="E843" si="963">_xlfn.CONCAT("EvoFretFluvCat",RIGHT(B843,2),"TauxChargeMoy")</f>
        <v>EvoFretFluvCat41TauxChargeMoy</v>
      </c>
      <c r="F843" t="s">
        <v>17</v>
      </c>
      <c r="G843" s="5" cm="1">
        <f t="array" ref="G843">IF((INDEX('Remplissage - Sit. Init.'!$C$473:$I$1088,MATCH((_xlfn.CONCAT("Catégorie "&amp;RIGHT(B843,2)))&amp;('Remplissage - Sit. Init.'!$D$483),('Remplissage - Sit. Init.'!$C$473:$C$1088)&amp;('Remplissage - Sit. Init.'!$D$473:$D$1088),0),7))&gt;0,1,0)</f>
        <v>0</v>
      </c>
      <c r="I843" s="33"/>
      <c r="J843" t="s">
        <v>70</v>
      </c>
      <c r="L843" s="114" t="s">
        <v>1481</v>
      </c>
    </row>
    <row r="844" spans="1:12" x14ac:dyDescent="0.25">
      <c r="A844" t="s">
        <v>1465</v>
      </c>
      <c r="B844" t="s">
        <v>1678</v>
      </c>
      <c r="C844" s="114" t="s">
        <v>1477</v>
      </c>
      <c r="E844" t="str">
        <f t="shared" ref="E844" si="964">_xlfn.CONCAT("EvoFretFluvCat",RIGHT(B844,2),"NbBarges")</f>
        <v>EvoFretFluvCat41NbBarges</v>
      </c>
      <c r="F844" t="s">
        <v>17</v>
      </c>
      <c r="G844" s="5" cm="1">
        <f t="array" ref="G844">IF((INDEX('Remplissage - Sit. Init.'!$C$473:$I$1088,MATCH((_xlfn.CONCAT("Catégorie "&amp;RIGHT(B844,2)))&amp;('Remplissage - Sit. Init.'!$D$483),('Remplissage - Sit. Init.'!$C$473:$C$1088)&amp;('Remplissage - Sit. Init.'!$D$473:$D$1088),0),7))&gt;0,1,0)</f>
        <v>0</v>
      </c>
      <c r="I844" s="33"/>
      <c r="J844" t="s">
        <v>70</v>
      </c>
      <c r="L844" s="114" t="s">
        <v>1482</v>
      </c>
    </row>
    <row r="845" spans="1:12" x14ac:dyDescent="0.25">
      <c r="A845" t="s">
        <v>1465</v>
      </c>
      <c r="B845" t="s">
        <v>1334</v>
      </c>
      <c r="C845" t="str">
        <f t="shared" ref="C845" ca="1" si="965">_xlfn.CONCAT("Pour l'évolution de l'activité associée à la catégorie de barges suivante, catégorie ",INDIRECT("'Parcs types'!C"&amp;D845),", préférez-vous renseigner : ")</f>
        <v xml:space="preserve">Pour l'évolution de l'activité associée à la catégorie de barges suivante, catégorie Automoteurs &gt;3000 tonnes H2 , ICE, préférez-vous renseigner : </v>
      </c>
      <c r="D845">
        <v>106</v>
      </c>
      <c r="E845" t="str">
        <f t="shared" ref="E845" si="966">_xlfn.CONCAT("EvoFretFluvCat",RIGHT(B845,2),"Request")</f>
        <v>EvoFretFluvCat42Request</v>
      </c>
      <c r="F845" s="32" t="s">
        <v>20</v>
      </c>
      <c r="G845" s="5" cm="1">
        <f t="array" ref="G845">IF((INDEX('Remplissage - Sit. Init.'!$C$473:$I$1088,MATCH((_xlfn.CONCAT("Catégorie "&amp;RIGHT(B845,2)))&amp;('Remplissage - Sit. Init.'!$D$483),('Remplissage - Sit. Init.'!$C$473:$C$1088)&amp;('Remplissage - Sit. Init.'!$D$473:$D$1088),0),7))&gt;0,1,0)</f>
        <v>0</v>
      </c>
      <c r="I845" s="33" t="s">
        <v>1466</v>
      </c>
      <c r="K845" s="8"/>
    </row>
    <row r="846" spans="1:12" x14ac:dyDescent="0.25">
      <c r="A846" t="s">
        <v>1465</v>
      </c>
      <c r="B846" t="s">
        <v>1683</v>
      </c>
      <c r="C846" t="s">
        <v>1472</v>
      </c>
      <c r="E846" t="str">
        <f t="shared" ref="E846" si="967">_xlfn.CONCAT("EvoFretFluvCat",RIGHT(B846,2),"NbTraj")</f>
        <v>EvoFretFluvCat42NbTraj</v>
      </c>
      <c r="F846" t="s">
        <v>17</v>
      </c>
      <c r="G846" s="5" cm="1">
        <f t="array" ref="G846">IF((INDEX('Remplissage - Sit. Init.'!$C$473:$I$1088,MATCH((_xlfn.CONCAT("Catégorie "&amp;RIGHT(B846,2)))&amp;('Remplissage - Sit. Init.'!$D$483),('Remplissage - Sit. Init.'!$C$473:$C$1088)&amp;('Remplissage - Sit. Init.'!$D$473:$D$1088),0),7))&gt;0,1,0)</f>
        <v>0</v>
      </c>
      <c r="H846" s="8"/>
      <c r="I846" s="33"/>
      <c r="J846" t="s">
        <v>70</v>
      </c>
      <c r="L846" s="114" t="s">
        <v>1478</v>
      </c>
    </row>
    <row r="847" spans="1:12" x14ac:dyDescent="0.25">
      <c r="A847" t="s">
        <v>1465</v>
      </c>
      <c r="B847" t="s">
        <v>1684</v>
      </c>
      <c r="C847" t="s">
        <v>1473</v>
      </c>
      <c r="E847" t="str">
        <f t="shared" ref="E847" si="968">_xlfn.CONCAT("EvoFretFluvCat",RIGHT(B847,2),"DistMoy")</f>
        <v>EvoFretFluvCat42DistMoy</v>
      </c>
      <c r="F847" t="s">
        <v>17</v>
      </c>
      <c r="G847" s="5" cm="1">
        <f t="array" ref="G847">IF((INDEX('Remplissage - Sit. Init.'!$C$473:$I$1088,MATCH((_xlfn.CONCAT("Catégorie "&amp;RIGHT(B847,2)))&amp;('Remplissage - Sit. Init.'!$D$483),('Remplissage - Sit. Init.'!$C$473:$C$1088)&amp;('Remplissage - Sit. Init.'!$D$473:$D$1088),0),7))&gt;0,1,0)</f>
        <v>0</v>
      </c>
      <c r="H847" s="8"/>
      <c r="I847" s="33"/>
      <c r="J847" t="s">
        <v>70</v>
      </c>
      <c r="L847" s="114" t="s">
        <v>1479</v>
      </c>
    </row>
    <row r="848" spans="1:12" x14ac:dyDescent="0.25">
      <c r="A848" t="s">
        <v>1465</v>
      </c>
      <c r="B848" t="s">
        <v>1685</v>
      </c>
      <c r="C848" t="s">
        <v>1474</v>
      </c>
      <c r="E848" t="str">
        <f t="shared" ref="E848" si="969">_xlfn.CONCAT("EvoFretFluvCat",RIGHT(B848,2),"EmportMoy")</f>
        <v>EvoFretFluvCat42EmportMoy</v>
      </c>
      <c r="F848" t="s">
        <v>17</v>
      </c>
      <c r="G848" s="5" cm="1">
        <f t="array" ref="G848">IF((INDEX('Remplissage - Sit. Init.'!$C$473:$I$1088,MATCH((_xlfn.CONCAT("Catégorie "&amp;RIGHT(B848,2)))&amp;('Remplissage - Sit. Init.'!$D$483),('Remplissage - Sit. Init.'!$C$473:$C$1088)&amp;('Remplissage - Sit. Init.'!$D$473:$D$1088),0),7))&gt;0,1,0)</f>
        <v>0</v>
      </c>
      <c r="H848" s="8"/>
      <c r="I848" s="33"/>
      <c r="J848" t="s">
        <v>70</v>
      </c>
      <c r="L848" s="114" t="s">
        <v>1480</v>
      </c>
    </row>
    <row r="849" spans="1:12" x14ac:dyDescent="0.25">
      <c r="A849" t="s">
        <v>1465</v>
      </c>
      <c r="B849" t="s">
        <v>1686</v>
      </c>
      <c r="C849" t="s">
        <v>1475</v>
      </c>
      <c r="E849" t="str">
        <f t="shared" ref="E849" si="970">_xlfn.CONCAT("EvoFretFluvCat",RIGHT(B849,2),"DistAn")</f>
        <v>EvoFretFluvCat42DistAn</v>
      </c>
      <c r="F849" t="s">
        <v>17</v>
      </c>
      <c r="G849" s="5" cm="1">
        <f t="array" ref="G849">IF((INDEX('Remplissage - Sit. Init.'!$C$473:$I$1088,MATCH((_xlfn.CONCAT("Catégorie "&amp;RIGHT(B849,2)))&amp;('Remplissage - Sit. Init.'!$D$483),('Remplissage - Sit. Init.'!$C$473:$C$1088)&amp;('Remplissage - Sit. Init.'!$D$473:$D$1088),0),7))&gt;0,1,0)</f>
        <v>0</v>
      </c>
      <c r="I849" s="33"/>
      <c r="J849" t="s">
        <v>70</v>
      </c>
      <c r="L849" s="114" t="s">
        <v>1479</v>
      </c>
    </row>
    <row r="850" spans="1:12" x14ac:dyDescent="0.25">
      <c r="A850" t="s">
        <v>1465</v>
      </c>
      <c r="B850" t="s">
        <v>1687</v>
      </c>
      <c r="C850" t="s">
        <v>1476</v>
      </c>
      <c r="E850" t="str">
        <f t="shared" ref="E850" si="971">_xlfn.CONCAT("EvoFretFluvCat",RIGHT(B850,2),"TauxChargeMoy")</f>
        <v>EvoFretFluvCat42TauxChargeMoy</v>
      </c>
      <c r="F850" t="s">
        <v>17</v>
      </c>
      <c r="G850" s="5" cm="1">
        <f t="array" ref="G850">IF((INDEX('Remplissage - Sit. Init.'!$C$473:$I$1088,MATCH((_xlfn.CONCAT("Catégorie "&amp;RIGHT(B850,2)))&amp;('Remplissage - Sit. Init.'!$D$483),('Remplissage - Sit. Init.'!$C$473:$C$1088)&amp;('Remplissage - Sit. Init.'!$D$473:$D$1088),0),7))&gt;0,1,0)</f>
        <v>0</v>
      </c>
      <c r="I850" s="33"/>
      <c r="J850" t="s">
        <v>70</v>
      </c>
      <c r="L850" s="114" t="s">
        <v>1481</v>
      </c>
    </row>
    <row r="851" spans="1:12" x14ac:dyDescent="0.25">
      <c r="A851" t="s">
        <v>1465</v>
      </c>
      <c r="B851" t="s">
        <v>1683</v>
      </c>
      <c r="C851" s="114" t="s">
        <v>1477</v>
      </c>
      <c r="E851" t="str">
        <f t="shared" ref="E851" si="972">_xlfn.CONCAT("EvoFretFluvCat",RIGHT(B851,2),"NbBarges")</f>
        <v>EvoFretFluvCat42NbBarges</v>
      </c>
      <c r="F851" t="s">
        <v>17</v>
      </c>
      <c r="G851" s="5" cm="1">
        <f t="array" ref="G851">IF((INDEX('Remplissage - Sit. Init.'!$C$473:$I$1088,MATCH((_xlfn.CONCAT("Catégorie "&amp;RIGHT(B851,2)))&amp;('Remplissage - Sit. Init.'!$D$483),('Remplissage - Sit. Init.'!$C$473:$C$1088)&amp;('Remplissage - Sit. Init.'!$D$473:$D$1088),0),7))&gt;0,1,0)</f>
        <v>0</v>
      </c>
      <c r="I851" s="33"/>
      <c r="J851" t="s">
        <v>70</v>
      </c>
      <c r="L851" s="114" t="s">
        <v>1482</v>
      </c>
    </row>
    <row r="852" spans="1:12" x14ac:dyDescent="0.25">
      <c r="A852" t="s">
        <v>1465</v>
      </c>
      <c r="B852" t="s">
        <v>1336</v>
      </c>
      <c r="C852" t="str">
        <f t="shared" ref="C852" ca="1" si="973">_xlfn.CONCAT("Pour l'évolution de l'activité associée à la catégorie de barges suivante, catégorie ",INDIRECT("'Parcs types'!C"&amp;D852),", préférez-vous renseigner : ")</f>
        <v xml:space="preserve">Pour l'évolution de l'activité associée à la catégorie de barges suivante, catégorie Pousseurs &lt;880 kW CCNR 2 ou inférieur, diesel, préférez-vous renseigner : </v>
      </c>
      <c r="D852">
        <v>107</v>
      </c>
      <c r="E852" t="str">
        <f t="shared" ref="E852" si="974">_xlfn.CONCAT("EvoFretFluvCat",RIGHT(B852,2),"Request")</f>
        <v>EvoFretFluvCat43Request</v>
      </c>
      <c r="F852" s="32" t="s">
        <v>20</v>
      </c>
      <c r="G852" s="5" cm="1">
        <f t="array" ref="G852">IF((INDEX('Remplissage - Sit. Init.'!$C$473:$I$1088,MATCH((_xlfn.CONCAT("Catégorie "&amp;RIGHT(B852,2)))&amp;('Remplissage - Sit. Init.'!$D$483),('Remplissage - Sit. Init.'!$C$473:$C$1088)&amp;('Remplissage - Sit. Init.'!$D$473:$D$1088),0),7))&gt;0,1,0)</f>
        <v>0</v>
      </c>
      <c r="I852" s="33" t="s">
        <v>1466</v>
      </c>
      <c r="K852" s="8"/>
    </row>
    <row r="853" spans="1:12" x14ac:dyDescent="0.25">
      <c r="A853" t="s">
        <v>1465</v>
      </c>
      <c r="B853" t="s">
        <v>1688</v>
      </c>
      <c r="C853" t="s">
        <v>1472</v>
      </c>
      <c r="E853" t="str">
        <f t="shared" ref="E853" si="975">_xlfn.CONCAT("EvoFretFluvCat",RIGHT(B853,2),"NbTraj")</f>
        <v>EvoFretFluvCat43NbTraj</v>
      </c>
      <c r="F853" t="s">
        <v>17</v>
      </c>
      <c r="G853" s="5" cm="1">
        <f t="array" ref="G853">IF((INDEX('Remplissage - Sit. Init.'!$C$473:$I$1088,MATCH((_xlfn.CONCAT("Catégorie "&amp;RIGHT(B853,2)))&amp;('Remplissage - Sit. Init.'!$D$483),('Remplissage - Sit. Init.'!$C$473:$C$1088)&amp;('Remplissage - Sit. Init.'!$D$473:$D$1088),0),7))&gt;0,1,0)</f>
        <v>0</v>
      </c>
      <c r="H853" s="8"/>
      <c r="I853" s="33"/>
      <c r="J853" t="s">
        <v>70</v>
      </c>
      <c r="L853" s="114" t="s">
        <v>1478</v>
      </c>
    </row>
    <row r="854" spans="1:12" x14ac:dyDescent="0.25">
      <c r="A854" t="s">
        <v>1465</v>
      </c>
      <c r="B854" t="s">
        <v>1689</v>
      </c>
      <c r="C854" t="s">
        <v>1473</v>
      </c>
      <c r="E854" t="str">
        <f t="shared" ref="E854" si="976">_xlfn.CONCAT("EvoFretFluvCat",RIGHT(B854,2),"DistMoy")</f>
        <v>EvoFretFluvCat43DistMoy</v>
      </c>
      <c r="F854" t="s">
        <v>17</v>
      </c>
      <c r="G854" s="5" cm="1">
        <f t="array" ref="G854">IF((INDEX('Remplissage - Sit. Init.'!$C$473:$I$1088,MATCH((_xlfn.CONCAT("Catégorie "&amp;RIGHT(B854,2)))&amp;('Remplissage - Sit. Init.'!$D$483),('Remplissage - Sit. Init.'!$C$473:$C$1088)&amp;('Remplissage - Sit. Init.'!$D$473:$D$1088),0),7))&gt;0,1,0)</f>
        <v>0</v>
      </c>
      <c r="H854" s="8"/>
      <c r="I854" s="33"/>
      <c r="J854" t="s">
        <v>70</v>
      </c>
      <c r="L854" s="114" t="s">
        <v>1479</v>
      </c>
    </row>
    <row r="855" spans="1:12" x14ac:dyDescent="0.25">
      <c r="A855" t="s">
        <v>1465</v>
      </c>
      <c r="B855" t="s">
        <v>1690</v>
      </c>
      <c r="C855" t="s">
        <v>1474</v>
      </c>
      <c r="E855" t="str">
        <f t="shared" ref="E855" si="977">_xlfn.CONCAT("EvoFretFluvCat",RIGHT(B855,2),"EmportMoy")</f>
        <v>EvoFretFluvCat43EmportMoy</v>
      </c>
      <c r="F855" t="s">
        <v>17</v>
      </c>
      <c r="G855" s="5" cm="1">
        <f t="array" ref="G855">IF((INDEX('Remplissage - Sit. Init.'!$C$473:$I$1088,MATCH((_xlfn.CONCAT("Catégorie "&amp;RIGHT(B855,2)))&amp;('Remplissage - Sit. Init.'!$D$483),('Remplissage - Sit. Init.'!$C$473:$C$1088)&amp;('Remplissage - Sit. Init.'!$D$473:$D$1088),0),7))&gt;0,1,0)</f>
        <v>0</v>
      </c>
      <c r="H855" s="8"/>
      <c r="I855" s="33"/>
      <c r="J855" t="s">
        <v>70</v>
      </c>
      <c r="L855" s="114" t="s">
        <v>1480</v>
      </c>
    </row>
    <row r="856" spans="1:12" x14ac:dyDescent="0.25">
      <c r="A856" t="s">
        <v>1465</v>
      </c>
      <c r="B856" t="s">
        <v>1691</v>
      </c>
      <c r="C856" t="s">
        <v>1475</v>
      </c>
      <c r="E856" t="str">
        <f t="shared" ref="E856" si="978">_xlfn.CONCAT("EvoFretFluvCat",RIGHT(B856,2),"DistAn")</f>
        <v>EvoFretFluvCat43DistAn</v>
      </c>
      <c r="F856" t="s">
        <v>17</v>
      </c>
      <c r="G856" s="5" cm="1">
        <f t="array" ref="G856">IF((INDEX('Remplissage - Sit. Init.'!$C$473:$I$1088,MATCH((_xlfn.CONCAT("Catégorie "&amp;RIGHT(B856,2)))&amp;('Remplissage - Sit. Init.'!$D$483),('Remplissage - Sit. Init.'!$C$473:$C$1088)&amp;('Remplissage - Sit. Init.'!$D$473:$D$1088),0),7))&gt;0,1,0)</f>
        <v>0</v>
      </c>
      <c r="I856" s="33"/>
      <c r="J856" t="s">
        <v>70</v>
      </c>
      <c r="L856" s="114" t="s">
        <v>1479</v>
      </c>
    </row>
    <row r="857" spans="1:12" x14ac:dyDescent="0.25">
      <c r="A857" t="s">
        <v>1465</v>
      </c>
      <c r="B857" t="s">
        <v>1692</v>
      </c>
      <c r="C857" t="s">
        <v>1476</v>
      </c>
      <c r="E857" t="str">
        <f t="shared" ref="E857" si="979">_xlfn.CONCAT("EvoFretFluvCat",RIGHT(B857,2),"TauxChargeMoy")</f>
        <v>EvoFretFluvCat43TauxChargeMoy</v>
      </c>
      <c r="F857" t="s">
        <v>17</v>
      </c>
      <c r="G857" s="5" cm="1">
        <f t="array" ref="G857">IF((INDEX('Remplissage - Sit. Init.'!$C$473:$I$1088,MATCH((_xlfn.CONCAT("Catégorie "&amp;RIGHT(B857,2)))&amp;('Remplissage - Sit. Init.'!$D$483),('Remplissage - Sit. Init.'!$C$473:$C$1088)&amp;('Remplissage - Sit. Init.'!$D$473:$D$1088),0),7))&gt;0,1,0)</f>
        <v>0</v>
      </c>
      <c r="I857" s="33"/>
      <c r="J857" t="s">
        <v>70</v>
      </c>
      <c r="L857" s="114" t="s">
        <v>1481</v>
      </c>
    </row>
    <row r="858" spans="1:12" x14ac:dyDescent="0.25">
      <c r="A858" t="s">
        <v>1465</v>
      </c>
      <c r="B858" t="s">
        <v>1688</v>
      </c>
      <c r="C858" s="114" t="s">
        <v>1477</v>
      </c>
      <c r="E858" t="str">
        <f t="shared" ref="E858" si="980">_xlfn.CONCAT("EvoFretFluvCat",RIGHT(B858,2),"NbBarges")</f>
        <v>EvoFretFluvCat43NbBarges</v>
      </c>
      <c r="F858" t="s">
        <v>17</v>
      </c>
      <c r="G858" s="5" cm="1">
        <f t="array" ref="G858">IF((INDEX('Remplissage - Sit. Init.'!$C$473:$I$1088,MATCH((_xlfn.CONCAT("Catégorie "&amp;RIGHT(B858,2)))&amp;('Remplissage - Sit. Init.'!$D$483),('Remplissage - Sit. Init.'!$C$473:$C$1088)&amp;('Remplissage - Sit. Init.'!$D$473:$D$1088),0),7))&gt;0,1,0)</f>
        <v>0</v>
      </c>
      <c r="I858" s="33"/>
      <c r="J858" t="s">
        <v>70</v>
      </c>
      <c r="L858" s="114" t="s">
        <v>1482</v>
      </c>
    </row>
    <row r="859" spans="1:12" x14ac:dyDescent="0.25">
      <c r="A859" t="s">
        <v>1465</v>
      </c>
      <c r="B859" t="s">
        <v>1338</v>
      </c>
      <c r="C859" t="str">
        <f t="shared" ref="C859" ca="1" si="981">_xlfn.CONCAT("Pour l'évolution de l'activité associée à la catégorie de barges suivante, catégorie ",INDIRECT("'Parcs types'!C"&amp;D859),", préférez-vous renseigner : ")</f>
        <v xml:space="preserve">Pour l'évolution de l'activité associée à la catégorie de barges suivante, catégorie Pousseurs &lt;880 kW CCNR 2 + SCR, diesel, préférez-vous renseigner : </v>
      </c>
      <c r="D859">
        <v>108</v>
      </c>
      <c r="E859" t="str">
        <f t="shared" ref="E859" si="982">_xlfn.CONCAT("EvoFretFluvCat",RIGHT(B859,2),"Request")</f>
        <v>EvoFretFluvCat44Request</v>
      </c>
      <c r="F859" s="32" t="s">
        <v>20</v>
      </c>
      <c r="G859" s="5" cm="1">
        <f t="array" ref="G859">IF((INDEX('Remplissage - Sit. Init.'!$C$473:$I$1088,MATCH((_xlfn.CONCAT("Catégorie "&amp;RIGHT(B859,2)))&amp;('Remplissage - Sit. Init.'!$D$483),('Remplissage - Sit. Init.'!$C$473:$C$1088)&amp;('Remplissage - Sit. Init.'!$D$473:$D$1088),0),7))&gt;0,1,0)</f>
        <v>0</v>
      </c>
      <c r="I859" s="33" t="s">
        <v>1466</v>
      </c>
      <c r="K859" s="8"/>
    </row>
    <row r="860" spans="1:12" x14ac:dyDescent="0.25">
      <c r="A860" t="s">
        <v>1465</v>
      </c>
      <c r="B860" t="s">
        <v>1693</v>
      </c>
      <c r="C860" t="s">
        <v>1472</v>
      </c>
      <c r="E860" t="str">
        <f t="shared" ref="E860" si="983">_xlfn.CONCAT("EvoFretFluvCat",RIGHT(B860,2),"NbTraj")</f>
        <v>EvoFretFluvCat44NbTraj</v>
      </c>
      <c r="F860" t="s">
        <v>17</v>
      </c>
      <c r="G860" s="5" cm="1">
        <f t="array" ref="G860">IF((INDEX('Remplissage - Sit. Init.'!$C$473:$I$1088,MATCH((_xlfn.CONCAT("Catégorie "&amp;RIGHT(B860,2)))&amp;('Remplissage - Sit. Init.'!$D$483),('Remplissage - Sit. Init.'!$C$473:$C$1088)&amp;('Remplissage - Sit. Init.'!$D$473:$D$1088),0),7))&gt;0,1,0)</f>
        <v>0</v>
      </c>
      <c r="H860" s="8"/>
      <c r="I860" s="33"/>
      <c r="J860" t="s">
        <v>70</v>
      </c>
      <c r="L860" s="114" t="s">
        <v>1478</v>
      </c>
    </row>
    <row r="861" spans="1:12" x14ac:dyDescent="0.25">
      <c r="A861" t="s">
        <v>1465</v>
      </c>
      <c r="B861" t="s">
        <v>1694</v>
      </c>
      <c r="C861" t="s">
        <v>1473</v>
      </c>
      <c r="E861" t="str">
        <f t="shared" ref="E861" si="984">_xlfn.CONCAT("EvoFretFluvCat",RIGHT(B861,2),"DistMoy")</f>
        <v>EvoFretFluvCat44DistMoy</v>
      </c>
      <c r="F861" t="s">
        <v>17</v>
      </c>
      <c r="G861" s="5" cm="1">
        <f t="array" ref="G861">IF((INDEX('Remplissage - Sit. Init.'!$C$473:$I$1088,MATCH((_xlfn.CONCAT("Catégorie "&amp;RIGHT(B861,2)))&amp;('Remplissage - Sit. Init.'!$D$483),('Remplissage - Sit. Init.'!$C$473:$C$1088)&amp;('Remplissage - Sit. Init.'!$D$473:$D$1088),0),7))&gt;0,1,0)</f>
        <v>0</v>
      </c>
      <c r="H861" s="8"/>
      <c r="I861" s="33"/>
      <c r="J861" t="s">
        <v>70</v>
      </c>
      <c r="L861" s="114" t="s">
        <v>1479</v>
      </c>
    </row>
    <row r="862" spans="1:12" x14ac:dyDescent="0.25">
      <c r="A862" t="s">
        <v>1465</v>
      </c>
      <c r="B862" t="s">
        <v>1695</v>
      </c>
      <c r="C862" t="s">
        <v>1474</v>
      </c>
      <c r="E862" t="str">
        <f t="shared" ref="E862" si="985">_xlfn.CONCAT("EvoFretFluvCat",RIGHT(B862,2),"EmportMoy")</f>
        <v>EvoFretFluvCat44EmportMoy</v>
      </c>
      <c r="F862" t="s">
        <v>17</v>
      </c>
      <c r="G862" s="5" cm="1">
        <f t="array" ref="G862">IF((INDEX('Remplissage - Sit. Init.'!$C$473:$I$1088,MATCH((_xlfn.CONCAT("Catégorie "&amp;RIGHT(B862,2)))&amp;('Remplissage - Sit. Init.'!$D$483),('Remplissage - Sit. Init.'!$C$473:$C$1088)&amp;('Remplissage - Sit. Init.'!$D$473:$D$1088),0),7))&gt;0,1,0)</f>
        <v>0</v>
      </c>
      <c r="H862" s="8"/>
      <c r="I862" s="33"/>
      <c r="J862" t="s">
        <v>70</v>
      </c>
      <c r="L862" s="114" t="s">
        <v>1480</v>
      </c>
    </row>
    <row r="863" spans="1:12" x14ac:dyDescent="0.25">
      <c r="A863" t="s">
        <v>1465</v>
      </c>
      <c r="B863" t="s">
        <v>1696</v>
      </c>
      <c r="C863" t="s">
        <v>1475</v>
      </c>
      <c r="E863" t="str">
        <f t="shared" ref="E863" si="986">_xlfn.CONCAT("EvoFretFluvCat",RIGHT(B863,2),"DistAn")</f>
        <v>EvoFretFluvCat44DistAn</v>
      </c>
      <c r="F863" t="s">
        <v>17</v>
      </c>
      <c r="G863" s="5" cm="1">
        <f t="array" ref="G863">IF((INDEX('Remplissage - Sit. Init.'!$C$473:$I$1088,MATCH((_xlfn.CONCAT("Catégorie "&amp;RIGHT(B863,2)))&amp;('Remplissage - Sit. Init.'!$D$483),('Remplissage - Sit. Init.'!$C$473:$C$1088)&amp;('Remplissage - Sit. Init.'!$D$473:$D$1088),0),7))&gt;0,1,0)</f>
        <v>0</v>
      </c>
      <c r="I863" s="33"/>
      <c r="J863" t="s">
        <v>70</v>
      </c>
      <c r="L863" s="114" t="s">
        <v>1479</v>
      </c>
    </row>
    <row r="864" spans="1:12" x14ac:dyDescent="0.25">
      <c r="A864" t="s">
        <v>1465</v>
      </c>
      <c r="B864" t="s">
        <v>1697</v>
      </c>
      <c r="C864" t="s">
        <v>1476</v>
      </c>
      <c r="E864" t="str">
        <f t="shared" ref="E864" si="987">_xlfn.CONCAT("EvoFretFluvCat",RIGHT(B864,2),"TauxChargeMoy")</f>
        <v>EvoFretFluvCat44TauxChargeMoy</v>
      </c>
      <c r="F864" t="s">
        <v>17</v>
      </c>
      <c r="G864" s="5" cm="1">
        <f t="array" ref="G864">IF((INDEX('Remplissage - Sit. Init.'!$C$473:$I$1088,MATCH((_xlfn.CONCAT("Catégorie "&amp;RIGHT(B864,2)))&amp;('Remplissage - Sit. Init.'!$D$483),('Remplissage - Sit. Init.'!$C$473:$C$1088)&amp;('Remplissage - Sit. Init.'!$D$473:$D$1088),0),7))&gt;0,1,0)</f>
        <v>0</v>
      </c>
      <c r="I864" s="33"/>
      <c r="J864" t="s">
        <v>70</v>
      </c>
      <c r="L864" s="114" t="s">
        <v>1481</v>
      </c>
    </row>
    <row r="865" spans="1:12" x14ac:dyDescent="0.25">
      <c r="A865" t="s">
        <v>1465</v>
      </c>
      <c r="B865" t="s">
        <v>1693</v>
      </c>
      <c r="C865" s="114" t="s">
        <v>1477</v>
      </c>
      <c r="E865" t="str">
        <f t="shared" ref="E865" si="988">_xlfn.CONCAT("EvoFretFluvCat",RIGHT(B865,2),"NbBarges")</f>
        <v>EvoFretFluvCat44NbBarges</v>
      </c>
      <c r="F865" t="s">
        <v>17</v>
      </c>
      <c r="G865" s="5" cm="1">
        <f t="array" ref="G865">IF((INDEX('Remplissage - Sit. Init.'!$C$473:$I$1088,MATCH((_xlfn.CONCAT("Catégorie "&amp;RIGHT(B865,2)))&amp;('Remplissage - Sit. Init.'!$D$483),('Remplissage - Sit. Init.'!$C$473:$C$1088)&amp;('Remplissage - Sit. Init.'!$D$473:$D$1088),0),7))&gt;0,1,0)</f>
        <v>0</v>
      </c>
      <c r="I865" s="33"/>
      <c r="J865" t="s">
        <v>70</v>
      </c>
      <c r="L865" s="114" t="s">
        <v>1482</v>
      </c>
    </row>
    <row r="866" spans="1:12" x14ac:dyDescent="0.25">
      <c r="A866" t="s">
        <v>1465</v>
      </c>
      <c r="B866" t="s">
        <v>1340</v>
      </c>
      <c r="C866" t="str">
        <f t="shared" ref="C866" ca="1" si="989">_xlfn.CONCAT("Pour l'évolution de l'activité associée à la catégorie de barges suivante, catégorie ",INDIRECT("'Parcs types'!C"&amp;D866),", préférez-vous renseigner : ")</f>
        <v xml:space="preserve">Pour l'évolution de l'activité associée à la catégorie de barges suivante, catégorie Pousseurs &lt;880 kW Phase V, diesel, préférez-vous renseigner : </v>
      </c>
      <c r="D866">
        <v>109</v>
      </c>
      <c r="E866" t="str">
        <f t="shared" ref="E866" si="990">_xlfn.CONCAT("EvoFretFluvCat",RIGHT(B866,2),"Request")</f>
        <v>EvoFretFluvCat45Request</v>
      </c>
      <c r="F866" s="32" t="s">
        <v>20</v>
      </c>
      <c r="G866" s="5" cm="1">
        <f t="array" ref="G866">IF((INDEX('Remplissage - Sit. Init.'!$C$473:$I$1088,MATCH((_xlfn.CONCAT("Catégorie "&amp;RIGHT(B866,2)))&amp;('Remplissage - Sit. Init.'!$D$483),('Remplissage - Sit. Init.'!$C$473:$C$1088)&amp;('Remplissage - Sit. Init.'!$D$473:$D$1088),0),7))&gt;0,1,0)</f>
        <v>0</v>
      </c>
      <c r="I866" s="33" t="s">
        <v>1466</v>
      </c>
      <c r="K866" s="8"/>
    </row>
    <row r="867" spans="1:12" x14ac:dyDescent="0.25">
      <c r="A867" t="s">
        <v>1465</v>
      </c>
      <c r="B867" t="s">
        <v>1698</v>
      </c>
      <c r="C867" t="s">
        <v>1472</v>
      </c>
      <c r="E867" t="str">
        <f t="shared" ref="E867" si="991">_xlfn.CONCAT("EvoFretFluvCat",RIGHT(B867,2),"NbTraj")</f>
        <v>EvoFretFluvCat45NbTraj</v>
      </c>
      <c r="F867" t="s">
        <v>17</v>
      </c>
      <c r="G867" s="5" cm="1">
        <f t="array" ref="G867">IF((INDEX('Remplissage - Sit. Init.'!$C$473:$I$1088,MATCH((_xlfn.CONCAT("Catégorie "&amp;RIGHT(B867,2)))&amp;('Remplissage - Sit. Init.'!$D$483),('Remplissage - Sit. Init.'!$C$473:$C$1088)&amp;('Remplissage - Sit. Init.'!$D$473:$D$1088),0),7))&gt;0,1,0)</f>
        <v>0</v>
      </c>
      <c r="H867" s="8"/>
      <c r="I867" s="33"/>
      <c r="J867" t="s">
        <v>70</v>
      </c>
      <c r="L867" s="114" t="s">
        <v>1478</v>
      </c>
    </row>
    <row r="868" spans="1:12" x14ac:dyDescent="0.25">
      <c r="A868" t="s">
        <v>1465</v>
      </c>
      <c r="B868" t="s">
        <v>1699</v>
      </c>
      <c r="C868" t="s">
        <v>1473</v>
      </c>
      <c r="E868" t="str">
        <f t="shared" ref="E868" si="992">_xlfn.CONCAT("EvoFretFluvCat",RIGHT(B868,2),"DistMoy")</f>
        <v>EvoFretFluvCat45DistMoy</v>
      </c>
      <c r="F868" t="s">
        <v>17</v>
      </c>
      <c r="G868" s="5" cm="1">
        <f t="array" ref="G868">IF((INDEX('Remplissage - Sit. Init.'!$C$473:$I$1088,MATCH((_xlfn.CONCAT("Catégorie "&amp;RIGHT(B868,2)))&amp;('Remplissage - Sit. Init.'!$D$483),('Remplissage - Sit. Init.'!$C$473:$C$1088)&amp;('Remplissage - Sit. Init.'!$D$473:$D$1088),0),7))&gt;0,1,0)</f>
        <v>0</v>
      </c>
      <c r="H868" s="8"/>
      <c r="I868" s="33"/>
      <c r="J868" t="s">
        <v>70</v>
      </c>
      <c r="L868" s="114" t="s">
        <v>1479</v>
      </c>
    </row>
    <row r="869" spans="1:12" x14ac:dyDescent="0.25">
      <c r="A869" t="s">
        <v>1465</v>
      </c>
      <c r="B869" t="s">
        <v>1700</v>
      </c>
      <c r="C869" t="s">
        <v>1474</v>
      </c>
      <c r="E869" t="str">
        <f t="shared" ref="E869" si="993">_xlfn.CONCAT("EvoFretFluvCat",RIGHT(B869,2),"EmportMoy")</f>
        <v>EvoFretFluvCat45EmportMoy</v>
      </c>
      <c r="F869" t="s">
        <v>17</v>
      </c>
      <c r="G869" s="5" cm="1">
        <f t="array" ref="G869">IF((INDEX('Remplissage - Sit. Init.'!$C$473:$I$1088,MATCH((_xlfn.CONCAT("Catégorie "&amp;RIGHT(B869,2)))&amp;('Remplissage - Sit. Init.'!$D$483),('Remplissage - Sit. Init.'!$C$473:$C$1088)&amp;('Remplissage - Sit. Init.'!$D$473:$D$1088),0),7))&gt;0,1,0)</f>
        <v>0</v>
      </c>
      <c r="H869" s="8"/>
      <c r="I869" s="33"/>
      <c r="J869" t="s">
        <v>70</v>
      </c>
      <c r="L869" s="114" t="s">
        <v>1480</v>
      </c>
    </row>
    <row r="870" spans="1:12" x14ac:dyDescent="0.25">
      <c r="A870" t="s">
        <v>1465</v>
      </c>
      <c r="B870" t="s">
        <v>1701</v>
      </c>
      <c r="C870" t="s">
        <v>1475</v>
      </c>
      <c r="E870" t="str">
        <f t="shared" ref="E870" si="994">_xlfn.CONCAT("EvoFretFluvCat",RIGHT(B870,2),"DistAn")</f>
        <v>EvoFretFluvCat45DistAn</v>
      </c>
      <c r="F870" t="s">
        <v>17</v>
      </c>
      <c r="G870" s="5" cm="1">
        <f t="array" ref="G870">IF((INDEX('Remplissage - Sit. Init.'!$C$473:$I$1088,MATCH((_xlfn.CONCAT("Catégorie "&amp;RIGHT(B870,2)))&amp;('Remplissage - Sit. Init.'!$D$483),('Remplissage - Sit. Init.'!$C$473:$C$1088)&amp;('Remplissage - Sit. Init.'!$D$473:$D$1088),0),7))&gt;0,1,0)</f>
        <v>0</v>
      </c>
      <c r="I870" s="33"/>
      <c r="J870" t="s">
        <v>70</v>
      </c>
      <c r="L870" s="114" t="s">
        <v>1479</v>
      </c>
    </row>
    <row r="871" spans="1:12" x14ac:dyDescent="0.25">
      <c r="A871" t="s">
        <v>1465</v>
      </c>
      <c r="B871" t="s">
        <v>1702</v>
      </c>
      <c r="C871" t="s">
        <v>1476</v>
      </c>
      <c r="E871" t="str">
        <f t="shared" ref="E871" si="995">_xlfn.CONCAT("EvoFretFluvCat",RIGHT(B871,2),"TauxChargeMoy")</f>
        <v>EvoFretFluvCat45TauxChargeMoy</v>
      </c>
      <c r="F871" t="s">
        <v>17</v>
      </c>
      <c r="G871" s="5" cm="1">
        <f t="array" ref="G871">IF((INDEX('Remplissage - Sit. Init.'!$C$473:$I$1088,MATCH((_xlfn.CONCAT("Catégorie "&amp;RIGHT(B871,2)))&amp;('Remplissage - Sit. Init.'!$D$483),('Remplissage - Sit. Init.'!$C$473:$C$1088)&amp;('Remplissage - Sit. Init.'!$D$473:$D$1088),0),7))&gt;0,1,0)</f>
        <v>0</v>
      </c>
      <c r="I871" s="33"/>
      <c r="J871" t="s">
        <v>70</v>
      </c>
      <c r="L871" s="114" t="s">
        <v>1481</v>
      </c>
    </row>
    <row r="872" spans="1:12" x14ac:dyDescent="0.25">
      <c r="A872" t="s">
        <v>1465</v>
      </c>
      <c r="B872" t="s">
        <v>1698</v>
      </c>
      <c r="C872" s="114" t="s">
        <v>1477</v>
      </c>
      <c r="E872" t="str">
        <f t="shared" ref="E872" si="996">_xlfn.CONCAT("EvoFretFluvCat",RIGHT(B872,2),"NbBarges")</f>
        <v>EvoFretFluvCat45NbBarges</v>
      </c>
      <c r="F872" t="s">
        <v>17</v>
      </c>
      <c r="G872" s="5" cm="1">
        <f t="array" ref="G872">IF((INDEX('Remplissage - Sit. Init.'!$C$473:$I$1088,MATCH((_xlfn.CONCAT("Catégorie "&amp;RIGHT(B872,2)))&amp;('Remplissage - Sit. Init.'!$D$483),('Remplissage - Sit. Init.'!$C$473:$C$1088)&amp;('Remplissage - Sit. Init.'!$D$473:$D$1088),0),7))&gt;0,1,0)</f>
        <v>0</v>
      </c>
      <c r="I872" s="33"/>
      <c r="J872" t="s">
        <v>70</v>
      </c>
      <c r="L872" s="114" t="s">
        <v>1482</v>
      </c>
    </row>
    <row r="873" spans="1:12" x14ac:dyDescent="0.25">
      <c r="A873" t="s">
        <v>1465</v>
      </c>
      <c r="B873" t="s">
        <v>1703</v>
      </c>
      <c r="C873" t="str">
        <f t="shared" ref="C873" ca="1" si="997">_xlfn.CONCAT("Pour l'évolution de l'activité associée à la catégorie de barges suivante, catégorie ",INDIRECT("'Parcs types'!C"&amp;D873),", préférez-vous renseigner : ")</f>
        <v xml:space="preserve">Pour l'évolution de l'activité associée à la catégorie de barges suivante, catégorie Pousseurs &lt;880 kW Phase V, HVO, préférez-vous renseigner : </v>
      </c>
      <c r="D873">
        <v>110</v>
      </c>
      <c r="E873" t="str">
        <f t="shared" ref="E873" si="998">_xlfn.CONCAT("EvoFretFluvCat",RIGHT(B873,2),"Request")</f>
        <v>EvoFretFluvCat46Request</v>
      </c>
      <c r="F873" s="32" t="s">
        <v>20</v>
      </c>
      <c r="G873" s="5" cm="1">
        <f t="array" ref="G873">IF((INDEX('Remplissage - Sit. Init.'!$C$473:$I$1088,MATCH((_xlfn.CONCAT("Catégorie "&amp;RIGHT(B873,2)))&amp;('Remplissage - Sit. Init.'!$D$483),('Remplissage - Sit. Init.'!$C$473:$C$1088)&amp;('Remplissage - Sit. Init.'!$D$473:$D$1088),0),7))&gt;0,1,0)</f>
        <v>0</v>
      </c>
      <c r="I873" s="33" t="s">
        <v>1466</v>
      </c>
      <c r="K873" s="8"/>
    </row>
    <row r="874" spans="1:12" x14ac:dyDescent="0.25">
      <c r="A874" t="s">
        <v>1465</v>
      </c>
      <c r="B874" t="s">
        <v>1704</v>
      </c>
      <c r="C874" t="s">
        <v>1472</v>
      </c>
      <c r="E874" t="str">
        <f t="shared" ref="E874" si="999">_xlfn.CONCAT("EvoFretFluvCat",RIGHT(B874,2),"NbTraj")</f>
        <v>EvoFretFluvCat46NbTraj</v>
      </c>
      <c r="F874" t="s">
        <v>17</v>
      </c>
      <c r="G874" s="5" cm="1">
        <f t="array" ref="G874">IF((INDEX('Remplissage - Sit. Init.'!$C$473:$I$1088,MATCH((_xlfn.CONCAT("Catégorie "&amp;RIGHT(B874,2)))&amp;('Remplissage - Sit. Init.'!$D$483),('Remplissage - Sit. Init.'!$C$473:$C$1088)&amp;('Remplissage - Sit. Init.'!$D$473:$D$1088),0),7))&gt;0,1,0)</f>
        <v>0</v>
      </c>
      <c r="H874" s="8"/>
      <c r="I874" s="33"/>
      <c r="J874" t="s">
        <v>70</v>
      </c>
      <c r="L874" s="114" t="s">
        <v>1478</v>
      </c>
    </row>
    <row r="875" spans="1:12" x14ac:dyDescent="0.25">
      <c r="A875" t="s">
        <v>1465</v>
      </c>
      <c r="B875" t="s">
        <v>1705</v>
      </c>
      <c r="C875" t="s">
        <v>1473</v>
      </c>
      <c r="E875" t="str">
        <f t="shared" ref="E875" si="1000">_xlfn.CONCAT("EvoFretFluvCat",RIGHT(B875,2),"DistMoy")</f>
        <v>EvoFretFluvCat46DistMoy</v>
      </c>
      <c r="F875" t="s">
        <v>17</v>
      </c>
      <c r="G875" s="5" cm="1">
        <f t="array" ref="G875">IF((INDEX('Remplissage - Sit. Init.'!$C$473:$I$1088,MATCH((_xlfn.CONCAT("Catégorie "&amp;RIGHT(B875,2)))&amp;('Remplissage - Sit. Init.'!$D$483),('Remplissage - Sit. Init.'!$C$473:$C$1088)&amp;('Remplissage - Sit. Init.'!$D$473:$D$1088),0),7))&gt;0,1,0)</f>
        <v>0</v>
      </c>
      <c r="H875" s="8"/>
      <c r="I875" s="33"/>
      <c r="J875" t="s">
        <v>70</v>
      </c>
      <c r="L875" s="114" t="s">
        <v>1479</v>
      </c>
    </row>
    <row r="876" spans="1:12" x14ac:dyDescent="0.25">
      <c r="A876" t="s">
        <v>1465</v>
      </c>
      <c r="B876" t="s">
        <v>1706</v>
      </c>
      <c r="C876" t="s">
        <v>1474</v>
      </c>
      <c r="E876" t="str">
        <f t="shared" ref="E876" si="1001">_xlfn.CONCAT("EvoFretFluvCat",RIGHT(B876,2),"EmportMoy")</f>
        <v>EvoFretFluvCat46EmportMoy</v>
      </c>
      <c r="F876" t="s">
        <v>17</v>
      </c>
      <c r="G876" s="5" cm="1">
        <f t="array" ref="G876">IF((INDEX('Remplissage - Sit. Init.'!$C$473:$I$1088,MATCH((_xlfn.CONCAT("Catégorie "&amp;RIGHT(B876,2)))&amp;('Remplissage - Sit. Init.'!$D$483),('Remplissage - Sit. Init.'!$C$473:$C$1088)&amp;('Remplissage - Sit. Init.'!$D$473:$D$1088),0),7))&gt;0,1,0)</f>
        <v>0</v>
      </c>
      <c r="H876" s="8"/>
      <c r="I876" s="33"/>
      <c r="J876" t="s">
        <v>70</v>
      </c>
      <c r="L876" s="114" t="s">
        <v>1480</v>
      </c>
    </row>
    <row r="877" spans="1:12" x14ac:dyDescent="0.25">
      <c r="A877" t="s">
        <v>1465</v>
      </c>
      <c r="B877" t="s">
        <v>1707</v>
      </c>
      <c r="C877" t="s">
        <v>1475</v>
      </c>
      <c r="E877" t="str">
        <f t="shared" ref="E877" si="1002">_xlfn.CONCAT("EvoFretFluvCat",RIGHT(B877,2),"DistAn")</f>
        <v>EvoFretFluvCat46DistAn</v>
      </c>
      <c r="F877" t="s">
        <v>17</v>
      </c>
      <c r="G877" s="5" cm="1">
        <f t="array" ref="G877">IF((INDEX('Remplissage - Sit. Init.'!$C$473:$I$1088,MATCH((_xlfn.CONCAT("Catégorie "&amp;RIGHT(B877,2)))&amp;('Remplissage - Sit. Init.'!$D$483),('Remplissage - Sit. Init.'!$C$473:$C$1088)&amp;('Remplissage - Sit. Init.'!$D$473:$D$1088),0),7))&gt;0,1,0)</f>
        <v>0</v>
      </c>
      <c r="I877" s="33"/>
      <c r="J877" t="s">
        <v>70</v>
      </c>
      <c r="L877" s="114" t="s">
        <v>1479</v>
      </c>
    </row>
    <row r="878" spans="1:12" x14ac:dyDescent="0.25">
      <c r="A878" t="s">
        <v>1465</v>
      </c>
      <c r="B878" t="s">
        <v>1708</v>
      </c>
      <c r="C878" t="s">
        <v>1476</v>
      </c>
      <c r="E878" t="str">
        <f t="shared" ref="E878" si="1003">_xlfn.CONCAT("EvoFretFluvCat",RIGHT(B878,2),"TauxChargeMoy")</f>
        <v>EvoFretFluvCat46TauxChargeMoy</v>
      </c>
      <c r="F878" t="s">
        <v>17</v>
      </c>
      <c r="G878" s="5" cm="1">
        <f t="array" ref="G878">IF((INDEX('Remplissage - Sit. Init.'!$C$473:$I$1088,MATCH((_xlfn.CONCAT("Catégorie "&amp;RIGHT(B878,2)))&amp;('Remplissage - Sit. Init.'!$D$483),('Remplissage - Sit. Init.'!$C$473:$C$1088)&amp;('Remplissage - Sit. Init.'!$D$473:$D$1088),0),7))&gt;0,1,0)</f>
        <v>0</v>
      </c>
      <c r="I878" s="33"/>
      <c r="J878" t="s">
        <v>70</v>
      </c>
      <c r="L878" s="114" t="s">
        <v>1481</v>
      </c>
    </row>
    <row r="879" spans="1:12" x14ac:dyDescent="0.25">
      <c r="A879" t="s">
        <v>1465</v>
      </c>
      <c r="B879" t="s">
        <v>1704</v>
      </c>
      <c r="C879" s="114" t="s">
        <v>1477</v>
      </c>
      <c r="E879" t="str">
        <f t="shared" ref="E879" si="1004">_xlfn.CONCAT("EvoFretFluvCat",RIGHT(B879,2),"NbBarges")</f>
        <v>EvoFretFluvCat46NbBarges</v>
      </c>
      <c r="F879" t="s">
        <v>17</v>
      </c>
      <c r="G879" s="5" cm="1">
        <f t="array" ref="G879">IF((INDEX('Remplissage - Sit. Init.'!$C$473:$I$1088,MATCH((_xlfn.CONCAT("Catégorie "&amp;RIGHT(B879,2)))&amp;('Remplissage - Sit. Init.'!$D$483),('Remplissage - Sit. Init.'!$C$473:$C$1088)&amp;('Remplissage - Sit. Init.'!$D$473:$D$1088),0),7))&gt;0,1,0)</f>
        <v>0</v>
      </c>
      <c r="I879" s="33"/>
      <c r="J879" t="s">
        <v>70</v>
      </c>
      <c r="L879" s="114" t="s">
        <v>1482</v>
      </c>
    </row>
    <row r="880" spans="1:12" x14ac:dyDescent="0.25">
      <c r="A880" t="s">
        <v>1465</v>
      </c>
      <c r="B880" t="s">
        <v>1709</v>
      </c>
      <c r="C880" t="str">
        <f t="shared" ref="C880" ca="1" si="1005">_xlfn.CONCAT("Pour l'évolution de l'activité associée à la catégorie de barges suivante, catégorie ",INDIRECT("'Parcs types'!C"&amp;D880),", préférez-vous renseigner : ")</f>
        <v xml:space="preserve">Pour l'évolution de l'activité associée à la catégorie de barges suivante, catégorie Pousseurs &lt;880 kW Batterie, préférez-vous renseigner : </v>
      </c>
      <c r="D880">
        <v>111</v>
      </c>
      <c r="E880" t="str">
        <f t="shared" ref="E880" si="1006">_xlfn.CONCAT("EvoFretFluvCat",RIGHT(B880,2),"Request")</f>
        <v>EvoFretFluvCat47Request</v>
      </c>
      <c r="F880" s="32" t="s">
        <v>20</v>
      </c>
      <c r="G880" s="5" cm="1">
        <f t="array" ref="G880">IF((INDEX('Remplissage - Sit. Init.'!$C$473:$I$1088,MATCH((_xlfn.CONCAT("Catégorie "&amp;RIGHT(B880,2)))&amp;('Remplissage - Sit. Init.'!$D$483),('Remplissage - Sit. Init.'!$C$473:$C$1088)&amp;('Remplissage - Sit. Init.'!$D$473:$D$1088),0),7))&gt;0,1,0)</f>
        <v>0</v>
      </c>
      <c r="I880" s="33" t="s">
        <v>1466</v>
      </c>
      <c r="K880" s="8"/>
    </row>
    <row r="881" spans="1:12" x14ac:dyDescent="0.25">
      <c r="A881" t="s">
        <v>1465</v>
      </c>
      <c r="B881" t="s">
        <v>1710</v>
      </c>
      <c r="C881" t="s">
        <v>1472</v>
      </c>
      <c r="E881" t="str">
        <f t="shared" ref="E881" si="1007">_xlfn.CONCAT("EvoFretFluvCat",RIGHT(B881,2),"NbTraj")</f>
        <v>EvoFretFluvCat47NbTraj</v>
      </c>
      <c r="F881" t="s">
        <v>17</v>
      </c>
      <c r="G881" s="5" cm="1">
        <f t="array" ref="G881">IF((INDEX('Remplissage - Sit. Init.'!$C$473:$I$1088,MATCH((_xlfn.CONCAT("Catégorie "&amp;RIGHT(B881,2)))&amp;('Remplissage - Sit. Init.'!$D$483),('Remplissage - Sit. Init.'!$C$473:$C$1088)&amp;('Remplissage - Sit. Init.'!$D$473:$D$1088),0),7))&gt;0,1,0)</f>
        <v>0</v>
      </c>
      <c r="H881" s="8"/>
      <c r="I881" s="33"/>
      <c r="J881" t="s">
        <v>70</v>
      </c>
      <c r="L881" s="114" t="s">
        <v>1478</v>
      </c>
    </row>
    <row r="882" spans="1:12" x14ac:dyDescent="0.25">
      <c r="A882" t="s">
        <v>1465</v>
      </c>
      <c r="B882" t="s">
        <v>1711</v>
      </c>
      <c r="C882" t="s">
        <v>1473</v>
      </c>
      <c r="E882" t="str">
        <f t="shared" ref="E882" si="1008">_xlfn.CONCAT("EvoFretFluvCat",RIGHT(B882,2),"DistMoy")</f>
        <v>EvoFretFluvCat47DistMoy</v>
      </c>
      <c r="F882" t="s">
        <v>17</v>
      </c>
      <c r="G882" s="5" cm="1">
        <f t="array" ref="G882">IF((INDEX('Remplissage - Sit. Init.'!$C$473:$I$1088,MATCH((_xlfn.CONCAT("Catégorie "&amp;RIGHT(B882,2)))&amp;('Remplissage - Sit. Init.'!$D$483),('Remplissage - Sit. Init.'!$C$473:$C$1088)&amp;('Remplissage - Sit. Init.'!$D$473:$D$1088),0),7))&gt;0,1,0)</f>
        <v>0</v>
      </c>
      <c r="H882" s="8"/>
      <c r="I882" s="33"/>
      <c r="J882" t="s">
        <v>70</v>
      </c>
      <c r="L882" s="114" t="s">
        <v>1479</v>
      </c>
    </row>
    <row r="883" spans="1:12" x14ac:dyDescent="0.25">
      <c r="A883" t="s">
        <v>1465</v>
      </c>
      <c r="B883" t="s">
        <v>1712</v>
      </c>
      <c r="C883" t="s">
        <v>1474</v>
      </c>
      <c r="E883" t="str">
        <f t="shared" ref="E883" si="1009">_xlfn.CONCAT("EvoFretFluvCat",RIGHT(B883,2),"EmportMoy")</f>
        <v>EvoFretFluvCat47EmportMoy</v>
      </c>
      <c r="F883" t="s">
        <v>17</v>
      </c>
      <c r="G883" s="5" cm="1">
        <f t="array" ref="G883">IF((INDEX('Remplissage - Sit. Init.'!$C$473:$I$1088,MATCH((_xlfn.CONCAT("Catégorie "&amp;RIGHT(B883,2)))&amp;('Remplissage - Sit. Init.'!$D$483),('Remplissage - Sit. Init.'!$C$473:$C$1088)&amp;('Remplissage - Sit. Init.'!$D$473:$D$1088),0),7))&gt;0,1,0)</f>
        <v>0</v>
      </c>
      <c r="H883" s="8"/>
      <c r="I883" s="33"/>
      <c r="J883" t="s">
        <v>70</v>
      </c>
      <c r="L883" s="114" t="s">
        <v>1480</v>
      </c>
    </row>
    <row r="884" spans="1:12" x14ac:dyDescent="0.25">
      <c r="A884" t="s">
        <v>1465</v>
      </c>
      <c r="B884" t="s">
        <v>1713</v>
      </c>
      <c r="C884" t="s">
        <v>1475</v>
      </c>
      <c r="E884" t="str">
        <f t="shared" ref="E884" si="1010">_xlfn.CONCAT("EvoFretFluvCat",RIGHT(B884,2),"DistAn")</f>
        <v>EvoFretFluvCat47DistAn</v>
      </c>
      <c r="F884" t="s">
        <v>17</v>
      </c>
      <c r="G884" s="5" cm="1">
        <f t="array" ref="G884">IF((INDEX('Remplissage - Sit. Init.'!$C$473:$I$1088,MATCH((_xlfn.CONCAT("Catégorie "&amp;RIGHT(B884,2)))&amp;('Remplissage - Sit. Init.'!$D$483),('Remplissage - Sit. Init.'!$C$473:$C$1088)&amp;('Remplissage - Sit. Init.'!$D$473:$D$1088),0),7))&gt;0,1,0)</f>
        <v>0</v>
      </c>
      <c r="I884" s="33"/>
      <c r="J884" t="s">
        <v>70</v>
      </c>
      <c r="L884" s="114" t="s">
        <v>1479</v>
      </c>
    </row>
    <row r="885" spans="1:12" x14ac:dyDescent="0.25">
      <c r="A885" t="s">
        <v>1465</v>
      </c>
      <c r="B885" t="s">
        <v>1714</v>
      </c>
      <c r="C885" t="s">
        <v>1476</v>
      </c>
      <c r="E885" t="str">
        <f t="shared" ref="E885" si="1011">_xlfn.CONCAT("EvoFretFluvCat",RIGHT(B885,2),"TauxChargeMoy")</f>
        <v>EvoFretFluvCat47TauxChargeMoy</v>
      </c>
      <c r="F885" t="s">
        <v>17</v>
      </c>
      <c r="G885" s="5" cm="1">
        <f t="array" ref="G885">IF((INDEX('Remplissage - Sit. Init.'!$C$473:$I$1088,MATCH((_xlfn.CONCAT("Catégorie "&amp;RIGHT(B885,2)))&amp;('Remplissage - Sit. Init.'!$D$483),('Remplissage - Sit. Init.'!$C$473:$C$1088)&amp;('Remplissage - Sit. Init.'!$D$473:$D$1088),0),7))&gt;0,1,0)</f>
        <v>0</v>
      </c>
      <c r="I885" s="33"/>
      <c r="J885" t="s">
        <v>70</v>
      </c>
      <c r="L885" s="114" t="s">
        <v>1481</v>
      </c>
    </row>
    <row r="886" spans="1:12" x14ac:dyDescent="0.25">
      <c r="A886" t="s">
        <v>1465</v>
      </c>
      <c r="B886" t="s">
        <v>1710</v>
      </c>
      <c r="C886" s="114" t="s">
        <v>1477</v>
      </c>
      <c r="E886" t="str">
        <f t="shared" ref="E886" si="1012">_xlfn.CONCAT("EvoFretFluvCat",RIGHT(B886,2),"NbBarges")</f>
        <v>EvoFretFluvCat47NbBarges</v>
      </c>
      <c r="F886" t="s">
        <v>17</v>
      </c>
      <c r="G886" s="5" cm="1">
        <f t="array" ref="G886">IF((INDEX('Remplissage - Sit. Init.'!$C$473:$I$1088,MATCH((_xlfn.CONCAT("Catégorie "&amp;RIGHT(B886,2)))&amp;('Remplissage - Sit. Init.'!$D$483),('Remplissage - Sit. Init.'!$C$473:$C$1088)&amp;('Remplissage - Sit. Init.'!$D$473:$D$1088),0),7))&gt;0,1,0)</f>
        <v>0</v>
      </c>
      <c r="I886" s="33"/>
      <c r="J886" t="s">
        <v>70</v>
      </c>
      <c r="L886" s="114" t="s">
        <v>1482</v>
      </c>
    </row>
    <row r="887" spans="1:12" x14ac:dyDescent="0.25">
      <c r="A887" t="s">
        <v>1465</v>
      </c>
      <c r="B887" t="s">
        <v>1715</v>
      </c>
      <c r="C887" t="str">
        <f t="shared" ref="C887" ca="1" si="1013">_xlfn.CONCAT("Pour l'évolution de l'activité associée à la catégorie de barges suivante, catégorie ",INDIRECT("'Parcs types'!C"&amp;D887),", préférez-vous renseigner : ")</f>
        <v xml:space="preserve">Pour l'évolution de l'activité associée à la catégorie de barges suivante, catégorie Pousseurs &lt;880 kW H2 , PAC, préférez-vous renseigner : </v>
      </c>
      <c r="D887">
        <v>112</v>
      </c>
      <c r="E887" t="str">
        <f t="shared" ref="E887" si="1014">_xlfn.CONCAT("EvoFretFluvCat",RIGHT(B887,2),"Request")</f>
        <v>EvoFretFluvCat48Request</v>
      </c>
      <c r="F887" s="32" t="s">
        <v>20</v>
      </c>
      <c r="G887" s="5" cm="1">
        <f t="array" ref="G887">IF((INDEX('Remplissage - Sit. Init.'!$C$473:$I$1088,MATCH((_xlfn.CONCAT("Catégorie "&amp;RIGHT(B887,2)))&amp;('Remplissage - Sit. Init.'!$D$483),('Remplissage - Sit. Init.'!$C$473:$C$1088)&amp;('Remplissage - Sit. Init.'!$D$473:$D$1088),0),7))&gt;0,1,0)</f>
        <v>0</v>
      </c>
      <c r="I887" s="33" t="s">
        <v>1466</v>
      </c>
      <c r="K887" s="8"/>
    </row>
    <row r="888" spans="1:12" x14ac:dyDescent="0.25">
      <c r="A888" t="s">
        <v>1465</v>
      </c>
      <c r="B888" t="s">
        <v>1716</v>
      </c>
      <c r="C888" t="s">
        <v>1472</v>
      </c>
      <c r="E888" t="str">
        <f t="shared" ref="E888" si="1015">_xlfn.CONCAT("EvoFretFluvCat",RIGHT(B888,2),"NbTraj")</f>
        <v>EvoFretFluvCat48NbTraj</v>
      </c>
      <c r="F888" t="s">
        <v>17</v>
      </c>
      <c r="G888" s="5" cm="1">
        <f t="array" ref="G888">IF((INDEX('Remplissage - Sit. Init.'!$C$473:$I$1088,MATCH((_xlfn.CONCAT("Catégorie "&amp;RIGHT(B888,2)))&amp;('Remplissage - Sit. Init.'!$D$483),('Remplissage - Sit. Init.'!$C$473:$C$1088)&amp;('Remplissage - Sit. Init.'!$D$473:$D$1088),0),7))&gt;0,1,0)</f>
        <v>0</v>
      </c>
      <c r="H888" s="8"/>
      <c r="I888" s="33"/>
      <c r="J888" t="s">
        <v>70</v>
      </c>
      <c r="L888" s="114" t="s">
        <v>1478</v>
      </c>
    </row>
    <row r="889" spans="1:12" x14ac:dyDescent="0.25">
      <c r="A889" t="s">
        <v>1465</v>
      </c>
      <c r="B889" t="s">
        <v>1717</v>
      </c>
      <c r="C889" t="s">
        <v>1473</v>
      </c>
      <c r="E889" t="str">
        <f t="shared" ref="E889" si="1016">_xlfn.CONCAT("EvoFretFluvCat",RIGHT(B889,2),"DistMoy")</f>
        <v>EvoFretFluvCat48DistMoy</v>
      </c>
      <c r="F889" t="s">
        <v>17</v>
      </c>
      <c r="G889" s="5" cm="1">
        <f t="array" ref="G889">IF((INDEX('Remplissage - Sit. Init.'!$C$473:$I$1088,MATCH((_xlfn.CONCAT("Catégorie "&amp;RIGHT(B889,2)))&amp;('Remplissage - Sit. Init.'!$D$483),('Remplissage - Sit. Init.'!$C$473:$C$1088)&amp;('Remplissage - Sit. Init.'!$D$473:$D$1088),0),7))&gt;0,1,0)</f>
        <v>0</v>
      </c>
      <c r="H889" s="8"/>
      <c r="I889" s="33"/>
      <c r="J889" t="s">
        <v>70</v>
      </c>
      <c r="L889" s="114" t="s">
        <v>1479</v>
      </c>
    </row>
    <row r="890" spans="1:12" x14ac:dyDescent="0.25">
      <c r="A890" t="s">
        <v>1465</v>
      </c>
      <c r="B890" t="s">
        <v>1718</v>
      </c>
      <c r="C890" t="s">
        <v>1474</v>
      </c>
      <c r="E890" t="str">
        <f t="shared" ref="E890" si="1017">_xlfn.CONCAT("EvoFretFluvCat",RIGHT(B890,2),"EmportMoy")</f>
        <v>EvoFretFluvCat48EmportMoy</v>
      </c>
      <c r="F890" t="s">
        <v>17</v>
      </c>
      <c r="G890" s="5" cm="1">
        <f t="array" ref="G890">IF((INDEX('Remplissage - Sit. Init.'!$C$473:$I$1088,MATCH((_xlfn.CONCAT("Catégorie "&amp;RIGHT(B890,2)))&amp;('Remplissage - Sit. Init.'!$D$483),('Remplissage - Sit. Init.'!$C$473:$C$1088)&amp;('Remplissage - Sit. Init.'!$D$473:$D$1088),0),7))&gt;0,1,0)</f>
        <v>0</v>
      </c>
      <c r="H890" s="8"/>
      <c r="I890" s="33"/>
      <c r="J890" t="s">
        <v>70</v>
      </c>
      <c r="L890" s="114" t="s">
        <v>1480</v>
      </c>
    </row>
    <row r="891" spans="1:12" x14ac:dyDescent="0.25">
      <c r="A891" t="s">
        <v>1465</v>
      </c>
      <c r="B891" t="s">
        <v>1719</v>
      </c>
      <c r="C891" t="s">
        <v>1475</v>
      </c>
      <c r="E891" t="str">
        <f t="shared" ref="E891" si="1018">_xlfn.CONCAT("EvoFretFluvCat",RIGHT(B891,2),"DistAn")</f>
        <v>EvoFretFluvCat48DistAn</v>
      </c>
      <c r="F891" t="s">
        <v>17</v>
      </c>
      <c r="G891" s="5" cm="1">
        <f t="array" ref="G891">IF((INDEX('Remplissage - Sit. Init.'!$C$473:$I$1088,MATCH((_xlfn.CONCAT("Catégorie "&amp;RIGHT(B891,2)))&amp;('Remplissage - Sit. Init.'!$D$483),('Remplissage - Sit. Init.'!$C$473:$C$1088)&amp;('Remplissage - Sit. Init.'!$D$473:$D$1088),0),7))&gt;0,1,0)</f>
        <v>0</v>
      </c>
      <c r="I891" s="33"/>
      <c r="J891" t="s">
        <v>70</v>
      </c>
      <c r="L891" s="114" t="s">
        <v>1479</v>
      </c>
    </row>
    <row r="892" spans="1:12" x14ac:dyDescent="0.25">
      <c r="A892" t="s">
        <v>1465</v>
      </c>
      <c r="B892" t="s">
        <v>1720</v>
      </c>
      <c r="C892" t="s">
        <v>1476</v>
      </c>
      <c r="E892" t="str">
        <f t="shared" ref="E892" si="1019">_xlfn.CONCAT("EvoFretFluvCat",RIGHT(B892,2),"TauxChargeMoy")</f>
        <v>EvoFretFluvCat48TauxChargeMoy</v>
      </c>
      <c r="F892" t="s">
        <v>17</v>
      </c>
      <c r="G892" s="5" cm="1">
        <f t="array" ref="G892">IF((INDEX('Remplissage - Sit. Init.'!$C$473:$I$1088,MATCH((_xlfn.CONCAT("Catégorie "&amp;RIGHT(B892,2)))&amp;('Remplissage - Sit. Init.'!$D$483),('Remplissage - Sit. Init.'!$C$473:$C$1088)&amp;('Remplissage - Sit. Init.'!$D$473:$D$1088),0),7))&gt;0,1,0)</f>
        <v>0</v>
      </c>
      <c r="I892" s="33"/>
      <c r="J892" t="s">
        <v>70</v>
      </c>
      <c r="L892" s="114" t="s">
        <v>1481</v>
      </c>
    </row>
    <row r="893" spans="1:12" x14ac:dyDescent="0.25">
      <c r="A893" t="s">
        <v>1465</v>
      </c>
      <c r="B893" t="s">
        <v>1716</v>
      </c>
      <c r="C893" s="114" t="s">
        <v>1477</v>
      </c>
      <c r="E893" t="str">
        <f t="shared" ref="E893" si="1020">_xlfn.CONCAT("EvoFretFluvCat",RIGHT(B893,2),"NbBarges")</f>
        <v>EvoFretFluvCat48NbBarges</v>
      </c>
      <c r="F893" t="s">
        <v>17</v>
      </c>
      <c r="G893" s="5" cm="1">
        <f t="array" ref="G893">IF((INDEX('Remplissage - Sit. Init.'!$C$473:$I$1088,MATCH((_xlfn.CONCAT("Catégorie "&amp;RIGHT(B893,2)))&amp;('Remplissage - Sit. Init.'!$D$483),('Remplissage - Sit. Init.'!$C$473:$C$1088)&amp;('Remplissage - Sit. Init.'!$D$473:$D$1088),0),7))&gt;0,1,0)</f>
        <v>0</v>
      </c>
      <c r="I893" s="33"/>
      <c r="J893" t="s">
        <v>70</v>
      </c>
      <c r="L893" s="114" t="s">
        <v>1482</v>
      </c>
    </row>
    <row r="894" spans="1:12" x14ac:dyDescent="0.25">
      <c r="A894" t="s">
        <v>1465</v>
      </c>
      <c r="B894" t="s">
        <v>1721</v>
      </c>
      <c r="C894" t="str">
        <f t="shared" ref="C894" ca="1" si="1021">_xlfn.CONCAT("Pour l'évolution de l'activité associée à la catégorie de barges suivante, catégorie ",INDIRECT("'Parcs types'!C"&amp;D894),", préférez-vous renseigner : ")</f>
        <v xml:space="preserve">Pour l'évolution de l'activité associée à la catégorie de barges suivante, catégorie Pousseurs &lt;880 kW H2 , ICE, préférez-vous renseigner : </v>
      </c>
      <c r="D894">
        <v>113</v>
      </c>
      <c r="E894" t="str">
        <f t="shared" ref="E894" si="1022">_xlfn.CONCAT("EvoFretFluvCat",RIGHT(B894,2),"Request")</f>
        <v>EvoFretFluvCat49Request</v>
      </c>
      <c r="F894" s="32" t="s">
        <v>20</v>
      </c>
      <c r="G894" s="5" cm="1">
        <f t="array" ref="G894">IF((INDEX('Remplissage - Sit. Init.'!$C$473:$I$1088,MATCH((_xlfn.CONCAT("Catégorie "&amp;RIGHT(B894,2)))&amp;('Remplissage - Sit. Init.'!$D$483),('Remplissage - Sit. Init.'!$C$473:$C$1088)&amp;('Remplissage - Sit. Init.'!$D$473:$D$1088),0),7))&gt;0,1,0)</f>
        <v>0</v>
      </c>
      <c r="I894" s="33" t="s">
        <v>1466</v>
      </c>
      <c r="K894" s="8"/>
    </row>
    <row r="895" spans="1:12" x14ac:dyDescent="0.25">
      <c r="A895" t="s">
        <v>1465</v>
      </c>
      <c r="B895" t="s">
        <v>1722</v>
      </c>
      <c r="C895" t="s">
        <v>1472</v>
      </c>
      <c r="E895" t="str">
        <f t="shared" ref="E895" si="1023">_xlfn.CONCAT("EvoFretFluvCat",RIGHT(B895,2),"NbTraj")</f>
        <v>EvoFretFluvCat49NbTraj</v>
      </c>
      <c r="F895" t="s">
        <v>17</v>
      </c>
      <c r="G895" s="5" cm="1">
        <f t="array" ref="G895">IF((INDEX('Remplissage - Sit. Init.'!$C$473:$I$1088,MATCH((_xlfn.CONCAT("Catégorie "&amp;RIGHT(B895,2)))&amp;('Remplissage - Sit. Init.'!$D$483),('Remplissage - Sit. Init.'!$C$473:$C$1088)&amp;('Remplissage - Sit. Init.'!$D$473:$D$1088),0),7))&gt;0,1,0)</f>
        <v>0</v>
      </c>
      <c r="H895" s="8"/>
      <c r="I895" s="33"/>
      <c r="J895" t="s">
        <v>70</v>
      </c>
      <c r="L895" s="114" t="s">
        <v>1478</v>
      </c>
    </row>
    <row r="896" spans="1:12" x14ac:dyDescent="0.25">
      <c r="A896" t="s">
        <v>1465</v>
      </c>
      <c r="B896" t="s">
        <v>1723</v>
      </c>
      <c r="C896" t="s">
        <v>1473</v>
      </c>
      <c r="E896" t="str">
        <f t="shared" ref="E896" si="1024">_xlfn.CONCAT("EvoFretFluvCat",RIGHT(B896,2),"DistMoy")</f>
        <v>EvoFretFluvCat49DistMoy</v>
      </c>
      <c r="F896" t="s">
        <v>17</v>
      </c>
      <c r="G896" s="5" cm="1">
        <f t="array" ref="G896">IF((INDEX('Remplissage - Sit. Init.'!$C$473:$I$1088,MATCH((_xlfn.CONCAT("Catégorie "&amp;RIGHT(B896,2)))&amp;('Remplissage - Sit. Init.'!$D$483),('Remplissage - Sit. Init.'!$C$473:$C$1088)&amp;('Remplissage - Sit. Init.'!$D$473:$D$1088),0),7))&gt;0,1,0)</f>
        <v>0</v>
      </c>
      <c r="H896" s="8"/>
      <c r="I896" s="33"/>
      <c r="J896" t="s">
        <v>70</v>
      </c>
      <c r="L896" s="114" t="s">
        <v>1479</v>
      </c>
    </row>
    <row r="897" spans="1:12" x14ac:dyDescent="0.25">
      <c r="A897" t="s">
        <v>1465</v>
      </c>
      <c r="B897" t="s">
        <v>1724</v>
      </c>
      <c r="C897" t="s">
        <v>1474</v>
      </c>
      <c r="E897" t="str">
        <f t="shared" ref="E897" si="1025">_xlfn.CONCAT("EvoFretFluvCat",RIGHT(B897,2),"EmportMoy")</f>
        <v>EvoFretFluvCat49EmportMoy</v>
      </c>
      <c r="F897" t="s">
        <v>17</v>
      </c>
      <c r="G897" s="5" cm="1">
        <f t="array" ref="G897">IF((INDEX('Remplissage - Sit. Init.'!$C$473:$I$1088,MATCH((_xlfn.CONCAT("Catégorie "&amp;RIGHT(B897,2)))&amp;('Remplissage - Sit. Init.'!$D$483),('Remplissage - Sit. Init.'!$C$473:$C$1088)&amp;('Remplissage - Sit. Init.'!$D$473:$D$1088),0),7))&gt;0,1,0)</f>
        <v>0</v>
      </c>
      <c r="H897" s="8"/>
      <c r="I897" s="33"/>
      <c r="J897" t="s">
        <v>70</v>
      </c>
      <c r="L897" s="114" t="s">
        <v>1480</v>
      </c>
    </row>
    <row r="898" spans="1:12" x14ac:dyDescent="0.25">
      <c r="A898" t="s">
        <v>1465</v>
      </c>
      <c r="B898" t="s">
        <v>1725</v>
      </c>
      <c r="C898" t="s">
        <v>1475</v>
      </c>
      <c r="E898" t="str">
        <f t="shared" ref="E898" si="1026">_xlfn.CONCAT("EvoFretFluvCat",RIGHT(B898,2),"DistAn")</f>
        <v>EvoFretFluvCat49DistAn</v>
      </c>
      <c r="F898" t="s">
        <v>17</v>
      </c>
      <c r="G898" s="5" cm="1">
        <f t="array" ref="G898">IF((INDEX('Remplissage - Sit. Init.'!$C$473:$I$1088,MATCH((_xlfn.CONCAT("Catégorie "&amp;RIGHT(B898,2)))&amp;('Remplissage - Sit. Init.'!$D$483),('Remplissage - Sit. Init.'!$C$473:$C$1088)&amp;('Remplissage - Sit. Init.'!$D$473:$D$1088),0),7))&gt;0,1,0)</f>
        <v>0</v>
      </c>
      <c r="I898" s="33"/>
      <c r="J898" t="s">
        <v>70</v>
      </c>
      <c r="L898" s="114" t="s">
        <v>1479</v>
      </c>
    </row>
    <row r="899" spans="1:12" x14ac:dyDescent="0.25">
      <c r="A899" t="s">
        <v>1465</v>
      </c>
      <c r="B899" t="s">
        <v>1726</v>
      </c>
      <c r="C899" t="s">
        <v>1476</v>
      </c>
      <c r="E899" t="str">
        <f t="shared" ref="E899" si="1027">_xlfn.CONCAT("EvoFretFluvCat",RIGHT(B899,2),"TauxChargeMoy")</f>
        <v>EvoFretFluvCat49TauxChargeMoy</v>
      </c>
      <c r="F899" t="s">
        <v>17</v>
      </c>
      <c r="G899" s="5" cm="1">
        <f t="array" ref="G899">IF((INDEX('Remplissage - Sit. Init.'!$C$473:$I$1088,MATCH((_xlfn.CONCAT("Catégorie "&amp;RIGHT(B899,2)))&amp;('Remplissage - Sit. Init.'!$D$483),('Remplissage - Sit. Init.'!$C$473:$C$1088)&amp;('Remplissage - Sit. Init.'!$D$473:$D$1088),0),7))&gt;0,1,0)</f>
        <v>0</v>
      </c>
      <c r="I899" s="33"/>
      <c r="J899" t="s">
        <v>70</v>
      </c>
      <c r="L899" s="114" t="s">
        <v>1481</v>
      </c>
    </row>
    <row r="900" spans="1:12" x14ac:dyDescent="0.25">
      <c r="A900" t="s">
        <v>1465</v>
      </c>
      <c r="B900" t="s">
        <v>1722</v>
      </c>
      <c r="C900" s="114" t="s">
        <v>1477</v>
      </c>
      <c r="E900" t="str">
        <f t="shared" ref="E900" si="1028">_xlfn.CONCAT("EvoFretFluvCat",RIGHT(B900,2),"NbBarges")</f>
        <v>EvoFretFluvCat49NbBarges</v>
      </c>
      <c r="F900" t="s">
        <v>17</v>
      </c>
      <c r="G900" s="5" cm="1">
        <f t="array" ref="G900">IF((INDEX('Remplissage - Sit. Init.'!$C$473:$I$1088,MATCH((_xlfn.CONCAT("Catégorie "&amp;RIGHT(B900,2)))&amp;('Remplissage - Sit. Init.'!$D$483),('Remplissage - Sit. Init.'!$C$473:$C$1088)&amp;('Remplissage - Sit. Init.'!$D$473:$D$1088),0),7))&gt;0,1,0)</f>
        <v>0</v>
      </c>
      <c r="I900" s="33"/>
      <c r="J900" t="s">
        <v>70</v>
      </c>
      <c r="L900" s="114" t="s">
        <v>1482</v>
      </c>
    </row>
    <row r="901" spans="1:12" x14ac:dyDescent="0.25">
      <c r="A901" t="s">
        <v>1465</v>
      </c>
      <c r="B901" t="s">
        <v>1727</v>
      </c>
      <c r="C901" t="str">
        <f t="shared" ref="C901" ca="1" si="1029">_xlfn.CONCAT("Pour l'évolution de l'activité associée à la catégorie de barges suivante, catégorie ",INDIRECT("'Parcs types'!C"&amp;D901),", préférez-vous renseigner : ")</f>
        <v xml:space="preserve">Pour l'évolution de l'activité associée à la catégorie de barges suivante, catégorie Pousseurs &gt;880 kW CCNR 2 ou inférieur, diesel, préférez-vous renseigner : </v>
      </c>
      <c r="D901">
        <v>114</v>
      </c>
      <c r="E901" t="str">
        <f t="shared" ref="E901" si="1030">_xlfn.CONCAT("EvoFretFluvCat",RIGHT(B901,2),"Request")</f>
        <v>EvoFretFluvCat50Request</v>
      </c>
      <c r="F901" s="32" t="s">
        <v>20</v>
      </c>
      <c r="G901" s="5" cm="1">
        <f t="array" ref="G901">IF((INDEX('Remplissage - Sit. Init.'!$C$473:$I$1088,MATCH((_xlfn.CONCAT("Catégorie "&amp;RIGHT(B901,2)))&amp;('Remplissage - Sit. Init.'!$D$483),('Remplissage - Sit. Init.'!$C$473:$C$1088)&amp;('Remplissage - Sit. Init.'!$D$473:$D$1088),0),7))&gt;0,1,0)</f>
        <v>0</v>
      </c>
      <c r="I901" s="33" t="s">
        <v>1466</v>
      </c>
      <c r="K901" s="8"/>
    </row>
    <row r="902" spans="1:12" x14ac:dyDescent="0.25">
      <c r="A902" t="s">
        <v>1465</v>
      </c>
      <c r="B902" t="s">
        <v>1728</v>
      </c>
      <c r="C902" t="s">
        <v>1472</v>
      </c>
      <c r="E902" t="str">
        <f t="shared" ref="E902" si="1031">_xlfn.CONCAT("EvoFretFluvCat",RIGHT(B902,2),"NbTraj")</f>
        <v>EvoFretFluvCat50NbTraj</v>
      </c>
      <c r="F902" t="s">
        <v>17</v>
      </c>
      <c r="G902" s="5" cm="1">
        <f t="array" ref="G902">IF((INDEX('Remplissage - Sit. Init.'!$C$473:$I$1088,MATCH((_xlfn.CONCAT("Catégorie "&amp;RIGHT(B902,2)))&amp;('Remplissage - Sit. Init.'!$D$483),('Remplissage - Sit. Init.'!$C$473:$C$1088)&amp;('Remplissage - Sit. Init.'!$D$473:$D$1088),0),7))&gt;0,1,0)</f>
        <v>0</v>
      </c>
      <c r="H902" s="8"/>
      <c r="I902" s="33"/>
      <c r="J902" t="s">
        <v>70</v>
      </c>
      <c r="L902" s="114" t="s">
        <v>1478</v>
      </c>
    </row>
    <row r="903" spans="1:12" x14ac:dyDescent="0.25">
      <c r="A903" t="s">
        <v>1465</v>
      </c>
      <c r="B903" t="s">
        <v>1729</v>
      </c>
      <c r="C903" t="s">
        <v>1473</v>
      </c>
      <c r="E903" t="str">
        <f t="shared" ref="E903" si="1032">_xlfn.CONCAT("EvoFretFluvCat",RIGHT(B903,2),"DistMoy")</f>
        <v>EvoFretFluvCat50DistMoy</v>
      </c>
      <c r="F903" t="s">
        <v>17</v>
      </c>
      <c r="G903" s="5" cm="1">
        <f t="array" ref="G903">IF((INDEX('Remplissage - Sit. Init.'!$C$473:$I$1088,MATCH((_xlfn.CONCAT("Catégorie "&amp;RIGHT(B903,2)))&amp;('Remplissage - Sit. Init.'!$D$483),('Remplissage - Sit. Init.'!$C$473:$C$1088)&amp;('Remplissage - Sit. Init.'!$D$473:$D$1088),0),7))&gt;0,1,0)</f>
        <v>0</v>
      </c>
      <c r="H903" s="8"/>
      <c r="I903" s="33"/>
      <c r="J903" t="s">
        <v>70</v>
      </c>
      <c r="L903" s="114" t="s">
        <v>1479</v>
      </c>
    </row>
    <row r="904" spans="1:12" x14ac:dyDescent="0.25">
      <c r="A904" t="s">
        <v>1465</v>
      </c>
      <c r="B904" t="s">
        <v>1730</v>
      </c>
      <c r="C904" t="s">
        <v>1474</v>
      </c>
      <c r="E904" t="str">
        <f t="shared" ref="E904" si="1033">_xlfn.CONCAT("EvoFretFluvCat",RIGHT(B904,2),"EmportMoy")</f>
        <v>EvoFretFluvCat50EmportMoy</v>
      </c>
      <c r="F904" t="s">
        <v>17</v>
      </c>
      <c r="G904" s="5" cm="1">
        <f t="array" ref="G904">IF((INDEX('Remplissage - Sit. Init.'!$C$473:$I$1088,MATCH((_xlfn.CONCAT("Catégorie "&amp;RIGHT(B904,2)))&amp;('Remplissage - Sit. Init.'!$D$483),('Remplissage - Sit. Init.'!$C$473:$C$1088)&amp;('Remplissage - Sit. Init.'!$D$473:$D$1088),0),7))&gt;0,1,0)</f>
        <v>0</v>
      </c>
      <c r="H904" s="8"/>
      <c r="I904" s="33"/>
      <c r="J904" t="s">
        <v>70</v>
      </c>
      <c r="L904" s="114" t="s">
        <v>1480</v>
      </c>
    </row>
    <row r="905" spans="1:12" x14ac:dyDescent="0.25">
      <c r="A905" t="s">
        <v>1465</v>
      </c>
      <c r="B905" t="s">
        <v>1731</v>
      </c>
      <c r="C905" t="s">
        <v>1475</v>
      </c>
      <c r="E905" t="str">
        <f t="shared" ref="E905" si="1034">_xlfn.CONCAT("EvoFretFluvCat",RIGHT(B905,2),"DistAn")</f>
        <v>EvoFretFluvCat50DistAn</v>
      </c>
      <c r="F905" t="s">
        <v>17</v>
      </c>
      <c r="G905" s="5" cm="1">
        <f t="array" ref="G905">IF((INDEX('Remplissage - Sit. Init.'!$C$473:$I$1088,MATCH((_xlfn.CONCAT("Catégorie "&amp;RIGHT(B905,2)))&amp;('Remplissage - Sit. Init.'!$D$483),('Remplissage - Sit. Init.'!$C$473:$C$1088)&amp;('Remplissage - Sit. Init.'!$D$473:$D$1088),0),7))&gt;0,1,0)</f>
        <v>0</v>
      </c>
      <c r="I905" s="33"/>
      <c r="J905" t="s">
        <v>70</v>
      </c>
      <c r="L905" s="114" t="s">
        <v>1479</v>
      </c>
    </row>
    <row r="906" spans="1:12" x14ac:dyDescent="0.25">
      <c r="A906" t="s">
        <v>1465</v>
      </c>
      <c r="B906" t="s">
        <v>1732</v>
      </c>
      <c r="C906" t="s">
        <v>1476</v>
      </c>
      <c r="E906" t="str">
        <f t="shared" ref="E906" si="1035">_xlfn.CONCAT("EvoFretFluvCat",RIGHT(B906,2),"TauxChargeMoy")</f>
        <v>EvoFretFluvCat50TauxChargeMoy</v>
      </c>
      <c r="F906" t="s">
        <v>17</v>
      </c>
      <c r="G906" s="5" cm="1">
        <f t="array" ref="G906">IF((INDEX('Remplissage - Sit. Init.'!$C$473:$I$1088,MATCH((_xlfn.CONCAT("Catégorie "&amp;RIGHT(B906,2)))&amp;('Remplissage - Sit. Init.'!$D$483),('Remplissage - Sit. Init.'!$C$473:$C$1088)&amp;('Remplissage - Sit. Init.'!$D$473:$D$1088),0),7))&gt;0,1,0)</f>
        <v>0</v>
      </c>
      <c r="I906" s="33"/>
      <c r="J906" t="s">
        <v>70</v>
      </c>
      <c r="L906" s="114" t="s">
        <v>1481</v>
      </c>
    </row>
    <row r="907" spans="1:12" x14ac:dyDescent="0.25">
      <c r="A907" t="s">
        <v>1465</v>
      </c>
      <c r="B907" t="s">
        <v>1728</v>
      </c>
      <c r="C907" s="114" t="s">
        <v>1477</v>
      </c>
      <c r="E907" t="str">
        <f t="shared" ref="E907" si="1036">_xlfn.CONCAT("EvoFretFluvCat",RIGHT(B907,2),"NbBarges")</f>
        <v>EvoFretFluvCat50NbBarges</v>
      </c>
      <c r="F907" t="s">
        <v>17</v>
      </c>
      <c r="G907" s="5" cm="1">
        <f t="array" ref="G907">IF((INDEX('Remplissage - Sit. Init.'!$C$473:$I$1088,MATCH((_xlfn.CONCAT("Catégorie "&amp;RIGHT(B907,2)))&amp;('Remplissage - Sit. Init.'!$D$483),('Remplissage - Sit. Init.'!$C$473:$C$1088)&amp;('Remplissage - Sit. Init.'!$D$473:$D$1088),0),7))&gt;0,1,0)</f>
        <v>0</v>
      </c>
      <c r="I907" s="33"/>
      <c r="J907" t="s">
        <v>70</v>
      </c>
      <c r="L907" s="114" t="s">
        <v>1482</v>
      </c>
    </row>
    <row r="908" spans="1:12" x14ac:dyDescent="0.25">
      <c r="A908" t="s">
        <v>1465</v>
      </c>
      <c r="B908" t="s">
        <v>1733</v>
      </c>
      <c r="C908" t="str">
        <f t="shared" ref="C908" ca="1" si="1037">_xlfn.CONCAT("Pour l'évolution de l'activité associée à la catégorie de barges suivante, catégorie ",INDIRECT("'Parcs types'!C"&amp;D908),", préférez-vous renseigner : ")</f>
        <v xml:space="preserve">Pour l'évolution de l'activité associée à la catégorie de barges suivante, catégorie Pousseurs &gt;880 kW CCNR 2 + SCR, diesel, préférez-vous renseigner : </v>
      </c>
      <c r="D908">
        <v>115</v>
      </c>
      <c r="E908" t="str">
        <f t="shared" ref="E908" si="1038">_xlfn.CONCAT("EvoFretFluvCat",RIGHT(B908,2),"Request")</f>
        <v>EvoFretFluvCat51Request</v>
      </c>
      <c r="F908" s="32" t="s">
        <v>20</v>
      </c>
      <c r="G908" s="5" cm="1">
        <f t="array" ref="G908">IF((INDEX('Remplissage - Sit. Init.'!$C$473:$I$1088,MATCH((_xlfn.CONCAT("Catégorie "&amp;RIGHT(B908,2)))&amp;('Remplissage - Sit. Init.'!$D$483),('Remplissage - Sit. Init.'!$C$473:$C$1088)&amp;('Remplissage - Sit. Init.'!$D$473:$D$1088),0),7))&gt;0,1,0)</f>
        <v>0</v>
      </c>
      <c r="I908" s="33" t="s">
        <v>1466</v>
      </c>
      <c r="K908" s="8"/>
    </row>
    <row r="909" spans="1:12" x14ac:dyDescent="0.25">
      <c r="A909" t="s">
        <v>1465</v>
      </c>
      <c r="B909" t="s">
        <v>1734</v>
      </c>
      <c r="C909" t="s">
        <v>1472</v>
      </c>
      <c r="E909" t="str">
        <f t="shared" ref="E909" si="1039">_xlfn.CONCAT("EvoFretFluvCat",RIGHT(B909,2),"NbTraj")</f>
        <v>EvoFretFluvCat51NbTraj</v>
      </c>
      <c r="F909" t="s">
        <v>17</v>
      </c>
      <c r="G909" s="5" cm="1">
        <f t="array" ref="G909">IF((INDEX('Remplissage - Sit. Init.'!$C$473:$I$1088,MATCH((_xlfn.CONCAT("Catégorie "&amp;RIGHT(B909,2)))&amp;('Remplissage - Sit. Init.'!$D$483),('Remplissage - Sit. Init.'!$C$473:$C$1088)&amp;('Remplissage - Sit. Init.'!$D$473:$D$1088),0),7))&gt;0,1,0)</f>
        <v>0</v>
      </c>
      <c r="H909" s="8"/>
      <c r="I909" s="33"/>
      <c r="J909" t="s">
        <v>70</v>
      </c>
      <c r="L909" s="114" t="s">
        <v>1478</v>
      </c>
    </row>
    <row r="910" spans="1:12" x14ac:dyDescent="0.25">
      <c r="A910" t="s">
        <v>1465</v>
      </c>
      <c r="B910" t="s">
        <v>1735</v>
      </c>
      <c r="C910" t="s">
        <v>1473</v>
      </c>
      <c r="E910" t="str">
        <f t="shared" ref="E910" si="1040">_xlfn.CONCAT("EvoFretFluvCat",RIGHT(B910,2),"DistMoy")</f>
        <v>EvoFretFluvCat51DistMoy</v>
      </c>
      <c r="F910" t="s">
        <v>17</v>
      </c>
      <c r="G910" s="5" cm="1">
        <f t="array" ref="G910">IF((INDEX('Remplissage - Sit. Init.'!$C$473:$I$1088,MATCH((_xlfn.CONCAT("Catégorie "&amp;RIGHT(B910,2)))&amp;('Remplissage - Sit. Init.'!$D$483),('Remplissage - Sit. Init.'!$C$473:$C$1088)&amp;('Remplissage - Sit. Init.'!$D$473:$D$1088),0),7))&gt;0,1,0)</f>
        <v>0</v>
      </c>
      <c r="H910" s="8"/>
      <c r="I910" s="33"/>
      <c r="J910" t="s">
        <v>70</v>
      </c>
      <c r="L910" s="114" t="s">
        <v>1479</v>
      </c>
    </row>
    <row r="911" spans="1:12" x14ac:dyDescent="0.25">
      <c r="A911" t="s">
        <v>1465</v>
      </c>
      <c r="B911" t="s">
        <v>1736</v>
      </c>
      <c r="C911" t="s">
        <v>1474</v>
      </c>
      <c r="E911" t="str">
        <f t="shared" ref="E911" si="1041">_xlfn.CONCAT("EvoFretFluvCat",RIGHT(B911,2),"EmportMoy")</f>
        <v>EvoFretFluvCat51EmportMoy</v>
      </c>
      <c r="F911" t="s">
        <v>17</v>
      </c>
      <c r="G911" s="5" cm="1">
        <f t="array" ref="G911">IF((INDEX('Remplissage - Sit. Init.'!$C$473:$I$1088,MATCH((_xlfn.CONCAT("Catégorie "&amp;RIGHT(B911,2)))&amp;('Remplissage - Sit. Init.'!$D$483),('Remplissage - Sit. Init.'!$C$473:$C$1088)&amp;('Remplissage - Sit. Init.'!$D$473:$D$1088),0),7))&gt;0,1,0)</f>
        <v>0</v>
      </c>
      <c r="H911" s="8"/>
      <c r="I911" s="33"/>
      <c r="J911" t="s">
        <v>70</v>
      </c>
      <c r="L911" s="114" t="s">
        <v>1480</v>
      </c>
    </row>
    <row r="912" spans="1:12" x14ac:dyDescent="0.25">
      <c r="A912" t="s">
        <v>1465</v>
      </c>
      <c r="B912" t="s">
        <v>1737</v>
      </c>
      <c r="C912" t="s">
        <v>1475</v>
      </c>
      <c r="E912" t="str">
        <f t="shared" ref="E912" si="1042">_xlfn.CONCAT("EvoFretFluvCat",RIGHT(B912,2),"DistAn")</f>
        <v>EvoFretFluvCat51DistAn</v>
      </c>
      <c r="F912" t="s">
        <v>17</v>
      </c>
      <c r="G912" s="5" cm="1">
        <f t="array" ref="G912">IF((INDEX('Remplissage - Sit. Init.'!$C$473:$I$1088,MATCH((_xlfn.CONCAT("Catégorie "&amp;RIGHT(B912,2)))&amp;('Remplissage - Sit. Init.'!$D$483),('Remplissage - Sit. Init.'!$C$473:$C$1088)&amp;('Remplissage - Sit. Init.'!$D$473:$D$1088),0),7))&gt;0,1,0)</f>
        <v>0</v>
      </c>
      <c r="I912" s="33"/>
      <c r="J912" t="s">
        <v>70</v>
      </c>
      <c r="L912" s="114" t="s">
        <v>1479</v>
      </c>
    </row>
    <row r="913" spans="1:12" x14ac:dyDescent="0.25">
      <c r="A913" t="s">
        <v>1465</v>
      </c>
      <c r="B913" t="s">
        <v>1738</v>
      </c>
      <c r="C913" t="s">
        <v>1476</v>
      </c>
      <c r="E913" t="str">
        <f t="shared" ref="E913" si="1043">_xlfn.CONCAT("EvoFretFluvCat",RIGHT(B913,2),"TauxChargeMoy")</f>
        <v>EvoFretFluvCat51TauxChargeMoy</v>
      </c>
      <c r="F913" t="s">
        <v>17</v>
      </c>
      <c r="G913" s="5" cm="1">
        <f t="array" ref="G913">IF((INDEX('Remplissage - Sit. Init.'!$C$473:$I$1088,MATCH((_xlfn.CONCAT("Catégorie "&amp;RIGHT(B913,2)))&amp;('Remplissage - Sit. Init.'!$D$483),('Remplissage - Sit. Init.'!$C$473:$C$1088)&amp;('Remplissage - Sit. Init.'!$D$473:$D$1088),0),7))&gt;0,1,0)</f>
        <v>0</v>
      </c>
      <c r="I913" s="33"/>
      <c r="J913" t="s">
        <v>70</v>
      </c>
      <c r="L913" s="114" t="s">
        <v>1481</v>
      </c>
    </row>
    <row r="914" spans="1:12" x14ac:dyDescent="0.25">
      <c r="A914" t="s">
        <v>1465</v>
      </c>
      <c r="B914" t="s">
        <v>1734</v>
      </c>
      <c r="C914" s="114" t="s">
        <v>1477</v>
      </c>
      <c r="E914" t="str">
        <f t="shared" ref="E914" si="1044">_xlfn.CONCAT("EvoFretFluvCat",RIGHT(B914,2),"NbBarges")</f>
        <v>EvoFretFluvCat51NbBarges</v>
      </c>
      <c r="F914" t="s">
        <v>17</v>
      </c>
      <c r="G914" s="5" cm="1">
        <f t="array" ref="G914">IF((INDEX('Remplissage - Sit. Init.'!$C$473:$I$1088,MATCH((_xlfn.CONCAT("Catégorie "&amp;RIGHT(B914,2)))&amp;('Remplissage - Sit. Init.'!$D$483),('Remplissage - Sit. Init.'!$C$473:$C$1088)&amp;('Remplissage - Sit. Init.'!$D$473:$D$1088),0),7))&gt;0,1,0)</f>
        <v>0</v>
      </c>
      <c r="I914" s="33"/>
      <c r="J914" t="s">
        <v>70</v>
      </c>
      <c r="L914" s="114" t="s">
        <v>1482</v>
      </c>
    </row>
    <row r="915" spans="1:12" x14ac:dyDescent="0.25">
      <c r="A915" t="s">
        <v>1465</v>
      </c>
      <c r="B915" t="s">
        <v>1739</v>
      </c>
      <c r="C915" t="str">
        <f t="shared" ref="C915" ca="1" si="1045">_xlfn.CONCAT("Pour l'évolution de l'activité associée à la catégorie de barges suivante, catégorie ",INDIRECT("'Parcs types'!C"&amp;D915),", préférez-vous renseigner : ")</f>
        <v xml:space="preserve">Pour l'évolution de l'activité associée à la catégorie de barges suivante, catégorie Pousseurs &gt;880 kW Phase V, diesel, préférez-vous renseigner : </v>
      </c>
      <c r="D915">
        <v>116</v>
      </c>
      <c r="E915" t="str">
        <f t="shared" ref="E915" si="1046">_xlfn.CONCAT("EvoFretFluvCat",RIGHT(B915,2),"Request")</f>
        <v>EvoFretFluvCat52Request</v>
      </c>
      <c r="F915" s="32" t="s">
        <v>20</v>
      </c>
      <c r="G915" s="5" cm="1">
        <f t="array" ref="G915">IF((INDEX('Remplissage - Sit. Init.'!$C$473:$I$1088,MATCH((_xlfn.CONCAT("Catégorie "&amp;RIGHT(B915,2)))&amp;('Remplissage - Sit. Init.'!$D$483),('Remplissage - Sit. Init.'!$C$473:$C$1088)&amp;('Remplissage - Sit. Init.'!$D$473:$D$1088),0),7))&gt;0,1,0)</f>
        <v>0</v>
      </c>
      <c r="I915" s="33" t="s">
        <v>1466</v>
      </c>
      <c r="K915" s="8"/>
    </row>
    <row r="916" spans="1:12" x14ac:dyDescent="0.25">
      <c r="A916" t="s">
        <v>1465</v>
      </c>
      <c r="B916" t="s">
        <v>1740</v>
      </c>
      <c r="C916" t="s">
        <v>1472</v>
      </c>
      <c r="E916" t="str">
        <f t="shared" ref="E916" si="1047">_xlfn.CONCAT("EvoFretFluvCat",RIGHT(B916,2),"NbTraj")</f>
        <v>EvoFretFluvCat52NbTraj</v>
      </c>
      <c r="F916" t="s">
        <v>17</v>
      </c>
      <c r="G916" s="5" cm="1">
        <f t="array" ref="G916">IF((INDEX('Remplissage - Sit. Init.'!$C$473:$I$1088,MATCH((_xlfn.CONCAT("Catégorie "&amp;RIGHT(B916,2)))&amp;('Remplissage - Sit. Init.'!$D$483),('Remplissage - Sit. Init.'!$C$473:$C$1088)&amp;('Remplissage - Sit. Init.'!$D$473:$D$1088),0),7))&gt;0,1,0)</f>
        <v>0</v>
      </c>
      <c r="H916" s="8"/>
      <c r="I916" s="33"/>
      <c r="J916" t="s">
        <v>70</v>
      </c>
      <c r="L916" s="114" t="s">
        <v>1478</v>
      </c>
    </row>
    <row r="917" spans="1:12" x14ac:dyDescent="0.25">
      <c r="A917" t="s">
        <v>1465</v>
      </c>
      <c r="B917" t="s">
        <v>1741</v>
      </c>
      <c r="C917" t="s">
        <v>1473</v>
      </c>
      <c r="E917" t="str">
        <f t="shared" ref="E917" si="1048">_xlfn.CONCAT("EvoFretFluvCat",RIGHT(B917,2),"DistMoy")</f>
        <v>EvoFretFluvCat52DistMoy</v>
      </c>
      <c r="F917" t="s">
        <v>17</v>
      </c>
      <c r="G917" s="5" cm="1">
        <f t="array" ref="G917">IF((INDEX('Remplissage - Sit. Init.'!$C$473:$I$1088,MATCH((_xlfn.CONCAT("Catégorie "&amp;RIGHT(B917,2)))&amp;('Remplissage - Sit. Init.'!$D$483),('Remplissage - Sit. Init.'!$C$473:$C$1088)&amp;('Remplissage - Sit. Init.'!$D$473:$D$1088),0),7))&gt;0,1,0)</f>
        <v>0</v>
      </c>
      <c r="H917" s="8"/>
      <c r="I917" s="33"/>
      <c r="J917" t="s">
        <v>70</v>
      </c>
      <c r="L917" s="114" t="s">
        <v>1479</v>
      </c>
    </row>
    <row r="918" spans="1:12" x14ac:dyDescent="0.25">
      <c r="A918" t="s">
        <v>1465</v>
      </c>
      <c r="B918" t="s">
        <v>1742</v>
      </c>
      <c r="C918" t="s">
        <v>1474</v>
      </c>
      <c r="E918" t="str">
        <f t="shared" ref="E918" si="1049">_xlfn.CONCAT("EvoFretFluvCat",RIGHT(B918,2),"EmportMoy")</f>
        <v>EvoFretFluvCat52EmportMoy</v>
      </c>
      <c r="F918" t="s">
        <v>17</v>
      </c>
      <c r="G918" s="5" cm="1">
        <f t="array" ref="G918">IF((INDEX('Remplissage - Sit. Init.'!$C$473:$I$1088,MATCH((_xlfn.CONCAT("Catégorie "&amp;RIGHT(B918,2)))&amp;('Remplissage - Sit. Init.'!$D$483),('Remplissage - Sit. Init.'!$C$473:$C$1088)&amp;('Remplissage - Sit. Init.'!$D$473:$D$1088),0),7))&gt;0,1,0)</f>
        <v>0</v>
      </c>
      <c r="H918" s="8"/>
      <c r="I918" s="33"/>
      <c r="J918" t="s">
        <v>70</v>
      </c>
      <c r="L918" s="114" t="s">
        <v>1480</v>
      </c>
    </row>
    <row r="919" spans="1:12" x14ac:dyDescent="0.25">
      <c r="A919" t="s">
        <v>1465</v>
      </c>
      <c r="B919" t="s">
        <v>1743</v>
      </c>
      <c r="C919" t="s">
        <v>1475</v>
      </c>
      <c r="E919" t="str">
        <f t="shared" ref="E919" si="1050">_xlfn.CONCAT("EvoFretFluvCat",RIGHT(B919,2),"DistAn")</f>
        <v>EvoFretFluvCat52DistAn</v>
      </c>
      <c r="F919" t="s">
        <v>17</v>
      </c>
      <c r="G919" s="5" cm="1">
        <f t="array" ref="G919">IF((INDEX('Remplissage - Sit. Init.'!$C$473:$I$1088,MATCH((_xlfn.CONCAT("Catégorie "&amp;RIGHT(B919,2)))&amp;('Remplissage - Sit. Init.'!$D$483),('Remplissage - Sit. Init.'!$C$473:$C$1088)&amp;('Remplissage - Sit. Init.'!$D$473:$D$1088),0),7))&gt;0,1,0)</f>
        <v>0</v>
      </c>
      <c r="I919" s="33"/>
      <c r="J919" t="s">
        <v>70</v>
      </c>
      <c r="L919" s="114" t="s">
        <v>1479</v>
      </c>
    </row>
    <row r="920" spans="1:12" x14ac:dyDescent="0.25">
      <c r="A920" t="s">
        <v>1465</v>
      </c>
      <c r="B920" t="s">
        <v>1744</v>
      </c>
      <c r="C920" t="s">
        <v>1476</v>
      </c>
      <c r="E920" t="str">
        <f t="shared" ref="E920" si="1051">_xlfn.CONCAT("EvoFretFluvCat",RIGHT(B920,2),"TauxChargeMoy")</f>
        <v>EvoFretFluvCat52TauxChargeMoy</v>
      </c>
      <c r="F920" t="s">
        <v>17</v>
      </c>
      <c r="G920" s="5" cm="1">
        <f t="array" ref="G920">IF((INDEX('Remplissage - Sit. Init.'!$C$473:$I$1088,MATCH((_xlfn.CONCAT("Catégorie "&amp;RIGHT(B920,2)))&amp;('Remplissage - Sit. Init.'!$D$483),('Remplissage - Sit. Init.'!$C$473:$C$1088)&amp;('Remplissage - Sit. Init.'!$D$473:$D$1088),0),7))&gt;0,1,0)</f>
        <v>0</v>
      </c>
      <c r="I920" s="33"/>
      <c r="J920" t="s">
        <v>70</v>
      </c>
      <c r="L920" s="114" t="s">
        <v>1481</v>
      </c>
    </row>
    <row r="921" spans="1:12" x14ac:dyDescent="0.25">
      <c r="A921" t="s">
        <v>1465</v>
      </c>
      <c r="B921" t="s">
        <v>1740</v>
      </c>
      <c r="C921" s="114" t="s">
        <v>1477</v>
      </c>
      <c r="E921" t="str">
        <f t="shared" ref="E921" si="1052">_xlfn.CONCAT("EvoFretFluvCat",RIGHT(B921,2),"NbBarges")</f>
        <v>EvoFretFluvCat52NbBarges</v>
      </c>
      <c r="F921" t="s">
        <v>17</v>
      </c>
      <c r="G921" s="5" cm="1">
        <f t="array" ref="G921">IF((INDEX('Remplissage - Sit. Init.'!$C$473:$I$1088,MATCH((_xlfn.CONCAT("Catégorie "&amp;RIGHT(B921,2)))&amp;('Remplissage - Sit. Init.'!$D$483),('Remplissage - Sit. Init.'!$C$473:$C$1088)&amp;('Remplissage - Sit. Init.'!$D$473:$D$1088),0),7))&gt;0,1,0)</f>
        <v>0</v>
      </c>
      <c r="I921" s="33"/>
      <c r="J921" t="s">
        <v>70</v>
      </c>
      <c r="L921" s="114" t="s">
        <v>1482</v>
      </c>
    </row>
    <row r="922" spans="1:12" x14ac:dyDescent="0.25">
      <c r="A922" t="s">
        <v>1465</v>
      </c>
      <c r="B922" t="s">
        <v>1745</v>
      </c>
      <c r="C922" t="str">
        <f t="shared" ref="C922" ca="1" si="1053">_xlfn.CONCAT("Pour l'évolution de l'activité associée à la catégorie de barges suivante, catégorie ",INDIRECT("'Parcs types'!C"&amp;D922),", préférez-vous renseigner : ")</f>
        <v xml:space="preserve">Pour l'évolution de l'activité associée à la catégorie de barges suivante, catégorie Pousseurs &gt;880 kW Phase V, HVO, préférez-vous renseigner : </v>
      </c>
      <c r="D922">
        <v>117</v>
      </c>
      <c r="E922" t="str">
        <f t="shared" ref="E922" si="1054">_xlfn.CONCAT("EvoFretFluvCat",RIGHT(B922,2),"Request")</f>
        <v>EvoFretFluvCat53Request</v>
      </c>
      <c r="F922" s="32" t="s">
        <v>20</v>
      </c>
      <c r="G922" s="5" cm="1">
        <f t="array" ref="G922">IF((INDEX('Remplissage - Sit. Init.'!$C$473:$I$1088,MATCH((_xlfn.CONCAT("Catégorie "&amp;RIGHT(B922,2)))&amp;('Remplissage - Sit. Init.'!$D$483),('Remplissage - Sit. Init.'!$C$473:$C$1088)&amp;('Remplissage - Sit. Init.'!$D$473:$D$1088),0),7))&gt;0,1,0)</f>
        <v>0</v>
      </c>
      <c r="I922" s="33" t="s">
        <v>1466</v>
      </c>
      <c r="K922" s="8"/>
    </row>
    <row r="923" spans="1:12" x14ac:dyDescent="0.25">
      <c r="A923" t="s">
        <v>1465</v>
      </c>
      <c r="B923" t="s">
        <v>1746</v>
      </c>
      <c r="C923" t="s">
        <v>1472</v>
      </c>
      <c r="E923" t="str">
        <f t="shared" ref="E923" si="1055">_xlfn.CONCAT("EvoFretFluvCat",RIGHT(B923,2),"NbTraj")</f>
        <v>EvoFretFluvCat53NbTraj</v>
      </c>
      <c r="F923" t="s">
        <v>17</v>
      </c>
      <c r="G923" s="5" cm="1">
        <f t="array" ref="G923">IF((INDEX('Remplissage - Sit. Init.'!$C$473:$I$1088,MATCH((_xlfn.CONCAT("Catégorie "&amp;RIGHT(B923,2)))&amp;('Remplissage - Sit. Init.'!$D$483),('Remplissage - Sit. Init.'!$C$473:$C$1088)&amp;('Remplissage - Sit. Init.'!$D$473:$D$1088),0),7))&gt;0,1,0)</f>
        <v>0</v>
      </c>
      <c r="H923" s="8"/>
      <c r="I923" s="33"/>
      <c r="J923" t="s">
        <v>70</v>
      </c>
      <c r="L923" s="114" t="s">
        <v>1478</v>
      </c>
    </row>
    <row r="924" spans="1:12" x14ac:dyDescent="0.25">
      <c r="A924" t="s">
        <v>1465</v>
      </c>
      <c r="B924" t="s">
        <v>1747</v>
      </c>
      <c r="C924" t="s">
        <v>1473</v>
      </c>
      <c r="E924" t="str">
        <f t="shared" ref="E924" si="1056">_xlfn.CONCAT("EvoFretFluvCat",RIGHT(B924,2),"DistMoy")</f>
        <v>EvoFretFluvCat53DistMoy</v>
      </c>
      <c r="F924" t="s">
        <v>17</v>
      </c>
      <c r="G924" s="5" cm="1">
        <f t="array" ref="G924">IF((INDEX('Remplissage - Sit. Init.'!$C$473:$I$1088,MATCH((_xlfn.CONCAT("Catégorie "&amp;RIGHT(B924,2)))&amp;('Remplissage - Sit. Init.'!$D$483),('Remplissage - Sit. Init.'!$C$473:$C$1088)&amp;('Remplissage - Sit. Init.'!$D$473:$D$1088),0),7))&gt;0,1,0)</f>
        <v>0</v>
      </c>
      <c r="H924" s="8"/>
      <c r="I924" s="33"/>
      <c r="J924" t="s">
        <v>70</v>
      </c>
      <c r="L924" s="114" t="s">
        <v>1479</v>
      </c>
    </row>
    <row r="925" spans="1:12" x14ac:dyDescent="0.25">
      <c r="A925" t="s">
        <v>1465</v>
      </c>
      <c r="B925" t="s">
        <v>1748</v>
      </c>
      <c r="C925" t="s">
        <v>1474</v>
      </c>
      <c r="E925" t="str">
        <f t="shared" ref="E925" si="1057">_xlfn.CONCAT("EvoFretFluvCat",RIGHT(B925,2),"EmportMoy")</f>
        <v>EvoFretFluvCat53EmportMoy</v>
      </c>
      <c r="F925" t="s">
        <v>17</v>
      </c>
      <c r="G925" s="5" cm="1">
        <f t="array" ref="G925">IF((INDEX('Remplissage - Sit. Init.'!$C$473:$I$1088,MATCH((_xlfn.CONCAT("Catégorie "&amp;RIGHT(B925,2)))&amp;('Remplissage - Sit. Init.'!$D$483),('Remplissage - Sit. Init.'!$C$473:$C$1088)&amp;('Remplissage - Sit. Init.'!$D$473:$D$1088),0),7))&gt;0,1,0)</f>
        <v>0</v>
      </c>
      <c r="H925" s="8"/>
      <c r="I925" s="33"/>
      <c r="J925" t="s">
        <v>70</v>
      </c>
      <c r="L925" s="114" t="s">
        <v>1480</v>
      </c>
    </row>
    <row r="926" spans="1:12" x14ac:dyDescent="0.25">
      <c r="A926" t="s">
        <v>1465</v>
      </c>
      <c r="B926" t="s">
        <v>1749</v>
      </c>
      <c r="C926" t="s">
        <v>1475</v>
      </c>
      <c r="E926" t="str">
        <f t="shared" ref="E926" si="1058">_xlfn.CONCAT("EvoFretFluvCat",RIGHT(B926,2),"DistAn")</f>
        <v>EvoFretFluvCat53DistAn</v>
      </c>
      <c r="F926" t="s">
        <v>17</v>
      </c>
      <c r="G926" s="5" cm="1">
        <f t="array" ref="G926">IF((INDEX('Remplissage - Sit. Init.'!$C$473:$I$1088,MATCH((_xlfn.CONCAT("Catégorie "&amp;RIGHT(B926,2)))&amp;('Remplissage - Sit. Init.'!$D$483),('Remplissage - Sit. Init.'!$C$473:$C$1088)&amp;('Remplissage - Sit. Init.'!$D$473:$D$1088),0),7))&gt;0,1,0)</f>
        <v>0</v>
      </c>
      <c r="I926" s="33"/>
      <c r="J926" t="s">
        <v>70</v>
      </c>
      <c r="L926" s="114" t="s">
        <v>1479</v>
      </c>
    </row>
    <row r="927" spans="1:12" x14ac:dyDescent="0.25">
      <c r="A927" t="s">
        <v>1465</v>
      </c>
      <c r="B927" t="s">
        <v>1750</v>
      </c>
      <c r="C927" t="s">
        <v>1476</v>
      </c>
      <c r="E927" t="str">
        <f t="shared" ref="E927" si="1059">_xlfn.CONCAT("EvoFretFluvCat",RIGHT(B927,2),"TauxChargeMoy")</f>
        <v>EvoFretFluvCat53TauxChargeMoy</v>
      </c>
      <c r="F927" t="s">
        <v>17</v>
      </c>
      <c r="G927" s="5" cm="1">
        <f t="array" ref="G927">IF((INDEX('Remplissage - Sit. Init.'!$C$473:$I$1088,MATCH((_xlfn.CONCAT("Catégorie "&amp;RIGHT(B927,2)))&amp;('Remplissage - Sit. Init.'!$D$483),('Remplissage - Sit. Init.'!$C$473:$C$1088)&amp;('Remplissage - Sit. Init.'!$D$473:$D$1088),0),7))&gt;0,1,0)</f>
        <v>0</v>
      </c>
      <c r="I927" s="33"/>
      <c r="J927" t="s">
        <v>70</v>
      </c>
      <c r="L927" s="114" t="s">
        <v>1481</v>
      </c>
    </row>
    <row r="928" spans="1:12" x14ac:dyDescent="0.25">
      <c r="A928" t="s">
        <v>1465</v>
      </c>
      <c r="B928" t="s">
        <v>1746</v>
      </c>
      <c r="C928" s="114" t="s">
        <v>1477</v>
      </c>
      <c r="E928" t="str">
        <f t="shared" ref="E928" si="1060">_xlfn.CONCAT("EvoFretFluvCat",RIGHT(B928,2),"NbBarges")</f>
        <v>EvoFretFluvCat53NbBarges</v>
      </c>
      <c r="F928" t="s">
        <v>17</v>
      </c>
      <c r="G928" s="5" cm="1">
        <f t="array" ref="G928">IF((INDEX('Remplissage - Sit. Init.'!$C$473:$I$1088,MATCH((_xlfn.CONCAT("Catégorie "&amp;RIGHT(B928,2)))&amp;('Remplissage - Sit. Init.'!$D$483),('Remplissage - Sit. Init.'!$C$473:$C$1088)&amp;('Remplissage - Sit. Init.'!$D$473:$D$1088),0),7))&gt;0,1,0)</f>
        <v>0</v>
      </c>
      <c r="I928" s="33"/>
      <c r="J928" t="s">
        <v>70</v>
      </c>
      <c r="L928" s="114" t="s">
        <v>1482</v>
      </c>
    </row>
    <row r="929" spans="1:12" x14ac:dyDescent="0.25">
      <c r="A929" t="s">
        <v>1465</v>
      </c>
      <c r="B929" t="s">
        <v>1751</v>
      </c>
      <c r="C929" t="str">
        <f t="shared" ref="C929" ca="1" si="1061">_xlfn.CONCAT("Pour l'évolution de l'activité associée à la catégorie de barges suivante, catégorie ",INDIRECT("'Parcs types'!C"&amp;D929),", préférez-vous renseigner : ")</f>
        <v xml:space="preserve">Pour l'évolution de l'activité associée à la catégorie de barges suivante, catégorie Pousseurs &gt;880 kW Batterie, préférez-vous renseigner : </v>
      </c>
      <c r="D929">
        <v>118</v>
      </c>
      <c r="E929" t="str">
        <f t="shared" ref="E929" si="1062">_xlfn.CONCAT("EvoFretFluvCat",RIGHT(B929,2),"Request")</f>
        <v>EvoFretFluvCat54Request</v>
      </c>
      <c r="F929" s="32" t="s">
        <v>20</v>
      </c>
      <c r="G929" s="5" cm="1">
        <f t="array" ref="G929">IF((INDEX('Remplissage - Sit. Init.'!$C$473:$I$1088,MATCH((_xlfn.CONCAT("Catégorie "&amp;RIGHT(B929,2)))&amp;('Remplissage - Sit. Init.'!$D$483),('Remplissage - Sit. Init.'!$C$473:$C$1088)&amp;('Remplissage - Sit. Init.'!$D$473:$D$1088),0),7))&gt;0,1,0)</f>
        <v>0</v>
      </c>
      <c r="I929" s="33" t="s">
        <v>1466</v>
      </c>
      <c r="K929" s="8"/>
    </row>
    <row r="930" spans="1:12" x14ac:dyDescent="0.25">
      <c r="A930" t="s">
        <v>1465</v>
      </c>
      <c r="B930" t="s">
        <v>1752</v>
      </c>
      <c r="C930" t="s">
        <v>1472</v>
      </c>
      <c r="E930" t="str">
        <f t="shared" ref="E930" si="1063">_xlfn.CONCAT("EvoFretFluvCat",RIGHT(B930,2),"NbTraj")</f>
        <v>EvoFretFluvCat54NbTraj</v>
      </c>
      <c r="F930" t="s">
        <v>17</v>
      </c>
      <c r="G930" s="5" cm="1">
        <f t="array" ref="G930">IF((INDEX('Remplissage - Sit. Init.'!$C$473:$I$1088,MATCH((_xlfn.CONCAT("Catégorie "&amp;RIGHT(B930,2)))&amp;('Remplissage - Sit. Init.'!$D$483),('Remplissage - Sit. Init.'!$C$473:$C$1088)&amp;('Remplissage - Sit. Init.'!$D$473:$D$1088),0),7))&gt;0,1,0)</f>
        <v>0</v>
      </c>
      <c r="H930" s="8"/>
      <c r="I930" s="33"/>
      <c r="J930" t="s">
        <v>70</v>
      </c>
      <c r="L930" s="114" t="s">
        <v>1478</v>
      </c>
    </row>
    <row r="931" spans="1:12" x14ac:dyDescent="0.25">
      <c r="A931" t="s">
        <v>1465</v>
      </c>
      <c r="B931" t="s">
        <v>1753</v>
      </c>
      <c r="C931" t="s">
        <v>1473</v>
      </c>
      <c r="E931" t="str">
        <f t="shared" ref="E931" si="1064">_xlfn.CONCAT("EvoFretFluvCat",RIGHT(B931,2),"DistMoy")</f>
        <v>EvoFretFluvCat54DistMoy</v>
      </c>
      <c r="F931" t="s">
        <v>17</v>
      </c>
      <c r="G931" s="5" cm="1">
        <f t="array" ref="G931">IF((INDEX('Remplissage - Sit. Init.'!$C$473:$I$1088,MATCH((_xlfn.CONCAT("Catégorie "&amp;RIGHT(B931,2)))&amp;('Remplissage - Sit. Init.'!$D$483),('Remplissage - Sit. Init.'!$C$473:$C$1088)&amp;('Remplissage - Sit. Init.'!$D$473:$D$1088),0),7))&gt;0,1,0)</f>
        <v>0</v>
      </c>
      <c r="H931" s="8"/>
      <c r="I931" s="33"/>
      <c r="J931" t="s">
        <v>70</v>
      </c>
      <c r="L931" s="114" t="s">
        <v>1479</v>
      </c>
    </row>
    <row r="932" spans="1:12" x14ac:dyDescent="0.25">
      <c r="A932" t="s">
        <v>1465</v>
      </c>
      <c r="B932" t="s">
        <v>1754</v>
      </c>
      <c r="C932" t="s">
        <v>1474</v>
      </c>
      <c r="E932" t="str">
        <f t="shared" ref="E932" si="1065">_xlfn.CONCAT("EvoFretFluvCat",RIGHT(B932,2),"EmportMoy")</f>
        <v>EvoFretFluvCat54EmportMoy</v>
      </c>
      <c r="F932" t="s">
        <v>17</v>
      </c>
      <c r="G932" s="5" cm="1">
        <f t="array" ref="G932">IF((INDEX('Remplissage - Sit. Init.'!$C$473:$I$1088,MATCH((_xlfn.CONCAT("Catégorie "&amp;RIGHT(B932,2)))&amp;('Remplissage - Sit. Init.'!$D$483),('Remplissage - Sit. Init.'!$C$473:$C$1088)&amp;('Remplissage - Sit. Init.'!$D$473:$D$1088),0),7))&gt;0,1,0)</f>
        <v>0</v>
      </c>
      <c r="H932" s="8"/>
      <c r="I932" s="33"/>
      <c r="J932" t="s">
        <v>70</v>
      </c>
      <c r="L932" s="114" t="s">
        <v>1480</v>
      </c>
    </row>
    <row r="933" spans="1:12" x14ac:dyDescent="0.25">
      <c r="A933" t="s">
        <v>1465</v>
      </c>
      <c r="B933" t="s">
        <v>1755</v>
      </c>
      <c r="C933" t="s">
        <v>1475</v>
      </c>
      <c r="E933" t="str">
        <f t="shared" ref="E933" si="1066">_xlfn.CONCAT("EvoFretFluvCat",RIGHT(B933,2),"DistAn")</f>
        <v>EvoFretFluvCat54DistAn</v>
      </c>
      <c r="F933" t="s">
        <v>17</v>
      </c>
      <c r="G933" s="5" cm="1">
        <f t="array" ref="G933">IF((INDEX('Remplissage - Sit. Init.'!$C$473:$I$1088,MATCH((_xlfn.CONCAT("Catégorie "&amp;RIGHT(B933,2)))&amp;('Remplissage - Sit. Init.'!$D$483),('Remplissage - Sit. Init.'!$C$473:$C$1088)&amp;('Remplissage - Sit. Init.'!$D$473:$D$1088),0),7))&gt;0,1,0)</f>
        <v>0</v>
      </c>
      <c r="I933" s="33"/>
      <c r="J933" t="s">
        <v>70</v>
      </c>
      <c r="L933" s="114" t="s">
        <v>1479</v>
      </c>
    </row>
    <row r="934" spans="1:12" x14ac:dyDescent="0.25">
      <c r="A934" t="s">
        <v>1465</v>
      </c>
      <c r="B934" t="s">
        <v>1756</v>
      </c>
      <c r="C934" t="s">
        <v>1476</v>
      </c>
      <c r="E934" t="str">
        <f t="shared" ref="E934" si="1067">_xlfn.CONCAT("EvoFretFluvCat",RIGHT(B934,2),"TauxChargeMoy")</f>
        <v>EvoFretFluvCat54TauxChargeMoy</v>
      </c>
      <c r="F934" t="s">
        <v>17</v>
      </c>
      <c r="G934" s="5" cm="1">
        <f t="array" ref="G934">IF((INDEX('Remplissage - Sit. Init.'!$C$473:$I$1088,MATCH((_xlfn.CONCAT("Catégorie "&amp;RIGHT(B934,2)))&amp;('Remplissage - Sit. Init.'!$D$483),('Remplissage - Sit. Init.'!$C$473:$C$1088)&amp;('Remplissage - Sit. Init.'!$D$473:$D$1088),0),7))&gt;0,1,0)</f>
        <v>0</v>
      </c>
      <c r="I934" s="33"/>
      <c r="J934" t="s">
        <v>70</v>
      </c>
      <c r="L934" s="114" t="s">
        <v>1481</v>
      </c>
    </row>
    <row r="935" spans="1:12" x14ac:dyDescent="0.25">
      <c r="A935" t="s">
        <v>1465</v>
      </c>
      <c r="B935" t="s">
        <v>1752</v>
      </c>
      <c r="C935" s="114" t="s">
        <v>1477</v>
      </c>
      <c r="E935" t="str">
        <f t="shared" ref="E935" si="1068">_xlfn.CONCAT("EvoFretFluvCat",RIGHT(B935,2),"NbBarges")</f>
        <v>EvoFretFluvCat54NbBarges</v>
      </c>
      <c r="F935" t="s">
        <v>17</v>
      </c>
      <c r="G935" s="5" cm="1">
        <f t="array" ref="G935">IF((INDEX('Remplissage - Sit. Init.'!$C$473:$I$1088,MATCH((_xlfn.CONCAT("Catégorie "&amp;RIGHT(B935,2)))&amp;('Remplissage - Sit. Init.'!$D$483),('Remplissage - Sit. Init.'!$C$473:$C$1088)&amp;('Remplissage - Sit. Init.'!$D$473:$D$1088),0),7))&gt;0,1,0)</f>
        <v>0</v>
      </c>
      <c r="I935" s="33"/>
      <c r="J935" t="s">
        <v>70</v>
      </c>
      <c r="L935" s="114" t="s">
        <v>1482</v>
      </c>
    </row>
    <row r="936" spans="1:12" x14ac:dyDescent="0.25">
      <c r="A936" t="s">
        <v>1465</v>
      </c>
      <c r="B936" t="s">
        <v>1757</v>
      </c>
      <c r="C936" t="str">
        <f t="shared" ref="C936" ca="1" si="1069">_xlfn.CONCAT("Pour l'évolution de l'activité associée à la catégorie de barges suivante, catégorie ",INDIRECT("'Parcs types'!C"&amp;D936),", préférez-vous renseigner : ")</f>
        <v xml:space="preserve">Pour l'évolution de l'activité associée à la catégorie de barges suivante, catégorie Pousseurs &gt;880 kW H2 , PAC, préférez-vous renseigner : </v>
      </c>
      <c r="D936">
        <v>119</v>
      </c>
      <c r="E936" t="str">
        <f t="shared" ref="E936" si="1070">_xlfn.CONCAT("EvoFretFluvCat",RIGHT(B936,2),"Request")</f>
        <v>EvoFretFluvCat55Request</v>
      </c>
      <c r="F936" s="32" t="s">
        <v>20</v>
      </c>
      <c r="G936" s="5" cm="1">
        <f t="array" ref="G936">IF((INDEX('Remplissage - Sit. Init.'!$C$473:$I$1088,MATCH((_xlfn.CONCAT("Catégorie "&amp;RIGHT(B936,2)))&amp;('Remplissage - Sit. Init.'!$D$483),('Remplissage - Sit. Init.'!$C$473:$C$1088)&amp;('Remplissage - Sit. Init.'!$D$473:$D$1088),0),7))&gt;0,1,0)</f>
        <v>0</v>
      </c>
      <c r="I936" s="33" t="s">
        <v>1466</v>
      </c>
      <c r="K936" s="8"/>
    </row>
    <row r="937" spans="1:12" x14ac:dyDescent="0.25">
      <c r="A937" t="s">
        <v>1465</v>
      </c>
      <c r="B937" t="s">
        <v>1758</v>
      </c>
      <c r="C937" t="s">
        <v>1472</v>
      </c>
      <c r="E937" t="str">
        <f t="shared" ref="E937" si="1071">_xlfn.CONCAT("EvoFretFluvCat",RIGHT(B937,2),"NbTraj")</f>
        <v>EvoFretFluvCat55NbTraj</v>
      </c>
      <c r="F937" t="s">
        <v>17</v>
      </c>
      <c r="G937" s="5" cm="1">
        <f t="array" ref="G937">IF((INDEX('Remplissage - Sit. Init.'!$C$473:$I$1088,MATCH((_xlfn.CONCAT("Catégorie "&amp;RIGHT(B937,2)))&amp;('Remplissage - Sit. Init.'!$D$483),('Remplissage - Sit. Init.'!$C$473:$C$1088)&amp;('Remplissage - Sit. Init.'!$D$473:$D$1088),0),7))&gt;0,1,0)</f>
        <v>0</v>
      </c>
      <c r="H937" s="8"/>
      <c r="I937" s="33"/>
      <c r="J937" t="s">
        <v>70</v>
      </c>
      <c r="L937" s="114" t="s">
        <v>1478</v>
      </c>
    </row>
    <row r="938" spans="1:12" x14ac:dyDescent="0.25">
      <c r="A938" t="s">
        <v>1465</v>
      </c>
      <c r="B938" t="s">
        <v>1759</v>
      </c>
      <c r="C938" t="s">
        <v>1473</v>
      </c>
      <c r="E938" t="str">
        <f t="shared" ref="E938" si="1072">_xlfn.CONCAT("EvoFretFluvCat",RIGHT(B938,2),"DistMoy")</f>
        <v>EvoFretFluvCat55DistMoy</v>
      </c>
      <c r="F938" t="s">
        <v>17</v>
      </c>
      <c r="G938" s="5" cm="1">
        <f t="array" ref="G938">IF((INDEX('Remplissage - Sit. Init.'!$C$473:$I$1088,MATCH((_xlfn.CONCAT("Catégorie "&amp;RIGHT(B938,2)))&amp;('Remplissage - Sit. Init.'!$D$483),('Remplissage - Sit. Init.'!$C$473:$C$1088)&amp;('Remplissage - Sit. Init.'!$D$473:$D$1088),0),7))&gt;0,1,0)</f>
        <v>0</v>
      </c>
      <c r="H938" s="8"/>
      <c r="I938" s="33"/>
      <c r="J938" t="s">
        <v>70</v>
      </c>
      <c r="L938" s="114" t="s">
        <v>1479</v>
      </c>
    </row>
    <row r="939" spans="1:12" x14ac:dyDescent="0.25">
      <c r="A939" t="s">
        <v>1465</v>
      </c>
      <c r="B939" t="s">
        <v>1760</v>
      </c>
      <c r="C939" t="s">
        <v>1474</v>
      </c>
      <c r="E939" t="str">
        <f t="shared" ref="E939" si="1073">_xlfn.CONCAT("EvoFretFluvCat",RIGHT(B939,2),"EmportMoy")</f>
        <v>EvoFretFluvCat55EmportMoy</v>
      </c>
      <c r="F939" t="s">
        <v>17</v>
      </c>
      <c r="G939" s="5" cm="1">
        <f t="array" ref="G939">IF((INDEX('Remplissage - Sit. Init.'!$C$473:$I$1088,MATCH((_xlfn.CONCAT("Catégorie "&amp;RIGHT(B939,2)))&amp;('Remplissage - Sit. Init.'!$D$483),('Remplissage - Sit. Init.'!$C$473:$C$1088)&amp;('Remplissage - Sit. Init.'!$D$473:$D$1088),0),7))&gt;0,1,0)</f>
        <v>0</v>
      </c>
      <c r="H939" s="8"/>
      <c r="I939" s="33"/>
      <c r="J939" t="s">
        <v>70</v>
      </c>
      <c r="L939" s="114" t="s">
        <v>1480</v>
      </c>
    </row>
    <row r="940" spans="1:12" x14ac:dyDescent="0.25">
      <c r="A940" t="s">
        <v>1465</v>
      </c>
      <c r="B940" t="s">
        <v>1761</v>
      </c>
      <c r="C940" t="s">
        <v>1475</v>
      </c>
      <c r="E940" t="str">
        <f t="shared" ref="E940" si="1074">_xlfn.CONCAT("EvoFretFluvCat",RIGHT(B940,2),"DistAn")</f>
        <v>EvoFretFluvCat55DistAn</v>
      </c>
      <c r="F940" t="s">
        <v>17</v>
      </c>
      <c r="G940" s="5" cm="1">
        <f t="array" ref="G940">IF((INDEX('Remplissage - Sit. Init.'!$C$473:$I$1088,MATCH((_xlfn.CONCAT("Catégorie "&amp;RIGHT(B940,2)))&amp;('Remplissage - Sit. Init.'!$D$483),('Remplissage - Sit. Init.'!$C$473:$C$1088)&amp;('Remplissage - Sit. Init.'!$D$473:$D$1088),0),7))&gt;0,1,0)</f>
        <v>0</v>
      </c>
      <c r="I940" s="33"/>
      <c r="J940" t="s">
        <v>70</v>
      </c>
      <c r="L940" s="114" t="s">
        <v>1479</v>
      </c>
    </row>
    <row r="941" spans="1:12" x14ac:dyDescent="0.25">
      <c r="A941" t="s">
        <v>1465</v>
      </c>
      <c r="B941" t="s">
        <v>1762</v>
      </c>
      <c r="C941" t="s">
        <v>1476</v>
      </c>
      <c r="E941" t="str">
        <f t="shared" ref="E941" si="1075">_xlfn.CONCAT("EvoFretFluvCat",RIGHT(B941,2),"TauxChargeMoy")</f>
        <v>EvoFretFluvCat55TauxChargeMoy</v>
      </c>
      <c r="F941" t="s">
        <v>17</v>
      </c>
      <c r="G941" s="5" cm="1">
        <f t="array" ref="G941">IF((INDEX('Remplissage - Sit. Init.'!$C$473:$I$1088,MATCH((_xlfn.CONCAT("Catégorie "&amp;RIGHT(B941,2)))&amp;('Remplissage - Sit. Init.'!$D$483),('Remplissage - Sit. Init.'!$C$473:$C$1088)&amp;('Remplissage - Sit. Init.'!$D$473:$D$1088),0),7))&gt;0,1,0)</f>
        <v>0</v>
      </c>
      <c r="I941" s="33"/>
      <c r="J941" t="s">
        <v>70</v>
      </c>
      <c r="L941" s="114" t="s">
        <v>1481</v>
      </c>
    </row>
    <row r="942" spans="1:12" x14ac:dyDescent="0.25">
      <c r="A942" t="s">
        <v>1465</v>
      </c>
      <c r="B942" t="s">
        <v>1758</v>
      </c>
      <c r="C942" s="114" t="s">
        <v>1477</v>
      </c>
      <c r="E942" t="str">
        <f t="shared" ref="E942" si="1076">_xlfn.CONCAT("EvoFretFluvCat",RIGHT(B942,2),"NbBarges")</f>
        <v>EvoFretFluvCat55NbBarges</v>
      </c>
      <c r="F942" t="s">
        <v>17</v>
      </c>
      <c r="G942" s="5" cm="1">
        <f t="array" ref="G942">IF((INDEX('Remplissage - Sit. Init.'!$C$473:$I$1088,MATCH((_xlfn.CONCAT("Catégorie "&amp;RIGHT(B942,2)))&amp;('Remplissage - Sit. Init.'!$D$483),('Remplissage - Sit. Init.'!$C$473:$C$1088)&amp;('Remplissage - Sit. Init.'!$D$473:$D$1088),0),7))&gt;0,1,0)</f>
        <v>0</v>
      </c>
      <c r="I942" s="33"/>
      <c r="J942" t="s">
        <v>70</v>
      </c>
      <c r="L942" s="114" t="s">
        <v>1482</v>
      </c>
    </row>
    <row r="943" spans="1:12" x14ac:dyDescent="0.25">
      <c r="A943" t="s">
        <v>1465</v>
      </c>
      <c r="B943" t="s">
        <v>1763</v>
      </c>
      <c r="C943" t="str">
        <f t="shared" ref="C943" ca="1" si="1077">_xlfn.CONCAT("Pour l'évolution de l'activité associée à la catégorie de barges suivante, catégorie ",INDIRECT("'Parcs types'!C"&amp;D943),", préférez-vous renseigner : ")</f>
        <v xml:space="preserve">Pour l'évolution de l'activité associée à la catégorie de barges suivante, catégorie Pousseurs &gt;880 kW H2 , ICE, préférez-vous renseigner : </v>
      </c>
      <c r="D943">
        <v>120</v>
      </c>
      <c r="E943" t="str">
        <f t="shared" ref="E943" si="1078">_xlfn.CONCAT("EvoFretFluvCat",RIGHT(B943,2),"Request")</f>
        <v>EvoFretFluvCat56Request</v>
      </c>
      <c r="F943" s="32" t="s">
        <v>20</v>
      </c>
      <c r="G943" s="5" cm="1">
        <f t="array" ref="G943">IF((INDEX('Remplissage - Sit. Init.'!$C$473:$I$1088,MATCH((_xlfn.CONCAT("Catégorie "&amp;RIGHT(B943,2)))&amp;('Remplissage - Sit. Init.'!$D$483),('Remplissage - Sit. Init.'!$C$473:$C$1088)&amp;('Remplissage - Sit. Init.'!$D$473:$D$1088),0),7))&gt;0,1,0)</f>
        <v>0</v>
      </c>
      <c r="I943" s="33" t="s">
        <v>1466</v>
      </c>
      <c r="K943" s="8"/>
    </row>
    <row r="944" spans="1:12" x14ac:dyDescent="0.25">
      <c r="A944" t="s">
        <v>1465</v>
      </c>
      <c r="B944" t="s">
        <v>1764</v>
      </c>
      <c r="C944" t="s">
        <v>1472</v>
      </c>
      <c r="E944" t="str">
        <f t="shared" ref="E944" si="1079">_xlfn.CONCAT("EvoFretFluvCat",RIGHT(B944,2),"NbTraj")</f>
        <v>EvoFretFluvCat56NbTraj</v>
      </c>
      <c r="F944" t="s">
        <v>17</v>
      </c>
      <c r="G944" s="5" cm="1">
        <f t="array" ref="G944">IF((INDEX('Remplissage - Sit. Init.'!$C$473:$I$1088,MATCH((_xlfn.CONCAT("Catégorie "&amp;RIGHT(B944,2)))&amp;('Remplissage - Sit. Init.'!$D$483),('Remplissage - Sit. Init.'!$C$473:$C$1088)&amp;('Remplissage - Sit. Init.'!$D$473:$D$1088),0),7))&gt;0,1,0)</f>
        <v>0</v>
      </c>
      <c r="H944" s="8"/>
      <c r="I944" s="33"/>
      <c r="J944" t="s">
        <v>70</v>
      </c>
      <c r="L944" s="114" t="s">
        <v>1478</v>
      </c>
    </row>
    <row r="945" spans="1:12" x14ac:dyDescent="0.25">
      <c r="A945" t="s">
        <v>1465</v>
      </c>
      <c r="B945" t="s">
        <v>1765</v>
      </c>
      <c r="C945" t="s">
        <v>1473</v>
      </c>
      <c r="E945" t="str">
        <f t="shared" ref="E945" si="1080">_xlfn.CONCAT("EvoFretFluvCat",RIGHT(B945,2),"DistMoy")</f>
        <v>EvoFretFluvCat56DistMoy</v>
      </c>
      <c r="F945" t="s">
        <v>17</v>
      </c>
      <c r="G945" s="5" cm="1">
        <f t="array" ref="G945">IF((INDEX('Remplissage - Sit. Init.'!$C$473:$I$1088,MATCH((_xlfn.CONCAT("Catégorie "&amp;RIGHT(B945,2)))&amp;('Remplissage - Sit. Init.'!$D$483),('Remplissage - Sit. Init.'!$C$473:$C$1088)&amp;('Remplissage - Sit. Init.'!$D$473:$D$1088),0),7))&gt;0,1,0)</f>
        <v>0</v>
      </c>
      <c r="H945" s="8"/>
      <c r="I945" s="33"/>
      <c r="J945" t="s">
        <v>70</v>
      </c>
      <c r="L945" s="114" t="s">
        <v>1479</v>
      </c>
    </row>
    <row r="946" spans="1:12" x14ac:dyDescent="0.25">
      <c r="A946" t="s">
        <v>1465</v>
      </c>
      <c r="B946" t="s">
        <v>1766</v>
      </c>
      <c r="C946" t="s">
        <v>1474</v>
      </c>
      <c r="E946" t="str">
        <f t="shared" ref="E946" si="1081">_xlfn.CONCAT("EvoFretFluvCat",RIGHT(B946,2),"EmportMoy")</f>
        <v>EvoFretFluvCat56EmportMoy</v>
      </c>
      <c r="F946" t="s">
        <v>17</v>
      </c>
      <c r="G946" s="5" cm="1">
        <f t="array" ref="G946">IF((INDEX('Remplissage - Sit. Init.'!$C$473:$I$1088,MATCH((_xlfn.CONCAT("Catégorie "&amp;RIGHT(B946,2)))&amp;('Remplissage - Sit. Init.'!$D$483),('Remplissage - Sit. Init.'!$C$473:$C$1088)&amp;('Remplissage - Sit. Init.'!$D$473:$D$1088),0),7))&gt;0,1,0)</f>
        <v>0</v>
      </c>
      <c r="H946" s="8"/>
      <c r="I946" s="33"/>
      <c r="J946" t="s">
        <v>70</v>
      </c>
      <c r="L946" s="114" t="s">
        <v>1480</v>
      </c>
    </row>
    <row r="947" spans="1:12" x14ac:dyDescent="0.25">
      <c r="A947" t="s">
        <v>1465</v>
      </c>
      <c r="B947" t="s">
        <v>1767</v>
      </c>
      <c r="C947" t="s">
        <v>1475</v>
      </c>
      <c r="E947" t="str">
        <f t="shared" ref="E947" si="1082">_xlfn.CONCAT("EvoFretFluvCat",RIGHT(B947,2),"DistAn")</f>
        <v>EvoFretFluvCat56DistAn</v>
      </c>
      <c r="F947" t="s">
        <v>17</v>
      </c>
      <c r="G947" s="5" cm="1">
        <f t="array" ref="G947">IF((INDEX('Remplissage - Sit. Init.'!$C$473:$I$1088,MATCH((_xlfn.CONCAT("Catégorie "&amp;RIGHT(B947,2)))&amp;('Remplissage - Sit. Init.'!$D$483),('Remplissage - Sit. Init.'!$C$473:$C$1088)&amp;('Remplissage - Sit. Init.'!$D$473:$D$1088),0),7))&gt;0,1,0)</f>
        <v>0</v>
      </c>
      <c r="I947" s="33"/>
      <c r="J947" t="s">
        <v>70</v>
      </c>
      <c r="L947" s="114" t="s">
        <v>1479</v>
      </c>
    </row>
    <row r="948" spans="1:12" x14ac:dyDescent="0.25">
      <c r="A948" t="s">
        <v>1465</v>
      </c>
      <c r="B948" t="s">
        <v>1768</v>
      </c>
      <c r="C948" t="s">
        <v>1476</v>
      </c>
      <c r="E948" t="str">
        <f t="shared" ref="E948" si="1083">_xlfn.CONCAT("EvoFretFluvCat",RIGHT(B948,2),"TauxChargeMoy")</f>
        <v>EvoFretFluvCat56TauxChargeMoy</v>
      </c>
      <c r="F948" t="s">
        <v>17</v>
      </c>
      <c r="G948" s="5" cm="1">
        <f t="array" ref="G948">IF((INDEX('Remplissage - Sit. Init.'!$C$473:$I$1088,MATCH((_xlfn.CONCAT("Catégorie "&amp;RIGHT(B948,2)))&amp;('Remplissage - Sit. Init.'!$D$483),('Remplissage - Sit. Init.'!$C$473:$C$1088)&amp;('Remplissage - Sit. Init.'!$D$473:$D$1088),0),7))&gt;0,1,0)</f>
        <v>0</v>
      </c>
      <c r="I948" s="33"/>
      <c r="J948" t="s">
        <v>70</v>
      </c>
      <c r="L948" s="114" t="s">
        <v>1481</v>
      </c>
    </row>
    <row r="949" spans="1:12" x14ac:dyDescent="0.25">
      <c r="A949" t="s">
        <v>1465</v>
      </c>
      <c r="B949" t="s">
        <v>1764</v>
      </c>
      <c r="C949" s="114" t="s">
        <v>1477</v>
      </c>
      <c r="E949" t="str">
        <f t="shared" ref="E949" si="1084">_xlfn.CONCAT("EvoFretFluvCat",RIGHT(B949,2),"NbBarges")</f>
        <v>EvoFretFluvCat56NbBarges</v>
      </c>
      <c r="F949" t="s">
        <v>17</v>
      </c>
      <c r="G949" s="5" cm="1">
        <f t="array" ref="G949">IF((INDEX('Remplissage - Sit. Init.'!$C$473:$I$1088,MATCH((_xlfn.CONCAT("Catégorie "&amp;RIGHT(B949,2)))&amp;('Remplissage - Sit. Init.'!$D$483),('Remplissage - Sit. Init.'!$C$473:$C$1088)&amp;('Remplissage - Sit. Init.'!$D$473:$D$1088),0),7))&gt;0,1,0)</f>
        <v>0</v>
      </c>
      <c r="I949" s="33"/>
      <c r="J949" t="s">
        <v>70</v>
      </c>
      <c r="L949" s="114" t="s">
        <v>1482</v>
      </c>
    </row>
    <row r="950" spans="1:12" s="25" customFormat="1" outlineLevel="1" x14ac:dyDescent="0.25">
      <c r="A950" t="s">
        <v>1769</v>
      </c>
      <c r="B950" s="25" t="s">
        <v>77</v>
      </c>
      <c r="C950" s="25" t="s">
        <v>135</v>
      </c>
      <c r="E950" s="25" t="str">
        <f>_xlfn.CONCAT("FretFluv",LEFT(B950,3),RIGHT(B950,1),"Nom")</f>
        <v>FretFluvCat1Nom</v>
      </c>
      <c r="F950" s="26" t="s">
        <v>20</v>
      </c>
      <c r="G950" s="25" cm="1">
        <f t="array" ref="G950">IF((INDEX('Remplissage - Sit. Init.'!$C$473:$I$1088,MATCH((B950)&amp;('Remplissage - Sit. Init.'!$D$483),('Remplissage - Sit. Init.'!$C$473:$C$1088)&amp;('Remplissage - Sit. Init.'!$D$473:$D$1088),0),7))&gt;0,0,1)</f>
        <v>1</v>
      </c>
      <c r="I950" s="27" t="str">
        <f>VLOOKUP(B950,'Parcs types'!$B$65:$AA$120,2,FALSE)</f>
        <v>Automoteurs &lt; 400 tonnes CCNR 2 ou inférieur, diesel</v>
      </c>
      <c r="K950" s="25" t="str">
        <f>I950</f>
        <v>Automoteurs &lt; 400 tonnes CCNR 2 ou inférieur, diesel</v>
      </c>
    </row>
    <row r="951" spans="1:12" s="25" customFormat="1" outlineLevel="1" x14ac:dyDescent="0.25">
      <c r="A951" t="s">
        <v>1769</v>
      </c>
      <c r="B951" s="25" t="s">
        <v>77</v>
      </c>
      <c r="C951" s="25" t="s">
        <v>136</v>
      </c>
      <c r="E951" s="25" t="str">
        <f>_xlfn.CONCAT("FretFluv",LEFT(B951,3),RIGHT(B950,1),"Type")</f>
        <v>FretFluvCat1Type</v>
      </c>
      <c r="F951" s="25" t="s">
        <v>20</v>
      </c>
      <c r="G951" s="25" cm="1">
        <f t="array" ref="G951">IF((INDEX('Remplissage - Sit. Init.'!$C$473:$I$1088,MATCH((B951)&amp;('Remplissage - Sit. Init.'!$D$483),('Remplissage - Sit. Init.'!$C$473:$C$1088)&amp;('Remplissage - Sit. Init.'!$D$473:$D$1088),0),7))&gt;0,0,1)</f>
        <v>1</v>
      </c>
      <c r="I951" s="27" t="str">
        <f>VLOOKUP(B951,'Parcs types'!$B$65:$AA$120,3,FALSE)</f>
        <v>Automoteurs</v>
      </c>
      <c r="K951" s="25" t="str">
        <f t="shared" ref="K951:K953" si="1085">I951</f>
        <v>Automoteurs</v>
      </c>
    </row>
    <row r="952" spans="1:12" s="25" customFormat="1" outlineLevel="1" x14ac:dyDescent="0.25">
      <c r="A952" t="s">
        <v>1769</v>
      </c>
      <c r="B952" s="25" t="s">
        <v>77</v>
      </c>
      <c r="C952" s="26" t="s">
        <v>137</v>
      </c>
      <c r="E952" s="25" t="str">
        <f>_xlfn.CONCAT("FretFluv",LEFT(B952,3),RIGHT(B950,1),"Cap")</f>
        <v>FretFluvCat1Cap</v>
      </c>
      <c r="F952" s="26" t="s">
        <v>36</v>
      </c>
      <c r="G952" s="25" cm="1">
        <f t="array" ref="G952">IF((INDEX('Remplissage - Sit. Init.'!$C$473:$I$1088,MATCH((B952)&amp;('Remplissage - Sit. Init.'!$D$483),('Remplissage - Sit. Init.'!$C$473:$C$1088)&amp;('Remplissage - Sit. Init.'!$D$473:$D$1088),0),7))&gt;0,0,1)</f>
        <v>1</v>
      </c>
      <c r="I952" s="27" t="str">
        <f>VLOOKUP(B952,'Parcs types'!$B$65:$AA$120,4,FALSE)</f>
        <v>&lt; 400 tonnes</v>
      </c>
      <c r="J952" s="25" t="s">
        <v>524</v>
      </c>
      <c r="K952" s="25" t="str">
        <f t="shared" si="1085"/>
        <v>&lt; 400 tonnes</v>
      </c>
    </row>
    <row r="953" spans="1:12" s="25" customFormat="1" outlineLevel="1" x14ac:dyDescent="0.25">
      <c r="A953" t="s">
        <v>1769</v>
      </c>
      <c r="B953" s="25" t="s">
        <v>77</v>
      </c>
      <c r="C953" s="26" t="s">
        <v>525</v>
      </c>
      <c r="E953" s="25" t="str">
        <f>_xlfn.CONCAT("FretFluv",LEFT(B953,3),RIGHT(B950,1),"Tech")</f>
        <v>FretFluvCat1Tech</v>
      </c>
      <c r="F953" s="26" t="s">
        <v>20</v>
      </c>
      <c r="G953" s="25" cm="1">
        <f t="array" ref="G953">IF((INDEX('Remplissage - Sit. Init.'!$C$473:$I$1088,MATCH((B953)&amp;('Remplissage - Sit. Init.'!$D$483),('Remplissage - Sit. Init.'!$C$473:$C$1088)&amp;('Remplissage - Sit. Init.'!$D$473:$D$1088),0),7))&gt;0,0,1)</f>
        <v>1</v>
      </c>
      <c r="I953" s="27" t="str">
        <f>VLOOKUP(B953,'Parcs types'!$B$65:$AA$120,5,FALSE)</f>
        <v>CCNR 2 ou inférieur, diesel</v>
      </c>
      <c r="K953" s="25" t="str">
        <f t="shared" si="1085"/>
        <v>CCNR 2 ou inférieur, diesel</v>
      </c>
    </row>
    <row r="954" spans="1:12" s="25" customFormat="1" outlineLevel="1" x14ac:dyDescent="0.25">
      <c r="A954" t="s">
        <v>1769</v>
      </c>
      <c r="B954" s="25" t="s">
        <v>77</v>
      </c>
      <c r="C954" s="25" t="s">
        <v>140</v>
      </c>
      <c r="E954" s="25" t="str">
        <f>_xlfn.CONCAT("FretFluv",LEFT(B954,3),RIGHT(B950,1),"Request")</f>
        <v>FretFluvCat1Request</v>
      </c>
      <c r="F954" s="26" t="s">
        <v>20</v>
      </c>
      <c r="G954" s="25" cm="1">
        <f t="array" ref="G954">IF((INDEX('Remplissage - Sit. Init.'!$C$473:$I$1088,MATCH((B954)&amp;('Remplissage - Sit. Init.'!$D$483),('Remplissage - Sit. Init.'!$C$473:$C$1088)&amp;('Remplissage - Sit. Init.'!$D$473:$D$1088),0),7))&gt;0,0,1)</f>
        <v>1</v>
      </c>
      <c r="I954" s="27" t="s">
        <v>142</v>
      </c>
      <c r="K954" s="25" t="s">
        <v>143</v>
      </c>
    </row>
    <row r="955" spans="1:12" s="25" customFormat="1" outlineLevel="1" x14ac:dyDescent="0.25">
      <c r="A955" t="s">
        <v>1769</v>
      </c>
      <c r="B955" s="25" t="s">
        <v>77</v>
      </c>
      <c r="C955" s="25" t="s">
        <v>144</v>
      </c>
      <c r="E955" s="25" t="str">
        <f>_xlfn.CONCAT("FretFluv",LEFT(B955,3),RIGHT(B950,1),"NbTraj")</f>
        <v>FretFluvCat1NbTraj</v>
      </c>
      <c r="F955" s="25" t="s">
        <v>17</v>
      </c>
      <c r="G955" s="25" cm="1">
        <f t="array" ref="G955">IF((INDEX('Remplissage - Sit. Init.'!$C$473:$I$1088,MATCH((B955)&amp;('Remplissage - Sit. Init.'!$D$483),('Remplissage - Sit. Init.'!$C$473:$C$1088)&amp;('Remplissage - Sit. Init.'!$D$473:$D$1088),0),7))&gt;0,0,1)</f>
        <v>1</v>
      </c>
      <c r="I955" s="27"/>
      <c r="J955" s="25" t="s">
        <v>145</v>
      </c>
    </row>
    <row r="956" spans="1:12" s="25" customFormat="1" outlineLevel="1" x14ac:dyDescent="0.25">
      <c r="A956" t="s">
        <v>1769</v>
      </c>
      <c r="B956" s="25" t="s">
        <v>77</v>
      </c>
      <c r="C956" s="25" t="s">
        <v>146</v>
      </c>
      <c r="E956" s="25" t="str">
        <f>_xlfn.CONCAT("FretFluv",LEFT(B956,3),RIGHT(B950,1),"DistMoy")</f>
        <v>FretFluvCat1DistMoy</v>
      </c>
      <c r="F956" s="25" t="s">
        <v>17</v>
      </c>
      <c r="G956" s="25" cm="1">
        <f t="array" ref="G956">IF((INDEX('Remplissage - Sit. Init.'!$C$473:$I$1088,MATCH((B956)&amp;('Remplissage - Sit. Init.'!$D$483),('Remplissage - Sit. Init.'!$C$473:$C$1088)&amp;('Remplissage - Sit. Init.'!$D$473:$D$1088),0),7))&gt;0,0,1)</f>
        <v>1</v>
      </c>
      <c r="I956" s="27"/>
      <c r="J956" s="25" t="s">
        <v>88</v>
      </c>
    </row>
    <row r="957" spans="1:12" s="25" customFormat="1" outlineLevel="1" x14ac:dyDescent="0.25">
      <c r="A957" t="s">
        <v>1769</v>
      </c>
      <c r="B957" s="25" t="s">
        <v>77</v>
      </c>
      <c r="C957" s="25" t="s">
        <v>147</v>
      </c>
      <c r="E957" s="25" t="str">
        <f>_xlfn.CONCAT("FretFluv",LEFT(B957,3),RIGHT(B950,1),"EmportMoy")</f>
        <v>FretFluvCat1EmportMoy</v>
      </c>
      <c r="F957" s="25" t="s">
        <v>17</v>
      </c>
      <c r="G957" s="25" cm="1">
        <f t="array" ref="G957">IF((INDEX('Remplissage - Sit. Init.'!$C$473:$I$1088,MATCH((B957)&amp;('Remplissage - Sit. Init.'!$D$483),('Remplissage - Sit. Init.'!$C$473:$C$1088)&amp;('Remplissage - Sit. Init.'!$D$473:$D$1088),0),7))&gt;0,0,1)</f>
        <v>1</v>
      </c>
      <c r="I957" s="27"/>
      <c r="J957" s="25" t="s">
        <v>148</v>
      </c>
    </row>
    <row r="958" spans="1:12" s="25" customFormat="1" outlineLevel="1" x14ac:dyDescent="0.25">
      <c r="A958" t="s">
        <v>1769</v>
      </c>
      <c r="B958" s="25" t="s">
        <v>77</v>
      </c>
      <c r="C958" s="25" t="s">
        <v>149</v>
      </c>
      <c r="E958" s="25" t="str">
        <f>_xlfn.CONCAT("FretFluv",LEFT(B958,3),RIGHT(B950,1),"DistAn")</f>
        <v>FretFluvCat1DistAn</v>
      </c>
      <c r="F958" s="25" t="s">
        <v>17</v>
      </c>
      <c r="G958" s="25" cm="1">
        <f t="array" ref="G958">IF((INDEX('Remplissage - Sit. Init.'!$C$473:$I$1088,MATCH((B958)&amp;('Remplissage - Sit. Init.'!$D$483),('Remplissage - Sit. Init.'!$C$473:$C$1088)&amp;('Remplissage - Sit. Init.'!$D$473:$D$1088),0),7))&gt;0,0,1)</f>
        <v>1</v>
      </c>
      <c r="I958" s="27"/>
      <c r="J958" s="25" t="s">
        <v>88</v>
      </c>
      <c r="K958" s="28"/>
    </row>
    <row r="959" spans="1:12" s="25" customFormat="1" outlineLevel="1" x14ac:dyDescent="0.25">
      <c r="A959" t="s">
        <v>1769</v>
      </c>
      <c r="B959" s="25" t="s">
        <v>77</v>
      </c>
      <c r="C959" s="25" t="s">
        <v>150</v>
      </c>
      <c r="E959" s="25" t="str">
        <f>_xlfn.CONCAT("FretFluv",LEFT(B959,3),RIGHT(B950,1),"TauxChargeMoy")</f>
        <v>FretFluvCat1TauxChargeMoy</v>
      </c>
      <c r="F959" s="25" t="s">
        <v>17</v>
      </c>
      <c r="G959" s="25" cm="1">
        <f t="array" ref="G959">IF((INDEX('Remplissage - Sit. Init.'!$C$473:$I$1088,MATCH((B959)&amp;('Remplissage - Sit. Init.'!$D$483),('Remplissage - Sit. Init.'!$C$473:$C$1088)&amp;('Remplissage - Sit. Init.'!$D$473:$D$1088),0),7))&gt;0,0,1)</f>
        <v>1</v>
      </c>
      <c r="H959" s="29"/>
      <c r="I959" s="27"/>
      <c r="J959" s="25" t="s">
        <v>70</v>
      </c>
      <c r="K959" s="30"/>
    </row>
    <row r="960" spans="1:12" s="25" customFormat="1" outlineLevel="1" x14ac:dyDescent="0.25">
      <c r="A960" t="s">
        <v>1769</v>
      </c>
      <c r="B960" s="25" t="s">
        <v>77</v>
      </c>
      <c r="C960" s="26" t="s">
        <v>526</v>
      </c>
      <c r="E960" s="25" t="str">
        <f>_xlfn.CONCAT("FretFluv",LEFT(B960,3),RIGHT(B950,1),"NbBarges")</f>
        <v>FretFluvCat1NbBarges</v>
      </c>
      <c r="F960" s="25" t="s">
        <v>17</v>
      </c>
      <c r="G960" s="25" cm="1">
        <f t="array" ref="G960">IF((INDEX('Remplissage - Sit. Init.'!$C$473:$I$1088,MATCH((B960)&amp;('Remplissage - Sit. Init.'!$D$483),('Remplissage - Sit. Init.'!$C$473:$C$1088)&amp;('Remplissage - Sit. Init.'!$D$473:$D$1088),0),7))&gt;0,0,1)</f>
        <v>1</v>
      </c>
      <c r="H960" s="28"/>
      <c r="I960" s="27"/>
      <c r="J960" s="25" t="s">
        <v>151</v>
      </c>
      <c r="K960" s="28"/>
    </row>
    <row r="961" spans="1:11" s="25" customFormat="1" outlineLevel="1" x14ac:dyDescent="0.25">
      <c r="A961" t="s">
        <v>1769</v>
      </c>
      <c r="B961" s="25" t="s">
        <v>90</v>
      </c>
      <c r="C961" s="25" t="s">
        <v>135</v>
      </c>
      <c r="E961" s="25" t="str">
        <f t="shared" ref="E961" si="1086">_xlfn.CONCAT("FretFluv",LEFT(B961,3),RIGHT(B961,1),"Nom")</f>
        <v>FretFluvCat2Nom</v>
      </c>
      <c r="F961" s="26" t="s">
        <v>20</v>
      </c>
      <c r="G961" s="25" cm="1">
        <f t="array" ref="G961">IF((INDEX('Remplissage - Sit. Init.'!$C$473:$I$1088,MATCH((B961)&amp;('Remplissage - Sit. Init.'!$D$483),('Remplissage - Sit. Init.'!$C$473:$C$1088)&amp;('Remplissage - Sit. Init.'!$D$473:$D$1088),0),7))&gt;0,0,1)</f>
        <v>1</v>
      </c>
      <c r="I961" s="27" t="str">
        <f>VLOOKUP(B961,'Parcs types'!$B$65:$AA$120,2,FALSE)</f>
        <v>Automoteurs &lt; 400 tonnes CCNR 2 + SCR, diesel</v>
      </c>
      <c r="K961" s="25" t="str">
        <f>I961</f>
        <v>Automoteurs &lt; 400 tonnes CCNR 2 + SCR, diesel</v>
      </c>
    </row>
    <row r="962" spans="1:11" s="25" customFormat="1" outlineLevel="1" x14ac:dyDescent="0.25">
      <c r="A962" t="s">
        <v>1769</v>
      </c>
      <c r="B962" s="25" t="s">
        <v>90</v>
      </c>
      <c r="C962" s="25" t="s">
        <v>136</v>
      </c>
      <c r="E962" s="25" t="str">
        <f t="shared" ref="E962" si="1087">_xlfn.CONCAT("FretFluv",LEFT(B962,3),RIGHT(B961,1),"Type")</f>
        <v>FretFluvCat2Type</v>
      </c>
      <c r="F962" s="25" t="s">
        <v>20</v>
      </c>
      <c r="G962" s="25" cm="1">
        <f t="array" ref="G962">IF((INDEX('Remplissage - Sit. Init.'!$C$473:$I$1088,MATCH((B962)&amp;('Remplissage - Sit. Init.'!$D$483),('Remplissage - Sit. Init.'!$C$473:$C$1088)&amp;('Remplissage - Sit. Init.'!$D$473:$D$1088),0),7))&gt;0,0,1)</f>
        <v>1</v>
      </c>
      <c r="I962" s="27" t="str">
        <f>VLOOKUP(B962,'Parcs types'!$B$65:$AA$120,3,FALSE)</f>
        <v>Automoteurs</v>
      </c>
      <c r="K962" s="25" t="str">
        <f t="shared" ref="K962:K964" si="1088">I962</f>
        <v>Automoteurs</v>
      </c>
    </row>
    <row r="963" spans="1:11" s="25" customFormat="1" outlineLevel="1" x14ac:dyDescent="0.25">
      <c r="A963" t="s">
        <v>1769</v>
      </c>
      <c r="B963" s="25" t="s">
        <v>90</v>
      </c>
      <c r="C963" s="26" t="s">
        <v>137</v>
      </c>
      <c r="E963" s="25" t="str">
        <f t="shared" ref="E963" si="1089">_xlfn.CONCAT("FretFluv",LEFT(B963,3),RIGHT(B961,1),"Cap")</f>
        <v>FretFluvCat2Cap</v>
      </c>
      <c r="F963" s="26" t="s">
        <v>36</v>
      </c>
      <c r="G963" s="25" cm="1">
        <f t="array" ref="G963">IF((INDEX('Remplissage - Sit. Init.'!$C$473:$I$1088,MATCH((B963)&amp;('Remplissage - Sit. Init.'!$D$483),('Remplissage - Sit. Init.'!$C$473:$C$1088)&amp;('Remplissage - Sit. Init.'!$D$473:$D$1088),0),7))&gt;0,0,1)</f>
        <v>1</v>
      </c>
      <c r="I963" s="27" t="str">
        <f>VLOOKUP(B963,'Parcs types'!$B$65:$AA$120,4,FALSE)</f>
        <v>&lt; 400 tonnes</v>
      </c>
      <c r="J963" s="25" t="s">
        <v>524</v>
      </c>
      <c r="K963" s="25" t="str">
        <f t="shared" si="1088"/>
        <v>&lt; 400 tonnes</v>
      </c>
    </row>
    <row r="964" spans="1:11" s="25" customFormat="1" outlineLevel="1" x14ac:dyDescent="0.25">
      <c r="A964" t="s">
        <v>1769</v>
      </c>
      <c r="B964" s="25" t="s">
        <v>90</v>
      </c>
      <c r="C964" s="26" t="s">
        <v>525</v>
      </c>
      <c r="E964" s="25" t="str">
        <f t="shared" ref="E964" si="1090">_xlfn.CONCAT("FretFluv",LEFT(B964,3),RIGHT(B961,1),"Tech")</f>
        <v>FretFluvCat2Tech</v>
      </c>
      <c r="F964" s="26" t="s">
        <v>20</v>
      </c>
      <c r="G964" s="25" cm="1">
        <f t="array" ref="G964">IF((INDEX('Remplissage - Sit. Init.'!$C$473:$I$1088,MATCH((B964)&amp;('Remplissage - Sit. Init.'!$D$483),('Remplissage - Sit. Init.'!$C$473:$C$1088)&amp;('Remplissage - Sit. Init.'!$D$473:$D$1088),0),7))&gt;0,0,1)</f>
        <v>1</v>
      </c>
      <c r="I964" s="27" t="str">
        <f>VLOOKUP(B964,'Parcs types'!$B$65:$AA$120,5,FALSE)</f>
        <v>CCNR 2 + SCR, diesel</v>
      </c>
      <c r="K964" s="25" t="str">
        <f t="shared" si="1088"/>
        <v>CCNR 2 + SCR, diesel</v>
      </c>
    </row>
    <row r="965" spans="1:11" s="25" customFormat="1" outlineLevel="1" x14ac:dyDescent="0.25">
      <c r="A965" t="s">
        <v>1769</v>
      </c>
      <c r="B965" s="25" t="s">
        <v>90</v>
      </c>
      <c r="C965" s="25" t="s">
        <v>140</v>
      </c>
      <c r="E965" s="25" t="str">
        <f t="shared" ref="E965" si="1091">_xlfn.CONCAT("FretFluv",LEFT(B965,3),RIGHT(B961,1),"Request")</f>
        <v>FretFluvCat2Request</v>
      </c>
      <c r="F965" s="26" t="s">
        <v>20</v>
      </c>
      <c r="G965" s="25" cm="1">
        <f t="array" ref="G965">IF((INDEX('Remplissage - Sit. Init.'!$C$473:$I$1088,MATCH((B965)&amp;('Remplissage - Sit. Init.'!$D$483),('Remplissage - Sit. Init.'!$C$473:$C$1088)&amp;('Remplissage - Sit. Init.'!$D$473:$D$1088),0),7))&gt;0,0,1)</f>
        <v>1</v>
      </c>
      <c r="I965" s="27" t="s">
        <v>142</v>
      </c>
    </row>
    <row r="966" spans="1:11" s="25" customFormat="1" outlineLevel="1" x14ac:dyDescent="0.25">
      <c r="A966" t="s">
        <v>1769</v>
      </c>
      <c r="B966" s="25" t="s">
        <v>90</v>
      </c>
      <c r="C966" s="25" t="s">
        <v>144</v>
      </c>
      <c r="E966" s="25" t="str">
        <f t="shared" ref="E966" si="1092">_xlfn.CONCAT("FretFluv",LEFT(B966,3),RIGHT(B961,1),"NbTraj")</f>
        <v>FretFluvCat2NbTraj</v>
      </c>
      <c r="F966" s="25" t="s">
        <v>17</v>
      </c>
      <c r="G966" s="25" cm="1">
        <f t="array" ref="G966">IF((INDEX('Remplissage - Sit. Init.'!$C$473:$I$1088,MATCH((B966)&amp;('Remplissage - Sit. Init.'!$D$483),('Remplissage - Sit. Init.'!$C$473:$C$1088)&amp;('Remplissage - Sit. Init.'!$D$473:$D$1088),0),7))&gt;0,0,1)</f>
        <v>1</v>
      </c>
      <c r="I966" s="27"/>
      <c r="J966" s="25" t="s">
        <v>145</v>
      </c>
    </row>
    <row r="967" spans="1:11" s="25" customFormat="1" outlineLevel="1" x14ac:dyDescent="0.25">
      <c r="A967" t="s">
        <v>1769</v>
      </c>
      <c r="B967" s="25" t="s">
        <v>90</v>
      </c>
      <c r="C967" s="25" t="s">
        <v>146</v>
      </c>
      <c r="E967" s="25" t="str">
        <f t="shared" ref="E967" si="1093">_xlfn.CONCAT("FretFluv",LEFT(B967,3),RIGHT(B961,1),"DistMoy")</f>
        <v>FretFluvCat2DistMoy</v>
      </c>
      <c r="F967" s="25" t="s">
        <v>17</v>
      </c>
      <c r="G967" s="25" cm="1">
        <f t="array" ref="G967">IF((INDEX('Remplissage - Sit. Init.'!$C$473:$I$1088,MATCH((B967)&amp;('Remplissage - Sit. Init.'!$D$483),('Remplissage - Sit. Init.'!$C$473:$C$1088)&amp;('Remplissage - Sit. Init.'!$D$473:$D$1088),0),7))&gt;0,0,1)</f>
        <v>1</v>
      </c>
      <c r="I967" s="27"/>
      <c r="J967" s="25" t="s">
        <v>88</v>
      </c>
    </row>
    <row r="968" spans="1:11" s="25" customFormat="1" outlineLevel="1" x14ac:dyDescent="0.25">
      <c r="A968" t="s">
        <v>1769</v>
      </c>
      <c r="B968" s="25" t="s">
        <v>90</v>
      </c>
      <c r="C968" s="25" t="s">
        <v>147</v>
      </c>
      <c r="E968" s="25" t="str">
        <f t="shared" ref="E968" si="1094">_xlfn.CONCAT("FretFluv",LEFT(B968,3),RIGHT(B961,1),"EmportMoy")</f>
        <v>FretFluvCat2EmportMoy</v>
      </c>
      <c r="F968" s="25" t="s">
        <v>17</v>
      </c>
      <c r="G968" s="25" cm="1">
        <f t="array" ref="G968">IF((INDEX('Remplissage - Sit. Init.'!$C$473:$I$1088,MATCH((B968)&amp;('Remplissage - Sit. Init.'!$D$483),('Remplissage - Sit. Init.'!$C$473:$C$1088)&amp;('Remplissage - Sit. Init.'!$D$473:$D$1088),0),7))&gt;0,0,1)</f>
        <v>1</v>
      </c>
      <c r="I968" s="27"/>
      <c r="J968" s="25" t="s">
        <v>148</v>
      </c>
    </row>
    <row r="969" spans="1:11" s="25" customFormat="1" outlineLevel="1" x14ac:dyDescent="0.25">
      <c r="A969" t="s">
        <v>1769</v>
      </c>
      <c r="B969" s="25" t="s">
        <v>90</v>
      </c>
      <c r="C969" s="25" t="s">
        <v>149</v>
      </c>
      <c r="E969" s="25" t="str">
        <f t="shared" ref="E969" si="1095">_xlfn.CONCAT("FretFluv",LEFT(B969,3),RIGHT(B961,1),"DistAn")</f>
        <v>FretFluvCat2DistAn</v>
      </c>
      <c r="F969" s="25" t="s">
        <v>17</v>
      </c>
      <c r="G969" s="25" cm="1">
        <f t="array" ref="G969">IF((INDEX('Remplissage - Sit. Init.'!$C$473:$I$1088,MATCH((B969)&amp;('Remplissage - Sit. Init.'!$D$483),('Remplissage - Sit. Init.'!$C$473:$C$1088)&amp;('Remplissage - Sit. Init.'!$D$473:$D$1088),0),7))&gt;0,0,1)</f>
        <v>1</v>
      </c>
      <c r="I969" s="27"/>
      <c r="J969" s="25" t="s">
        <v>88</v>
      </c>
      <c r="K969" s="28"/>
    </row>
    <row r="970" spans="1:11" s="25" customFormat="1" outlineLevel="1" x14ac:dyDescent="0.25">
      <c r="A970" t="s">
        <v>1769</v>
      </c>
      <c r="B970" s="25" t="s">
        <v>90</v>
      </c>
      <c r="C970" s="25" t="s">
        <v>150</v>
      </c>
      <c r="E970" s="25" t="str">
        <f t="shared" ref="E970" si="1096">_xlfn.CONCAT("FretFluv",LEFT(B970,3),RIGHT(B961,1),"TauxChargeMoy")</f>
        <v>FretFluvCat2TauxChargeMoy</v>
      </c>
      <c r="F970" s="25" t="s">
        <v>17</v>
      </c>
      <c r="G970" s="25" cm="1">
        <f t="array" ref="G970">IF((INDEX('Remplissage - Sit. Init.'!$C$473:$I$1088,MATCH((B970)&amp;('Remplissage - Sit. Init.'!$D$483),('Remplissage - Sit. Init.'!$C$473:$C$1088)&amp;('Remplissage - Sit. Init.'!$D$473:$D$1088),0),7))&gt;0,0,1)</f>
        <v>1</v>
      </c>
      <c r="H970" s="29"/>
      <c r="I970" s="27"/>
      <c r="J970" s="25" t="s">
        <v>70</v>
      </c>
      <c r="K970" s="30"/>
    </row>
    <row r="971" spans="1:11" s="25" customFormat="1" outlineLevel="1" x14ac:dyDescent="0.25">
      <c r="A971" t="s">
        <v>1769</v>
      </c>
      <c r="B971" s="25" t="s">
        <v>90</v>
      </c>
      <c r="C971" s="26" t="s">
        <v>526</v>
      </c>
      <c r="E971" s="25" t="str">
        <f t="shared" ref="E971" si="1097">_xlfn.CONCAT("FretFluv",LEFT(B971,3),RIGHT(B961,1),"NbBarges")</f>
        <v>FretFluvCat2NbBarges</v>
      </c>
      <c r="F971" s="25" t="s">
        <v>17</v>
      </c>
      <c r="G971" s="25" cm="1">
        <f t="array" ref="G971">IF((INDEX('Remplissage - Sit. Init.'!$C$473:$I$1088,MATCH((B971)&amp;('Remplissage - Sit. Init.'!$D$483),('Remplissage - Sit. Init.'!$C$473:$C$1088)&amp;('Remplissage - Sit. Init.'!$D$473:$D$1088),0),7))&gt;0,0,1)</f>
        <v>1</v>
      </c>
      <c r="I971" s="27"/>
      <c r="J971" s="25" t="s">
        <v>151</v>
      </c>
    </row>
    <row r="972" spans="1:11" s="25" customFormat="1" outlineLevel="1" x14ac:dyDescent="0.25">
      <c r="A972" t="s">
        <v>1769</v>
      </c>
      <c r="B972" s="25" t="s">
        <v>91</v>
      </c>
      <c r="C972" s="25" t="s">
        <v>135</v>
      </c>
      <c r="E972" s="25" t="str">
        <f t="shared" ref="E972" si="1098">_xlfn.CONCAT("FretFluv",LEFT(B972,3),RIGHT(B972,1),"Nom")</f>
        <v>FretFluvCat3Nom</v>
      </c>
      <c r="F972" s="26" t="s">
        <v>20</v>
      </c>
      <c r="G972" s="25" cm="1">
        <f t="array" ref="G972">IF((INDEX('Remplissage - Sit. Init.'!$C$473:$I$1088,MATCH((B972)&amp;('Remplissage - Sit. Init.'!$D$483),('Remplissage - Sit. Init.'!$C$473:$C$1088)&amp;('Remplissage - Sit. Init.'!$D$473:$D$1088),0),7))&gt;0,0,1)</f>
        <v>1</v>
      </c>
      <c r="I972" s="27" t="str">
        <f>VLOOKUP(B972,'Parcs types'!$B$65:$AA$120,2,FALSE)</f>
        <v>Automoteurs &lt; 400 tonnes Phase V, diesel</v>
      </c>
      <c r="K972" s="25" t="str">
        <f>I972</f>
        <v>Automoteurs &lt; 400 tonnes Phase V, diesel</v>
      </c>
    </row>
    <row r="973" spans="1:11" s="25" customFormat="1" outlineLevel="1" x14ac:dyDescent="0.25">
      <c r="A973" t="s">
        <v>1769</v>
      </c>
      <c r="B973" s="25" t="s">
        <v>91</v>
      </c>
      <c r="C973" s="25" t="s">
        <v>136</v>
      </c>
      <c r="E973" s="25" t="str">
        <f t="shared" ref="E973" si="1099">_xlfn.CONCAT("FretFluv",LEFT(B973,3),RIGHT(B972,1),"Type")</f>
        <v>FretFluvCat3Type</v>
      </c>
      <c r="F973" s="25" t="s">
        <v>20</v>
      </c>
      <c r="G973" s="25" cm="1">
        <f t="array" ref="G973">IF((INDEX('Remplissage - Sit. Init.'!$C$473:$I$1088,MATCH((B973)&amp;('Remplissage - Sit. Init.'!$D$483),('Remplissage - Sit. Init.'!$C$473:$C$1088)&amp;('Remplissage - Sit. Init.'!$D$473:$D$1088),0),7))&gt;0,0,1)</f>
        <v>1</v>
      </c>
      <c r="I973" s="27" t="str">
        <f>VLOOKUP(B973,'Parcs types'!$B$65:$AA$120,3,FALSE)</f>
        <v>Automoteurs</v>
      </c>
      <c r="K973" s="25" t="str">
        <f t="shared" ref="K973:K975" si="1100">I973</f>
        <v>Automoteurs</v>
      </c>
    </row>
    <row r="974" spans="1:11" s="25" customFormat="1" outlineLevel="1" x14ac:dyDescent="0.25">
      <c r="A974" t="s">
        <v>1769</v>
      </c>
      <c r="B974" s="25" t="s">
        <v>91</v>
      </c>
      <c r="C974" s="26" t="s">
        <v>137</v>
      </c>
      <c r="E974" s="25" t="str">
        <f t="shared" ref="E974" si="1101">_xlfn.CONCAT("FretFluv",LEFT(B974,3),RIGHT(B972,1),"Cap")</f>
        <v>FretFluvCat3Cap</v>
      </c>
      <c r="F974" s="26" t="s">
        <v>36</v>
      </c>
      <c r="G974" s="25" cm="1">
        <f t="array" ref="G974">IF((INDEX('Remplissage - Sit. Init.'!$C$473:$I$1088,MATCH((B974)&amp;('Remplissage - Sit. Init.'!$D$483),('Remplissage - Sit. Init.'!$C$473:$C$1088)&amp;('Remplissage - Sit. Init.'!$D$473:$D$1088),0),7))&gt;0,0,1)</f>
        <v>1</v>
      </c>
      <c r="I974" s="27" t="str">
        <f>VLOOKUP(B974,'Parcs types'!$B$65:$AA$120,4,FALSE)</f>
        <v>&lt; 400 tonnes</v>
      </c>
      <c r="J974" s="25" t="s">
        <v>524</v>
      </c>
      <c r="K974" s="25" t="str">
        <f t="shared" si="1100"/>
        <v>&lt; 400 tonnes</v>
      </c>
    </row>
    <row r="975" spans="1:11" s="25" customFormat="1" outlineLevel="1" x14ac:dyDescent="0.25">
      <c r="A975" t="s">
        <v>1769</v>
      </c>
      <c r="B975" s="25" t="s">
        <v>91</v>
      </c>
      <c r="C975" s="26" t="s">
        <v>525</v>
      </c>
      <c r="E975" s="25" t="str">
        <f t="shared" ref="E975" si="1102">_xlfn.CONCAT("FretFluv",LEFT(B975,3),RIGHT(B972,1),"Tech")</f>
        <v>FretFluvCat3Tech</v>
      </c>
      <c r="F975" s="26" t="s">
        <v>20</v>
      </c>
      <c r="G975" s="25" cm="1">
        <f t="array" ref="G975">IF((INDEX('Remplissage - Sit. Init.'!$C$473:$I$1088,MATCH((B975)&amp;('Remplissage - Sit. Init.'!$D$483),('Remplissage - Sit. Init.'!$C$473:$C$1088)&amp;('Remplissage - Sit. Init.'!$D$473:$D$1088),0),7))&gt;0,0,1)</f>
        <v>1</v>
      </c>
      <c r="I975" s="27" t="str">
        <f>VLOOKUP(B975,'Parcs types'!$B$65:$AA$120,5,FALSE)</f>
        <v>Phase V, diesel</v>
      </c>
      <c r="K975" s="25" t="str">
        <f t="shared" si="1100"/>
        <v>Phase V, diesel</v>
      </c>
    </row>
    <row r="976" spans="1:11" s="25" customFormat="1" outlineLevel="1" x14ac:dyDescent="0.25">
      <c r="A976" t="s">
        <v>1769</v>
      </c>
      <c r="B976" s="25" t="s">
        <v>91</v>
      </c>
      <c r="C976" s="25" t="s">
        <v>140</v>
      </c>
      <c r="E976" s="25" t="str">
        <f t="shared" ref="E976" si="1103">_xlfn.CONCAT("FretFluv",LEFT(B976,3),RIGHT(B972,1),"Request")</f>
        <v>FretFluvCat3Request</v>
      </c>
      <c r="F976" s="26" t="s">
        <v>20</v>
      </c>
      <c r="G976" s="25" cm="1">
        <f t="array" ref="G976">IF((INDEX('Remplissage - Sit. Init.'!$C$473:$I$1088,MATCH((B976)&amp;('Remplissage - Sit. Init.'!$D$483),('Remplissage - Sit. Init.'!$C$473:$C$1088)&amp;('Remplissage - Sit. Init.'!$D$473:$D$1088),0),7))&gt;0,0,1)</f>
        <v>1</v>
      </c>
      <c r="I976" s="27" t="s">
        <v>142</v>
      </c>
    </row>
    <row r="977" spans="1:11" s="25" customFormat="1" outlineLevel="1" x14ac:dyDescent="0.25">
      <c r="A977" t="s">
        <v>1769</v>
      </c>
      <c r="B977" s="25" t="s">
        <v>91</v>
      </c>
      <c r="C977" s="25" t="s">
        <v>144</v>
      </c>
      <c r="E977" s="25" t="str">
        <f t="shared" ref="E977" si="1104">_xlfn.CONCAT("FretFluv",LEFT(B977,3),RIGHT(B972,1),"NbTraj")</f>
        <v>FretFluvCat3NbTraj</v>
      </c>
      <c r="F977" s="25" t="s">
        <v>17</v>
      </c>
      <c r="G977" s="25" cm="1">
        <f t="array" ref="G977">IF((INDEX('Remplissage - Sit. Init.'!$C$473:$I$1088,MATCH((B977)&amp;('Remplissage - Sit. Init.'!$D$483),('Remplissage - Sit. Init.'!$C$473:$C$1088)&amp;('Remplissage - Sit. Init.'!$D$473:$D$1088),0),7))&gt;0,0,1)</f>
        <v>1</v>
      </c>
      <c r="I977" s="27"/>
      <c r="J977" s="25" t="s">
        <v>145</v>
      </c>
    </row>
    <row r="978" spans="1:11" s="25" customFormat="1" outlineLevel="1" x14ac:dyDescent="0.25">
      <c r="A978" t="s">
        <v>1769</v>
      </c>
      <c r="B978" s="25" t="s">
        <v>91</v>
      </c>
      <c r="C978" s="25" t="s">
        <v>146</v>
      </c>
      <c r="E978" s="25" t="str">
        <f t="shared" ref="E978" si="1105">_xlfn.CONCAT("FretFluv",LEFT(B978,3),RIGHT(B972,1),"DistMoy")</f>
        <v>FretFluvCat3DistMoy</v>
      </c>
      <c r="F978" s="25" t="s">
        <v>17</v>
      </c>
      <c r="G978" s="25" cm="1">
        <f t="array" ref="G978">IF((INDEX('Remplissage - Sit. Init.'!$C$473:$I$1088,MATCH((B978)&amp;('Remplissage - Sit. Init.'!$D$483),('Remplissage - Sit. Init.'!$C$473:$C$1088)&amp;('Remplissage - Sit. Init.'!$D$473:$D$1088),0),7))&gt;0,0,1)</f>
        <v>1</v>
      </c>
      <c r="I978" s="27"/>
      <c r="J978" s="25" t="s">
        <v>88</v>
      </c>
    </row>
    <row r="979" spans="1:11" s="25" customFormat="1" outlineLevel="1" x14ac:dyDescent="0.25">
      <c r="A979" t="s">
        <v>1769</v>
      </c>
      <c r="B979" s="25" t="s">
        <v>91</v>
      </c>
      <c r="C979" s="25" t="s">
        <v>147</v>
      </c>
      <c r="E979" s="25" t="str">
        <f t="shared" ref="E979" si="1106">_xlfn.CONCAT("FretFluv",LEFT(B979,3),RIGHT(B972,1),"EmportMoy")</f>
        <v>FretFluvCat3EmportMoy</v>
      </c>
      <c r="F979" s="25" t="s">
        <v>17</v>
      </c>
      <c r="G979" s="25" cm="1">
        <f t="array" ref="G979">IF((INDEX('Remplissage - Sit. Init.'!$C$473:$I$1088,MATCH((B979)&amp;('Remplissage - Sit. Init.'!$D$483),('Remplissage - Sit. Init.'!$C$473:$C$1088)&amp;('Remplissage - Sit. Init.'!$D$473:$D$1088),0),7))&gt;0,0,1)</f>
        <v>1</v>
      </c>
      <c r="I979" s="27"/>
      <c r="J979" s="25" t="s">
        <v>148</v>
      </c>
      <c r="K979" s="28"/>
    </row>
    <row r="980" spans="1:11" s="25" customFormat="1" outlineLevel="1" x14ac:dyDescent="0.25">
      <c r="A980" t="s">
        <v>1769</v>
      </c>
      <c r="B980" s="25" t="s">
        <v>91</v>
      </c>
      <c r="C980" s="25" t="s">
        <v>149</v>
      </c>
      <c r="E980" s="25" t="str">
        <f t="shared" ref="E980" si="1107">_xlfn.CONCAT("FretFluv",LEFT(B980,3),RIGHT(B972,1),"DistAn")</f>
        <v>FretFluvCat3DistAn</v>
      </c>
      <c r="F980" s="25" t="s">
        <v>17</v>
      </c>
      <c r="G980" s="25" cm="1">
        <f t="array" ref="G980">IF((INDEX('Remplissage - Sit. Init.'!$C$473:$I$1088,MATCH((B980)&amp;('Remplissage - Sit. Init.'!$D$483),('Remplissage - Sit. Init.'!$C$473:$C$1088)&amp;('Remplissage - Sit. Init.'!$D$473:$D$1088),0),7))&gt;0,0,1)</f>
        <v>1</v>
      </c>
      <c r="H980" s="29"/>
      <c r="I980" s="27"/>
      <c r="J980" s="25" t="s">
        <v>88</v>
      </c>
      <c r="K980" s="30"/>
    </row>
    <row r="981" spans="1:11" s="25" customFormat="1" outlineLevel="1" x14ac:dyDescent="0.25">
      <c r="A981" t="s">
        <v>1769</v>
      </c>
      <c r="B981" s="25" t="s">
        <v>91</v>
      </c>
      <c r="C981" s="25" t="s">
        <v>150</v>
      </c>
      <c r="E981" s="25" t="str">
        <f t="shared" ref="E981" si="1108">_xlfn.CONCAT("FretFluv",LEFT(B981,3),RIGHT(B972,1),"TauxChargeMoy")</f>
        <v>FretFluvCat3TauxChargeMoy</v>
      </c>
      <c r="F981" s="25" t="s">
        <v>17</v>
      </c>
      <c r="G981" s="25" cm="1">
        <f t="array" ref="G981">IF((INDEX('Remplissage - Sit. Init.'!$C$473:$I$1088,MATCH((B981)&amp;('Remplissage - Sit. Init.'!$D$483),('Remplissage - Sit. Init.'!$C$473:$C$1088)&amp;('Remplissage - Sit. Init.'!$D$473:$D$1088),0),7))&gt;0,0,1)</f>
        <v>1</v>
      </c>
      <c r="I981" s="27"/>
      <c r="J981" s="25" t="s">
        <v>70</v>
      </c>
    </row>
    <row r="982" spans="1:11" s="25" customFormat="1" outlineLevel="1" x14ac:dyDescent="0.25">
      <c r="A982" t="s">
        <v>1769</v>
      </c>
      <c r="B982" s="25" t="s">
        <v>91</v>
      </c>
      <c r="C982" s="26" t="s">
        <v>526</v>
      </c>
      <c r="E982" s="25" t="str">
        <f t="shared" ref="E982" si="1109">_xlfn.CONCAT("FretFluv",LEFT(B982,3),RIGHT(B972,1),"NbBarges")</f>
        <v>FretFluvCat3NbBarges</v>
      </c>
      <c r="F982" s="25" t="s">
        <v>17</v>
      </c>
      <c r="G982" s="25" cm="1">
        <f t="array" ref="G982">IF((INDEX('Remplissage - Sit. Init.'!$C$473:$I$1088,MATCH((B982)&amp;('Remplissage - Sit. Init.'!$D$483),('Remplissage - Sit. Init.'!$C$473:$C$1088)&amp;('Remplissage - Sit. Init.'!$D$473:$D$1088),0),7))&gt;0,0,1)</f>
        <v>1</v>
      </c>
      <c r="I982" s="27"/>
      <c r="J982" s="25" t="s">
        <v>151</v>
      </c>
    </row>
    <row r="983" spans="1:11" s="25" customFormat="1" outlineLevel="1" x14ac:dyDescent="0.25">
      <c r="A983" t="s">
        <v>1769</v>
      </c>
      <c r="B983" s="25" t="s">
        <v>92</v>
      </c>
      <c r="C983" s="25" t="s">
        <v>135</v>
      </c>
      <c r="E983" s="25" t="str">
        <f t="shared" ref="E983" si="1110">_xlfn.CONCAT("FretFluv",LEFT(B983,3),RIGHT(B983,1),"Nom")</f>
        <v>FretFluvCat4Nom</v>
      </c>
      <c r="F983" s="26" t="s">
        <v>20</v>
      </c>
      <c r="G983" s="25" cm="1">
        <f t="array" ref="G983">IF((INDEX('Remplissage - Sit. Init.'!$C$473:$I$1088,MATCH((B983)&amp;('Remplissage - Sit. Init.'!$D$483),('Remplissage - Sit. Init.'!$C$473:$C$1088)&amp;('Remplissage - Sit. Init.'!$D$473:$D$1088),0),7))&gt;0,0,1)</f>
        <v>1</v>
      </c>
      <c r="I983" s="27" t="str">
        <f>VLOOKUP(B983,'Parcs types'!$B$65:$AA$120,2,FALSE)</f>
        <v>Automoteurs &lt; 400 tonnes Phase V, HVO</v>
      </c>
      <c r="K983" s="25" t="str">
        <f>I983</f>
        <v>Automoteurs &lt; 400 tonnes Phase V, HVO</v>
      </c>
    </row>
    <row r="984" spans="1:11" s="25" customFormat="1" outlineLevel="1" x14ac:dyDescent="0.25">
      <c r="A984" t="s">
        <v>1769</v>
      </c>
      <c r="B984" s="25" t="s">
        <v>92</v>
      </c>
      <c r="C984" s="25" t="s">
        <v>136</v>
      </c>
      <c r="E984" s="25" t="str">
        <f t="shared" ref="E984" si="1111">_xlfn.CONCAT("FretFluv",LEFT(B984,3),RIGHT(B983,1),"Type")</f>
        <v>FretFluvCat4Type</v>
      </c>
      <c r="F984" s="25" t="s">
        <v>20</v>
      </c>
      <c r="G984" s="25" cm="1">
        <f t="array" ref="G984">IF((INDEX('Remplissage - Sit. Init.'!$C$473:$I$1088,MATCH((B984)&amp;('Remplissage - Sit. Init.'!$D$483),('Remplissage - Sit. Init.'!$C$473:$C$1088)&amp;('Remplissage - Sit. Init.'!$D$473:$D$1088),0),7))&gt;0,0,1)</f>
        <v>1</v>
      </c>
      <c r="I984" s="27" t="str">
        <f>VLOOKUP(B984,'Parcs types'!$B$65:$AA$120,3,FALSE)</f>
        <v>Automoteurs</v>
      </c>
      <c r="K984" s="25" t="str">
        <f t="shared" ref="K984:K986" si="1112">I984</f>
        <v>Automoteurs</v>
      </c>
    </row>
    <row r="985" spans="1:11" s="25" customFormat="1" outlineLevel="1" x14ac:dyDescent="0.25">
      <c r="A985" t="s">
        <v>1769</v>
      </c>
      <c r="B985" s="25" t="s">
        <v>92</v>
      </c>
      <c r="C985" s="26" t="s">
        <v>137</v>
      </c>
      <c r="E985" s="25" t="str">
        <f t="shared" ref="E985" si="1113">_xlfn.CONCAT("FretFluv",LEFT(B985,3),RIGHT(B983,1),"Cap")</f>
        <v>FretFluvCat4Cap</v>
      </c>
      <c r="F985" s="26" t="s">
        <v>36</v>
      </c>
      <c r="G985" s="25" cm="1">
        <f t="array" ref="G985">IF((INDEX('Remplissage - Sit. Init.'!$C$473:$I$1088,MATCH((B985)&amp;('Remplissage - Sit. Init.'!$D$483),('Remplissage - Sit. Init.'!$C$473:$C$1088)&amp;('Remplissage - Sit. Init.'!$D$473:$D$1088),0),7))&gt;0,0,1)</f>
        <v>1</v>
      </c>
      <c r="I985" s="27" t="str">
        <f>VLOOKUP(B985,'Parcs types'!$B$65:$AA$120,4,FALSE)</f>
        <v>&lt; 400 tonnes</v>
      </c>
      <c r="J985" s="25" t="s">
        <v>524</v>
      </c>
      <c r="K985" s="25" t="str">
        <f t="shared" si="1112"/>
        <v>&lt; 400 tonnes</v>
      </c>
    </row>
    <row r="986" spans="1:11" s="25" customFormat="1" outlineLevel="1" x14ac:dyDescent="0.25">
      <c r="A986" t="s">
        <v>1769</v>
      </c>
      <c r="B986" s="25" t="s">
        <v>92</v>
      </c>
      <c r="C986" s="26" t="s">
        <v>525</v>
      </c>
      <c r="E986" s="25" t="str">
        <f t="shared" ref="E986" si="1114">_xlfn.CONCAT("FretFluv",LEFT(B986,3),RIGHT(B983,1),"Tech")</f>
        <v>FretFluvCat4Tech</v>
      </c>
      <c r="F986" s="26" t="s">
        <v>20</v>
      </c>
      <c r="G986" s="25" cm="1">
        <f t="array" ref="G986">IF((INDEX('Remplissage - Sit. Init.'!$C$473:$I$1088,MATCH((B986)&amp;('Remplissage - Sit. Init.'!$D$483),('Remplissage - Sit. Init.'!$C$473:$C$1088)&amp;('Remplissage - Sit. Init.'!$D$473:$D$1088),0),7))&gt;0,0,1)</f>
        <v>1</v>
      </c>
      <c r="I986" s="27" t="str">
        <f>VLOOKUP(B986,'Parcs types'!$B$65:$AA$120,5,FALSE)</f>
        <v>Phase V, HVO</v>
      </c>
      <c r="K986" s="25" t="str">
        <f t="shared" si="1112"/>
        <v>Phase V, HVO</v>
      </c>
    </row>
    <row r="987" spans="1:11" s="25" customFormat="1" outlineLevel="1" x14ac:dyDescent="0.25">
      <c r="A987" t="s">
        <v>1769</v>
      </c>
      <c r="B987" s="25" t="s">
        <v>92</v>
      </c>
      <c r="C987" s="25" t="s">
        <v>140</v>
      </c>
      <c r="E987" s="25" t="str">
        <f t="shared" ref="E987" si="1115">_xlfn.CONCAT("FretFluv",LEFT(B987,3),RIGHT(B983,1),"Request")</f>
        <v>FretFluvCat4Request</v>
      </c>
      <c r="F987" s="26" t="s">
        <v>20</v>
      </c>
      <c r="G987" s="25" cm="1">
        <f t="array" ref="G987">IF((INDEX('Remplissage - Sit. Init.'!$C$473:$I$1088,MATCH((B987)&amp;('Remplissage - Sit. Init.'!$D$483),('Remplissage - Sit. Init.'!$C$473:$C$1088)&amp;('Remplissage - Sit. Init.'!$D$473:$D$1088),0),7))&gt;0,0,1)</f>
        <v>1</v>
      </c>
      <c r="I987" s="27" t="s">
        <v>142</v>
      </c>
    </row>
    <row r="988" spans="1:11" s="25" customFormat="1" outlineLevel="1" x14ac:dyDescent="0.25">
      <c r="A988" t="s">
        <v>1769</v>
      </c>
      <c r="B988" s="25" t="s">
        <v>92</v>
      </c>
      <c r="C988" s="25" t="s">
        <v>144</v>
      </c>
      <c r="E988" s="25" t="str">
        <f t="shared" ref="E988" si="1116">_xlfn.CONCAT("FretFluv",LEFT(B988,3),RIGHT(B983,1),"NbTraj")</f>
        <v>FretFluvCat4NbTraj</v>
      </c>
      <c r="F988" s="25" t="s">
        <v>17</v>
      </c>
      <c r="G988" s="25" cm="1">
        <f t="array" ref="G988">IF((INDEX('Remplissage - Sit. Init.'!$C$473:$I$1088,MATCH((B988)&amp;('Remplissage - Sit. Init.'!$D$483),('Remplissage - Sit. Init.'!$C$473:$C$1088)&amp;('Remplissage - Sit. Init.'!$D$473:$D$1088),0),7))&gt;0,0,1)</f>
        <v>1</v>
      </c>
      <c r="I988" s="27"/>
      <c r="J988" s="25" t="s">
        <v>145</v>
      </c>
    </row>
    <row r="989" spans="1:11" s="25" customFormat="1" outlineLevel="1" x14ac:dyDescent="0.25">
      <c r="A989" t="s">
        <v>1769</v>
      </c>
      <c r="B989" s="25" t="s">
        <v>92</v>
      </c>
      <c r="C989" s="25" t="s">
        <v>146</v>
      </c>
      <c r="E989" s="25" t="str">
        <f t="shared" ref="E989" si="1117">_xlfn.CONCAT("FretFluv",LEFT(B989,3),RIGHT(B983,1),"DistMoy")</f>
        <v>FretFluvCat4DistMoy</v>
      </c>
      <c r="F989" s="25" t="s">
        <v>17</v>
      </c>
      <c r="G989" s="25" cm="1">
        <f t="array" ref="G989">IF((INDEX('Remplissage - Sit. Init.'!$C$473:$I$1088,MATCH((B989)&amp;('Remplissage - Sit. Init.'!$D$483),('Remplissage - Sit. Init.'!$C$473:$C$1088)&amp;('Remplissage - Sit. Init.'!$D$473:$D$1088),0),7))&gt;0,0,1)</f>
        <v>1</v>
      </c>
      <c r="I989" s="27"/>
      <c r="J989" s="25" t="s">
        <v>88</v>
      </c>
      <c r="K989" s="28"/>
    </row>
    <row r="990" spans="1:11" s="25" customFormat="1" outlineLevel="1" x14ac:dyDescent="0.25">
      <c r="A990" t="s">
        <v>1769</v>
      </c>
      <c r="B990" s="25" t="s">
        <v>92</v>
      </c>
      <c r="C990" s="25" t="s">
        <v>147</v>
      </c>
      <c r="E990" s="25" t="str">
        <f t="shared" ref="E990" si="1118">_xlfn.CONCAT("FretFluv",LEFT(B990,3),RIGHT(B983,1),"EmportMoy")</f>
        <v>FretFluvCat4EmportMoy</v>
      </c>
      <c r="F990" s="25" t="s">
        <v>17</v>
      </c>
      <c r="G990" s="25" cm="1">
        <f t="array" ref="G990">IF((INDEX('Remplissage - Sit. Init.'!$C$473:$I$1088,MATCH((B990)&amp;('Remplissage - Sit. Init.'!$D$483),('Remplissage - Sit. Init.'!$C$473:$C$1088)&amp;('Remplissage - Sit. Init.'!$D$473:$D$1088),0),7))&gt;0,0,1)</f>
        <v>1</v>
      </c>
      <c r="H990" s="29"/>
      <c r="I990" s="27"/>
      <c r="J990" s="25" t="s">
        <v>148</v>
      </c>
      <c r="K990" s="30"/>
    </row>
    <row r="991" spans="1:11" s="25" customFormat="1" outlineLevel="1" x14ac:dyDescent="0.25">
      <c r="A991" t="s">
        <v>1769</v>
      </c>
      <c r="B991" s="25" t="s">
        <v>92</v>
      </c>
      <c r="C991" s="25" t="s">
        <v>149</v>
      </c>
      <c r="E991" s="25" t="str">
        <f t="shared" ref="E991" si="1119">_xlfn.CONCAT("FretFluv",LEFT(B991,3),RIGHT(B983,1),"DistAn")</f>
        <v>FretFluvCat4DistAn</v>
      </c>
      <c r="F991" s="25" t="s">
        <v>17</v>
      </c>
      <c r="G991" s="25" cm="1">
        <f t="array" ref="G991">IF((INDEX('Remplissage - Sit. Init.'!$C$473:$I$1088,MATCH((B991)&amp;('Remplissage - Sit. Init.'!$D$483),('Remplissage - Sit. Init.'!$C$473:$C$1088)&amp;('Remplissage - Sit. Init.'!$D$473:$D$1088),0),7))&gt;0,0,1)</f>
        <v>1</v>
      </c>
      <c r="I991" s="27"/>
      <c r="J991" s="25" t="s">
        <v>88</v>
      </c>
    </row>
    <row r="992" spans="1:11" s="25" customFormat="1" outlineLevel="1" x14ac:dyDescent="0.25">
      <c r="A992" t="s">
        <v>1769</v>
      </c>
      <c r="B992" s="25" t="s">
        <v>92</v>
      </c>
      <c r="C992" s="25" t="s">
        <v>150</v>
      </c>
      <c r="E992" s="25" t="str">
        <f t="shared" ref="E992" si="1120">_xlfn.CONCAT("FretFluv",LEFT(B992,3),RIGHT(B983,1),"TauxChargeMoy")</f>
        <v>FretFluvCat4TauxChargeMoy</v>
      </c>
      <c r="F992" s="25" t="s">
        <v>17</v>
      </c>
      <c r="G992" s="25" cm="1">
        <f t="array" ref="G992">IF((INDEX('Remplissage - Sit. Init.'!$C$473:$I$1088,MATCH((B992)&amp;('Remplissage - Sit. Init.'!$D$483),('Remplissage - Sit. Init.'!$C$473:$C$1088)&amp;('Remplissage - Sit. Init.'!$D$473:$D$1088),0),7))&gt;0,0,1)</f>
        <v>1</v>
      </c>
      <c r="I992" s="27"/>
      <c r="J992" s="25" t="s">
        <v>70</v>
      </c>
    </row>
    <row r="993" spans="1:11" s="25" customFormat="1" outlineLevel="1" x14ac:dyDescent="0.25">
      <c r="A993" t="s">
        <v>1769</v>
      </c>
      <c r="B993" s="25" t="s">
        <v>92</v>
      </c>
      <c r="C993" s="26" t="s">
        <v>526</v>
      </c>
      <c r="E993" s="25" t="str">
        <f t="shared" ref="E993" si="1121">_xlfn.CONCAT("FretFluv",LEFT(B993,3),RIGHT(B983,1),"NbBarges")</f>
        <v>FretFluvCat4NbBarges</v>
      </c>
      <c r="F993" s="25" t="s">
        <v>17</v>
      </c>
      <c r="G993" s="25" cm="1">
        <f t="array" ref="G993">IF((INDEX('Remplissage - Sit. Init.'!$C$473:$I$1088,MATCH((B993)&amp;('Remplissage - Sit. Init.'!$D$483),('Remplissage - Sit. Init.'!$C$473:$C$1088)&amp;('Remplissage - Sit. Init.'!$D$473:$D$1088),0),7))&gt;0,0,1)</f>
        <v>1</v>
      </c>
      <c r="I993" s="27"/>
      <c r="J993" s="25" t="s">
        <v>151</v>
      </c>
      <c r="K993" s="28"/>
    </row>
    <row r="994" spans="1:11" s="25" customFormat="1" outlineLevel="1" x14ac:dyDescent="0.25">
      <c r="A994" t="s">
        <v>1769</v>
      </c>
      <c r="B994" s="25" t="s">
        <v>93</v>
      </c>
      <c r="C994" s="25" t="s">
        <v>135</v>
      </c>
      <c r="E994" s="25" t="str">
        <f t="shared" ref="E994" si="1122">_xlfn.CONCAT("FretFluv",LEFT(B994,3),RIGHT(B994,1),"Nom")</f>
        <v>FretFluvCat5Nom</v>
      </c>
      <c r="F994" s="26" t="s">
        <v>20</v>
      </c>
      <c r="G994" s="25" cm="1">
        <f t="array" ref="G994">IF((INDEX('Remplissage - Sit. Init.'!$C$473:$I$1088,MATCH((B994)&amp;('Remplissage - Sit. Init.'!$D$483),('Remplissage - Sit. Init.'!$C$473:$C$1088)&amp;('Remplissage - Sit. Init.'!$D$473:$D$1088),0),7))&gt;0,0,1)</f>
        <v>1</v>
      </c>
      <c r="H994" s="29"/>
      <c r="I994" s="27" t="str">
        <f>VLOOKUP(B994,'Parcs types'!$B$65:$AA$120,2,FALSE)</f>
        <v>Automoteurs &lt; 400 tonnes Batterie</v>
      </c>
      <c r="K994" s="25" t="str">
        <f>I994</f>
        <v>Automoteurs &lt; 400 tonnes Batterie</v>
      </c>
    </row>
    <row r="995" spans="1:11" s="25" customFormat="1" outlineLevel="1" x14ac:dyDescent="0.25">
      <c r="A995" t="s">
        <v>1769</v>
      </c>
      <c r="B995" s="25" t="s">
        <v>93</v>
      </c>
      <c r="C995" s="25" t="s">
        <v>136</v>
      </c>
      <c r="E995" s="25" t="str">
        <f t="shared" ref="E995" si="1123">_xlfn.CONCAT("FretFluv",LEFT(B995,3),RIGHT(B994,1),"Type")</f>
        <v>FretFluvCat5Type</v>
      </c>
      <c r="F995" s="25" t="s">
        <v>20</v>
      </c>
      <c r="G995" s="25" cm="1">
        <f t="array" ref="G995">IF((INDEX('Remplissage - Sit. Init.'!$C$473:$I$1088,MATCH((B995)&amp;('Remplissage - Sit. Init.'!$D$483),('Remplissage - Sit. Init.'!$C$473:$C$1088)&amp;('Remplissage - Sit. Init.'!$D$473:$D$1088),0),7))&gt;0,0,1)</f>
        <v>1</v>
      </c>
      <c r="H995" s="28"/>
      <c r="I995" s="27" t="str">
        <f>VLOOKUP(B995,'Parcs types'!$B$65:$AA$120,3,FALSE)</f>
        <v>Automoteurs</v>
      </c>
      <c r="K995" s="25" t="str">
        <f t="shared" ref="K995:K997" si="1124">I995</f>
        <v>Automoteurs</v>
      </c>
    </row>
    <row r="996" spans="1:11" s="25" customFormat="1" outlineLevel="1" x14ac:dyDescent="0.25">
      <c r="A996" t="s">
        <v>1769</v>
      </c>
      <c r="B996" s="25" t="s">
        <v>93</v>
      </c>
      <c r="C996" s="26" t="s">
        <v>137</v>
      </c>
      <c r="E996" s="25" t="str">
        <f t="shared" ref="E996" si="1125">_xlfn.CONCAT("FretFluv",LEFT(B996,3),RIGHT(B994,1),"Cap")</f>
        <v>FretFluvCat5Cap</v>
      </c>
      <c r="F996" s="26" t="s">
        <v>36</v>
      </c>
      <c r="G996" s="25" cm="1">
        <f t="array" ref="G996">IF((INDEX('Remplissage - Sit. Init.'!$C$473:$I$1088,MATCH((B996)&amp;('Remplissage - Sit. Init.'!$D$483),('Remplissage - Sit. Init.'!$C$473:$C$1088)&amp;('Remplissage - Sit. Init.'!$D$473:$D$1088),0),7))&gt;0,0,1)</f>
        <v>1</v>
      </c>
      <c r="I996" s="27" t="str">
        <f>VLOOKUP(B996,'Parcs types'!$B$65:$AA$120,4,FALSE)</f>
        <v>&lt; 400 tonnes</v>
      </c>
      <c r="J996" s="25" t="s">
        <v>524</v>
      </c>
      <c r="K996" s="25" t="str">
        <f t="shared" si="1124"/>
        <v>&lt; 400 tonnes</v>
      </c>
    </row>
    <row r="997" spans="1:11" s="25" customFormat="1" outlineLevel="1" x14ac:dyDescent="0.25">
      <c r="A997" t="s">
        <v>1769</v>
      </c>
      <c r="B997" s="25" t="s">
        <v>93</v>
      </c>
      <c r="C997" s="26" t="s">
        <v>525</v>
      </c>
      <c r="E997" s="25" t="str">
        <f t="shared" ref="E997" si="1126">_xlfn.CONCAT("FretFluv",LEFT(B997,3),RIGHT(B994,1),"Tech")</f>
        <v>FretFluvCat5Tech</v>
      </c>
      <c r="F997" s="26" t="s">
        <v>20</v>
      </c>
      <c r="G997" s="25" cm="1">
        <f t="array" ref="G997">IF((INDEX('Remplissage - Sit. Init.'!$C$473:$I$1088,MATCH((B997)&amp;('Remplissage - Sit. Init.'!$D$483),('Remplissage - Sit. Init.'!$C$473:$C$1088)&amp;('Remplissage - Sit. Init.'!$D$473:$D$1088),0),7))&gt;0,0,1)</f>
        <v>1</v>
      </c>
      <c r="I997" s="27" t="str">
        <f>VLOOKUP(B997,'Parcs types'!$B$65:$AA$120,5,FALSE)</f>
        <v>Batterie</v>
      </c>
      <c r="K997" s="25" t="str">
        <f t="shared" si="1124"/>
        <v>Batterie</v>
      </c>
    </row>
    <row r="998" spans="1:11" s="25" customFormat="1" outlineLevel="1" x14ac:dyDescent="0.25">
      <c r="A998" t="s">
        <v>1769</v>
      </c>
      <c r="B998" s="25" t="s">
        <v>93</v>
      </c>
      <c r="C998" s="25" t="s">
        <v>140</v>
      </c>
      <c r="E998" s="25" t="str">
        <f t="shared" ref="E998" si="1127">_xlfn.CONCAT("FretFluv",LEFT(B998,3),RIGHT(B994,1),"Request")</f>
        <v>FretFluvCat5Request</v>
      </c>
      <c r="F998" s="26" t="s">
        <v>20</v>
      </c>
      <c r="G998" s="25" cm="1">
        <f t="array" ref="G998">IF((INDEX('Remplissage - Sit. Init.'!$C$473:$I$1088,MATCH((B998)&amp;('Remplissage - Sit. Init.'!$D$483),('Remplissage - Sit. Init.'!$C$473:$C$1088)&amp;('Remplissage - Sit. Init.'!$D$473:$D$1088),0),7))&gt;0,0,1)</f>
        <v>1</v>
      </c>
      <c r="I998" s="27" t="s">
        <v>142</v>
      </c>
    </row>
    <row r="999" spans="1:11" s="25" customFormat="1" outlineLevel="1" x14ac:dyDescent="0.25">
      <c r="A999" t="s">
        <v>1769</v>
      </c>
      <c r="B999" s="25" t="s">
        <v>93</v>
      </c>
      <c r="C999" s="25" t="s">
        <v>144</v>
      </c>
      <c r="E999" s="25" t="str">
        <f t="shared" ref="E999" si="1128">_xlfn.CONCAT("FretFluv",LEFT(B999,3),RIGHT(B994,1),"NbTraj")</f>
        <v>FretFluvCat5NbTraj</v>
      </c>
      <c r="F999" s="25" t="s">
        <v>17</v>
      </c>
      <c r="G999" s="25" cm="1">
        <f t="array" ref="G999">IF((INDEX('Remplissage - Sit. Init.'!$C$473:$I$1088,MATCH((B999)&amp;('Remplissage - Sit. Init.'!$D$483),('Remplissage - Sit. Init.'!$C$473:$C$1088)&amp;('Remplissage - Sit. Init.'!$D$473:$D$1088),0),7))&gt;0,0,1)</f>
        <v>1</v>
      </c>
      <c r="I999" s="27"/>
      <c r="J999" s="25" t="s">
        <v>145</v>
      </c>
    </row>
    <row r="1000" spans="1:11" s="25" customFormat="1" outlineLevel="1" x14ac:dyDescent="0.25">
      <c r="A1000" t="s">
        <v>1769</v>
      </c>
      <c r="B1000" s="25" t="s">
        <v>93</v>
      </c>
      <c r="C1000" s="25" t="s">
        <v>146</v>
      </c>
      <c r="E1000" s="25" t="str">
        <f t="shared" ref="E1000" si="1129">_xlfn.CONCAT("FretFluv",LEFT(B1000,3),RIGHT(B994,1),"DistMoy")</f>
        <v>FretFluvCat5DistMoy</v>
      </c>
      <c r="F1000" s="25" t="s">
        <v>17</v>
      </c>
      <c r="G1000" s="25" cm="1">
        <f t="array" ref="G1000">IF((INDEX('Remplissage - Sit. Init.'!$C$473:$I$1088,MATCH((B1000)&amp;('Remplissage - Sit. Init.'!$D$483),('Remplissage - Sit. Init.'!$C$473:$C$1088)&amp;('Remplissage - Sit. Init.'!$D$473:$D$1088),0),7))&gt;0,0,1)</f>
        <v>1</v>
      </c>
      <c r="I1000" s="27"/>
      <c r="J1000" s="25" t="s">
        <v>88</v>
      </c>
    </row>
    <row r="1001" spans="1:11" s="25" customFormat="1" outlineLevel="1" x14ac:dyDescent="0.25">
      <c r="A1001" t="s">
        <v>1769</v>
      </c>
      <c r="B1001" s="25" t="s">
        <v>93</v>
      </c>
      <c r="C1001" s="25" t="s">
        <v>147</v>
      </c>
      <c r="E1001" s="25" t="str">
        <f t="shared" ref="E1001" si="1130">_xlfn.CONCAT("FretFluv",LEFT(B1001,3),RIGHT(B994,1),"EmportMoy")</f>
        <v>FretFluvCat5EmportMoy</v>
      </c>
      <c r="F1001" s="25" t="s">
        <v>17</v>
      </c>
      <c r="G1001" s="25" cm="1">
        <f t="array" ref="G1001">IF((INDEX('Remplissage - Sit. Init.'!$C$473:$I$1088,MATCH((B1001)&amp;('Remplissage - Sit. Init.'!$D$483),('Remplissage - Sit. Init.'!$C$473:$C$1088)&amp;('Remplissage - Sit. Init.'!$D$473:$D$1088),0),7))&gt;0,0,1)</f>
        <v>1</v>
      </c>
      <c r="I1001" s="27"/>
      <c r="J1001" s="25" t="s">
        <v>148</v>
      </c>
    </row>
    <row r="1002" spans="1:11" s="25" customFormat="1" outlineLevel="1" x14ac:dyDescent="0.25">
      <c r="A1002" t="s">
        <v>1769</v>
      </c>
      <c r="B1002" s="25" t="s">
        <v>93</v>
      </c>
      <c r="C1002" s="25" t="s">
        <v>149</v>
      </c>
      <c r="E1002" s="25" t="str">
        <f t="shared" ref="E1002" si="1131">_xlfn.CONCAT("FretFluv",LEFT(B1002,3),RIGHT(B994,1),"DistAn")</f>
        <v>FretFluvCat5DistAn</v>
      </c>
      <c r="F1002" s="25" t="s">
        <v>17</v>
      </c>
      <c r="G1002" s="25" cm="1">
        <f t="array" ref="G1002">IF((INDEX('Remplissage - Sit. Init.'!$C$473:$I$1088,MATCH((B1002)&amp;('Remplissage - Sit. Init.'!$D$483),('Remplissage - Sit. Init.'!$C$473:$C$1088)&amp;('Remplissage - Sit. Init.'!$D$473:$D$1088),0),7))&gt;0,0,1)</f>
        <v>1</v>
      </c>
      <c r="I1002" s="27"/>
      <c r="J1002" s="25" t="s">
        <v>88</v>
      </c>
    </row>
    <row r="1003" spans="1:11" s="25" customFormat="1" outlineLevel="1" x14ac:dyDescent="0.25">
      <c r="A1003" t="s">
        <v>1769</v>
      </c>
      <c r="B1003" s="25" t="s">
        <v>93</v>
      </c>
      <c r="C1003" s="25" t="s">
        <v>150</v>
      </c>
      <c r="E1003" s="25" t="str">
        <f t="shared" ref="E1003" si="1132">_xlfn.CONCAT("FretFluv",LEFT(B1003,3),RIGHT(B994,1),"TauxChargeMoy")</f>
        <v>FretFluvCat5TauxChargeMoy</v>
      </c>
      <c r="F1003" s="25" t="s">
        <v>17</v>
      </c>
      <c r="G1003" s="25" cm="1">
        <f t="array" ref="G1003">IF((INDEX('Remplissage - Sit. Init.'!$C$473:$I$1088,MATCH((B1003)&amp;('Remplissage - Sit. Init.'!$D$483),('Remplissage - Sit. Init.'!$C$473:$C$1088)&amp;('Remplissage - Sit. Init.'!$D$473:$D$1088),0),7))&gt;0,0,1)</f>
        <v>1</v>
      </c>
      <c r="I1003" s="27"/>
      <c r="J1003" s="25" t="s">
        <v>70</v>
      </c>
    </row>
    <row r="1004" spans="1:11" s="25" customFormat="1" outlineLevel="1" x14ac:dyDescent="0.25">
      <c r="A1004" t="s">
        <v>1769</v>
      </c>
      <c r="B1004" s="25" t="s">
        <v>93</v>
      </c>
      <c r="C1004" s="26" t="s">
        <v>526</v>
      </c>
      <c r="E1004" s="25" t="str">
        <f t="shared" ref="E1004" si="1133">_xlfn.CONCAT("FretFluv",LEFT(B1004,3),RIGHT(B994,1),"NbBarges")</f>
        <v>FretFluvCat5NbBarges</v>
      </c>
      <c r="F1004" s="25" t="s">
        <v>17</v>
      </c>
      <c r="G1004" s="25" cm="1">
        <f t="array" ref="G1004">IF((INDEX('Remplissage - Sit. Init.'!$C$473:$I$1088,MATCH((B1004)&amp;('Remplissage - Sit. Init.'!$D$483),('Remplissage - Sit. Init.'!$C$473:$C$1088)&amp;('Remplissage - Sit. Init.'!$D$473:$D$1088),0),7))&gt;0,0,1)</f>
        <v>1</v>
      </c>
      <c r="I1004" s="27"/>
      <c r="J1004" s="25" t="s">
        <v>151</v>
      </c>
    </row>
    <row r="1005" spans="1:11" s="25" customFormat="1" outlineLevel="1" x14ac:dyDescent="0.25">
      <c r="A1005" t="s">
        <v>1769</v>
      </c>
      <c r="B1005" s="25" t="s">
        <v>94</v>
      </c>
      <c r="C1005" s="25" t="s">
        <v>135</v>
      </c>
      <c r="E1005" s="25" t="str">
        <f t="shared" ref="E1005" si="1134">_xlfn.CONCAT("FretFluv",LEFT(B1005,3),RIGHT(B1005,1),"Nom")</f>
        <v>FretFluvCat6Nom</v>
      </c>
      <c r="F1005" s="26" t="s">
        <v>20</v>
      </c>
      <c r="G1005" s="25" cm="1">
        <f t="array" ref="G1005">IF((INDEX('Remplissage - Sit. Init.'!$C$473:$I$1088,MATCH((B1005)&amp;('Remplissage - Sit. Init.'!$D$483),('Remplissage - Sit. Init.'!$C$473:$C$1088)&amp;('Remplissage - Sit. Init.'!$D$473:$D$1088),0),7))&gt;0,0,1)</f>
        <v>1</v>
      </c>
      <c r="I1005" s="27" t="str">
        <f>VLOOKUP(B1005,'Parcs types'!$B$65:$AA$120,2,FALSE)</f>
        <v>Automoteurs &lt; 400 tonnes H2 , PAC</v>
      </c>
      <c r="K1005" s="25" t="str">
        <f>I1005</f>
        <v>Automoteurs &lt; 400 tonnes H2 , PAC</v>
      </c>
    </row>
    <row r="1006" spans="1:11" s="25" customFormat="1" outlineLevel="1" x14ac:dyDescent="0.25">
      <c r="A1006" t="s">
        <v>1769</v>
      </c>
      <c r="B1006" s="25" t="s">
        <v>94</v>
      </c>
      <c r="C1006" s="25" t="s">
        <v>136</v>
      </c>
      <c r="E1006" s="25" t="str">
        <f t="shared" ref="E1006" si="1135">_xlfn.CONCAT("FretFluv",LEFT(B1006,3),RIGHT(B1005,1),"Type")</f>
        <v>FretFluvCat6Type</v>
      </c>
      <c r="F1006" s="25" t="s">
        <v>20</v>
      </c>
      <c r="G1006" s="25" cm="1">
        <f t="array" ref="G1006">IF((INDEX('Remplissage - Sit. Init.'!$C$473:$I$1088,MATCH((B1006)&amp;('Remplissage - Sit. Init.'!$D$483),('Remplissage - Sit. Init.'!$C$473:$C$1088)&amp;('Remplissage - Sit. Init.'!$D$473:$D$1088),0),7))&gt;0,0,1)</f>
        <v>1</v>
      </c>
      <c r="H1006" s="29"/>
      <c r="I1006" s="27" t="str">
        <f>VLOOKUP(B1006,'Parcs types'!$B$65:$AA$120,3,FALSE)</f>
        <v>Automoteurs</v>
      </c>
      <c r="K1006" s="25" t="str">
        <f t="shared" ref="K1006:K1008" si="1136">I1006</f>
        <v>Automoteurs</v>
      </c>
    </row>
    <row r="1007" spans="1:11" s="25" customFormat="1" outlineLevel="1" x14ac:dyDescent="0.25">
      <c r="A1007" t="s">
        <v>1769</v>
      </c>
      <c r="B1007" s="25" t="s">
        <v>94</v>
      </c>
      <c r="C1007" s="26" t="s">
        <v>137</v>
      </c>
      <c r="E1007" s="25" t="str">
        <f t="shared" ref="E1007" si="1137">_xlfn.CONCAT("FretFluv",LEFT(B1007,3),RIGHT(B1005,1),"Cap")</f>
        <v>FretFluvCat6Cap</v>
      </c>
      <c r="F1007" s="26" t="s">
        <v>36</v>
      </c>
      <c r="G1007" s="25" cm="1">
        <f t="array" ref="G1007">IF((INDEX('Remplissage - Sit. Init.'!$C$473:$I$1088,MATCH((B1007)&amp;('Remplissage - Sit. Init.'!$D$483),('Remplissage - Sit. Init.'!$C$473:$C$1088)&amp;('Remplissage - Sit. Init.'!$D$473:$D$1088),0),7))&gt;0,0,1)</f>
        <v>1</v>
      </c>
      <c r="H1007" s="28"/>
      <c r="I1007" s="27" t="str">
        <f>VLOOKUP(B1007,'Parcs types'!$B$65:$AA$120,4,FALSE)</f>
        <v>&lt; 400 tonnes</v>
      </c>
      <c r="J1007" s="25" t="s">
        <v>524</v>
      </c>
      <c r="K1007" s="25" t="str">
        <f t="shared" si="1136"/>
        <v>&lt; 400 tonnes</v>
      </c>
    </row>
    <row r="1008" spans="1:11" s="25" customFormat="1" outlineLevel="1" x14ac:dyDescent="0.25">
      <c r="A1008" t="s">
        <v>1769</v>
      </c>
      <c r="B1008" s="25" t="s">
        <v>94</v>
      </c>
      <c r="C1008" s="26" t="s">
        <v>525</v>
      </c>
      <c r="E1008" s="25" t="str">
        <f t="shared" ref="E1008" si="1138">_xlfn.CONCAT("FretFluv",LEFT(B1008,3),RIGHT(B1005,1),"Tech")</f>
        <v>FretFluvCat6Tech</v>
      </c>
      <c r="F1008" s="26" t="s">
        <v>20</v>
      </c>
      <c r="G1008" s="25" cm="1">
        <f t="array" ref="G1008">IF((INDEX('Remplissage - Sit. Init.'!$C$473:$I$1088,MATCH((B1008)&amp;('Remplissage - Sit. Init.'!$D$483),('Remplissage - Sit. Init.'!$C$473:$C$1088)&amp;('Remplissage - Sit. Init.'!$D$473:$D$1088),0),7))&gt;0,0,1)</f>
        <v>1</v>
      </c>
      <c r="I1008" s="27" t="str">
        <f>VLOOKUP(B1008,'Parcs types'!$B$65:$AA$120,5,FALSE)</f>
        <v>H2 , PAC</v>
      </c>
      <c r="K1008" s="25" t="str">
        <f t="shared" si="1136"/>
        <v>H2 , PAC</v>
      </c>
    </row>
    <row r="1009" spans="1:11" s="25" customFormat="1" outlineLevel="1" x14ac:dyDescent="0.25">
      <c r="A1009" t="s">
        <v>1769</v>
      </c>
      <c r="B1009" s="25" t="s">
        <v>94</v>
      </c>
      <c r="C1009" s="25" t="s">
        <v>140</v>
      </c>
      <c r="E1009" s="25" t="str">
        <f t="shared" ref="E1009" si="1139">_xlfn.CONCAT("FretFluv",LEFT(B1009,3),RIGHT(B1005,1),"Request")</f>
        <v>FretFluvCat6Request</v>
      </c>
      <c r="F1009" s="26" t="s">
        <v>20</v>
      </c>
      <c r="G1009" s="25" cm="1">
        <f t="array" ref="G1009">IF((INDEX('Remplissage - Sit. Init.'!$C$473:$I$1088,MATCH((B1009)&amp;('Remplissage - Sit. Init.'!$D$483),('Remplissage - Sit. Init.'!$C$473:$C$1088)&amp;('Remplissage - Sit. Init.'!$D$473:$D$1088),0),7))&gt;0,0,1)</f>
        <v>1</v>
      </c>
      <c r="I1009" s="27" t="s">
        <v>142</v>
      </c>
    </row>
    <row r="1010" spans="1:11" s="25" customFormat="1" outlineLevel="1" x14ac:dyDescent="0.25">
      <c r="A1010" t="s">
        <v>1769</v>
      </c>
      <c r="B1010" s="25" t="s">
        <v>94</v>
      </c>
      <c r="C1010" s="25" t="s">
        <v>144</v>
      </c>
      <c r="E1010" s="25" t="str">
        <f t="shared" ref="E1010" si="1140">_xlfn.CONCAT("FretFluv",LEFT(B1010,3),RIGHT(B1005,1),"NbTraj")</f>
        <v>FretFluvCat6NbTraj</v>
      </c>
      <c r="F1010" s="25" t="s">
        <v>17</v>
      </c>
      <c r="G1010" s="25" cm="1">
        <f t="array" ref="G1010">IF((INDEX('Remplissage - Sit. Init.'!$C$473:$I$1088,MATCH((B1010)&amp;('Remplissage - Sit. Init.'!$D$483),('Remplissage - Sit. Init.'!$C$473:$C$1088)&amp;('Remplissage - Sit. Init.'!$D$473:$D$1088),0),7))&gt;0,0,1)</f>
        <v>1</v>
      </c>
      <c r="I1010" s="27"/>
      <c r="J1010" s="25" t="s">
        <v>145</v>
      </c>
    </row>
    <row r="1011" spans="1:11" s="25" customFormat="1" outlineLevel="1" x14ac:dyDescent="0.25">
      <c r="A1011" t="s">
        <v>1769</v>
      </c>
      <c r="B1011" s="25" t="s">
        <v>94</v>
      </c>
      <c r="C1011" s="25" t="s">
        <v>146</v>
      </c>
      <c r="E1011" s="25" t="str">
        <f t="shared" ref="E1011" si="1141">_xlfn.CONCAT("FretFluv",LEFT(B1011,3),RIGHT(B1005,1),"DistMoy")</f>
        <v>FretFluvCat6DistMoy</v>
      </c>
      <c r="F1011" s="25" t="s">
        <v>17</v>
      </c>
      <c r="G1011" s="25" cm="1">
        <f t="array" ref="G1011">IF((INDEX('Remplissage - Sit. Init.'!$C$473:$I$1088,MATCH((B1011)&amp;('Remplissage - Sit. Init.'!$D$483),('Remplissage - Sit. Init.'!$C$473:$C$1088)&amp;('Remplissage - Sit. Init.'!$D$473:$D$1088),0),7))&gt;0,0,1)</f>
        <v>1</v>
      </c>
      <c r="I1011" s="27"/>
      <c r="J1011" s="25" t="s">
        <v>88</v>
      </c>
    </row>
    <row r="1012" spans="1:11" s="25" customFormat="1" outlineLevel="1" x14ac:dyDescent="0.25">
      <c r="A1012" t="s">
        <v>1769</v>
      </c>
      <c r="B1012" s="25" t="s">
        <v>94</v>
      </c>
      <c r="C1012" s="25" t="s">
        <v>147</v>
      </c>
      <c r="E1012" s="25" t="str">
        <f t="shared" ref="E1012" si="1142">_xlfn.CONCAT("FretFluv",LEFT(B1012,3),RIGHT(B1005,1),"EmportMoy")</f>
        <v>FretFluvCat6EmportMoy</v>
      </c>
      <c r="F1012" s="25" t="s">
        <v>17</v>
      </c>
      <c r="G1012" s="25" cm="1">
        <f t="array" ref="G1012">IF((INDEX('Remplissage - Sit. Init.'!$C$473:$I$1088,MATCH((B1012)&amp;('Remplissage - Sit. Init.'!$D$483),('Remplissage - Sit. Init.'!$C$473:$C$1088)&amp;('Remplissage - Sit. Init.'!$D$473:$D$1088),0),7))&gt;0,0,1)</f>
        <v>1</v>
      </c>
      <c r="I1012" s="27"/>
      <c r="J1012" s="25" t="s">
        <v>148</v>
      </c>
    </row>
    <row r="1013" spans="1:11" s="25" customFormat="1" outlineLevel="1" x14ac:dyDescent="0.25">
      <c r="A1013" t="s">
        <v>1769</v>
      </c>
      <c r="B1013" s="25" t="s">
        <v>94</v>
      </c>
      <c r="C1013" s="25" t="s">
        <v>149</v>
      </c>
      <c r="E1013" s="25" t="str">
        <f t="shared" ref="E1013" si="1143">_xlfn.CONCAT("FretFluv",LEFT(B1013,3),RIGHT(B1005,1),"DistAn")</f>
        <v>FretFluvCat6DistAn</v>
      </c>
      <c r="F1013" s="25" t="s">
        <v>17</v>
      </c>
      <c r="G1013" s="25" cm="1">
        <f t="array" ref="G1013">IF((INDEX('Remplissage - Sit. Init.'!$C$473:$I$1088,MATCH((B1013)&amp;('Remplissage - Sit. Init.'!$D$483),('Remplissage - Sit. Init.'!$C$473:$C$1088)&amp;('Remplissage - Sit. Init.'!$D$473:$D$1088),0),7))&gt;0,0,1)</f>
        <v>1</v>
      </c>
      <c r="I1013" s="27"/>
      <c r="J1013" s="25" t="s">
        <v>88</v>
      </c>
    </row>
    <row r="1014" spans="1:11" s="25" customFormat="1" outlineLevel="1" x14ac:dyDescent="0.25">
      <c r="A1014" t="s">
        <v>1769</v>
      </c>
      <c r="B1014" s="25" t="s">
        <v>94</v>
      </c>
      <c r="C1014" s="25" t="s">
        <v>150</v>
      </c>
      <c r="E1014" s="25" t="str">
        <f t="shared" ref="E1014" si="1144">_xlfn.CONCAT("FretFluv",LEFT(B1014,3),RIGHT(B1005,1),"TauxChargeMoy")</f>
        <v>FretFluvCat6TauxChargeMoy</v>
      </c>
      <c r="F1014" s="25" t="s">
        <v>17</v>
      </c>
      <c r="G1014" s="25" cm="1">
        <f t="array" ref="G1014">IF((INDEX('Remplissage - Sit. Init.'!$C$473:$I$1088,MATCH((B1014)&amp;('Remplissage - Sit. Init.'!$D$483),('Remplissage - Sit. Init.'!$C$473:$C$1088)&amp;('Remplissage - Sit. Init.'!$D$473:$D$1088),0),7))&gt;0,0,1)</f>
        <v>1</v>
      </c>
      <c r="I1014" s="27"/>
      <c r="J1014" s="25" t="s">
        <v>70</v>
      </c>
    </row>
    <row r="1015" spans="1:11" s="25" customFormat="1" outlineLevel="1" x14ac:dyDescent="0.25">
      <c r="A1015" t="s">
        <v>1769</v>
      </c>
      <c r="B1015" s="25" t="s">
        <v>94</v>
      </c>
      <c r="C1015" s="26" t="s">
        <v>526</v>
      </c>
      <c r="E1015" s="25" t="str">
        <f t="shared" ref="E1015" si="1145">_xlfn.CONCAT("FretFluv",LEFT(B1015,3),RIGHT(B1005,1),"NbBarges")</f>
        <v>FretFluvCat6NbBarges</v>
      </c>
      <c r="F1015" s="25" t="s">
        <v>17</v>
      </c>
      <c r="G1015" s="25" cm="1">
        <f t="array" ref="G1015">IF((INDEX('Remplissage - Sit. Init.'!$C$473:$I$1088,MATCH((B1015)&amp;('Remplissage - Sit. Init.'!$D$483),('Remplissage - Sit. Init.'!$C$473:$C$1088)&amp;('Remplissage - Sit. Init.'!$D$473:$D$1088),0),7))&gt;0,0,1)</f>
        <v>1</v>
      </c>
      <c r="I1015" s="27"/>
      <c r="J1015" s="25" t="s">
        <v>151</v>
      </c>
    </row>
    <row r="1016" spans="1:11" s="25" customFormat="1" outlineLevel="1" x14ac:dyDescent="0.25">
      <c r="A1016" t="s">
        <v>1769</v>
      </c>
      <c r="B1016" s="25" t="s">
        <v>95</v>
      </c>
      <c r="C1016" s="25" t="s">
        <v>135</v>
      </c>
      <c r="E1016" s="25" t="str">
        <f t="shared" ref="E1016" si="1146">_xlfn.CONCAT("FretFluv",LEFT(B1016,3),RIGHT(B1016,1),"Nom")</f>
        <v>FretFluvCat7Nom</v>
      </c>
      <c r="F1016" s="26" t="s">
        <v>20</v>
      </c>
      <c r="G1016" s="25" cm="1">
        <f t="array" ref="G1016">IF((INDEX('Remplissage - Sit. Init.'!$C$473:$I$1088,MATCH((B1016)&amp;('Remplissage - Sit. Init.'!$D$483),('Remplissage - Sit. Init.'!$C$473:$C$1088)&amp;('Remplissage - Sit. Init.'!$D$473:$D$1088),0),7))&gt;0,0,1)</f>
        <v>1</v>
      </c>
      <c r="I1016" s="27" t="str">
        <f>VLOOKUP(B1016,'Parcs types'!$B$65:$AA$120,2,FALSE)</f>
        <v>Automoteurs &lt; 400 tonnes H2 , ICE</v>
      </c>
      <c r="K1016" s="25" t="str">
        <f>I1016</f>
        <v>Automoteurs &lt; 400 tonnes H2 , ICE</v>
      </c>
    </row>
    <row r="1017" spans="1:11" s="25" customFormat="1" outlineLevel="1" x14ac:dyDescent="0.25">
      <c r="A1017" t="s">
        <v>1769</v>
      </c>
      <c r="B1017" s="25" t="s">
        <v>95</v>
      </c>
      <c r="C1017" s="25" t="s">
        <v>136</v>
      </c>
      <c r="E1017" s="25" t="str">
        <f t="shared" ref="E1017" si="1147">_xlfn.CONCAT("FretFluv",LEFT(B1017,3),RIGHT(B1016,1),"Type")</f>
        <v>FretFluvCat7Type</v>
      </c>
      <c r="F1017" s="25" t="s">
        <v>20</v>
      </c>
      <c r="G1017" s="25" cm="1">
        <f t="array" ref="G1017">IF((INDEX('Remplissage - Sit. Init.'!$C$473:$I$1088,MATCH((B1017)&amp;('Remplissage - Sit. Init.'!$D$483),('Remplissage - Sit. Init.'!$C$473:$C$1088)&amp;('Remplissage - Sit. Init.'!$D$473:$D$1088),0),7))&gt;0,0,1)</f>
        <v>1</v>
      </c>
      <c r="H1017" s="29"/>
      <c r="I1017" s="27" t="str">
        <f>VLOOKUP(B1017,'Parcs types'!$B$65:$AA$120,3,FALSE)</f>
        <v>Automoteurs</v>
      </c>
      <c r="K1017" s="25" t="str">
        <f t="shared" ref="K1017:K1019" si="1148">I1017</f>
        <v>Automoteurs</v>
      </c>
    </row>
    <row r="1018" spans="1:11" s="25" customFormat="1" outlineLevel="1" x14ac:dyDescent="0.25">
      <c r="A1018" t="s">
        <v>1769</v>
      </c>
      <c r="B1018" s="25" t="s">
        <v>95</v>
      </c>
      <c r="C1018" s="26" t="s">
        <v>137</v>
      </c>
      <c r="E1018" s="25" t="str">
        <f t="shared" ref="E1018" si="1149">_xlfn.CONCAT("FretFluv",LEFT(B1018,3),RIGHT(B1016,1),"Cap")</f>
        <v>FretFluvCat7Cap</v>
      </c>
      <c r="F1018" s="26" t="s">
        <v>36</v>
      </c>
      <c r="G1018" s="25" cm="1">
        <f t="array" ref="G1018">IF((INDEX('Remplissage - Sit. Init.'!$C$473:$I$1088,MATCH((B1018)&amp;('Remplissage - Sit. Init.'!$D$483),('Remplissage - Sit. Init.'!$C$473:$C$1088)&amp;('Remplissage - Sit. Init.'!$D$473:$D$1088),0),7))&gt;0,0,1)</f>
        <v>1</v>
      </c>
      <c r="H1018" s="28"/>
      <c r="I1018" s="27" t="str">
        <f>VLOOKUP(B1018,'Parcs types'!$B$65:$AA$120,4,FALSE)</f>
        <v>&lt; 400 tonnes</v>
      </c>
      <c r="J1018" s="25" t="s">
        <v>524</v>
      </c>
      <c r="K1018" s="25" t="str">
        <f t="shared" si="1148"/>
        <v>&lt; 400 tonnes</v>
      </c>
    </row>
    <row r="1019" spans="1:11" s="25" customFormat="1" outlineLevel="1" x14ac:dyDescent="0.25">
      <c r="A1019" t="s">
        <v>1769</v>
      </c>
      <c r="B1019" s="25" t="s">
        <v>95</v>
      </c>
      <c r="C1019" s="26" t="s">
        <v>525</v>
      </c>
      <c r="E1019" s="25" t="str">
        <f t="shared" ref="E1019" si="1150">_xlfn.CONCAT("FretFluv",LEFT(B1019,3),RIGHT(B1016,1),"Tech")</f>
        <v>FretFluvCat7Tech</v>
      </c>
      <c r="F1019" s="26" t="s">
        <v>20</v>
      </c>
      <c r="G1019" s="25" cm="1">
        <f t="array" ref="G1019">IF((INDEX('Remplissage - Sit. Init.'!$C$473:$I$1088,MATCH((B1019)&amp;('Remplissage - Sit. Init.'!$D$483),('Remplissage - Sit. Init.'!$C$473:$C$1088)&amp;('Remplissage - Sit. Init.'!$D$473:$D$1088),0),7))&gt;0,0,1)</f>
        <v>1</v>
      </c>
      <c r="I1019" s="27" t="str">
        <f>VLOOKUP(B1019,'Parcs types'!$B$65:$AA$120,5,FALSE)</f>
        <v>H2 , ICE</v>
      </c>
      <c r="K1019" s="25" t="str">
        <f t="shared" si="1148"/>
        <v>H2 , ICE</v>
      </c>
    </row>
    <row r="1020" spans="1:11" s="25" customFormat="1" outlineLevel="1" x14ac:dyDescent="0.25">
      <c r="A1020" t="s">
        <v>1769</v>
      </c>
      <c r="B1020" s="25" t="s">
        <v>95</v>
      </c>
      <c r="C1020" s="25" t="s">
        <v>140</v>
      </c>
      <c r="E1020" s="25" t="str">
        <f t="shared" ref="E1020" si="1151">_xlfn.CONCAT("FretFluv",LEFT(B1020,3),RIGHT(B1016,1),"Request")</f>
        <v>FretFluvCat7Request</v>
      </c>
      <c r="F1020" s="26" t="s">
        <v>20</v>
      </c>
      <c r="G1020" s="25" cm="1">
        <f t="array" ref="G1020">IF((INDEX('Remplissage - Sit. Init.'!$C$473:$I$1088,MATCH((B1020)&amp;('Remplissage - Sit. Init.'!$D$483),('Remplissage - Sit. Init.'!$C$473:$C$1088)&amp;('Remplissage - Sit. Init.'!$D$473:$D$1088),0),7))&gt;0,0,1)</f>
        <v>1</v>
      </c>
      <c r="I1020" s="27" t="s">
        <v>142</v>
      </c>
    </row>
    <row r="1021" spans="1:11" s="25" customFormat="1" outlineLevel="1" x14ac:dyDescent="0.25">
      <c r="A1021" t="s">
        <v>1769</v>
      </c>
      <c r="B1021" s="25" t="s">
        <v>95</v>
      </c>
      <c r="C1021" s="25" t="s">
        <v>144</v>
      </c>
      <c r="E1021" s="25" t="str">
        <f t="shared" ref="E1021" si="1152">_xlfn.CONCAT("FretFluv",LEFT(B1021,3),RIGHT(B1016,1),"NbTraj")</f>
        <v>FretFluvCat7NbTraj</v>
      </c>
      <c r="F1021" s="25" t="s">
        <v>17</v>
      </c>
      <c r="G1021" s="25" cm="1">
        <f t="array" ref="G1021">IF((INDEX('Remplissage - Sit. Init.'!$C$473:$I$1088,MATCH((B1021)&amp;('Remplissage - Sit. Init.'!$D$483),('Remplissage - Sit. Init.'!$C$473:$C$1088)&amp;('Remplissage - Sit. Init.'!$D$473:$D$1088),0),7))&gt;0,0,1)</f>
        <v>1</v>
      </c>
      <c r="I1021" s="27"/>
      <c r="J1021" s="25" t="s">
        <v>145</v>
      </c>
    </row>
    <row r="1022" spans="1:11" s="25" customFormat="1" outlineLevel="1" x14ac:dyDescent="0.25">
      <c r="A1022" t="s">
        <v>1769</v>
      </c>
      <c r="B1022" s="25" t="s">
        <v>95</v>
      </c>
      <c r="C1022" s="25" t="s">
        <v>146</v>
      </c>
      <c r="E1022" s="25" t="str">
        <f t="shared" ref="E1022" si="1153">_xlfn.CONCAT("FretFluv",LEFT(B1022,3),RIGHT(B1016,1),"DistMoy")</f>
        <v>FretFluvCat7DistMoy</v>
      </c>
      <c r="F1022" s="25" t="s">
        <v>17</v>
      </c>
      <c r="G1022" s="25" cm="1">
        <f t="array" ref="G1022">IF((INDEX('Remplissage - Sit. Init.'!$C$473:$I$1088,MATCH((B1022)&amp;('Remplissage - Sit. Init.'!$D$483),('Remplissage - Sit. Init.'!$C$473:$C$1088)&amp;('Remplissage - Sit. Init.'!$D$473:$D$1088),0),7))&gt;0,0,1)</f>
        <v>1</v>
      </c>
      <c r="I1022" s="27"/>
      <c r="J1022" s="25" t="s">
        <v>88</v>
      </c>
    </row>
    <row r="1023" spans="1:11" s="25" customFormat="1" outlineLevel="1" x14ac:dyDescent="0.25">
      <c r="A1023" t="s">
        <v>1769</v>
      </c>
      <c r="B1023" s="25" t="s">
        <v>95</v>
      </c>
      <c r="C1023" s="25" t="s">
        <v>147</v>
      </c>
      <c r="E1023" s="25" t="str">
        <f t="shared" ref="E1023" si="1154">_xlfn.CONCAT("FretFluv",LEFT(B1023,3),RIGHT(B1016,1),"EmportMoy")</f>
        <v>FretFluvCat7EmportMoy</v>
      </c>
      <c r="F1023" s="25" t="s">
        <v>17</v>
      </c>
      <c r="G1023" s="25" cm="1">
        <f t="array" ref="G1023">IF((INDEX('Remplissage - Sit. Init.'!$C$473:$I$1088,MATCH((B1023)&amp;('Remplissage - Sit. Init.'!$D$483),('Remplissage - Sit. Init.'!$C$473:$C$1088)&amp;('Remplissage - Sit. Init.'!$D$473:$D$1088),0),7))&gt;0,0,1)</f>
        <v>1</v>
      </c>
      <c r="I1023" s="27"/>
      <c r="J1023" s="25" t="s">
        <v>148</v>
      </c>
    </row>
    <row r="1024" spans="1:11" s="25" customFormat="1" outlineLevel="1" x14ac:dyDescent="0.25">
      <c r="A1024" t="s">
        <v>1769</v>
      </c>
      <c r="B1024" s="25" t="s">
        <v>95</v>
      </c>
      <c r="C1024" s="25" t="s">
        <v>149</v>
      </c>
      <c r="E1024" s="25" t="str">
        <f t="shared" ref="E1024" si="1155">_xlfn.CONCAT("FretFluv",LEFT(B1024,3),RIGHT(B1016,1),"DistAn")</f>
        <v>FretFluvCat7DistAn</v>
      </c>
      <c r="F1024" s="25" t="s">
        <v>17</v>
      </c>
      <c r="G1024" s="25" cm="1">
        <f t="array" ref="G1024">IF((INDEX('Remplissage - Sit. Init.'!$C$473:$I$1088,MATCH((B1024)&amp;('Remplissage - Sit. Init.'!$D$483),('Remplissage - Sit. Init.'!$C$473:$C$1088)&amp;('Remplissage - Sit. Init.'!$D$473:$D$1088),0),7))&gt;0,0,1)</f>
        <v>1</v>
      </c>
      <c r="I1024" s="27"/>
      <c r="J1024" s="25" t="s">
        <v>88</v>
      </c>
    </row>
    <row r="1025" spans="1:11" s="25" customFormat="1" outlineLevel="1" x14ac:dyDescent="0.25">
      <c r="A1025" t="s">
        <v>1769</v>
      </c>
      <c r="B1025" s="25" t="s">
        <v>95</v>
      </c>
      <c r="C1025" s="25" t="s">
        <v>150</v>
      </c>
      <c r="E1025" s="25" t="str">
        <f t="shared" ref="E1025" si="1156">_xlfn.CONCAT("FretFluv",LEFT(B1025,3),RIGHT(B1016,1),"TauxChargeMoy")</f>
        <v>FretFluvCat7TauxChargeMoy</v>
      </c>
      <c r="F1025" s="25" t="s">
        <v>17</v>
      </c>
      <c r="G1025" s="25" cm="1">
        <f t="array" ref="G1025">IF((INDEX('Remplissage - Sit. Init.'!$C$473:$I$1088,MATCH((B1025)&amp;('Remplissage - Sit. Init.'!$D$483),('Remplissage - Sit. Init.'!$C$473:$C$1088)&amp;('Remplissage - Sit. Init.'!$D$473:$D$1088),0),7))&gt;0,0,1)</f>
        <v>1</v>
      </c>
      <c r="I1025" s="27"/>
      <c r="J1025" s="25" t="s">
        <v>70</v>
      </c>
    </row>
    <row r="1026" spans="1:11" s="25" customFormat="1" outlineLevel="1" x14ac:dyDescent="0.25">
      <c r="A1026" t="s">
        <v>1769</v>
      </c>
      <c r="B1026" s="25" t="s">
        <v>95</v>
      </c>
      <c r="C1026" s="26" t="s">
        <v>526</v>
      </c>
      <c r="E1026" s="25" t="str">
        <f t="shared" ref="E1026" si="1157">_xlfn.CONCAT("FretFluv",LEFT(B1026,3),RIGHT(B1016,1),"NbBarges")</f>
        <v>FretFluvCat7NbBarges</v>
      </c>
      <c r="F1026" s="25" t="s">
        <v>17</v>
      </c>
      <c r="G1026" s="25" cm="1">
        <f t="array" ref="G1026">IF((INDEX('Remplissage - Sit. Init.'!$C$473:$I$1088,MATCH((B1026)&amp;('Remplissage - Sit. Init.'!$D$483),('Remplissage - Sit. Init.'!$C$473:$C$1088)&amp;('Remplissage - Sit. Init.'!$D$473:$D$1088),0),7))&gt;0,0,1)</f>
        <v>1</v>
      </c>
      <c r="I1026" s="27"/>
      <c r="J1026" s="25" t="s">
        <v>151</v>
      </c>
    </row>
    <row r="1027" spans="1:11" s="25" customFormat="1" outlineLevel="1" x14ac:dyDescent="0.25">
      <c r="A1027" t="s">
        <v>1769</v>
      </c>
      <c r="B1027" s="25" t="s">
        <v>96</v>
      </c>
      <c r="C1027" s="25" t="s">
        <v>135</v>
      </c>
      <c r="E1027" s="25" t="str">
        <f t="shared" ref="E1027" si="1158">_xlfn.CONCAT("FretFluv",LEFT(B1027,3),RIGHT(B1027,1),"Nom")</f>
        <v>FretFluvCat8Nom</v>
      </c>
      <c r="F1027" s="26" t="s">
        <v>20</v>
      </c>
      <c r="G1027" s="25" cm="1">
        <f t="array" ref="G1027">IF((INDEX('Remplissage - Sit. Init.'!$C$473:$I$1088,MATCH((B1027)&amp;('Remplissage - Sit. Init.'!$D$483),('Remplissage - Sit. Init.'!$C$473:$C$1088)&amp;('Remplissage - Sit. Init.'!$D$473:$D$1088),0),7))&gt;0,0,1)</f>
        <v>1</v>
      </c>
      <c r="I1027" s="27" t="str">
        <f>VLOOKUP(B1027,'Parcs types'!$B$65:$AA$120,2,FALSE)</f>
        <v>Automoteurs 400-649 tonnes CCNR 2 ou inférieur, diesel</v>
      </c>
      <c r="K1027" s="25" t="str">
        <f>I1027</f>
        <v>Automoteurs 400-649 tonnes CCNR 2 ou inférieur, diesel</v>
      </c>
    </row>
    <row r="1028" spans="1:11" s="25" customFormat="1" outlineLevel="1" x14ac:dyDescent="0.25">
      <c r="A1028" t="s">
        <v>1769</v>
      </c>
      <c r="B1028" s="25" t="s">
        <v>96</v>
      </c>
      <c r="C1028" s="25" t="s">
        <v>136</v>
      </c>
      <c r="E1028" s="25" t="str">
        <f t="shared" ref="E1028" si="1159">_xlfn.CONCAT("FretFluv",LEFT(B1028,3),RIGHT(B1027,1),"Type")</f>
        <v>FretFluvCat8Type</v>
      </c>
      <c r="F1028" s="25" t="s">
        <v>20</v>
      </c>
      <c r="G1028" s="25" cm="1">
        <f t="array" ref="G1028">IF((INDEX('Remplissage - Sit. Init.'!$C$473:$I$1088,MATCH((B1028)&amp;('Remplissage - Sit. Init.'!$D$483),('Remplissage - Sit. Init.'!$C$473:$C$1088)&amp;('Remplissage - Sit. Init.'!$D$473:$D$1088),0),7))&gt;0,0,1)</f>
        <v>1</v>
      </c>
      <c r="H1028" s="29"/>
      <c r="I1028" s="27" t="str">
        <f>VLOOKUP(B1028,'Parcs types'!$B$65:$AA$120,3,FALSE)</f>
        <v>Automoteurs</v>
      </c>
      <c r="K1028" s="25" t="str">
        <f t="shared" ref="K1028:K1030" si="1160">I1028</f>
        <v>Automoteurs</v>
      </c>
    </row>
    <row r="1029" spans="1:11" s="25" customFormat="1" outlineLevel="1" x14ac:dyDescent="0.25">
      <c r="A1029" t="s">
        <v>1769</v>
      </c>
      <c r="B1029" s="25" t="s">
        <v>96</v>
      </c>
      <c r="C1029" s="26" t="s">
        <v>137</v>
      </c>
      <c r="E1029" s="25" t="str">
        <f t="shared" ref="E1029" si="1161">_xlfn.CONCAT("FretFluv",LEFT(B1029,3),RIGHT(B1027,1),"Cap")</f>
        <v>FretFluvCat8Cap</v>
      </c>
      <c r="F1029" s="26" t="s">
        <v>36</v>
      </c>
      <c r="G1029" s="25" cm="1">
        <f t="array" ref="G1029">IF((INDEX('Remplissage - Sit. Init.'!$C$473:$I$1088,MATCH((B1029)&amp;('Remplissage - Sit. Init.'!$D$483),('Remplissage - Sit. Init.'!$C$473:$C$1088)&amp;('Remplissage - Sit. Init.'!$D$473:$D$1088),0),7))&gt;0,0,1)</f>
        <v>1</v>
      </c>
      <c r="H1029" s="28"/>
      <c r="I1029" s="27" t="str">
        <f>VLOOKUP(B1029,'Parcs types'!$B$65:$AA$120,4,FALSE)</f>
        <v>400-649 tonnes</v>
      </c>
      <c r="J1029" s="25" t="s">
        <v>524</v>
      </c>
      <c r="K1029" s="25" t="str">
        <f t="shared" si="1160"/>
        <v>400-649 tonnes</v>
      </c>
    </row>
    <row r="1030" spans="1:11" s="25" customFormat="1" outlineLevel="1" x14ac:dyDescent="0.25">
      <c r="A1030" t="s">
        <v>1769</v>
      </c>
      <c r="B1030" s="25" t="s">
        <v>96</v>
      </c>
      <c r="C1030" s="26" t="s">
        <v>525</v>
      </c>
      <c r="E1030" s="25" t="str">
        <f t="shared" ref="E1030" si="1162">_xlfn.CONCAT("FretFluv",LEFT(B1030,3),RIGHT(B1027,1),"Tech")</f>
        <v>FretFluvCat8Tech</v>
      </c>
      <c r="F1030" s="26" t="s">
        <v>20</v>
      </c>
      <c r="G1030" s="25" cm="1">
        <f t="array" ref="G1030">IF((INDEX('Remplissage - Sit. Init.'!$C$473:$I$1088,MATCH((B1030)&amp;('Remplissage - Sit. Init.'!$D$483),('Remplissage - Sit. Init.'!$C$473:$C$1088)&amp;('Remplissage - Sit. Init.'!$D$473:$D$1088),0),7))&gt;0,0,1)</f>
        <v>1</v>
      </c>
      <c r="H1030" s="28"/>
      <c r="I1030" s="27" t="str">
        <f>VLOOKUP(B1030,'Parcs types'!$B$65:$AA$120,5,FALSE)</f>
        <v>CCNR 2 ou inférieur, diesel</v>
      </c>
      <c r="K1030" s="25" t="str">
        <f t="shared" si="1160"/>
        <v>CCNR 2 ou inférieur, diesel</v>
      </c>
    </row>
    <row r="1031" spans="1:11" s="25" customFormat="1" outlineLevel="1" x14ac:dyDescent="0.25">
      <c r="A1031" t="s">
        <v>1769</v>
      </c>
      <c r="B1031" s="25" t="s">
        <v>96</v>
      </c>
      <c r="C1031" s="25" t="s">
        <v>140</v>
      </c>
      <c r="E1031" s="25" t="str">
        <f t="shared" ref="E1031" si="1163">_xlfn.CONCAT("FretFluv",LEFT(B1031,3),RIGHT(B1027,1),"Request")</f>
        <v>FretFluvCat8Request</v>
      </c>
      <c r="F1031" s="26" t="s">
        <v>20</v>
      </c>
      <c r="G1031" s="25" cm="1">
        <f t="array" ref="G1031">IF((INDEX('Remplissage - Sit. Init.'!$C$473:$I$1088,MATCH((B1031)&amp;('Remplissage - Sit. Init.'!$D$483),('Remplissage - Sit. Init.'!$C$473:$C$1088)&amp;('Remplissage - Sit. Init.'!$D$473:$D$1088),0),7))&gt;0,0,1)</f>
        <v>1</v>
      </c>
      <c r="I1031" s="27" t="s">
        <v>142</v>
      </c>
      <c r="K1031" s="28"/>
    </row>
    <row r="1032" spans="1:11" s="25" customFormat="1" outlineLevel="1" x14ac:dyDescent="0.25">
      <c r="A1032" t="s">
        <v>1769</v>
      </c>
      <c r="B1032" s="25" t="s">
        <v>96</v>
      </c>
      <c r="C1032" s="25" t="s">
        <v>144</v>
      </c>
      <c r="E1032" s="25" t="str">
        <f t="shared" ref="E1032" si="1164">_xlfn.CONCAT("FretFluv",LEFT(B1032,3),RIGHT(B1027,1),"NbTraj")</f>
        <v>FretFluvCat8NbTraj</v>
      </c>
      <c r="F1032" s="25" t="s">
        <v>17</v>
      </c>
      <c r="G1032" s="25" cm="1">
        <f t="array" ref="G1032">IF((INDEX('Remplissage - Sit. Init.'!$C$473:$I$1088,MATCH((B1032)&amp;('Remplissage - Sit. Init.'!$D$483),('Remplissage - Sit. Init.'!$C$473:$C$1088)&amp;('Remplissage - Sit. Init.'!$D$473:$D$1088),0),7))&gt;0,0,1)</f>
        <v>1</v>
      </c>
      <c r="H1032" s="28"/>
      <c r="I1032" s="27"/>
      <c r="J1032" s="25" t="s">
        <v>145</v>
      </c>
      <c r="K1032" s="28"/>
    </row>
    <row r="1033" spans="1:11" s="25" customFormat="1" outlineLevel="1" x14ac:dyDescent="0.25">
      <c r="A1033" t="s">
        <v>1769</v>
      </c>
      <c r="B1033" s="25" t="s">
        <v>96</v>
      </c>
      <c r="C1033" s="25" t="s">
        <v>146</v>
      </c>
      <c r="E1033" s="25" t="str">
        <f t="shared" ref="E1033" si="1165">_xlfn.CONCAT("FretFluv",LEFT(B1033,3),RIGHT(B1027,1),"DistMoy")</f>
        <v>FretFluvCat8DistMoy</v>
      </c>
      <c r="F1033" s="25" t="s">
        <v>17</v>
      </c>
      <c r="G1033" s="25" cm="1">
        <f t="array" ref="G1033">IF((INDEX('Remplissage - Sit. Init.'!$C$473:$I$1088,MATCH((B1033)&amp;('Remplissage - Sit. Init.'!$D$483),('Remplissage - Sit. Init.'!$C$473:$C$1088)&amp;('Remplissage - Sit. Init.'!$D$473:$D$1088),0),7))&gt;0,0,1)</f>
        <v>1</v>
      </c>
      <c r="H1033" s="28"/>
      <c r="I1033" s="27"/>
      <c r="J1033" s="25" t="s">
        <v>88</v>
      </c>
      <c r="K1033" s="28"/>
    </row>
    <row r="1034" spans="1:11" s="25" customFormat="1" outlineLevel="1" x14ac:dyDescent="0.25">
      <c r="A1034" t="s">
        <v>1769</v>
      </c>
      <c r="B1034" s="25" t="s">
        <v>96</v>
      </c>
      <c r="C1034" s="25" t="s">
        <v>147</v>
      </c>
      <c r="E1034" s="25" t="str">
        <f t="shared" ref="E1034" si="1166">_xlfn.CONCAT("FretFluv",LEFT(B1034,3),RIGHT(B1027,1),"EmportMoy")</f>
        <v>FretFluvCat8EmportMoy</v>
      </c>
      <c r="F1034" s="25" t="s">
        <v>17</v>
      </c>
      <c r="G1034" s="25" cm="1">
        <f t="array" ref="G1034">IF((INDEX('Remplissage - Sit. Init.'!$C$473:$I$1088,MATCH((B1034)&amp;('Remplissage - Sit. Init.'!$D$483),('Remplissage - Sit. Init.'!$C$473:$C$1088)&amp;('Remplissage - Sit. Init.'!$D$473:$D$1088),0),7))&gt;0,0,1)</f>
        <v>1</v>
      </c>
      <c r="H1034" s="28"/>
      <c r="I1034" s="27"/>
      <c r="J1034" s="25" t="s">
        <v>148</v>
      </c>
      <c r="K1034" s="28"/>
    </row>
    <row r="1035" spans="1:11" s="25" customFormat="1" outlineLevel="1" x14ac:dyDescent="0.25">
      <c r="A1035" t="s">
        <v>1769</v>
      </c>
      <c r="B1035" s="25" t="s">
        <v>96</v>
      </c>
      <c r="C1035" s="25" t="s">
        <v>149</v>
      </c>
      <c r="E1035" s="25" t="str">
        <f t="shared" ref="E1035" si="1167">_xlfn.CONCAT("FretFluv",LEFT(B1035,3),RIGHT(B1027,1),"DistAn")</f>
        <v>FretFluvCat8DistAn</v>
      </c>
      <c r="F1035" s="25" t="s">
        <v>17</v>
      </c>
      <c r="G1035" s="25" cm="1">
        <f t="array" ref="G1035">IF((INDEX('Remplissage - Sit. Init.'!$C$473:$I$1088,MATCH((B1035)&amp;('Remplissage - Sit. Init.'!$D$483),('Remplissage - Sit. Init.'!$C$473:$C$1088)&amp;('Remplissage - Sit. Init.'!$D$473:$D$1088),0),7))&gt;0,0,1)</f>
        <v>1</v>
      </c>
      <c r="H1035" s="28"/>
      <c r="I1035" s="27"/>
      <c r="J1035" s="25" t="s">
        <v>88</v>
      </c>
      <c r="K1035" s="28"/>
    </row>
    <row r="1036" spans="1:11" s="25" customFormat="1" outlineLevel="1" x14ac:dyDescent="0.25">
      <c r="A1036" t="s">
        <v>1769</v>
      </c>
      <c r="B1036" s="25" t="s">
        <v>96</v>
      </c>
      <c r="C1036" s="25" t="s">
        <v>150</v>
      </c>
      <c r="E1036" s="25" t="str">
        <f t="shared" ref="E1036" si="1168">_xlfn.CONCAT("FretFluv",LEFT(B1036,3),RIGHT(B1027,1),"TauxChargeMoy")</f>
        <v>FretFluvCat8TauxChargeMoy</v>
      </c>
      <c r="F1036" s="25" t="s">
        <v>17</v>
      </c>
      <c r="G1036" s="25" cm="1">
        <f t="array" ref="G1036">IF((INDEX('Remplissage - Sit. Init.'!$C$473:$I$1088,MATCH((B1036)&amp;('Remplissage - Sit. Init.'!$D$483),('Remplissage - Sit. Init.'!$C$473:$C$1088)&amp;('Remplissage - Sit. Init.'!$D$473:$D$1088),0),7))&gt;0,0,1)</f>
        <v>1</v>
      </c>
      <c r="H1036" s="28"/>
      <c r="I1036" s="27"/>
      <c r="J1036" s="25" t="s">
        <v>70</v>
      </c>
      <c r="K1036" s="28"/>
    </row>
    <row r="1037" spans="1:11" s="25" customFormat="1" outlineLevel="1" x14ac:dyDescent="0.25">
      <c r="A1037" t="s">
        <v>1769</v>
      </c>
      <c r="B1037" s="25" t="s">
        <v>96</v>
      </c>
      <c r="C1037" s="26" t="s">
        <v>526</v>
      </c>
      <c r="E1037" s="25" t="str">
        <f t="shared" ref="E1037" si="1169">_xlfn.CONCAT("FretFluv",LEFT(B1037,3),RIGHT(B1027,1),"NbBarges")</f>
        <v>FretFluvCat8NbBarges</v>
      </c>
      <c r="F1037" s="25" t="s">
        <v>17</v>
      </c>
      <c r="G1037" s="25" cm="1">
        <f t="array" ref="G1037">IF((INDEX('Remplissage - Sit. Init.'!$C$473:$I$1088,MATCH((B1037)&amp;('Remplissage - Sit. Init.'!$D$483),('Remplissage - Sit. Init.'!$C$473:$C$1088)&amp;('Remplissage - Sit. Init.'!$D$473:$D$1088),0),7))&gt;0,0,1)</f>
        <v>1</v>
      </c>
      <c r="H1037" s="28"/>
      <c r="I1037" s="27"/>
      <c r="J1037" s="25" t="s">
        <v>151</v>
      </c>
      <c r="K1037" s="28"/>
    </row>
    <row r="1038" spans="1:11" s="25" customFormat="1" outlineLevel="1" x14ac:dyDescent="0.25">
      <c r="A1038" t="s">
        <v>1769</v>
      </c>
      <c r="B1038" s="25" t="s">
        <v>97</v>
      </c>
      <c r="C1038" s="25" t="s">
        <v>135</v>
      </c>
      <c r="E1038" s="25" t="str">
        <f t="shared" ref="E1038" si="1170">_xlfn.CONCAT("FretFluv",LEFT(B1038,3),RIGHT(B1038,1),"Nom")</f>
        <v>FretFluvCat9Nom</v>
      </c>
      <c r="F1038" s="26" t="s">
        <v>20</v>
      </c>
      <c r="G1038" s="25" cm="1">
        <f t="array" ref="G1038">IF((INDEX('Remplissage - Sit. Init.'!$C$473:$I$1088,MATCH((B1038)&amp;('Remplissage - Sit. Init.'!$D$483),('Remplissage - Sit. Init.'!$C$473:$C$1088)&amp;('Remplissage - Sit. Init.'!$D$473:$D$1088),0),7))&gt;0,0,1)</f>
        <v>1</v>
      </c>
      <c r="H1038" s="28"/>
      <c r="I1038" s="27" t="str">
        <f>VLOOKUP(B1038,'Parcs types'!$B$65:$AA$120,2,FALSE)</f>
        <v>Automoteurs 400-649 tonnes CCNR 2 + SCR, diesel</v>
      </c>
      <c r="K1038" s="25" t="str">
        <f>I1038</f>
        <v>Automoteurs 400-649 tonnes CCNR 2 + SCR, diesel</v>
      </c>
    </row>
    <row r="1039" spans="1:11" s="25" customFormat="1" outlineLevel="1" x14ac:dyDescent="0.25">
      <c r="A1039" t="s">
        <v>1769</v>
      </c>
      <c r="B1039" s="25" t="s">
        <v>97</v>
      </c>
      <c r="C1039" s="25" t="s">
        <v>136</v>
      </c>
      <c r="E1039" s="25" t="str">
        <f t="shared" ref="E1039" si="1171">_xlfn.CONCAT("FretFluv",LEFT(B1039,3),RIGHT(B1038,1),"Type")</f>
        <v>FretFluvCat9Type</v>
      </c>
      <c r="F1039" s="25" t="s">
        <v>20</v>
      </c>
      <c r="G1039" s="25" cm="1">
        <f t="array" ref="G1039">IF((INDEX('Remplissage - Sit. Init.'!$C$473:$I$1088,MATCH((B1039)&amp;('Remplissage - Sit. Init.'!$D$483),('Remplissage - Sit. Init.'!$C$473:$C$1088)&amp;('Remplissage - Sit. Init.'!$D$473:$D$1088),0),7))&gt;0,0,1)</f>
        <v>1</v>
      </c>
      <c r="H1039" s="28"/>
      <c r="I1039" s="27" t="str">
        <f>VLOOKUP(B1039,'Parcs types'!$B$65:$AA$120,3,FALSE)</f>
        <v>Automoteurs</v>
      </c>
      <c r="K1039" s="25" t="str">
        <f t="shared" ref="K1039:K1041" si="1172">I1039</f>
        <v>Automoteurs</v>
      </c>
    </row>
    <row r="1040" spans="1:11" s="25" customFormat="1" outlineLevel="1" x14ac:dyDescent="0.25">
      <c r="A1040" t="s">
        <v>1769</v>
      </c>
      <c r="B1040" s="25" t="s">
        <v>97</v>
      </c>
      <c r="C1040" s="26" t="s">
        <v>137</v>
      </c>
      <c r="E1040" s="25" t="str">
        <f t="shared" ref="E1040" si="1173">_xlfn.CONCAT("FretFluv",LEFT(B1040,3),RIGHT(B1038,1),"Cap")</f>
        <v>FretFluvCat9Cap</v>
      </c>
      <c r="F1040" s="26" t="s">
        <v>36</v>
      </c>
      <c r="G1040" s="25" cm="1">
        <f t="array" ref="G1040">IF((INDEX('Remplissage - Sit. Init.'!$C$473:$I$1088,MATCH((B1040)&amp;('Remplissage - Sit. Init.'!$D$483),('Remplissage - Sit. Init.'!$C$473:$C$1088)&amp;('Remplissage - Sit. Init.'!$D$473:$D$1088),0),7))&gt;0,0,1)</f>
        <v>1</v>
      </c>
      <c r="H1040" s="28"/>
      <c r="I1040" s="27" t="str">
        <f>VLOOKUP(B1040,'Parcs types'!$B$65:$AA$120,4,FALSE)</f>
        <v>400-649 tonnes</v>
      </c>
      <c r="J1040" s="25" t="s">
        <v>524</v>
      </c>
      <c r="K1040" s="25" t="str">
        <f t="shared" si="1172"/>
        <v>400-649 tonnes</v>
      </c>
    </row>
    <row r="1041" spans="1:11" s="25" customFormat="1" outlineLevel="1" x14ac:dyDescent="0.25">
      <c r="A1041" t="s">
        <v>1769</v>
      </c>
      <c r="B1041" s="25" t="s">
        <v>97</v>
      </c>
      <c r="C1041" s="26" t="s">
        <v>525</v>
      </c>
      <c r="E1041" s="25" t="str">
        <f t="shared" ref="E1041" si="1174">_xlfn.CONCAT("FretFluv",LEFT(B1041,3),RIGHT(B1038,1),"Tech")</f>
        <v>FretFluvCat9Tech</v>
      </c>
      <c r="F1041" s="26" t="s">
        <v>20</v>
      </c>
      <c r="G1041" s="25" cm="1">
        <f t="array" ref="G1041">IF((INDEX('Remplissage - Sit. Init.'!$C$473:$I$1088,MATCH((B1041)&amp;('Remplissage - Sit. Init.'!$D$483),('Remplissage - Sit. Init.'!$C$473:$C$1088)&amp;('Remplissage - Sit. Init.'!$D$473:$D$1088),0),7))&gt;0,0,1)</f>
        <v>1</v>
      </c>
      <c r="H1041" s="28"/>
      <c r="I1041" s="27" t="str">
        <f>VLOOKUP(B1041,'Parcs types'!$B$65:$AA$120,5,FALSE)</f>
        <v>CCNR 2 + SCR, diesel</v>
      </c>
      <c r="K1041" s="25" t="str">
        <f t="shared" si="1172"/>
        <v>CCNR 2 + SCR, diesel</v>
      </c>
    </row>
    <row r="1042" spans="1:11" s="25" customFormat="1" outlineLevel="1" x14ac:dyDescent="0.25">
      <c r="A1042" t="s">
        <v>1769</v>
      </c>
      <c r="B1042" s="25" t="s">
        <v>97</v>
      </c>
      <c r="C1042" s="25" t="s">
        <v>140</v>
      </c>
      <c r="E1042" s="25" t="str">
        <f t="shared" ref="E1042" si="1175">_xlfn.CONCAT("FretFluv",LEFT(B1042,3),RIGHT(B1038,1),"Request")</f>
        <v>FretFluvCat9Request</v>
      </c>
      <c r="F1042" s="26" t="s">
        <v>20</v>
      </c>
      <c r="G1042" s="25" cm="1">
        <f t="array" ref="G1042">IF((INDEX('Remplissage - Sit. Init.'!$C$473:$I$1088,MATCH((B1042)&amp;('Remplissage - Sit. Init.'!$D$483),('Remplissage - Sit. Init.'!$C$473:$C$1088)&amp;('Remplissage - Sit. Init.'!$D$473:$D$1088),0),7))&gt;0,0,1)</f>
        <v>1</v>
      </c>
      <c r="I1042" s="27" t="s">
        <v>142</v>
      </c>
      <c r="K1042" s="28"/>
    </row>
    <row r="1043" spans="1:11" s="25" customFormat="1" outlineLevel="1" x14ac:dyDescent="0.25">
      <c r="A1043" t="s">
        <v>1769</v>
      </c>
      <c r="B1043" s="25" t="s">
        <v>97</v>
      </c>
      <c r="C1043" s="25" t="s">
        <v>144</v>
      </c>
      <c r="E1043" s="25" t="str">
        <f t="shared" ref="E1043" si="1176">_xlfn.CONCAT("FretFluv",LEFT(B1043,3),RIGHT(B1038,1),"NbTraj")</f>
        <v>FretFluvCat9NbTraj</v>
      </c>
      <c r="F1043" s="25" t="s">
        <v>17</v>
      </c>
      <c r="G1043" s="25" cm="1">
        <f t="array" ref="G1043">IF((INDEX('Remplissage - Sit. Init.'!$C$473:$I$1088,MATCH((B1043)&amp;('Remplissage - Sit. Init.'!$D$483),('Remplissage - Sit. Init.'!$C$473:$C$1088)&amp;('Remplissage - Sit. Init.'!$D$473:$D$1088),0),7))&gt;0,0,1)</f>
        <v>1</v>
      </c>
      <c r="H1043" s="28"/>
      <c r="I1043" s="27"/>
      <c r="J1043" s="25" t="s">
        <v>145</v>
      </c>
      <c r="K1043" s="28"/>
    </row>
    <row r="1044" spans="1:11" s="25" customFormat="1" outlineLevel="1" x14ac:dyDescent="0.25">
      <c r="A1044" t="s">
        <v>1769</v>
      </c>
      <c r="B1044" s="25" t="s">
        <v>97</v>
      </c>
      <c r="C1044" s="25" t="s">
        <v>146</v>
      </c>
      <c r="E1044" s="25" t="str">
        <f t="shared" ref="E1044" si="1177">_xlfn.CONCAT("FretFluv",LEFT(B1044,3),RIGHT(B1038,1),"DistMoy")</f>
        <v>FretFluvCat9DistMoy</v>
      </c>
      <c r="F1044" s="25" t="s">
        <v>17</v>
      </c>
      <c r="G1044" s="25" cm="1">
        <f t="array" ref="G1044">IF((INDEX('Remplissage - Sit. Init.'!$C$473:$I$1088,MATCH((B1044)&amp;('Remplissage - Sit. Init.'!$D$483),('Remplissage - Sit. Init.'!$C$473:$C$1088)&amp;('Remplissage - Sit. Init.'!$D$473:$D$1088),0),7))&gt;0,0,1)</f>
        <v>1</v>
      </c>
      <c r="H1044" s="28"/>
      <c r="I1044" s="27"/>
      <c r="J1044" s="25" t="s">
        <v>88</v>
      </c>
      <c r="K1044" s="28"/>
    </row>
    <row r="1045" spans="1:11" s="25" customFormat="1" outlineLevel="1" x14ac:dyDescent="0.25">
      <c r="A1045" t="s">
        <v>1769</v>
      </c>
      <c r="B1045" s="25" t="s">
        <v>97</v>
      </c>
      <c r="C1045" s="25" t="s">
        <v>147</v>
      </c>
      <c r="E1045" s="25" t="str">
        <f t="shared" ref="E1045" si="1178">_xlfn.CONCAT("FretFluv",LEFT(B1045,3),RIGHT(B1038,1),"EmportMoy")</f>
        <v>FretFluvCat9EmportMoy</v>
      </c>
      <c r="F1045" s="25" t="s">
        <v>17</v>
      </c>
      <c r="G1045" s="25" cm="1">
        <f t="array" ref="G1045">IF((INDEX('Remplissage - Sit. Init.'!$C$473:$I$1088,MATCH((B1045)&amp;('Remplissage - Sit. Init.'!$D$483),('Remplissage - Sit. Init.'!$C$473:$C$1088)&amp;('Remplissage - Sit. Init.'!$D$473:$D$1088),0),7))&gt;0,0,1)</f>
        <v>1</v>
      </c>
      <c r="H1045" s="28"/>
      <c r="I1045" s="27"/>
      <c r="J1045" s="25" t="s">
        <v>148</v>
      </c>
      <c r="K1045" s="28"/>
    </row>
    <row r="1046" spans="1:11" s="25" customFormat="1" outlineLevel="1" x14ac:dyDescent="0.25">
      <c r="A1046" t="s">
        <v>1769</v>
      </c>
      <c r="B1046" s="25" t="s">
        <v>97</v>
      </c>
      <c r="C1046" s="25" t="s">
        <v>149</v>
      </c>
      <c r="E1046" s="25" t="str">
        <f t="shared" ref="E1046" si="1179">_xlfn.CONCAT("FretFluv",LEFT(B1046,3),RIGHT(B1038,1),"DistAn")</f>
        <v>FretFluvCat9DistAn</v>
      </c>
      <c r="F1046" s="25" t="s">
        <v>17</v>
      </c>
      <c r="G1046" s="25" cm="1">
        <f t="array" ref="G1046">IF((INDEX('Remplissage - Sit. Init.'!$C$473:$I$1088,MATCH((B1046)&amp;('Remplissage - Sit. Init.'!$D$483),('Remplissage - Sit. Init.'!$C$473:$C$1088)&amp;('Remplissage - Sit. Init.'!$D$473:$D$1088),0),7))&gt;0,0,1)</f>
        <v>1</v>
      </c>
      <c r="H1046" s="28"/>
      <c r="I1046" s="27"/>
      <c r="J1046" s="25" t="s">
        <v>88</v>
      </c>
      <c r="K1046" s="28"/>
    </row>
    <row r="1047" spans="1:11" s="25" customFormat="1" outlineLevel="1" x14ac:dyDescent="0.25">
      <c r="A1047" t="s">
        <v>1769</v>
      </c>
      <c r="B1047" s="25" t="s">
        <v>97</v>
      </c>
      <c r="C1047" s="25" t="s">
        <v>150</v>
      </c>
      <c r="E1047" s="25" t="str">
        <f t="shared" ref="E1047" si="1180">_xlfn.CONCAT("FretFluv",LEFT(B1047,3),RIGHT(B1038,1),"TauxChargeMoy")</f>
        <v>FretFluvCat9TauxChargeMoy</v>
      </c>
      <c r="F1047" s="25" t="s">
        <v>17</v>
      </c>
      <c r="G1047" s="25" cm="1">
        <f t="array" ref="G1047">IF((INDEX('Remplissage - Sit. Init.'!$C$473:$I$1088,MATCH((B1047)&amp;('Remplissage - Sit. Init.'!$D$483),('Remplissage - Sit. Init.'!$C$473:$C$1088)&amp;('Remplissage - Sit. Init.'!$D$473:$D$1088),0),7))&gt;0,0,1)</f>
        <v>1</v>
      </c>
      <c r="H1047" s="28"/>
      <c r="I1047" s="27"/>
      <c r="J1047" s="25" t="s">
        <v>70</v>
      </c>
      <c r="K1047" s="28"/>
    </row>
    <row r="1048" spans="1:11" s="25" customFormat="1" outlineLevel="1" x14ac:dyDescent="0.25">
      <c r="A1048" t="s">
        <v>1769</v>
      </c>
      <c r="B1048" s="25" t="s">
        <v>97</v>
      </c>
      <c r="C1048" s="26" t="s">
        <v>526</v>
      </c>
      <c r="E1048" s="25" t="str">
        <f t="shared" ref="E1048" si="1181">_xlfn.CONCAT("FretFluv",LEFT(B1048,3),RIGHT(B1038,1),"NbBarges")</f>
        <v>FretFluvCat9NbBarges</v>
      </c>
      <c r="F1048" s="25" t="s">
        <v>17</v>
      </c>
      <c r="G1048" s="25" cm="1">
        <f t="array" ref="G1048">IF((INDEX('Remplissage - Sit. Init.'!$C$473:$I$1088,MATCH((B1048)&amp;('Remplissage - Sit. Init.'!$D$483),('Remplissage - Sit. Init.'!$C$473:$C$1088)&amp;('Remplissage - Sit. Init.'!$D$473:$D$1088),0),7))&gt;0,0,1)</f>
        <v>1</v>
      </c>
      <c r="H1048" s="28"/>
      <c r="I1048" s="27"/>
      <c r="J1048" s="25" t="s">
        <v>151</v>
      </c>
      <c r="K1048" s="28"/>
    </row>
    <row r="1049" spans="1:11" s="25" customFormat="1" outlineLevel="1" x14ac:dyDescent="0.25">
      <c r="A1049" t="s">
        <v>1769</v>
      </c>
      <c r="B1049" s="25" t="s">
        <v>98</v>
      </c>
      <c r="C1049" s="25" t="s">
        <v>135</v>
      </c>
      <c r="E1049" s="25" t="str">
        <f>_xlfn.CONCAT("FretFluv",LEFT(B1049,3),RIGHT(B1049,2),"Nom")</f>
        <v>FretFluvCat10Nom</v>
      </c>
      <c r="F1049" s="26" t="s">
        <v>20</v>
      </c>
      <c r="G1049" s="25" cm="1">
        <f t="array" ref="G1049">IF((INDEX('Remplissage - Sit. Init.'!$C$473:$I$1088,MATCH((B1049)&amp;('Remplissage - Sit. Init.'!$D$483),('Remplissage - Sit. Init.'!$C$473:$C$1088)&amp;('Remplissage - Sit. Init.'!$D$473:$D$1088),0),7))&gt;0,0,1)</f>
        <v>1</v>
      </c>
      <c r="H1049" s="28"/>
      <c r="I1049" s="27" t="str">
        <f>VLOOKUP(B1049,'Parcs types'!$B$65:$AA$120,2,FALSE)</f>
        <v>Automoteurs 400-649 tonnes Phase V, diesel</v>
      </c>
      <c r="K1049" s="25" t="str">
        <f>I1049</f>
        <v>Automoteurs 400-649 tonnes Phase V, diesel</v>
      </c>
    </row>
    <row r="1050" spans="1:11" s="25" customFormat="1" outlineLevel="1" x14ac:dyDescent="0.25">
      <c r="A1050" t="s">
        <v>1769</v>
      </c>
      <c r="B1050" s="25" t="s">
        <v>98</v>
      </c>
      <c r="C1050" s="25" t="s">
        <v>136</v>
      </c>
      <c r="E1050" s="25" t="str">
        <f>_xlfn.CONCAT("FretFluv",LEFT(B1050,3),RIGHT(B1049,2),"Type")</f>
        <v>FretFluvCat10Type</v>
      </c>
      <c r="F1050" s="25" t="s">
        <v>20</v>
      </c>
      <c r="G1050" s="25" cm="1">
        <f t="array" ref="G1050">IF((INDEX('Remplissage - Sit. Init.'!$C$473:$I$1088,MATCH((B1050)&amp;('Remplissage - Sit. Init.'!$D$483),('Remplissage - Sit. Init.'!$C$473:$C$1088)&amp;('Remplissage - Sit. Init.'!$D$473:$D$1088),0),7))&gt;0,0,1)</f>
        <v>1</v>
      </c>
      <c r="H1050" s="28"/>
      <c r="I1050" s="27" t="str">
        <f>VLOOKUP(B1050,'Parcs types'!$B$65:$AA$120,3,FALSE)</f>
        <v>Automoteurs</v>
      </c>
      <c r="K1050" s="25" t="str">
        <f t="shared" ref="K1050:K1052" si="1182">I1050</f>
        <v>Automoteurs</v>
      </c>
    </row>
    <row r="1051" spans="1:11" s="25" customFormat="1" outlineLevel="1" x14ac:dyDescent="0.25">
      <c r="A1051" t="s">
        <v>1769</v>
      </c>
      <c r="B1051" s="25" t="s">
        <v>98</v>
      </c>
      <c r="C1051" s="26" t="s">
        <v>137</v>
      </c>
      <c r="E1051" s="25" t="str">
        <f>_xlfn.CONCAT("FretFluv",LEFT(B1051,3),RIGHT(B1049,2),"Cap")</f>
        <v>FretFluvCat10Cap</v>
      </c>
      <c r="F1051" s="26" t="s">
        <v>36</v>
      </c>
      <c r="G1051" s="25" cm="1">
        <f t="array" ref="G1051">IF((INDEX('Remplissage - Sit. Init.'!$C$473:$I$1088,MATCH((B1051)&amp;('Remplissage - Sit. Init.'!$D$483),('Remplissage - Sit. Init.'!$C$473:$C$1088)&amp;('Remplissage - Sit. Init.'!$D$473:$D$1088),0),7))&gt;0,0,1)</f>
        <v>1</v>
      </c>
      <c r="H1051" s="28"/>
      <c r="I1051" s="27" t="str">
        <f>VLOOKUP(B1051,'Parcs types'!$B$65:$AA$120,4,FALSE)</f>
        <v>400-649 tonnes</v>
      </c>
      <c r="J1051" s="25" t="s">
        <v>524</v>
      </c>
      <c r="K1051" s="25" t="str">
        <f t="shared" si="1182"/>
        <v>400-649 tonnes</v>
      </c>
    </row>
    <row r="1052" spans="1:11" s="25" customFormat="1" outlineLevel="1" x14ac:dyDescent="0.25">
      <c r="A1052" t="s">
        <v>1769</v>
      </c>
      <c r="B1052" s="25" t="s">
        <v>98</v>
      </c>
      <c r="C1052" s="26" t="s">
        <v>525</v>
      </c>
      <c r="E1052" s="25" t="str">
        <f>_xlfn.CONCAT("FretFluv",LEFT(B1052,3),RIGHT(B1049,2),"Tech")</f>
        <v>FretFluvCat10Tech</v>
      </c>
      <c r="F1052" s="26" t="s">
        <v>20</v>
      </c>
      <c r="G1052" s="25" cm="1">
        <f t="array" ref="G1052">IF((INDEX('Remplissage - Sit. Init.'!$C$473:$I$1088,MATCH((B1052)&amp;('Remplissage - Sit. Init.'!$D$483),('Remplissage - Sit. Init.'!$C$473:$C$1088)&amp;('Remplissage - Sit. Init.'!$D$473:$D$1088),0),7))&gt;0,0,1)</f>
        <v>1</v>
      </c>
      <c r="H1052" s="28"/>
      <c r="I1052" s="27" t="str">
        <f>VLOOKUP(B1052,'Parcs types'!$B$65:$AA$120,5,FALSE)</f>
        <v>Phase V, diesel</v>
      </c>
      <c r="K1052" s="25" t="str">
        <f t="shared" si="1182"/>
        <v>Phase V, diesel</v>
      </c>
    </row>
    <row r="1053" spans="1:11" s="25" customFormat="1" outlineLevel="1" x14ac:dyDescent="0.25">
      <c r="A1053" t="s">
        <v>1769</v>
      </c>
      <c r="B1053" s="25" t="s">
        <v>98</v>
      </c>
      <c r="C1053" s="25" t="s">
        <v>140</v>
      </c>
      <c r="E1053" s="25" t="str">
        <f>_xlfn.CONCAT("FretFluv",LEFT(B1053,3),RIGHT(B1049,2),"Request")</f>
        <v>FretFluvCat10Request</v>
      </c>
      <c r="F1053" s="26" t="s">
        <v>20</v>
      </c>
      <c r="G1053" s="25" cm="1">
        <f t="array" ref="G1053">IF((INDEX('Remplissage - Sit. Init.'!$C$473:$I$1088,MATCH((B1053)&amp;('Remplissage - Sit. Init.'!$D$483),('Remplissage - Sit. Init.'!$C$473:$C$1088)&amp;('Remplissage - Sit. Init.'!$D$473:$D$1088),0),7))&gt;0,0,1)</f>
        <v>1</v>
      </c>
      <c r="I1053" s="27" t="s">
        <v>142</v>
      </c>
      <c r="K1053" s="28"/>
    </row>
    <row r="1054" spans="1:11" s="25" customFormat="1" outlineLevel="1" x14ac:dyDescent="0.25">
      <c r="A1054" t="s">
        <v>1769</v>
      </c>
      <c r="B1054" s="25" t="s">
        <v>98</v>
      </c>
      <c r="C1054" s="25" t="s">
        <v>144</v>
      </c>
      <c r="E1054" s="25" t="str">
        <f>_xlfn.CONCAT("FretFluv",LEFT(B1054,3),RIGHT(B1049,2),"NbTraj")</f>
        <v>FretFluvCat10NbTraj</v>
      </c>
      <c r="F1054" s="25" t="s">
        <v>17</v>
      </c>
      <c r="G1054" s="25" cm="1">
        <f t="array" ref="G1054">IF((INDEX('Remplissage - Sit. Init.'!$C$473:$I$1088,MATCH((B1054)&amp;('Remplissage - Sit. Init.'!$D$483),('Remplissage - Sit. Init.'!$C$473:$C$1088)&amp;('Remplissage - Sit. Init.'!$D$473:$D$1088),0),7))&gt;0,0,1)</f>
        <v>1</v>
      </c>
      <c r="H1054" s="28"/>
      <c r="I1054" s="27"/>
      <c r="J1054" s="25" t="s">
        <v>145</v>
      </c>
      <c r="K1054" s="28"/>
    </row>
    <row r="1055" spans="1:11" s="25" customFormat="1" outlineLevel="1" x14ac:dyDescent="0.25">
      <c r="A1055" t="s">
        <v>1769</v>
      </c>
      <c r="B1055" s="25" t="s">
        <v>98</v>
      </c>
      <c r="C1055" s="25" t="s">
        <v>146</v>
      </c>
      <c r="E1055" s="25" t="str">
        <f>_xlfn.CONCAT("FretFluv",LEFT(B1055,3),RIGHT(B1049,2),"DistMoy")</f>
        <v>FretFluvCat10DistMoy</v>
      </c>
      <c r="F1055" s="25" t="s">
        <v>17</v>
      </c>
      <c r="G1055" s="25" cm="1">
        <f t="array" ref="G1055">IF((INDEX('Remplissage - Sit. Init.'!$C$473:$I$1088,MATCH((B1055)&amp;('Remplissage - Sit. Init.'!$D$483),('Remplissage - Sit. Init.'!$C$473:$C$1088)&amp;('Remplissage - Sit. Init.'!$D$473:$D$1088),0),7))&gt;0,0,1)</f>
        <v>1</v>
      </c>
      <c r="H1055" s="28"/>
      <c r="I1055" s="27"/>
      <c r="J1055" s="25" t="s">
        <v>88</v>
      </c>
      <c r="K1055" s="28"/>
    </row>
    <row r="1056" spans="1:11" s="25" customFormat="1" outlineLevel="1" x14ac:dyDescent="0.25">
      <c r="A1056" t="s">
        <v>1769</v>
      </c>
      <c r="B1056" s="25" t="s">
        <v>98</v>
      </c>
      <c r="C1056" s="25" t="s">
        <v>147</v>
      </c>
      <c r="E1056" s="25" t="str">
        <f>_xlfn.CONCAT("FretFluv",LEFT(B1056,3),RIGHT(B1049,2),"EmportMoy")</f>
        <v>FretFluvCat10EmportMoy</v>
      </c>
      <c r="F1056" s="25" t="s">
        <v>17</v>
      </c>
      <c r="G1056" s="25" cm="1">
        <f t="array" ref="G1056">IF((INDEX('Remplissage - Sit. Init.'!$C$473:$I$1088,MATCH((B1056)&amp;('Remplissage - Sit. Init.'!$D$483),('Remplissage - Sit. Init.'!$C$473:$C$1088)&amp;('Remplissage - Sit. Init.'!$D$473:$D$1088),0),7))&gt;0,0,1)</f>
        <v>1</v>
      </c>
      <c r="H1056" s="28"/>
      <c r="I1056" s="27"/>
      <c r="J1056" s="25" t="s">
        <v>148</v>
      </c>
      <c r="K1056" s="28"/>
    </row>
    <row r="1057" spans="1:11" s="25" customFormat="1" outlineLevel="1" x14ac:dyDescent="0.25">
      <c r="A1057" t="s">
        <v>1769</v>
      </c>
      <c r="B1057" s="25" t="s">
        <v>98</v>
      </c>
      <c r="C1057" s="25" t="s">
        <v>149</v>
      </c>
      <c r="E1057" s="25" t="str">
        <f>_xlfn.CONCAT("FretFluv",LEFT(B1057,3),RIGHT(B1049,2),"DistAn")</f>
        <v>FretFluvCat10DistAn</v>
      </c>
      <c r="F1057" s="25" t="s">
        <v>17</v>
      </c>
      <c r="G1057" s="25" cm="1">
        <f t="array" ref="G1057">IF((INDEX('Remplissage - Sit. Init.'!$C$473:$I$1088,MATCH((B1057)&amp;('Remplissage - Sit. Init.'!$D$483),('Remplissage - Sit. Init.'!$C$473:$C$1088)&amp;('Remplissage - Sit. Init.'!$D$473:$D$1088),0),7))&gt;0,0,1)</f>
        <v>1</v>
      </c>
      <c r="H1057" s="28"/>
      <c r="I1057" s="27"/>
      <c r="J1057" s="25" t="s">
        <v>88</v>
      </c>
      <c r="K1057" s="28"/>
    </row>
    <row r="1058" spans="1:11" s="25" customFormat="1" outlineLevel="1" x14ac:dyDescent="0.25">
      <c r="A1058" t="s">
        <v>1769</v>
      </c>
      <c r="B1058" s="25" t="s">
        <v>98</v>
      </c>
      <c r="C1058" s="25" t="s">
        <v>150</v>
      </c>
      <c r="E1058" s="25" t="str">
        <f>_xlfn.CONCAT("FretFluv",LEFT(B1058,3),RIGHT(B1049,2),"TauxChargeMoy")</f>
        <v>FretFluvCat10TauxChargeMoy</v>
      </c>
      <c r="F1058" s="25" t="s">
        <v>17</v>
      </c>
      <c r="G1058" s="25" cm="1">
        <f t="array" ref="G1058">IF((INDEX('Remplissage - Sit. Init.'!$C$473:$I$1088,MATCH((B1058)&amp;('Remplissage - Sit. Init.'!$D$483),('Remplissage - Sit. Init.'!$C$473:$C$1088)&amp;('Remplissage - Sit. Init.'!$D$473:$D$1088),0),7))&gt;0,0,1)</f>
        <v>1</v>
      </c>
      <c r="H1058" s="28"/>
      <c r="I1058" s="27"/>
      <c r="J1058" s="25" t="s">
        <v>70</v>
      </c>
      <c r="K1058" s="28"/>
    </row>
    <row r="1059" spans="1:11" s="25" customFormat="1" outlineLevel="1" x14ac:dyDescent="0.25">
      <c r="A1059" t="s">
        <v>1769</v>
      </c>
      <c r="B1059" s="25" t="s">
        <v>98</v>
      </c>
      <c r="C1059" s="26" t="s">
        <v>526</v>
      </c>
      <c r="E1059" s="25" t="str">
        <f>_xlfn.CONCAT("FretFluv",LEFT(B1059,3),RIGHT(B1049,2),"NbBarges")</f>
        <v>FretFluvCat10NbBarges</v>
      </c>
      <c r="F1059" s="25" t="s">
        <v>17</v>
      </c>
      <c r="G1059" s="25" cm="1">
        <f t="array" ref="G1059">IF((INDEX('Remplissage - Sit. Init.'!$C$473:$I$1088,MATCH((B1059)&amp;('Remplissage - Sit. Init.'!$D$483),('Remplissage - Sit. Init.'!$C$473:$C$1088)&amp;('Remplissage - Sit. Init.'!$D$473:$D$1088),0),7))&gt;0,0,1)</f>
        <v>1</v>
      </c>
      <c r="H1059" s="28"/>
      <c r="I1059" s="27"/>
      <c r="J1059" s="25" t="s">
        <v>151</v>
      </c>
      <c r="K1059" s="28"/>
    </row>
    <row r="1060" spans="1:11" s="25" customFormat="1" outlineLevel="1" x14ac:dyDescent="0.25">
      <c r="A1060" t="s">
        <v>1769</v>
      </c>
      <c r="B1060" s="25" t="s">
        <v>99</v>
      </c>
      <c r="C1060" s="25" t="s">
        <v>135</v>
      </c>
      <c r="E1060" s="25" t="str">
        <f t="shared" ref="E1060" si="1183">_xlfn.CONCAT("FretFluv",LEFT(B1060,3),RIGHT(B1060,2),"Nom")</f>
        <v>FretFluvCat11Nom</v>
      </c>
      <c r="F1060" s="26" t="s">
        <v>20</v>
      </c>
      <c r="G1060" s="25" cm="1">
        <f t="array" ref="G1060">IF((INDEX('Remplissage - Sit. Init.'!$C$473:$I$1088,MATCH((B1060)&amp;('Remplissage - Sit. Init.'!$D$483),('Remplissage - Sit. Init.'!$C$473:$C$1088)&amp;('Remplissage - Sit. Init.'!$D$473:$D$1088),0),7))&gt;0,0,1)</f>
        <v>1</v>
      </c>
      <c r="H1060" s="28"/>
      <c r="I1060" s="27" t="str">
        <f>VLOOKUP(B1060,'Parcs types'!$B$65:$AA$120,2,FALSE)</f>
        <v>Automoteurs 400-649 tonnes Phase V, HVO</v>
      </c>
      <c r="K1060" s="25" t="str">
        <f>I1060</f>
        <v>Automoteurs 400-649 tonnes Phase V, HVO</v>
      </c>
    </row>
    <row r="1061" spans="1:11" s="25" customFormat="1" outlineLevel="1" x14ac:dyDescent="0.25">
      <c r="A1061" t="s">
        <v>1769</v>
      </c>
      <c r="B1061" s="25" t="s">
        <v>99</v>
      </c>
      <c r="C1061" s="25" t="s">
        <v>136</v>
      </c>
      <c r="E1061" s="25" t="str">
        <f t="shared" ref="E1061" si="1184">_xlfn.CONCAT("FretFluv",LEFT(B1061,3),RIGHT(B1060,2),"Type")</f>
        <v>FretFluvCat11Type</v>
      </c>
      <c r="F1061" s="25" t="s">
        <v>20</v>
      </c>
      <c r="G1061" s="25" cm="1">
        <f t="array" ref="G1061">IF((INDEX('Remplissage - Sit. Init.'!$C$473:$I$1088,MATCH((B1061)&amp;('Remplissage - Sit. Init.'!$D$483),('Remplissage - Sit. Init.'!$C$473:$C$1088)&amp;('Remplissage - Sit. Init.'!$D$473:$D$1088),0),7))&gt;0,0,1)</f>
        <v>1</v>
      </c>
      <c r="H1061" s="28"/>
      <c r="I1061" s="27" t="str">
        <f>VLOOKUP(B1061,'Parcs types'!$B$65:$AA$120,3,FALSE)</f>
        <v>Automoteurs</v>
      </c>
      <c r="K1061" s="25" t="str">
        <f t="shared" ref="K1061:K1063" si="1185">I1061</f>
        <v>Automoteurs</v>
      </c>
    </row>
    <row r="1062" spans="1:11" s="25" customFormat="1" outlineLevel="1" x14ac:dyDescent="0.25">
      <c r="A1062" t="s">
        <v>1769</v>
      </c>
      <c r="B1062" s="25" t="s">
        <v>99</v>
      </c>
      <c r="C1062" s="26" t="s">
        <v>137</v>
      </c>
      <c r="E1062" s="25" t="str">
        <f t="shared" ref="E1062" si="1186">_xlfn.CONCAT("FretFluv",LEFT(B1062,3),RIGHT(B1060,2),"Cap")</f>
        <v>FretFluvCat11Cap</v>
      </c>
      <c r="F1062" s="26" t="s">
        <v>36</v>
      </c>
      <c r="G1062" s="25" cm="1">
        <f t="array" ref="G1062">IF((INDEX('Remplissage - Sit. Init.'!$C$473:$I$1088,MATCH((B1062)&amp;('Remplissage - Sit. Init.'!$D$483),('Remplissage - Sit. Init.'!$C$473:$C$1088)&amp;('Remplissage - Sit. Init.'!$D$473:$D$1088),0),7))&gt;0,0,1)</f>
        <v>1</v>
      </c>
      <c r="H1062" s="28"/>
      <c r="I1062" s="27" t="str">
        <f>VLOOKUP(B1062,'Parcs types'!$B$65:$AA$120,4,FALSE)</f>
        <v>400-649 tonnes</v>
      </c>
      <c r="J1062" s="25" t="s">
        <v>524</v>
      </c>
      <c r="K1062" s="25" t="str">
        <f t="shared" si="1185"/>
        <v>400-649 tonnes</v>
      </c>
    </row>
    <row r="1063" spans="1:11" s="25" customFormat="1" outlineLevel="1" x14ac:dyDescent="0.25">
      <c r="A1063" t="s">
        <v>1769</v>
      </c>
      <c r="B1063" s="25" t="s">
        <v>99</v>
      </c>
      <c r="C1063" s="26" t="s">
        <v>525</v>
      </c>
      <c r="E1063" s="25" t="str">
        <f t="shared" ref="E1063" si="1187">_xlfn.CONCAT("FretFluv",LEFT(B1063,3),RIGHT(B1060,2),"Tech")</f>
        <v>FretFluvCat11Tech</v>
      </c>
      <c r="F1063" s="26" t="s">
        <v>20</v>
      </c>
      <c r="G1063" s="25" cm="1">
        <f t="array" ref="G1063">IF((INDEX('Remplissage - Sit. Init.'!$C$473:$I$1088,MATCH((B1063)&amp;('Remplissage - Sit. Init.'!$D$483),('Remplissage - Sit. Init.'!$C$473:$C$1088)&amp;('Remplissage - Sit. Init.'!$D$473:$D$1088),0),7))&gt;0,0,1)</f>
        <v>1</v>
      </c>
      <c r="H1063" s="28"/>
      <c r="I1063" s="27" t="str">
        <f>VLOOKUP(B1063,'Parcs types'!$B$65:$AA$120,5,FALSE)</f>
        <v>Phase V, HVO</v>
      </c>
      <c r="K1063" s="25" t="str">
        <f t="shared" si="1185"/>
        <v>Phase V, HVO</v>
      </c>
    </row>
    <row r="1064" spans="1:11" s="25" customFormat="1" outlineLevel="1" x14ac:dyDescent="0.25">
      <c r="A1064" t="s">
        <v>1769</v>
      </c>
      <c r="B1064" s="25" t="s">
        <v>99</v>
      </c>
      <c r="C1064" s="25" t="s">
        <v>140</v>
      </c>
      <c r="E1064" s="25" t="str">
        <f t="shared" ref="E1064" si="1188">_xlfn.CONCAT("FretFluv",LEFT(B1064,3),RIGHT(B1060,2),"Request")</f>
        <v>FretFluvCat11Request</v>
      </c>
      <c r="F1064" s="26" t="s">
        <v>20</v>
      </c>
      <c r="G1064" s="25" cm="1">
        <f t="array" ref="G1064">IF((INDEX('Remplissage - Sit. Init.'!$C$473:$I$1088,MATCH((B1064)&amp;('Remplissage - Sit. Init.'!$D$483),('Remplissage - Sit. Init.'!$C$473:$C$1088)&amp;('Remplissage - Sit. Init.'!$D$473:$D$1088),0),7))&gt;0,0,1)</f>
        <v>1</v>
      </c>
      <c r="I1064" s="27" t="s">
        <v>142</v>
      </c>
      <c r="K1064" s="28"/>
    </row>
    <row r="1065" spans="1:11" s="25" customFormat="1" outlineLevel="1" x14ac:dyDescent="0.25">
      <c r="A1065" t="s">
        <v>1769</v>
      </c>
      <c r="B1065" s="25" t="s">
        <v>99</v>
      </c>
      <c r="C1065" s="25" t="s">
        <v>144</v>
      </c>
      <c r="E1065" s="25" t="str">
        <f t="shared" ref="E1065" si="1189">_xlfn.CONCAT("FretFluv",LEFT(B1065,3),RIGHT(B1060,2),"NbTraj")</f>
        <v>FretFluvCat11NbTraj</v>
      </c>
      <c r="F1065" s="25" t="s">
        <v>17</v>
      </c>
      <c r="G1065" s="25" cm="1">
        <f t="array" ref="G1065">IF((INDEX('Remplissage - Sit. Init.'!$C$473:$I$1088,MATCH((B1065)&amp;('Remplissage - Sit. Init.'!$D$483),('Remplissage - Sit. Init.'!$C$473:$C$1088)&amp;('Remplissage - Sit. Init.'!$D$473:$D$1088),0),7))&gt;0,0,1)</f>
        <v>1</v>
      </c>
      <c r="H1065" s="28"/>
      <c r="I1065" s="27"/>
      <c r="J1065" s="25" t="s">
        <v>145</v>
      </c>
      <c r="K1065" s="28"/>
    </row>
    <row r="1066" spans="1:11" s="25" customFormat="1" outlineLevel="1" x14ac:dyDescent="0.25">
      <c r="A1066" t="s">
        <v>1769</v>
      </c>
      <c r="B1066" s="25" t="s">
        <v>99</v>
      </c>
      <c r="C1066" s="25" t="s">
        <v>146</v>
      </c>
      <c r="E1066" s="25" t="str">
        <f t="shared" ref="E1066" si="1190">_xlfn.CONCAT("FretFluv",LEFT(B1066,3),RIGHT(B1060,2),"DistMoy")</f>
        <v>FretFluvCat11DistMoy</v>
      </c>
      <c r="F1066" s="25" t="s">
        <v>17</v>
      </c>
      <c r="G1066" s="25" cm="1">
        <f t="array" ref="G1066">IF((INDEX('Remplissage - Sit. Init.'!$C$473:$I$1088,MATCH((B1066)&amp;('Remplissage - Sit. Init.'!$D$483),('Remplissage - Sit. Init.'!$C$473:$C$1088)&amp;('Remplissage - Sit. Init.'!$D$473:$D$1088),0),7))&gt;0,0,1)</f>
        <v>1</v>
      </c>
      <c r="H1066" s="28"/>
      <c r="I1066" s="27"/>
      <c r="J1066" s="25" t="s">
        <v>88</v>
      </c>
      <c r="K1066" s="28"/>
    </row>
    <row r="1067" spans="1:11" s="25" customFormat="1" outlineLevel="1" x14ac:dyDescent="0.25">
      <c r="A1067" t="s">
        <v>1769</v>
      </c>
      <c r="B1067" s="25" t="s">
        <v>99</v>
      </c>
      <c r="C1067" s="25" t="s">
        <v>147</v>
      </c>
      <c r="E1067" s="25" t="str">
        <f t="shared" ref="E1067" si="1191">_xlfn.CONCAT("FretFluv",LEFT(B1067,3),RIGHT(B1060,2),"EmportMoy")</f>
        <v>FretFluvCat11EmportMoy</v>
      </c>
      <c r="F1067" s="25" t="s">
        <v>17</v>
      </c>
      <c r="G1067" s="25" cm="1">
        <f t="array" ref="G1067">IF((INDEX('Remplissage - Sit. Init.'!$C$473:$I$1088,MATCH((B1067)&amp;('Remplissage - Sit. Init.'!$D$483),('Remplissage - Sit. Init.'!$C$473:$C$1088)&amp;('Remplissage - Sit. Init.'!$D$473:$D$1088),0),7))&gt;0,0,1)</f>
        <v>1</v>
      </c>
      <c r="H1067" s="28"/>
      <c r="I1067" s="27"/>
      <c r="J1067" s="25" t="s">
        <v>148</v>
      </c>
      <c r="K1067" s="28"/>
    </row>
    <row r="1068" spans="1:11" s="25" customFormat="1" outlineLevel="1" x14ac:dyDescent="0.25">
      <c r="A1068" t="s">
        <v>1769</v>
      </c>
      <c r="B1068" s="25" t="s">
        <v>99</v>
      </c>
      <c r="C1068" s="25" t="s">
        <v>149</v>
      </c>
      <c r="E1068" s="25" t="str">
        <f t="shared" ref="E1068" si="1192">_xlfn.CONCAT("FretFluv",LEFT(B1068,3),RIGHT(B1060,2),"DistAn")</f>
        <v>FretFluvCat11DistAn</v>
      </c>
      <c r="F1068" s="25" t="s">
        <v>17</v>
      </c>
      <c r="G1068" s="25" cm="1">
        <f t="array" ref="G1068">IF((INDEX('Remplissage - Sit. Init.'!$C$473:$I$1088,MATCH((B1068)&amp;('Remplissage - Sit. Init.'!$D$483),('Remplissage - Sit. Init.'!$C$473:$C$1088)&amp;('Remplissage - Sit. Init.'!$D$473:$D$1088),0),7))&gt;0,0,1)</f>
        <v>1</v>
      </c>
      <c r="H1068" s="28"/>
      <c r="I1068" s="27"/>
      <c r="J1068" s="25" t="s">
        <v>88</v>
      </c>
      <c r="K1068" s="28"/>
    </row>
    <row r="1069" spans="1:11" s="25" customFormat="1" outlineLevel="1" x14ac:dyDescent="0.25">
      <c r="A1069" t="s">
        <v>1769</v>
      </c>
      <c r="B1069" s="25" t="s">
        <v>99</v>
      </c>
      <c r="C1069" s="25" t="s">
        <v>150</v>
      </c>
      <c r="E1069" s="25" t="str">
        <f t="shared" ref="E1069" si="1193">_xlfn.CONCAT("FretFluv",LEFT(B1069,3),RIGHT(B1060,2),"TauxChargeMoy")</f>
        <v>FretFluvCat11TauxChargeMoy</v>
      </c>
      <c r="F1069" s="25" t="s">
        <v>17</v>
      </c>
      <c r="G1069" s="25" cm="1">
        <f t="array" ref="G1069">IF((INDEX('Remplissage - Sit. Init.'!$C$473:$I$1088,MATCH((B1069)&amp;('Remplissage - Sit. Init.'!$D$483),('Remplissage - Sit. Init.'!$C$473:$C$1088)&amp;('Remplissage - Sit. Init.'!$D$473:$D$1088),0),7))&gt;0,0,1)</f>
        <v>1</v>
      </c>
      <c r="H1069" s="28"/>
      <c r="I1069" s="27"/>
      <c r="J1069" s="25" t="s">
        <v>70</v>
      </c>
      <c r="K1069" s="28"/>
    </row>
    <row r="1070" spans="1:11" s="25" customFormat="1" outlineLevel="1" x14ac:dyDescent="0.25">
      <c r="A1070" t="s">
        <v>1769</v>
      </c>
      <c r="B1070" s="25" t="s">
        <v>99</v>
      </c>
      <c r="C1070" s="26" t="s">
        <v>526</v>
      </c>
      <c r="E1070" s="25" t="str">
        <f t="shared" ref="E1070" si="1194">_xlfn.CONCAT("FretFluv",LEFT(B1070,3),RIGHT(B1060,2),"NbBarges")</f>
        <v>FretFluvCat11NbBarges</v>
      </c>
      <c r="F1070" s="25" t="s">
        <v>17</v>
      </c>
      <c r="G1070" s="25" cm="1">
        <f t="array" ref="G1070">IF((INDEX('Remplissage - Sit. Init.'!$C$473:$I$1088,MATCH((B1070)&amp;('Remplissage - Sit. Init.'!$D$483),('Remplissage - Sit. Init.'!$C$473:$C$1088)&amp;('Remplissage - Sit. Init.'!$D$473:$D$1088),0),7))&gt;0,0,1)</f>
        <v>1</v>
      </c>
      <c r="H1070" s="28"/>
      <c r="I1070" s="27"/>
      <c r="J1070" s="25" t="s">
        <v>151</v>
      </c>
      <c r="K1070" s="28"/>
    </row>
    <row r="1071" spans="1:11" s="25" customFormat="1" outlineLevel="1" x14ac:dyDescent="0.25">
      <c r="A1071" t="s">
        <v>1769</v>
      </c>
      <c r="B1071" s="25" t="s">
        <v>100</v>
      </c>
      <c r="C1071" s="25" t="s">
        <v>135</v>
      </c>
      <c r="E1071" s="25" t="str">
        <f t="shared" ref="E1071" si="1195">_xlfn.CONCAT("FretFluv",LEFT(B1071,3),RIGHT(B1071,2),"Nom")</f>
        <v>FretFluvCat12Nom</v>
      </c>
      <c r="F1071" s="26" t="s">
        <v>20</v>
      </c>
      <c r="G1071" s="25" cm="1">
        <f t="array" ref="G1071">IF((INDEX('Remplissage - Sit. Init.'!$C$473:$I$1088,MATCH((B1071)&amp;('Remplissage - Sit. Init.'!$D$483),('Remplissage - Sit. Init.'!$C$473:$C$1088)&amp;('Remplissage - Sit. Init.'!$D$473:$D$1088),0),7))&gt;0,0,1)</f>
        <v>1</v>
      </c>
      <c r="H1071" s="28"/>
      <c r="I1071" s="27" t="str">
        <f>VLOOKUP(B1071,'Parcs types'!$B$65:$AA$120,2,FALSE)</f>
        <v>Automoteurs 400-649 tonnes Batterie</v>
      </c>
      <c r="K1071" s="25" t="str">
        <f>I1071</f>
        <v>Automoteurs 400-649 tonnes Batterie</v>
      </c>
    </row>
    <row r="1072" spans="1:11" s="25" customFormat="1" outlineLevel="1" x14ac:dyDescent="0.25">
      <c r="A1072" t="s">
        <v>1769</v>
      </c>
      <c r="B1072" s="25" t="s">
        <v>100</v>
      </c>
      <c r="C1072" s="25" t="s">
        <v>136</v>
      </c>
      <c r="E1072" s="25" t="str">
        <f t="shared" ref="E1072" si="1196">_xlfn.CONCAT("FretFluv",LEFT(B1072,3),RIGHT(B1071,2),"Type")</f>
        <v>FretFluvCat12Type</v>
      </c>
      <c r="F1072" s="25" t="s">
        <v>20</v>
      </c>
      <c r="G1072" s="25" cm="1">
        <f t="array" ref="G1072">IF((INDEX('Remplissage - Sit. Init.'!$C$473:$I$1088,MATCH((B1072)&amp;('Remplissage - Sit. Init.'!$D$483),('Remplissage - Sit. Init.'!$C$473:$C$1088)&amp;('Remplissage - Sit. Init.'!$D$473:$D$1088),0),7))&gt;0,0,1)</f>
        <v>1</v>
      </c>
      <c r="H1072" s="28"/>
      <c r="I1072" s="27" t="str">
        <f>VLOOKUP(B1072,'Parcs types'!$B$65:$AA$120,3,FALSE)</f>
        <v>Automoteurs</v>
      </c>
      <c r="K1072" s="25" t="str">
        <f t="shared" ref="K1072:K1074" si="1197">I1072</f>
        <v>Automoteurs</v>
      </c>
    </row>
    <row r="1073" spans="1:11" s="25" customFormat="1" outlineLevel="1" x14ac:dyDescent="0.25">
      <c r="A1073" t="s">
        <v>1769</v>
      </c>
      <c r="B1073" s="25" t="s">
        <v>100</v>
      </c>
      <c r="C1073" s="26" t="s">
        <v>137</v>
      </c>
      <c r="E1073" s="25" t="str">
        <f t="shared" ref="E1073" si="1198">_xlfn.CONCAT("FretFluv",LEFT(B1073,3),RIGHT(B1071,2),"Cap")</f>
        <v>FretFluvCat12Cap</v>
      </c>
      <c r="F1073" s="26" t="s">
        <v>36</v>
      </c>
      <c r="G1073" s="25" cm="1">
        <f t="array" ref="G1073">IF((INDEX('Remplissage - Sit. Init.'!$C$473:$I$1088,MATCH((B1073)&amp;('Remplissage - Sit. Init.'!$D$483),('Remplissage - Sit. Init.'!$C$473:$C$1088)&amp;('Remplissage - Sit. Init.'!$D$473:$D$1088),0),7))&gt;0,0,1)</f>
        <v>1</v>
      </c>
      <c r="H1073" s="28"/>
      <c r="I1073" s="27" t="str">
        <f>VLOOKUP(B1073,'Parcs types'!$B$65:$AA$120,4,FALSE)</f>
        <v>400-649 tonnes</v>
      </c>
      <c r="J1073" s="25" t="s">
        <v>524</v>
      </c>
      <c r="K1073" s="25" t="str">
        <f t="shared" si="1197"/>
        <v>400-649 tonnes</v>
      </c>
    </row>
    <row r="1074" spans="1:11" s="25" customFormat="1" outlineLevel="1" x14ac:dyDescent="0.25">
      <c r="A1074" t="s">
        <v>1769</v>
      </c>
      <c r="B1074" s="25" t="s">
        <v>100</v>
      </c>
      <c r="C1074" s="26" t="s">
        <v>525</v>
      </c>
      <c r="E1074" s="25" t="str">
        <f t="shared" ref="E1074" si="1199">_xlfn.CONCAT("FretFluv",LEFT(B1074,3),RIGHT(B1071,2),"Tech")</f>
        <v>FretFluvCat12Tech</v>
      </c>
      <c r="F1074" s="26" t="s">
        <v>20</v>
      </c>
      <c r="G1074" s="25" cm="1">
        <f t="array" ref="G1074">IF((INDEX('Remplissage - Sit. Init.'!$C$473:$I$1088,MATCH((B1074)&amp;('Remplissage - Sit. Init.'!$D$483),('Remplissage - Sit. Init.'!$C$473:$C$1088)&amp;('Remplissage - Sit. Init.'!$D$473:$D$1088),0),7))&gt;0,0,1)</f>
        <v>1</v>
      </c>
      <c r="H1074" s="28"/>
      <c r="I1074" s="27" t="str">
        <f>VLOOKUP(B1074,'Parcs types'!$B$65:$AA$120,5,FALSE)</f>
        <v>Batterie</v>
      </c>
      <c r="K1074" s="25" t="str">
        <f t="shared" si="1197"/>
        <v>Batterie</v>
      </c>
    </row>
    <row r="1075" spans="1:11" s="25" customFormat="1" outlineLevel="1" x14ac:dyDescent="0.25">
      <c r="A1075" t="s">
        <v>1769</v>
      </c>
      <c r="B1075" s="25" t="s">
        <v>100</v>
      </c>
      <c r="C1075" s="25" t="s">
        <v>140</v>
      </c>
      <c r="E1075" s="25" t="str">
        <f t="shared" ref="E1075" si="1200">_xlfn.CONCAT("FretFluv",LEFT(B1075,3),RIGHT(B1071,2),"Request")</f>
        <v>FretFluvCat12Request</v>
      </c>
      <c r="F1075" s="26" t="s">
        <v>20</v>
      </c>
      <c r="G1075" s="25" cm="1">
        <f t="array" ref="G1075">IF((INDEX('Remplissage - Sit. Init.'!$C$473:$I$1088,MATCH((B1075)&amp;('Remplissage - Sit. Init.'!$D$483),('Remplissage - Sit. Init.'!$C$473:$C$1088)&amp;('Remplissage - Sit. Init.'!$D$473:$D$1088),0),7))&gt;0,0,1)</f>
        <v>1</v>
      </c>
      <c r="I1075" s="27" t="s">
        <v>142</v>
      </c>
      <c r="K1075" s="28"/>
    </row>
    <row r="1076" spans="1:11" s="25" customFormat="1" outlineLevel="1" x14ac:dyDescent="0.25">
      <c r="A1076" t="s">
        <v>1769</v>
      </c>
      <c r="B1076" s="25" t="s">
        <v>100</v>
      </c>
      <c r="C1076" s="25" t="s">
        <v>144</v>
      </c>
      <c r="E1076" s="25" t="str">
        <f t="shared" ref="E1076" si="1201">_xlfn.CONCAT("FretFluv",LEFT(B1076,3),RIGHT(B1071,2),"NbTraj")</f>
        <v>FretFluvCat12NbTraj</v>
      </c>
      <c r="F1076" s="25" t="s">
        <v>17</v>
      </c>
      <c r="G1076" s="25" cm="1">
        <f t="array" ref="G1076">IF((INDEX('Remplissage - Sit. Init.'!$C$473:$I$1088,MATCH((B1076)&amp;('Remplissage - Sit. Init.'!$D$483),('Remplissage - Sit. Init.'!$C$473:$C$1088)&amp;('Remplissage - Sit. Init.'!$D$473:$D$1088),0),7))&gt;0,0,1)</f>
        <v>1</v>
      </c>
      <c r="H1076" s="28"/>
      <c r="I1076" s="27"/>
      <c r="J1076" s="25" t="s">
        <v>145</v>
      </c>
      <c r="K1076" s="28"/>
    </row>
    <row r="1077" spans="1:11" s="25" customFormat="1" outlineLevel="1" x14ac:dyDescent="0.25">
      <c r="A1077" t="s">
        <v>1769</v>
      </c>
      <c r="B1077" s="25" t="s">
        <v>100</v>
      </c>
      <c r="C1077" s="25" t="s">
        <v>146</v>
      </c>
      <c r="E1077" s="25" t="str">
        <f t="shared" ref="E1077" si="1202">_xlfn.CONCAT("FretFluv",LEFT(B1077,3),RIGHT(B1071,2),"DistMoy")</f>
        <v>FretFluvCat12DistMoy</v>
      </c>
      <c r="F1077" s="25" t="s">
        <v>17</v>
      </c>
      <c r="G1077" s="25" cm="1">
        <f t="array" ref="G1077">IF((INDEX('Remplissage - Sit. Init.'!$C$473:$I$1088,MATCH((B1077)&amp;('Remplissage - Sit. Init.'!$D$483),('Remplissage - Sit. Init.'!$C$473:$C$1088)&amp;('Remplissage - Sit. Init.'!$D$473:$D$1088),0),7))&gt;0,0,1)</f>
        <v>1</v>
      </c>
      <c r="H1077" s="28"/>
      <c r="I1077" s="27"/>
      <c r="J1077" s="25" t="s">
        <v>88</v>
      </c>
      <c r="K1077" s="28"/>
    </row>
    <row r="1078" spans="1:11" s="25" customFormat="1" outlineLevel="1" x14ac:dyDescent="0.25">
      <c r="A1078" t="s">
        <v>1769</v>
      </c>
      <c r="B1078" s="25" t="s">
        <v>100</v>
      </c>
      <c r="C1078" s="25" t="s">
        <v>147</v>
      </c>
      <c r="E1078" s="25" t="str">
        <f t="shared" ref="E1078" si="1203">_xlfn.CONCAT("FretFluv",LEFT(B1078,3),RIGHT(B1071,2),"EmportMoy")</f>
        <v>FretFluvCat12EmportMoy</v>
      </c>
      <c r="F1078" s="25" t="s">
        <v>17</v>
      </c>
      <c r="G1078" s="25" cm="1">
        <f t="array" ref="G1078">IF((INDEX('Remplissage - Sit. Init.'!$C$473:$I$1088,MATCH((B1078)&amp;('Remplissage - Sit. Init.'!$D$483),('Remplissage - Sit. Init.'!$C$473:$C$1088)&amp;('Remplissage - Sit. Init.'!$D$473:$D$1088),0),7))&gt;0,0,1)</f>
        <v>1</v>
      </c>
      <c r="H1078" s="28"/>
      <c r="I1078" s="27"/>
      <c r="J1078" s="25" t="s">
        <v>148</v>
      </c>
      <c r="K1078" s="28"/>
    </row>
    <row r="1079" spans="1:11" s="25" customFormat="1" outlineLevel="1" x14ac:dyDescent="0.25">
      <c r="A1079" t="s">
        <v>1769</v>
      </c>
      <c r="B1079" s="25" t="s">
        <v>100</v>
      </c>
      <c r="C1079" s="25" t="s">
        <v>149</v>
      </c>
      <c r="E1079" s="25" t="str">
        <f t="shared" ref="E1079" si="1204">_xlfn.CONCAT("FretFluv",LEFT(B1079,3),RIGHT(B1071,2),"DistAn")</f>
        <v>FretFluvCat12DistAn</v>
      </c>
      <c r="F1079" s="25" t="s">
        <v>17</v>
      </c>
      <c r="G1079" s="25" cm="1">
        <f t="array" ref="G1079">IF((INDEX('Remplissage - Sit. Init.'!$C$473:$I$1088,MATCH((B1079)&amp;('Remplissage - Sit. Init.'!$D$483),('Remplissage - Sit. Init.'!$C$473:$C$1088)&amp;('Remplissage - Sit. Init.'!$D$473:$D$1088),0),7))&gt;0,0,1)</f>
        <v>1</v>
      </c>
      <c r="H1079" s="28"/>
      <c r="I1079" s="27"/>
      <c r="J1079" s="25" t="s">
        <v>88</v>
      </c>
      <c r="K1079" s="28"/>
    </row>
    <row r="1080" spans="1:11" s="25" customFormat="1" outlineLevel="1" x14ac:dyDescent="0.25">
      <c r="A1080" t="s">
        <v>1769</v>
      </c>
      <c r="B1080" s="25" t="s">
        <v>100</v>
      </c>
      <c r="C1080" s="25" t="s">
        <v>150</v>
      </c>
      <c r="E1080" s="25" t="str">
        <f t="shared" ref="E1080" si="1205">_xlfn.CONCAT("FretFluv",LEFT(B1080,3),RIGHT(B1071,2),"TauxChargeMoy")</f>
        <v>FretFluvCat12TauxChargeMoy</v>
      </c>
      <c r="F1080" s="25" t="s">
        <v>17</v>
      </c>
      <c r="G1080" s="25" cm="1">
        <f t="array" ref="G1080">IF((INDEX('Remplissage - Sit. Init.'!$C$473:$I$1088,MATCH((B1080)&amp;('Remplissage - Sit. Init.'!$D$483),('Remplissage - Sit. Init.'!$C$473:$C$1088)&amp;('Remplissage - Sit. Init.'!$D$473:$D$1088),0),7))&gt;0,0,1)</f>
        <v>1</v>
      </c>
      <c r="H1080" s="28"/>
      <c r="I1080" s="27"/>
      <c r="J1080" s="25" t="s">
        <v>70</v>
      </c>
      <c r="K1080" s="28"/>
    </row>
    <row r="1081" spans="1:11" s="25" customFormat="1" outlineLevel="1" x14ac:dyDescent="0.25">
      <c r="A1081" t="s">
        <v>1769</v>
      </c>
      <c r="B1081" s="25" t="s">
        <v>100</v>
      </c>
      <c r="C1081" s="26" t="s">
        <v>526</v>
      </c>
      <c r="E1081" s="25" t="str">
        <f t="shared" ref="E1081" si="1206">_xlfn.CONCAT("FretFluv",LEFT(B1081,3),RIGHT(B1071,2),"NbBarges")</f>
        <v>FretFluvCat12NbBarges</v>
      </c>
      <c r="F1081" s="25" t="s">
        <v>17</v>
      </c>
      <c r="G1081" s="25" cm="1">
        <f t="array" ref="G1081">IF((INDEX('Remplissage - Sit. Init.'!$C$473:$I$1088,MATCH((B1081)&amp;('Remplissage - Sit. Init.'!$D$483),('Remplissage - Sit. Init.'!$C$473:$C$1088)&amp;('Remplissage - Sit. Init.'!$D$473:$D$1088),0),7))&gt;0,0,1)</f>
        <v>1</v>
      </c>
      <c r="H1081" s="28"/>
      <c r="I1081" s="27"/>
      <c r="J1081" s="25" t="s">
        <v>151</v>
      </c>
      <c r="K1081" s="28"/>
    </row>
    <row r="1082" spans="1:11" s="25" customFormat="1" outlineLevel="1" x14ac:dyDescent="0.25">
      <c r="A1082" t="s">
        <v>1769</v>
      </c>
      <c r="B1082" s="25" t="s">
        <v>101</v>
      </c>
      <c r="C1082" s="25" t="s">
        <v>135</v>
      </c>
      <c r="E1082" s="25" t="str">
        <f t="shared" ref="E1082" si="1207">_xlfn.CONCAT("FretFluv",LEFT(B1082,3),RIGHT(B1082,2),"Nom")</f>
        <v>FretFluvCat13Nom</v>
      </c>
      <c r="F1082" s="26" t="s">
        <v>20</v>
      </c>
      <c r="G1082" s="25" cm="1">
        <f t="array" ref="G1082">IF((INDEX('Remplissage - Sit. Init.'!$C$473:$I$1088,MATCH((B1082)&amp;('Remplissage - Sit. Init.'!$D$483),('Remplissage - Sit. Init.'!$C$473:$C$1088)&amp;('Remplissage - Sit. Init.'!$D$473:$D$1088),0),7))&gt;0,0,1)</f>
        <v>1</v>
      </c>
      <c r="H1082" s="28"/>
      <c r="I1082" s="27" t="str">
        <f>VLOOKUP(B1082,'Parcs types'!$B$65:$AA$120,2,FALSE)</f>
        <v>Automoteurs 400-649 tonnes H2 , PAC</v>
      </c>
      <c r="K1082" s="25" t="str">
        <f>I1082</f>
        <v>Automoteurs 400-649 tonnes H2 , PAC</v>
      </c>
    </row>
    <row r="1083" spans="1:11" s="25" customFormat="1" outlineLevel="1" x14ac:dyDescent="0.25">
      <c r="A1083" t="s">
        <v>1769</v>
      </c>
      <c r="B1083" s="25" t="s">
        <v>101</v>
      </c>
      <c r="C1083" s="25" t="s">
        <v>136</v>
      </c>
      <c r="E1083" s="25" t="str">
        <f t="shared" ref="E1083" si="1208">_xlfn.CONCAT("FretFluv",LEFT(B1083,3),RIGHT(B1082,2),"Type")</f>
        <v>FretFluvCat13Type</v>
      </c>
      <c r="F1083" s="25" t="s">
        <v>20</v>
      </c>
      <c r="G1083" s="25" cm="1">
        <f t="array" ref="G1083">IF((INDEX('Remplissage - Sit. Init.'!$C$473:$I$1088,MATCH((B1083)&amp;('Remplissage - Sit. Init.'!$D$483),('Remplissage - Sit. Init.'!$C$473:$C$1088)&amp;('Remplissage - Sit. Init.'!$D$473:$D$1088),0),7))&gt;0,0,1)</f>
        <v>1</v>
      </c>
      <c r="H1083" s="28"/>
      <c r="I1083" s="27" t="str">
        <f>VLOOKUP(B1083,'Parcs types'!$B$65:$AA$120,3,FALSE)</f>
        <v>Automoteurs</v>
      </c>
      <c r="K1083" s="25" t="str">
        <f t="shared" ref="K1083:K1085" si="1209">I1083</f>
        <v>Automoteurs</v>
      </c>
    </row>
    <row r="1084" spans="1:11" s="25" customFormat="1" outlineLevel="1" x14ac:dyDescent="0.25">
      <c r="A1084" t="s">
        <v>1769</v>
      </c>
      <c r="B1084" s="25" t="s">
        <v>101</v>
      </c>
      <c r="C1084" s="26" t="s">
        <v>137</v>
      </c>
      <c r="E1084" s="25" t="str">
        <f t="shared" ref="E1084" si="1210">_xlfn.CONCAT("FretFluv",LEFT(B1084,3),RIGHT(B1082,2),"Cap")</f>
        <v>FretFluvCat13Cap</v>
      </c>
      <c r="F1084" s="26" t="s">
        <v>36</v>
      </c>
      <c r="G1084" s="25" cm="1">
        <f t="array" ref="G1084">IF((INDEX('Remplissage - Sit. Init.'!$C$473:$I$1088,MATCH((B1084)&amp;('Remplissage - Sit. Init.'!$D$483),('Remplissage - Sit. Init.'!$C$473:$C$1088)&amp;('Remplissage - Sit. Init.'!$D$473:$D$1088),0),7))&gt;0,0,1)</f>
        <v>1</v>
      </c>
      <c r="H1084" s="28"/>
      <c r="I1084" s="27" t="str">
        <f>VLOOKUP(B1084,'Parcs types'!$B$65:$AA$120,4,FALSE)</f>
        <v>400-649 tonnes</v>
      </c>
      <c r="J1084" s="25" t="s">
        <v>524</v>
      </c>
      <c r="K1084" s="25" t="str">
        <f t="shared" si="1209"/>
        <v>400-649 tonnes</v>
      </c>
    </row>
    <row r="1085" spans="1:11" s="25" customFormat="1" outlineLevel="1" x14ac:dyDescent="0.25">
      <c r="A1085" t="s">
        <v>1769</v>
      </c>
      <c r="B1085" s="25" t="s">
        <v>101</v>
      </c>
      <c r="C1085" s="26" t="s">
        <v>525</v>
      </c>
      <c r="E1085" s="25" t="str">
        <f t="shared" ref="E1085" si="1211">_xlfn.CONCAT("FretFluv",LEFT(B1085,3),RIGHT(B1082,2),"Tech")</f>
        <v>FretFluvCat13Tech</v>
      </c>
      <c r="F1085" s="26" t="s">
        <v>20</v>
      </c>
      <c r="G1085" s="25" cm="1">
        <f t="array" ref="G1085">IF((INDEX('Remplissage - Sit. Init.'!$C$473:$I$1088,MATCH((B1085)&amp;('Remplissage - Sit. Init.'!$D$483),('Remplissage - Sit. Init.'!$C$473:$C$1088)&amp;('Remplissage - Sit. Init.'!$D$473:$D$1088),0),7))&gt;0,0,1)</f>
        <v>1</v>
      </c>
      <c r="H1085" s="28"/>
      <c r="I1085" s="27" t="str">
        <f>VLOOKUP(B1085,'Parcs types'!$B$65:$AA$120,5,FALSE)</f>
        <v>H2 , PAC</v>
      </c>
      <c r="K1085" s="25" t="str">
        <f t="shared" si="1209"/>
        <v>H2 , PAC</v>
      </c>
    </row>
    <row r="1086" spans="1:11" s="25" customFormat="1" outlineLevel="1" x14ac:dyDescent="0.25">
      <c r="A1086" t="s">
        <v>1769</v>
      </c>
      <c r="B1086" s="25" t="s">
        <v>101</v>
      </c>
      <c r="C1086" s="25" t="s">
        <v>140</v>
      </c>
      <c r="E1086" s="25" t="str">
        <f t="shared" ref="E1086" si="1212">_xlfn.CONCAT("FretFluv",LEFT(B1086,3),RIGHT(B1082,2),"Request")</f>
        <v>FretFluvCat13Request</v>
      </c>
      <c r="F1086" s="26" t="s">
        <v>20</v>
      </c>
      <c r="G1086" s="25" cm="1">
        <f t="array" ref="G1086">IF((INDEX('Remplissage - Sit. Init.'!$C$473:$I$1088,MATCH((B1086)&amp;('Remplissage - Sit. Init.'!$D$483),('Remplissage - Sit. Init.'!$C$473:$C$1088)&amp;('Remplissage - Sit. Init.'!$D$473:$D$1088),0),7))&gt;0,0,1)</f>
        <v>1</v>
      </c>
      <c r="I1086" s="27" t="s">
        <v>142</v>
      </c>
      <c r="K1086" s="28"/>
    </row>
    <row r="1087" spans="1:11" s="25" customFormat="1" outlineLevel="1" x14ac:dyDescent="0.25">
      <c r="A1087" t="s">
        <v>1769</v>
      </c>
      <c r="B1087" s="25" t="s">
        <v>101</v>
      </c>
      <c r="C1087" s="25" t="s">
        <v>144</v>
      </c>
      <c r="E1087" s="25" t="str">
        <f t="shared" ref="E1087" si="1213">_xlfn.CONCAT("FretFluv",LEFT(B1087,3),RIGHT(B1082,2),"NbTraj")</f>
        <v>FretFluvCat13NbTraj</v>
      </c>
      <c r="F1087" s="25" t="s">
        <v>17</v>
      </c>
      <c r="G1087" s="25" cm="1">
        <f t="array" ref="G1087">IF((INDEX('Remplissage - Sit. Init.'!$C$473:$I$1088,MATCH((B1087)&amp;('Remplissage - Sit. Init.'!$D$483),('Remplissage - Sit. Init.'!$C$473:$C$1088)&amp;('Remplissage - Sit. Init.'!$D$473:$D$1088),0),7))&gt;0,0,1)</f>
        <v>1</v>
      </c>
      <c r="H1087" s="28"/>
      <c r="I1087" s="27"/>
      <c r="J1087" s="25" t="s">
        <v>145</v>
      </c>
      <c r="K1087" s="28"/>
    </row>
    <row r="1088" spans="1:11" s="25" customFormat="1" outlineLevel="1" x14ac:dyDescent="0.25">
      <c r="A1088" t="s">
        <v>1769</v>
      </c>
      <c r="B1088" s="25" t="s">
        <v>101</v>
      </c>
      <c r="C1088" s="25" t="s">
        <v>146</v>
      </c>
      <c r="E1088" s="25" t="str">
        <f t="shared" ref="E1088" si="1214">_xlfn.CONCAT("FretFluv",LEFT(B1088,3),RIGHT(B1082,2),"DistMoy")</f>
        <v>FretFluvCat13DistMoy</v>
      </c>
      <c r="F1088" s="25" t="s">
        <v>17</v>
      </c>
      <c r="G1088" s="25" cm="1">
        <f t="array" ref="G1088">IF((INDEX('Remplissage - Sit. Init.'!$C$473:$I$1088,MATCH((B1088)&amp;('Remplissage - Sit. Init.'!$D$483),('Remplissage - Sit. Init.'!$C$473:$C$1088)&amp;('Remplissage - Sit. Init.'!$D$473:$D$1088),0),7))&gt;0,0,1)</f>
        <v>1</v>
      </c>
      <c r="H1088" s="28"/>
      <c r="I1088" s="27"/>
      <c r="J1088" s="25" t="s">
        <v>88</v>
      </c>
      <c r="K1088" s="28"/>
    </row>
    <row r="1089" spans="1:11" s="25" customFormat="1" outlineLevel="1" x14ac:dyDescent="0.25">
      <c r="A1089" t="s">
        <v>1769</v>
      </c>
      <c r="B1089" s="25" t="s">
        <v>101</v>
      </c>
      <c r="C1089" s="25" t="s">
        <v>147</v>
      </c>
      <c r="E1089" s="25" t="str">
        <f t="shared" ref="E1089" si="1215">_xlfn.CONCAT("FretFluv",LEFT(B1089,3),RIGHT(B1082,2),"EmportMoy")</f>
        <v>FretFluvCat13EmportMoy</v>
      </c>
      <c r="F1089" s="25" t="s">
        <v>17</v>
      </c>
      <c r="G1089" s="25" cm="1">
        <f t="array" ref="G1089">IF((INDEX('Remplissage - Sit. Init.'!$C$473:$I$1088,MATCH((B1089)&amp;('Remplissage - Sit. Init.'!$D$483),('Remplissage - Sit. Init.'!$C$473:$C$1088)&amp;('Remplissage - Sit. Init.'!$D$473:$D$1088),0),7))&gt;0,0,1)</f>
        <v>1</v>
      </c>
      <c r="H1089" s="28"/>
      <c r="I1089" s="27"/>
      <c r="J1089" s="25" t="s">
        <v>148</v>
      </c>
      <c r="K1089" s="28"/>
    </row>
    <row r="1090" spans="1:11" s="25" customFormat="1" outlineLevel="1" x14ac:dyDescent="0.25">
      <c r="A1090" t="s">
        <v>1769</v>
      </c>
      <c r="B1090" s="25" t="s">
        <v>101</v>
      </c>
      <c r="C1090" s="25" t="s">
        <v>149</v>
      </c>
      <c r="E1090" s="25" t="str">
        <f t="shared" ref="E1090" si="1216">_xlfn.CONCAT("FretFluv",LEFT(B1090,3),RIGHT(B1082,2),"DistAn")</f>
        <v>FretFluvCat13DistAn</v>
      </c>
      <c r="F1090" s="25" t="s">
        <v>17</v>
      </c>
      <c r="G1090" s="25" cm="1">
        <f t="array" ref="G1090">IF((INDEX('Remplissage - Sit. Init.'!$C$473:$I$1088,MATCH((B1090)&amp;('Remplissage - Sit. Init.'!$D$483),('Remplissage - Sit. Init.'!$C$473:$C$1088)&amp;('Remplissage - Sit. Init.'!$D$473:$D$1088),0),7))&gt;0,0,1)</f>
        <v>1</v>
      </c>
      <c r="I1090" s="27"/>
      <c r="J1090" s="25" t="s">
        <v>88</v>
      </c>
    </row>
    <row r="1091" spans="1:11" s="25" customFormat="1" outlineLevel="1" x14ac:dyDescent="0.25">
      <c r="A1091" t="s">
        <v>1769</v>
      </c>
      <c r="B1091" s="25" t="s">
        <v>101</v>
      </c>
      <c r="C1091" s="25" t="s">
        <v>150</v>
      </c>
      <c r="E1091" s="25" t="str">
        <f t="shared" ref="E1091" si="1217">_xlfn.CONCAT("FretFluv",LEFT(B1091,3),RIGHT(B1082,2),"TauxChargeMoy")</f>
        <v>FretFluvCat13TauxChargeMoy</v>
      </c>
      <c r="F1091" s="25" t="s">
        <v>17</v>
      </c>
      <c r="G1091" s="25" cm="1">
        <f t="array" ref="G1091">IF((INDEX('Remplissage - Sit. Init.'!$C$473:$I$1088,MATCH((B1091)&amp;('Remplissage - Sit. Init.'!$D$483),('Remplissage - Sit. Init.'!$C$473:$C$1088)&amp;('Remplissage - Sit. Init.'!$D$473:$D$1088),0),7))&gt;0,0,1)</f>
        <v>1</v>
      </c>
      <c r="I1091" s="27"/>
      <c r="J1091" s="25" t="s">
        <v>70</v>
      </c>
    </row>
    <row r="1092" spans="1:11" s="25" customFormat="1" outlineLevel="1" x14ac:dyDescent="0.25">
      <c r="A1092" t="s">
        <v>1769</v>
      </c>
      <c r="B1092" s="25" t="s">
        <v>101</v>
      </c>
      <c r="C1092" s="26" t="s">
        <v>526</v>
      </c>
      <c r="E1092" s="25" t="str">
        <f t="shared" ref="E1092" si="1218">_xlfn.CONCAT("FretFluv",LEFT(B1092,3),RIGHT(B1082,2),"NbBarges")</f>
        <v>FretFluvCat13NbBarges</v>
      </c>
      <c r="F1092" s="25" t="s">
        <v>17</v>
      </c>
      <c r="G1092" s="25" cm="1">
        <f t="array" ref="G1092">IF((INDEX('Remplissage - Sit. Init.'!$C$473:$I$1088,MATCH((B1092)&amp;('Remplissage - Sit. Init.'!$D$483),('Remplissage - Sit. Init.'!$C$473:$C$1088)&amp;('Remplissage - Sit. Init.'!$D$473:$D$1088),0),7))&gt;0,0,1)</f>
        <v>1</v>
      </c>
      <c r="I1092" s="27"/>
      <c r="J1092" s="25" t="s">
        <v>151</v>
      </c>
    </row>
    <row r="1093" spans="1:11" s="25" customFormat="1" outlineLevel="1" x14ac:dyDescent="0.25">
      <c r="A1093" t="s">
        <v>1769</v>
      </c>
      <c r="B1093" s="25" t="s">
        <v>102</v>
      </c>
      <c r="C1093" s="25" t="s">
        <v>135</v>
      </c>
      <c r="E1093" s="25" t="str">
        <f t="shared" ref="E1093" si="1219">_xlfn.CONCAT("FretFluv",LEFT(B1093,3),RIGHT(B1093,2),"Nom")</f>
        <v>FretFluvCat14Nom</v>
      </c>
      <c r="F1093" s="26" t="s">
        <v>20</v>
      </c>
      <c r="G1093" s="25" cm="1">
        <f t="array" ref="G1093">IF((INDEX('Remplissage - Sit. Init.'!$C$473:$I$1088,MATCH((B1093)&amp;('Remplissage - Sit. Init.'!$D$483),('Remplissage - Sit. Init.'!$C$473:$C$1088)&amp;('Remplissage - Sit. Init.'!$D$473:$D$1088),0),7))&gt;0,0,1)</f>
        <v>1</v>
      </c>
      <c r="I1093" s="27" t="str">
        <f>VLOOKUP(B1093,'Parcs types'!$B$65:$AA$120,2,FALSE)</f>
        <v>Automoteurs 400-649 tonnes H2 , ICE</v>
      </c>
      <c r="K1093" s="25" t="str">
        <f>I1093</f>
        <v>Automoteurs 400-649 tonnes H2 , ICE</v>
      </c>
    </row>
    <row r="1094" spans="1:11" s="25" customFormat="1" outlineLevel="1" x14ac:dyDescent="0.25">
      <c r="A1094" t="s">
        <v>1769</v>
      </c>
      <c r="B1094" s="25" t="s">
        <v>102</v>
      </c>
      <c r="C1094" s="25" t="s">
        <v>136</v>
      </c>
      <c r="E1094" s="25" t="str">
        <f t="shared" ref="E1094" si="1220">_xlfn.CONCAT("FretFluv",LEFT(B1094,3),RIGHT(B1093,2),"Type")</f>
        <v>FretFluvCat14Type</v>
      </c>
      <c r="F1094" s="25" t="s">
        <v>20</v>
      </c>
      <c r="G1094" s="25" cm="1">
        <f t="array" ref="G1094">IF((INDEX('Remplissage - Sit. Init.'!$C$473:$I$1088,MATCH((B1094)&amp;('Remplissage - Sit. Init.'!$D$483),('Remplissage - Sit. Init.'!$C$473:$C$1088)&amp;('Remplissage - Sit. Init.'!$D$473:$D$1088),0),7))&gt;0,0,1)</f>
        <v>1</v>
      </c>
      <c r="I1094" s="27" t="str">
        <f>VLOOKUP(B1094,'Parcs types'!$B$65:$AA$120,3,FALSE)</f>
        <v>Automoteurs</v>
      </c>
      <c r="K1094" s="25" t="str">
        <f t="shared" ref="K1094:K1096" si="1221">I1094</f>
        <v>Automoteurs</v>
      </c>
    </row>
    <row r="1095" spans="1:11" s="25" customFormat="1" outlineLevel="1" x14ac:dyDescent="0.25">
      <c r="A1095" t="s">
        <v>1769</v>
      </c>
      <c r="B1095" s="25" t="s">
        <v>102</v>
      </c>
      <c r="C1095" s="26" t="s">
        <v>137</v>
      </c>
      <c r="E1095" s="25" t="str">
        <f t="shared" ref="E1095" si="1222">_xlfn.CONCAT("FretFluv",LEFT(B1095,3),RIGHT(B1093,2),"Cap")</f>
        <v>FretFluvCat14Cap</v>
      </c>
      <c r="F1095" s="26" t="s">
        <v>36</v>
      </c>
      <c r="G1095" s="25" cm="1">
        <f t="array" ref="G1095">IF((INDEX('Remplissage - Sit. Init.'!$C$473:$I$1088,MATCH((B1095)&amp;('Remplissage - Sit. Init.'!$D$483),('Remplissage - Sit. Init.'!$C$473:$C$1088)&amp;('Remplissage - Sit. Init.'!$D$473:$D$1088),0),7))&gt;0,0,1)</f>
        <v>1</v>
      </c>
      <c r="I1095" s="27" t="str">
        <f>VLOOKUP(B1095,'Parcs types'!$B$65:$AA$120,4,FALSE)</f>
        <v>400-649 tonnes</v>
      </c>
      <c r="J1095" s="25" t="s">
        <v>524</v>
      </c>
      <c r="K1095" s="25" t="str">
        <f t="shared" si="1221"/>
        <v>400-649 tonnes</v>
      </c>
    </row>
    <row r="1096" spans="1:11" s="25" customFormat="1" outlineLevel="1" x14ac:dyDescent="0.25">
      <c r="A1096" t="s">
        <v>1769</v>
      </c>
      <c r="B1096" s="25" t="s">
        <v>102</v>
      </c>
      <c r="C1096" s="26" t="s">
        <v>525</v>
      </c>
      <c r="E1096" s="25" t="str">
        <f t="shared" ref="E1096" si="1223">_xlfn.CONCAT("FretFluv",LEFT(B1096,3),RIGHT(B1093,2),"Tech")</f>
        <v>FretFluvCat14Tech</v>
      </c>
      <c r="F1096" s="26" t="s">
        <v>20</v>
      </c>
      <c r="G1096" s="25" cm="1">
        <f t="array" ref="G1096">IF((INDEX('Remplissage - Sit. Init.'!$C$473:$I$1088,MATCH((B1096)&amp;('Remplissage - Sit. Init.'!$D$483),('Remplissage - Sit. Init.'!$C$473:$C$1088)&amp;('Remplissage - Sit. Init.'!$D$473:$D$1088),0),7))&gt;0,0,1)</f>
        <v>1</v>
      </c>
      <c r="I1096" s="27" t="str">
        <f>VLOOKUP(B1096,'Parcs types'!$B$65:$AA$120,5,FALSE)</f>
        <v>H2 , ICE</v>
      </c>
      <c r="K1096" s="25" t="str">
        <f t="shared" si="1221"/>
        <v>H2 , ICE</v>
      </c>
    </row>
    <row r="1097" spans="1:11" s="25" customFormat="1" outlineLevel="1" x14ac:dyDescent="0.25">
      <c r="A1097" t="s">
        <v>1769</v>
      </c>
      <c r="B1097" s="25" t="s">
        <v>102</v>
      </c>
      <c r="C1097" s="25" t="s">
        <v>140</v>
      </c>
      <c r="E1097" s="25" t="str">
        <f t="shared" ref="E1097" si="1224">_xlfn.CONCAT("FretFluv",LEFT(B1097,3),RIGHT(B1093,2),"Request")</f>
        <v>FretFluvCat14Request</v>
      </c>
      <c r="F1097" s="26" t="s">
        <v>20</v>
      </c>
      <c r="G1097" s="25" cm="1">
        <f t="array" ref="G1097">IF((INDEX('Remplissage - Sit. Init.'!$C$473:$I$1088,MATCH((B1097)&amp;('Remplissage - Sit. Init.'!$D$483),('Remplissage - Sit. Init.'!$C$473:$C$1088)&amp;('Remplissage - Sit. Init.'!$D$473:$D$1088),0),7))&gt;0,0,1)</f>
        <v>1</v>
      </c>
      <c r="I1097" s="27" t="s">
        <v>142</v>
      </c>
    </row>
    <row r="1098" spans="1:11" s="25" customFormat="1" outlineLevel="1" x14ac:dyDescent="0.25">
      <c r="A1098" t="s">
        <v>1769</v>
      </c>
      <c r="B1098" s="25" t="s">
        <v>102</v>
      </c>
      <c r="C1098" s="25" t="s">
        <v>144</v>
      </c>
      <c r="E1098" s="25" t="str">
        <f t="shared" ref="E1098" si="1225">_xlfn.CONCAT("FretFluv",LEFT(B1098,3),RIGHT(B1093,2),"NbTraj")</f>
        <v>FretFluvCat14NbTraj</v>
      </c>
      <c r="F1098" s="25" t="s">
        <v>17</v>
      </c>
      <c r="G1098" s="25" cm="1">
        <f t="array" ref="G1098">IF((INDEX('Remplissage - Sit. Init.'!$C$473:$I$1088,MATCH((B1098)&amp;('Remplissage - Sit. Init.'!$D$483),('Remplissage - Sit. Init.'!$C$473:$C$1088)&amp;('Remplissage - Sit. Init.'!$D$473:$D$1088),0),7))&gt;0,0,1)</f>
        <v>1</v>
      </c>
      <c r="I1098" s="27"/>
      <c r="J1098" s="25" t="s">
        <v>145</v>
      </c>
      <c r="K1098" s="28"/>
    </row>
    <row r="1099" spans="1:11" s="25" customFormat="1" outlineLevel="1" x14ac:dyDescent="0.25">
      <c r="A1099" t="s">
        <v>1769</v>
      </c>
      <c r="B1099" s="25" t="s">
        <v>102</v>
      </c>
      <c r="C1099" s="25" t="s">
        <v>146</v>
      </c>
      <c r="E1099" s="25" t="str">
        <f t="shared" ref="E1099" si="1226">_xlfn.CONCAT("FretFluv",LEFT(B1099,3),RIGHT(B1093,2),"DistMoy")</f>
        <v>FretFluvCat14DistMoy</v>
      </c>
      <c r="F1099" s="25" t="s">
        <v>17</v>
      </c>
      <c r="G1099" s="25" cm="1">
        <f t="array" ref="G1099">IF((INDEX('Remplissage - Sit. Init.'!$C$473:$I$1088,MATCH((B1099)&amp;('Remplissage - Sit. Init.'!$D$483),('Remplissage - Sit. Init.'!$C$473:$C$1088)&amp;('Remplissage - Sit. Init.'!$D$473:$D$1088),0),7))&gt;0,0,1)</f>
        <v>1</v>
      </c>
      <c r="H1099" s="29"/>
      <c r="I1099" s="27"/>
      <c r="J1099" s="25" t="s">
        <v>88</v>
      </c>
      <c r="K1099" s="30"/>
    </row>
    <row r="1100" spans="1:11" s="25" customFormat="1" outlineLevel="1" x14ac:dyDescent="0.25">
      <c r="A1100" t="s">
        <v>1769</v>
      </c>
      <c r="B1100" s="25" t="s">
        <v>102</v>
      </c>
      <c r="C1100" s="25" t="s">
        <v>147</v>
      </c>
      <c r="E1100" s="25" t="str">
        <f t="shared" ref="E1100" si="1227">_xlfn.CONCAT("FretFluv",LEFT(B1100,3),RIGHT(B1093,2),"EmportMoy")</f>
        <v>FretFluvCat14EmportMoy</v>
      </c>
      <c r="F1100" s="25" t="s">
        <v>17</v>
      </c>
      <c r="G1100" s="25" cm="1">
        <f t="array" ref="G1100">IF((INDEX('Remplissage - Sit. Init.'!$C$473:$I$1088,MATCH((B1100)&amp;('Remplissage - Sit. Init.'!$D$483),('Remplissage - Sit. Init.'!$C$473:$C$1088)&amp;('Remplissage - Sit. Init.'!$D$473:$D$1088),0),7))&gt;0,0,1)</f>
        <v>1</v>
      </c>
      <c r="H1100" s="28"/>
      <c r="I1100" s="27"/>
      <c r="J1100" s="25" t="s">
        <v>148</v>
      </c>
      <c r="K1100" s="28"/>
    </row>
    <row r="1101" spans="1:11" s="25" customFormat="1" outlineLevel="1" x14ac:dyDescent="0.25">
      <c r="A1101" t="s">
        <v>1769</v>
      </c>
      <c r="B1101" s="25" t="s">
        <v>102</v>
      </c>
      <c r="C1101" s="25" t="s">
        <v>149</v>
      </c>
      <c r="E1101" s="25" t="str">
        <f t="shared" ref="E1101" si="1228">_xlfn.CONCAT("FretFluv",LEFT(B1101,3),RIGHT(B1093,2),"DistAn")</f>
        <v>FretFluvCat14DistAn</v>
      </c>
      <c r="F1101" s="25" t="s">
        <v>17</v>
      </c>
      <c r="G1101" s="25" cm="1">
        <f t="array" ref="G1101">IF((INDEX('Remplissage - Sit. Init.'!$C$473:$I$1088,MATCH((B1101)&amp;('Remplissage - Sit. Init.'!$D$483),('Remplissage - Sit. Init.'!$C$473:$C$1088)&amp;('Remplissage - Sit. Init.'!$D$473:$D$1088),0),7))&gt;0,0,1)</f>
        <v>1</v>
      </c>
      <c r="I1101" s="27"/>
      <c r="J1101" s="25" t="s">
        <v>88</v>
      </c>
    </row>
    <row r="1102" spans="1:11" s="25" customFormat="1" outlineLevel="1" x14ac:dyDescent="0.25">
      <c r="A1102" t="s">
        <v>1769</v>
      </c>
      <c r="B1102" s="25" t="s">
        <v>102</v>
      </c>
      <c r="C1102" s="25" t="s">
        <v>150</v>
      </c>
      <c r="E1102" s="25" t="str">
        <f t="shared" ref="E1102" si="1229">_xlfn.CONCAT("FretFluv",LEFT(B1102,3),RIGHT(B1093,2),"TauxChargeMoy")</f>
        <v>FretFluvCat14TauxChargeMoy</v>
      </c>
      <c r="F1102" s="25" t="s">
        <v>17</v>
      </c>
      <c r="G1102" s="25" cm="1">
        <f t="array" ref="G1102">IF((INDEX('Remplissage - Sit. Init.'!$C$473:$I$1088,MATCH((B1102)&amp;('Remplissage - Sit. Init.'!$D$483),('Remplissage - Sit. Init.'!$C$473:$C$1088)&amp;('Remplissage - Sit. Init.'!$D$473:$D$1088),0),7))&gt;0,0,1)</f>
        <v>1</v>
      </c>
      <c r="I1102" s="27"/>
      <c r="J1102" s="25" t="s">
        <v>70</v>
      </c>
    </row>
    <row r="1103" spans="1:11" s="25" customFormat="1" outlineLevel="1" x14ac:dyDescent="0.25">
      <c r="A1103" t="s">
        <v>1769</v>
      </c>
      <c r="B1103" s="25" t="s">
        <v>102</v>
      </c>
      <c r="C1103" s="26" t="s">
        <v>526</v>
      </c>
      <c r="E1103" s="25" t="str">
        <f t="shared" ref="E1103" si="1230">_xlfn.CONCAT("FretFluv",LEFT(B1103,3),RIGHT(B1093,2),"NbBarges")</f>
        <v>FretFluvCat14NbBarges</v>
      </c>
      <c r="F1103" s="25" t="s">
        <v>17</v>
      </c>
      <c r="G1103" s="25" cm="1">
        <f t="array" ref="G1103">IF((INDEX('Remplissage - Sit. Init.'!$C$473:$I$1088,MATCH((B1103)&amp;('Remplissage - Sit. Init.'!$D$483),('Remplissage - Sit. Init.'!$C$473:$C$1088)&amp;('Remplissage - Sit. Init.'!$D$473:$D$1088),0),7))&gt;0,0,1)</f>
        <v>1</v>
      </c>
      <c r="I1103" s="27"/>
      <c r="J1103" s="25" t="s">
        <v>151</v>
      </c>
    </row>
    <row r="1104" spans="1:11" s="25" customFormat="1" outlineLevel="1" x14ac:dyDescent="0.25">
      <c r="A1104" t="s">
        <v>1769</v>
      </c>
      <c r="B1104" s="25" t="s">
        <v>103</v>
      </c>
      <c r="C1104" s="25" t="s">
        <v>135</v>
      </c>
      <c r="E1104" s="25" t="str">
        <f t="shared" ref="E1104" si="1231">_xlfn.CONCAT("FretFluv",LEFT(B1104,3),RIGHT(B1104,2),"Nom")</f>
        <v>FretFluvCat15Nom</v>
      </c>
      <c r="F1104" s="26" t="s">
        <v>20</v>
      </c>
      <c r="G1104" s="25" cm="1">
        <f t="array" ref="G1104">IF((INDEX('Remplissage - Sit. Init.'!$C$473:$I$1088,MATCH((B1104)&amp;('Remplissage - Sit. Init.'!$D$483),('Remplissage - Sit. Init.'!$C$473:$C$1088)&amp;('Remplissage - Sit. Init.'!$D$473:$D$1088),0),7))&gt;0,0,1)</f>
        <v>1</v>
      </c>
      <c r="I1104" s="27" t="str">
        <f>VLOOKUP(B1104,'Parcs types'!$B$65:$AA$120,2,FALSE)</f>
        <v>Automoteurs 650-999 tonnes CCNR 2 ou inférieur, diesel</v>
      </c>
      <c r="K1104" s="25" t="str">
        <f>I1104</f>
        <v>Automoteurs 650-999 tonnes CCNR 2 ou inférieur, diesel</v>
      </c>
    </row>
    <row r="1105" spans="1:11" s="25" customFormat="1" outlineLevel="1" x14ac:dyDescent="0.25">
      <c r="A1105" t="s">
        <v>1769</v>
      </c>
      <c r="B1105" s="25" t="s">
        <v>103</v>
      </c>
      <c r="C1105" s="25" t="s">
        <v>136</v>
      </c>
      <c r="E1105" s="25" t="str">
        <f t="shared" ref="E1105" si="1232">_xlfn.CONCAT("FretFluv",LEFT(B1105,3),RIGHT(B1104,2),"Type")</f>
        <v>FretFluvCat15Type</v>
      </c>
      <c r="F1105" s="25" t="s">
        <v>20</v>
      </c>
      <c r="G1105" s="25" cm="1">
        <f t="array" ref="G1105">IF((INDEX('Remplissage - Sit. Init.'!$C$473:$I$1088,MATCH((B1105)&amp;('Remplissage - Sit. Init.'!$D$483),('Remplissage - Sit. Init.'!$C$473:$C$1088)&amp;('Remplissage - Sit. Init.'!$D$473:$D$1088),0),7))&gt;0,0,1)</f>
        <v>1</v>
      </c>
      <c r="I1105" s="27" t="str">
        <f>VLOOKUP(B1105,'Parcs types'!$B$65:$AA$120,3,FALSE)</f>
        <v>Automoteurs</v>
      </c>
      <c r="K1105" s="25" t="str">
        <f t="shared" ref="K1105:K1107" si="1233">I1105</f>
        <v>Automoteurs</v>
      </c>
    </row>
    <row r="1106" spans="1:11" s="25" customFormat="1" outlineLevel="1" x14ac:dyDescent="0.25">
      <c r="A1106" t="s">
        <v>1769</v>
      </c>
      <c r="B1106" s="25" t="s">
        <v>103</v>
      </c>
      <c r="C1106" s="26" t="s">
        <v>137</v>
      </c>
      <c r="E1106" s="25" t="str">
        <f t="shared" ref="E1106" si="1234">_xlfn.CONCAT("FretFluv",LEFT(B1106,3),RIGHT(B1104,2),"Cap")</f>
        <v>FretFluvCat15Cap</v>
      </c>
      <c r="F1106" s="26" t="s">
        <v>36</v>
      </c>
      <c r="G1106" s="25" cm="1">
        <f t="array" ref="G1106">IF((INDEX('Remplissage - Sit. Init.'!$C$473:$I$1088,MATCH((B1106)&amp;('Remplissage - Sit. Init.'!$D$483),('Remplissage - Sit. Init.'!$C$473:$C$1088)&amp;('Remplissage - Sit. Init.'!$D$473:$D$1088),0),7))&gt;0,0,1)</f>
        <v>1</v>
      </c>
      <c r="I1106" s="27" t="str">
        <f>VLOOKUP(B1106,'Parcs types'!$B$65:$AA$120,4,FALSE)</f>
        <v>650-999 tonnes</v>
      </c>
      <c r="J1106" s="25" t="s">
        <v>524</v>
      </c>
      <c r="K1106" s="25" t="str">
        <f t="shared" si="1233"/>
        <v>650-999 tonnes</v>
      </c>
    </row>
    <row r="1107" spans="1:11" s="25" customFormat="1" outlineLevel="1" x14ac:dyDescent="0.25">
      <c r="A1107" t="s">
        <v>1769</v>
      </c>
      <c r="B1107" s="25" t="s">
        <v>103</v>
      </c>
      <c r="C1107" s="26" t="s">
        <v>525</v>
      </c>
      <c r="E1107" s="25" t="str">
        <f t="shared" ref="E1107" si="1235">_xlfn.CONCAT("FretFluv",LEFT(B1107,3),RIGHT(B1104,2),"Tech")</f>
        <v>FretFluvCat15Tech</v>
      </c>
      <c r="F1107" s="26" t="s">
        <v>20</v>
      </c>
      <c r="G1107" s="25" cm="1">
        <f t="array" ref="G1107">IF((INDEX('Remplissage - Sit. Init.'!$C$473:$I$1088,MATCH((B1107)&amp;('Remplissage - Sit. Init.'!$D$483),('Remplissage - Sit. Init.'!$C$473:$C$1088)&amp;('Remplissage - Sit. Init.'!$D$473:$D$1088),0),7))&gt;0,0,1)</f>
        <v>1</v>
      </c>
      <c r="I1107" s="27" t="str">
        <f>VLOOKUP(B1107,'Parcs types'!$B$65:$AA$120,5,FALSE)</f>
        <v>CCNR 2 ou inférieur, diesel</v>
      </c>
      <c r="K1107" s="25" t="str">
        <f t="shared" si="1233"/>
        <v>CCNR 2 ou inférieur, diesel</v>
      </c>
    </row>
    <row r="1108" spans="1:11" s="25" customFormat="1" outlineLevel="1" x14ac:dyDescent="0.25">
      <c r="A1108" t="s">
        <v>1769</v>
      </c>
      <c r="B1108" s="25" t="s">
        <v>103</v>
      </c>
      <c r="C1108" s="25" t="s">
        <v>140</v>
      </c>
      <c r="E1108" s="25" t="str">
        <f t="shared" ref="E1108" si="1236">_xlfn.CONCAT("FretFluv",LEFT(B1108,3),RIGHT(B1104,2),"Request")</f>
        <v>FretFluvCat15Request</v>
      </c>
      <c r="F1108" s="26" t="s">
        <v>20</v>
      </c>
      <c r="G1108" s="25" cm="1">
        <f t="array" ref="G1108">IF((INDEX('Remplissage - Sit. Init.'!$C$473:$I$1088,MATCH((B1108)&amp;('Remplissage - Sit. Init.'!$D$483),('Remplissage - Sit. Init.'!$C$473:$C$1088)&amp;('Remplissage - Sit. Init.'!$D$473:$D$1088),0),7))&gt;0,0,1)</f>
        <v>1</v>
      </c>
      <c r="I1108" s="27" t="s">
        <v>142</v>
      </c>
      <c r="K1108" s="28"/>
    </row>
    <row r="1109" spans="1:11" s="25" customFormat="1" outlineLevel="1" x14ac:dyDescent="0.25">
      <c r="A1109" t="s">
        <v>1769</v>
      </c>
      <c r="B1109" s="25" t="s">
        <v>103</v>
      </c>
      <c r="C1109" s="25" t="s">
        <v>144</v>
      </c>
      <c r="E1109" s="25" t="str">
        <f t="shared" ref="E1109" si="1237">_xlfn.CONCAT("FretFluv",LEFT(B1109,3),RIGHT(B1104,2),"NbTraj")</f>
        <v>FretFluvCat15NbTraj</v>
      </c>
      <c r="F1109" s="25" t="s">
        <v>17</v>
      </c>
      <c r="G1109" s="25" cm="1">
        <f t="array" ref="G1109">IF((INDEX('Remplissage - Sit. Init.'!$C$473:$I$1088,MATCH((B1109)&amp;('Remplissage - Sit. Init.'!$D$483),('Remplissage - Sit. Init.'!$C$473:$C$1088)&amp;('Remplissage - Sit. Init.'!$D$473:$D$1088),0),7))&gt;0,0,1)</f>
        <v>1</v>
      </c>
      <c r="I1109" s="27"/>
      <c r="J1109" s="25" t="s">
        <v>145</v>
      </c>
      <c r="K1109" s="28"/>
    </row>
    <row r="1110" spans="1:11" s="25" customFormat="1" outlineLevel="1" x14ac:dyDescent="0.25">
      <c r="A1110" t="s">
        <v>1769</v>
      </c>
      <c r="B1110" s="25" t="s">
        <v>103</v>
      </c>
      <c r="C1110" s="25" t="s">
        <v>146</v>
      </c>
      <c r="E1110" s="25" t="str">
        <f t="shared" ref="E1110" si="1238">_xlfn.CONCAT("FretFluv",LEFT(B1110,3),RIGHT(B1104,2),"DistMoy")</f>
        <v>FretFluvCat15DistMoy</v>
      </c>
      <c r="F1110" s="25" t="s">
        <v>17</v>
      </c>
      <c r="G1110" s="25" cm="1">
        <f t="array" ref="G1110">IF((INDEX('Remplissage - Sit. Init.'!$C$473:$I$1088,MATCH((B1110)&amp;('Remplissage - Sit. Init.'!$D$483),('Remplissage - Sit. Init.'!$C$473:$C$1088)&amp;('Remplissage - Sit. Init.'!$D$473:$D$1088),0),7))&gt;0,0,1)</f>
        <v>1</v>
      </c>
      <c r="H1110" s="29"/>
      <c r="I1110" s="27"/>
      <c r="J1110" s="25" t="s">
        <v>88</v>
      </c>
      <c r="K1110" s="28"/>
    </row>
    <row r="1111" spans="1:11" s="25" customFormat="1" outlineLevel="1" x14ac:dyDescent="0.25">
      <c r="A1111" t="s">
        <v>1769</v>
      </c>
      <c r="B1111" s="25" t="s">
        <v>103</v>
      </c>
      <c r="C1111" s="25" t="s">
        <v>147</v>
      </c>
      <c r="E1111" s="25" t="str">
        <f t="shared" ref="E1111" si="1239">_xlfn.CONCAT("FretFluv",LEFT(B1111,3),RIGHT(B1104,2),"EmportMoy")</f>
        <v>FretFluvCat15EmportMoy</v>
      </c>
      <c r="F1111" s="25" t="s">
        <v>17</v>
      </c>
      <c r="G1111" s="25" cm="1">
        <f t="array" ref="G1111">IF((INDEX('Remplissage - Sit. Init.'!$C$473:$I$1088,MATCH((B1111)&amp;('Remplissage - Sit. Init.'!$D$483),('Remplissage - Sit. Init.'!$C$473:$C$1088)&amp;('Remplissage - Sit. Init.'!$D$473:$D$1088),0),7))&gt;0,0,1)</f>
        <v>1</v>
      </c>
      <c r="H1111" s="28"/>
      <c r="I1111" s="27"/>
      <c r="J1111" s="25" t="s">
        <v>148</v>
      </c>
      <c r="K1111" s="28"/>
    </row>
    <row r="1112" spans="1:11" s="25" customFormat="1" outlineLevel="1" x14ac:dyDescent="0.25">
      <c r="A1112" t="s">
        <v>1769</v>
      </c>
      <c r="B1112" s="25" t="s">
        <v>103</v>
      </c>
      <c r="C1112" s="25" t="s">
        <v>149</v>
      </c>
      <c r="E1112" s="25" t="str">
        <f t="shared" ref="E1112" si="1240">_xlfn.CONCAT("FretFluv",LEFT(B1112,3),RIGHT(B1104,2),"DistAn")</f>
        <v>FretFluvCat15DistAn</v>
      </c>
      <c r="F1112" s="25" t="s">
        <v>17</v>
      </c>
      <c r="G1112" s="25" cm="1">
        <f t="array" ref="G1112">IF((INDEX('Remplissage - Sit. Init.'!$C$473:$I$1088,MATCH((B1112)&amp;('Remplissage - Sit. Init.'!$D$483),('Remplissage - Sit. Init.'!$C$473:$C$1088)&amp;('Remplissage - Sit. Init.'!$D$473:$D$1088),0),7))&gt;0,0,1)</f>
        <v>1</v>
      </c>
      <c r="I1112" s="27"/>
      <c r="J1112" s="25" t="s">
        <v>88</v>
      </c>
    </row>
    <row r="1113" spans="1:11" s="25" customFormat="1" outlineLevel="1" x14ac:dyDescent="0.25">
      <c r="A1113" t="s">
        <v>1769</v>
      </c>
      <c r="B1113" s="25" t="s">
        <v>103</v>
      </c>
      <c r="C1113" s="25" t="s">
        <v>150</v>
      </c>
      <c r="E1113" s="25" t="str">
        <f t="shared" ref="E1113" si="1241">_xlfn.CONCAT("FretFluv",LEFT(B1113,3),RIGHT(B1104,2),"TauxChargeMoy")</f>
        <v>FretFluvCat15TauxChargeMoy</v>
      </c>
      <c r="F1113" s="25" t="s">
        <v>17</v>
      </c>
      <c r="G1113" s="25" cm="1">
        <f t="array" ref="G1113">IF((INDEX('Remplissage - Sit. Init.'!$C$473:$I$1088,MATCH((B1113)&amp;('Remplissage - Sit. Init.'!$D$483),('Remplissage - Sit. Init.'!$C$473:$C$1088)&amp;('Remplissage - Sit. Init.'!$D$473:$D$1088),0),7))&gt;0,0,1)</f>
        <v>1</v>
      </c>
      <c r="I1113" s="27"/>
      <c r="J1113" s="25" t="s">
        <v>70</v>
      </c>
    </row>
    <row r="1114" spans="1:11" s="25" customFormat="1" outlineLevel="1" x14ac:dyDescent="0.25">
      <c r="A1114" t="s">
        <v>1769</v>
      </c>
      <c r="B1114" s="25" t="s">
        <v>103</v>
      </c>
      <c r="C1114" s="26" t="s">
        <v>526</v>
      </c>
      <c r="E1114" s="25" t="str">
        <f t="shared" ref="E1114" si="1242">_xlfn.CONCAT("FretFluv",LEFT(B1114,3),RIGHT(B1104,2),"NbBarges")</f>
        <v>FretFluvCat15NbBarges</v>
      </c>
      <c r="F1114" s="25" t="s">
        <v>17</v>
      </c>
      <c r="G1114" s="25" cm="1">
        <f t="array" ref="G1114">IF((INDEX('Remplissage - Sit. Init.'!$C$473:$I$1088,MATCH((B1114)&amp;('Remplissage - Sit. Init.'!$D$483),('Remplissage - Sit. Init.'!$C$473:$C$1088)&amp;('Remplissage - Sit. Init.'!$D$473:$D$1088),0),7))&gt;0,0,1)</f>
        <v>1</v>
      </c>
      <c r="I1114" s="27"/>
      <c r="J1114" s="25" t="s">
        <v>151</v>
      </c>
    </row>
    <row r="1115" spans="1:11" s="25" customFormat="1" outlineLevel="1" x14ac:dyDescent="0.25">
      <c r="A1115" t="s">
        <v>1769</v>
      </c>
      <c r="B1115" s="25" t="s">
        <v>104</v>
      </c>
      <c r="C1115" s="25" t="s">
        <v>135</v>
      </c>
      <c r="E1115" s="25" t="str">
        <f t="shared" ref="E1115" si="1243">_xlfn.CONCAT("FretFluv",LEFT(B1115,3),RIGHT(B1115,2),"Nom")</f>
        <v>FretFluvCat16Nom</v>
      </c>
      <c r="F1115" s="26" t="s">
        <v>20</v>
      </c>
      <c r="G1115" s="25" cm="1">
        <f t="array" ref="G1115">IF((INDEX('Remplissage - Sit. Init.'!$C$473:$I$1088,MATCH((B1115)&amp;('Remplissage - Sit. Init.'!$D$483),('Remplissage - Sit. Init.'!$C$473:$C$1088)&amp;('Remplissage - Sit. Init.'!$D$473:$D$1088),0),7))&gt;0,0,1)</f>
        <v>1</v>
      </c>
      <c r="I1115" s="27" t="str">
        <f>VLOOKUP(B1115,'Parcs types'!$B$65:$AA$120,2,FALSE)</f>
        <v>Automoteurs 650-999 tonnes CCNR 2 + SCR, diesel</v>
      </c>
      <c r="K1115" s="25" t="str">
        <f>I1115</f>
        <v>Automoteurs 650-999 tonnes CCNR 2 + SCR, diesel</v>
      </c>
    </row>
    <row r="1116" spans="1:11" s="25" customFormat="1" outlineLevel="1" x14ac:dyDescent="0.25">
      <c r="A1116" t="s">
        <v>1769</v>
      </c>
      <c r="B1116" s="25" t="s">
        <v>104</v>
      </c>
      <c r="C1116" s="25" t="s">
        <v>136</v>
      </c>
      <c r="E1116" s="25" t="str">
        <f t="shared" ref="E1116" si="1244">_xlfn.CONCAT("FretFluv",LEFT(B1116,3),RIGHT(B1115,2),"Type")</f>
        <v>FretFluvCat16Type</v>
      </c>
      <c r="F1116" s="25" t="s">
        <v>20</v>
      </c>
      <c r="G1116" s="25" cm="1">
        <f t="array" ref="G1116">IF((INDEX('Remplissage - Sit. Init.'!$C$473:$I$1088,MATCH((B1116)&amp;('Remplissage - Sit. Init.'!$D$483),('Remplissage - Sit. Init.'!$C$473:$C$1088)&amp;('Remplissage - Sit. Init.'!$D$473:$D$1088),0),7))&gt;0,0,1)</f>
        <v>1</v>
      </c>
      <c r="I1116" s="27" t="str">
        <f>VLOOKUP(B1116,'Parcs types'!$B$65:$AA$120,3,FALSE)</f>
        <v>Automoteurs</v>
      </c>
      <c r="K1116" s="25" t="str">
        <f t="shared" ref="K1116:K1118" si="1245">I1116</f>
        <v>Automoteurs</v>
      </c>
    </row>
    <row r="1117" spans="1:11" s="25" customFormat="1" outlineLevel="1" x14ac:dyDescent="0.25">
      <c r="A1117" t="s">
        <v>1769</v>
      </c>
      <c r="B1117" s="25" t="s">
        <v>104</v>
      </c>
      <c r="C1117" s="26" t="s">
        <v>137</v>
      </c>
      <c r="E1117" s="25" t="str">
        <f t="shared" ref="E1117" si="1246">_xlfn.CONCAT("FretFluv",LEFT(B1117,3),RIGHT(B1115,2),"Cap")</f>
        <v>FretFluvCat16Cap</v>
      </c>
      <c r="F1117" s="26" t="s">
        <v>36</v>
      </c>
      <c r="G1117" s="25" cm="1">
        <f t="array" ref="G1117">IF((INDEX('Remplissage - Sit. Init.'!$C$473:$I$1088,MATCH((B1117)&amp;('Remplissage - Sit. Init.'!$D$483),('Remplissage - Sit. Init.'!$C$473:$C$1088)&amp;('Remplissage - Sit. Init.'!$D$473:$D$1088),0),7))&gt;0,0,1)</f>
        <v>1</v>
      </c>
      <c r="I1117" s="27" t="str">
        <f>VLOOKUP(B1117,'Parcs types'!$B$65:$AA$120,4,FALSE)</f>
        <v>650-999 tonnes</v>
      </c>
      <c r="J1117" s="25" t="s">
        <v>524</v>
      </c>
      <c r="K1117" s="25" t="str">
        <f t="shared" si="1245"/>
        <v>650-999 tonnes</v>
      </c>
    </row>
    <row r="1118" spans="1:11" s="25" customFormat="1" outlineLevel="1" x14ac:dyDescent="0.25">
      <c r="A1118" t="s">
        <v>1769</v>
      </c>
      <c r="B1118" s="25" t="s">
        <v>104</v>
      </c>
      <c r="C1118" s="26" t="s">
        <v>525</v>
      </c>
      <c r="E1118" s="25" t="str">
        <f t="shared" ref="E1118" si="1247">_xlfn.CONCAT("FretFluv",LEFT(B1118,3),RIGHT(B1115,2),"Tech")</f>
        <v>FretFluvCat16Tech</v>
      </c>
      <c r="F1118" s="26" t="s">
        <v>20</v>
      </c>
      <c r="G1118" s="25" cm="1">
        <f t="array" ref="G1118">IF((INDEX('Remplissage - Sit. Init.'!$C$473:$I$1088,MATCH((B1118)&amp;('Remplissage - Sit. Init.'!$D$483),('Remplissage - Sit. Init.'!$C$473:$C$1088)&amp;('Remplissage - Sit. Init.'!$D$473:$D$1088),0),7))&gt;0,0,1)</f>
        <v>1</v>
      </c>
      <c r="I1118" s="27" t="str">
        <f>VLOOKUP(B1118,'Parcs types'!$B$65:$AA$120,5,FALSE)</f>
        <v>CCNR 2 + SCR, diesel</v>
      </c>
      <c r="K1118" s="25" t="str">
        <f t="shared" si="1245"/>
        <v>CCNR 2 + SCR, diesel</v>
      </c>
    </row>
    <row r="1119" spans="1:11" s="25" customFormat="1" outlineLevel="1" x14ac:dyDescent="0.25">
      <c r="A1119" t="s">
        <v>1769</v>
      </c>
      <c r="B1119" s="25" t="s">
        <v>104</v>
      </c>
      <c r="C1119" s="25" t="s">
        <v>140</v>
      </c>
      <c r="E1119" s="25" t="str">
        <f t="shared" ref="E1119" si="1248">_xlfn.CONCAT("FretFluv",LEFT(B1119,3),RIGHT(B1115,2),"Request")</f>
        <v>FretFluvCat16Request</v>
      </c>
      <c r="F1119" s="26" t="s">
        <v>20</v>
      </c>
      <c r="G1119" s="25" cm="1">
        <f t="array" ref="G1119">IF((INDEX('Remplissage - Sit. Init.'!$C$473:$I$1088,MATCH((B1119)&amp;('Remplissage - Sit. Init.'!$D$483),('Remplissage - Sit. Init.'!$C$473:$C$1088)&amp;('Remplissage - Sit. Init.'!$D$473:$D$1088),0),7))&gt;0,0,1)</f>
        <v>1</v>
      </c>
      <c r="I1119" s="27" t="s">
        <v>142</v>
      </c>
    </row>
    <row r="1120" spans="1:11" s="25" customFormat="1" outlineLevel="1" x14ac:dyDescent="0.25">
      <c r="A1120" t="s">
        <v>1769</v>
      </c>
      <c r="B1120" s="25" t="s">
        <v>104</v>
      </c>
      <c r="C1120" s="25" t="s">
        <v>144</v>
      </c>
      <c r="E1120" s="25" t="str">
        <f t="shared" ref="E1120" si="1249">_xlfn.CONCAT("FretFluv",LEFT(B1120,3),RIGHT(B1115,2),"NbTraj")</f>
        <v>FretFluvCat16NbTraj</v>
      </c>
      <c r="F1120" s="25" t="s">
        <v>17</v>
      </c>
      <c r="G1120" s="25" cm="1">
        <f t="array" ref="G1120">IF((INDEX('Remplissage - Sit. Init.'!$C$473:$I$1088,MATCH((B1120)&amp;('Remplissage - Sit. Init.'!$D$483),('Remplissage - Sit. Init.'!$C$473:$C$1088)&amp;('Remplissage - Sit. Init.'!$D$473:$D$1088),0),7))&gt;0,0,1)</f>
        <v>1</v>
      </c>
      <c r="I1120" s="27"/>
      <c r="J1120" s="25" t="s">
        <v>145</v>
      </c>
      <c r="K1120" s="28"/>
    </row>
    <row r="1121" spans="1:11" s="25" customFormat="1" outlineLevel="1" x14ac:dyDescent="0.25">
      <c r="A1121" t="s">
        <v>1769</v>
      </c>
      <c r="B1121" s="25" t="s">
        <v>104</v>
      </c>
      <c r="C1121" s="25" t="s">
        <v>146</v>
      </c>
      <c r="E1121" s="25" t="str">
        <f t="shared" ref="E1121" si="1250">_xlfn.CONCAT("FretFluv",LEFT(B1121,3),RIGHT(B1115,2),"DistMoy")</f>
        <v>FretFluvCat16DistMoy</v>
      </c>
      <c r="F1121" s="25" t="s">
        <v>17</v>
      </c>
      <c r="G1121" s="25" cm="1">
        <f t="array" ref="G1121">IF((INDEX('Remplissage - Sit. Init.'!$C$473:$I$1088,MATCH((B1121)&amp;('Remplissage - Sit. Init.'!$D$483),('Remplissage - Sit. Init.'!$C$473:$C$1088)&amp;('Remplissage - Sit. Init.'!$D$473:$D$1088),0),7))&gt;0,0,1)</f>
        <v>1</v>
      </c>
      <c r="H1121" s="29"/>
      <c r="I1121" s="27"/>
      <c r="J1121" s="25" t="s">
        <v>88</v>
      </c>
      <c r="K1121" s="30"/>
    </row>
    <row r="1122" spans="1:11" s="25" customFormat="1" outlineLevel="1" x14ac:dyDescent="0.25">
      <c r="A1122" t="s">
        <v>1769</v>
      </c>
      <c r="B1122" s="25" t="s">
        <v>104</v>
      </c>
      <c r="C1122" s="25" t="s">
        <v>147</v>
      </c>
      <c r="E1122" s="25" t="str">
        <f t="shared" ref="E1122" si="1251">_xlfn.CONCAT("FretFluv",LEFT(B1122,3),RIGHT(B1115,2),"EmportMoy")</f>
        <v>FretFluvCat16EmportMoy</v>
      </c>
      <c r="F1122" s="25" t="s">
        <v>17</v>
      </c>
      <c r="G1122" s="25" cm="1">
        <f t="array" ref="G1122">IF((INDEX('Remplissage - Sit. Init.'!$C$473:$I$1088,MATCH((B1122)&amp;('Remplissage - Sit. Init.'!$D$483),('Remplissage - Sit. Init.'!$C$473:$C$1088)&amp;('Remplissage - Sit. Init.'!$D$473:$D$1088),0),7))&gt;0,0,1)</f>
        <v>1</v>
      </c>
      <c r="H1122" s="28"/>
      <c r="I1122" s="27"/>
      <c r="J1122" s="25" t="s">
        <v>148</v>
      </c>
      <c r="K1122" s="28"/>
    </row>
    <row r="1123" spans="1:11" s="25" customFormat="1" outlineLevel="1" x14ac:dyDescent="0.25">
      <c r="A1123" t="s">
        <v>1769</v>
      </c>
      <c r="B1123" s="25" t="s">
        <v>104</v>
      </c>
      <c r="C1123" s="25" t="s">
        <v>149</v>
      </c>
      <c r="E1123" s="25" t="str">
        <f t="shared" ref="E1123" si="1252">_xlfn.CONCAT("FretFluv",LEFT(B1123,3),RIGHT(B1115,2),"DistAn")</f>
        <v>FretFluvCat16DistAn</v>
      </c>
      <c r="F1123" s="25" t="s">
        <v>17</v>
      </c>
      <c r="G1123" s="25" cm="1">
        <f t="array" ref="G1123">IF((INDEX('Remplissage - Sit. Init.'!$C$473:$I$1088,MATCH((B1123)&amp;('Remplissage - Sit. Init.'!$D$483),('Remplissage - Sit. Init.'!$C$473:$C$1088)&amp;('Remplissage - Sit. Init.'!$D$473:$D$1088),0),7))&gt;0,0,1)</f>
        <v>1</v>
      </c>
      <c r="H1123" s="28"/>
      <c r="I1123" s="27"/>
      <c r="J1123" s="25" t="s">
        <v>88</v>
      </c>
      <c r="K1123" s="28"/>
    </row>
    <row r="1124" spans="1:11" s="25" customFormat="1" outlineLevel="1" x14ac:dyDescent="0.25">
      <c r="A1124" t="s">
        <v>1769</v>
      </c>
      <c r="B1124" s="25" t="s">
        <v>104</v>
      </c>
      <c r="C1124" s="25" t="s">
        <v>150</v>
      </c>
      <c r="E1124" s="25" t="str">
        <f t="shared" ref="E1124" si="1253">_xlfn.CONCAT("FretFluv",LEFT(B1124,3),RIGHT(B1115,2),"TauxChargeMoy")</f>
        <v>FretFluvCat16TauxChargeMoy</v>
      </c>
      <c r="F1124" s="25" t="s">
        <v>17</v>
      </c>
      <c r="G1124" s="25" cm="1">
        <f t="array" ref="G1124">IF((INDEX('Remplissage - Sit. Init.'!$C$473:$I$1088,MATCH((B1124)&amp;('Remplissage - Sit. Init.'!$D$483),('Remplissage - Sit. Init.'!$C$473:$C$1088)&amp;('Remplissage - Sit. Init.'!$D$473:$D$1088),0),7))&gt;0,0,1)</f>
        <v>1</v>
      </c>
      <c r="H1124" s="28"/>
      <c r="I1124" s="27"/>
      <c r="J1124" s="25" t="s">
        <v>70</v>
      </c>
      <c r="K1124" s="28"/>
    </row>
    <row r="1125" spans="1:11" s="25" customFormat="1" outlineLevel="1" x14ac:dyDescent="0.25">
      <c r="A1125" t="s">
        <v>1769</v>
      </c>
      <c r="B1125" s="25" t="s">
        <v>104</v>
      </c>
      <c r="C1125" s="26" t="s">
        <v>526</v>
      </c>
      <c r="E1125" s="25" t="str">
        <f t="shared" ref="E1125" si="1254">_xlfn.CONCAT("FretFluv",LEFT(B1125,3),RIGHT(B1115,2),"NbBarges")</f>
        <v>FretFluvCat16NbBarges</v>
      </c>
      <c r="F1125" s="25" t="s">
        <v>17</v>
      </c>
      <c r="G1125" s="25" cm="1">
        <f t="array" ref="G1125">IF((INDEX('Remplissage - Sit. Init.'!$C$473:$I$1088,MATCH((B1125)&amp;('Remplissage - Sit. Init.'!$D$483),('Remplissage - Sit. Init.'!$C$473:$C$1088)&amp;('Remplissage - Sit. Init.'!$D$473:$D$1088),0),7))&gt;0,0,1)</f>
        <v>1</v>
      </c>
      <c r="H1125" s="28"/>
      <c r="I1125" s="27"/>
      <c r="J1125" s="25" t="s">
        <v>151</v>
      </c>
      <c r="K1125" s="28"/>
    </row>
    <row r="1126" spans="1:11" s="25" customFormat="1" outlineLevel="1" x14ac:dyDescent="0.25">
      <c r="A1126" t="s">
        <v>1769</v>
      </c>
      <c r="B1126" s="25" t="s">
        <v>105</v>
      </c>
      <c r="C1126" s="25" t="s">
        <v>135</v>
      </c>
      <c r="E1126" s="25" t="str">
        <f t="shared" ref="E1126" si="1255">_xlfn.CONCAT("FretFluv",LEFT(B1126,3),RIGHT(B1126,2),"Nom")</f>
        <v>FretFluvCat17Nom</v>
      </c>
      <c r="F1126" s="26" t="s">
        <v>20</v>
      </c>
      <c r="G1126" s="25" cm="1">
        <f t="array" ref="G1126">IF((INDEX('Remplissage - Sit. Init.'!$C$473:$I$1088,MATCH((B1126)&amp;('Remplissage - Sit. Init.'!$D$483),('Remplissage - Sit. Init.'!$C$473:$C$1088)&amp;('Remplissage - Sit. Init.'!$D$473:$D$1088),0),7))&gt;0,0,1)</f>
        <v>1</v>
      </c>
      <c r="H1126" s="28"/>
      <c r="I1126" s="27" t="str">
        <f>VLOOKUP(B1126,'Parcs types'!$B$65:$AA$120,2,FALSE)</f>
        <v>Automoteurs 650-999 tonnes Phase V, diesel</v>
      </c>
      <c r="K1126" s="25" t="str">
        <f>I1126</f>
        <v>Automoteurs 650-999 tonnes Phase V, diesel</v>
      </c>
    </row>
    <row r="1127" spans="1:11" s="25" customFormat="1" outlineLevel="1" x14ac:dyDescent="0.25">
      <c r="A1127" t="s">
        <v>1769</v>
      </c>
      <c r="B1127" s="25" t="s">
        <v>105</v>
      </c>
      <c r="C1127" s="25" t="s">
        <v>136</v>
      </c>
      <c r="E1127" s="25" t="str">
        <f t="shared" ref="E1127" si="1256">_xlfn.CONCAT("FretFluv",LEFT(B1127,3),RIGHT(B1126,2),"Type")</f>
        <v>FretFluvCat17Type</v>
      </c>
      <c r="F1127" s="25" t="s">
        <v>20</v>
      </c>
      <c r="G1127" s="25" cm="1">
        <f t="array" ref="G1127">IF((INDEX('Remplissage - Sit. Init.'!$C$473:$I$1088,MATCH((B1127)&amp;('Remplissage - Sit. Init.'!$D$483),('Remplissage - Sit. Init.'!$C$473:$C$1088)&amp;('Remplissage - Sit. Init.'!$D$473:$D$1088),0),7))&gt;0,0,1)</f>
        <v>1</v>
      </c>
      <c r="H1127" s="28"/>
      <c r="I1127" s="27" t="str">
        <f>VLOOKUP(B1127,'Parcs types'!$B$65:$AA$120,3,FALSE)</f>
        <v>Automoteurs</v>
      </c>
      <c r="K1127" s="25" t="str">
        <f t="shared" ref="K1127:K1129" si="1257">I1127</f>
        <v>Automoteurs</v>
      </c>
    </row>
    <row r="1128" spans="1:11" s="25" customFormat="1" outlineLevel="1" x14ac:dyDescent="0.25">
      <c r="A1128" t="s">
        <v>1769</v>
      </c>
      <c r="B1128" s="25" t="s">
        <v>105</v>
      </c>
      <c r="C1128" s="26" t="s">
        <v>137</v>
      </c>
      <c r="E1128" s="25" t="str">
        <f t="shared" ref="E1128" si="1258">_xlfn.CONCAT("FretFluv",LEFT(B1128,3),RIGHT(B1126,2),"Cap")</f>
        <v>FretFluvCat17Cap</v>
      </c>
      <c r="F1128" s="26" t="s">
        <v>36</v>
      </c>
      <c r="G1128" s="25" cm="1">
        <f t="array" ref="G1128">IF((INDEX('Remplissage - Sit. Init.'!$C$473:$I$1088,MATCH((B1128)&amp;('Remplissage - Sit. Init.'!$D$483),('Remplissage - Sit. Init.'!$C$473:$C$1088)&amp;('Remplissage - Sit. Init.'!$D$473:$D$1088),0),7))&gt;0,0,1)</f>
        <v>1</v>
      </c>
      <c r="H1128" s="28"/>
      <c r="I1128" s="27" t="str">
        <f>VLOOKUP(B1128,'Parcs types'!$B$65:$AA$120,4,FALSE)</f>
        <v>650-999 tonnes</v>
      </c>
      <c r="J1128" s="25" t="s">
        <v>524</v>
      </c>
      <c r="K1128" s="25" t="str">
        <f t="shared" si="1257"/>
        <v>650-999 tonnes</v>
      </c>
    </row>
    <row r="1129" spans="1:11" s="25" customFormat="1" outlineLevel="1" x14ac:dyDescent="0.25">
      <c r="A1129" t="s">
        <v>1769</v>
      </c>
      <c r="B1129" s="25" t="s">
        <v>105</v>
      </c>
      <c r="C1129" s="26" t="s">
        <v>525</v>
      </c>
      <c r="E1129" s="25" t="str">
        <f t="shared" ref="E1129" si="1259">_xlfn.CONCAT("FretFluv",LEFT(B1129,3),RIGHT(B1126,2),"Tech")</f>
        <v>FretFluvCat17Tech</v>
      </c>
      <c r="F1129" s="26" t="s">
        <v>20</v>
      </c>
      <c r="G1129" s="25" cm="1">
        <f t="array" ref="G1129">IF((INDEX('Remplissage - Sit. Init.'!$C$473:$I$1088,MATCH((B1129)&amp;('Remplissage - Sit. Init.'!$D$483),('Remplissage - Sit. Init.'!$C$473:$C$1088)&amp;('Remplissage - Sit. Init.'!$D$473:$D$1088),0),7))&gt;0,0,1)</f>
        <v>1</v>
      </c>
      <c r="H1129" s="28"/>
      <c r="I1129" s="27" t="str">
        <f>VLOOKUP(B1129,'Parcs types'!$B$65:$AA$120,5,FALSE)</f>
        <v>Phase V, diesel</v>
      </c>
      <c r="K1129" s="25" t="str">
        <f t="shared" si="1257"/>
        <v>Phase V, diesel</v>
      </c>
    </row>
    <row r="1130" spans="1:11" s="25" customFormat="1" outlineLevel="1" x14ac:dyDescent="0.25">
      <c r="A1130" t="s">
        <v>1769</v>
      </c>
      <c r="B1130" s="25" t="s">
        <v>105</v>
      </c>
      <c r="C1130" s="25" t="s">
        <v>140</v>
      </c>
      <c r="E1130" s="25" t="str">
        <f t="shared" ref="E1130" si="1260">_xlfn.CONCAT("FretFluv",LEFT(B1130,3),RIGHT(B1126,2),"Request")</f>
        <v>FretFluvCat17Request</v>
      </c>
      <c r="F1130" s="26" t="s">
        <v>20</v>
      </c>
      <c r="G1130" s="25" cm="1">
        <f t="array" ref="G1130">IF((INDEX('Remplissage - Sit. Init.'!$C$473:$I$1088,MATCH((B1130)&amp;('Remplissage - Sit. Init.'!$D$483),('Remplissage - Sit. Init.'!$C$473:$C$1088)&amp;('Remplissage - Sit. Init.'!$D$473:$D$1088),0),7))&gt;0,0,1)</f>
        <v>1</v>
      </c>
      <c r="I1130" s="27" t="s">
        <v>142</v>
      </c>
      <c r="K1130" s="28"/>
    </row>
    <row r="1131" spans="1:11" s="25" customFormat="1" outlineLevel="1" x14ac:dyDescent="0.25">
      <c r="A1131" t="s">
        <v>1769</v>
      </c>
      <c r="B1131" s="25" t="s">
        <v>105</v>
      </c>
      <c r="C1131" s="25" t="s">
        <v>144</v>
      </c>
      <c r="E1131" s="25" t="str">
        <f t="shared" ref="E1131" si="1261">_xlfn.CONCAT("FretFluv",LEFT(B1131,3),RIGHT(B1126,2),"NbTraj")</f>
        <v>FretFluvCat17NbTraj</v>
      </c>
      <c r="F1131" s="25" t="s">
        <v>17</v>
      </c>
      <c r="G1131" s="25" cm="1">
        <f t="array" ref="G1131">IF((INDEX('Remplissage - Sit. Init.'!$C$473:$I$1088,MATCH((B1131)&amp;('Remplissage - Sit. Init.'!$D$483),('Remplissage - Sit. Init.'!$C$473:$C$1088)&amp;('Remplissage - Sit. Init.'!$D$473:$D$1088),0),7))&gt;0,0,1)</f>
        <v>1</v>
      </c>
      <c r="H1131" s="28"/>
      <c r="I1131" s="27"/>
      <c r="J1131" s="25" t="s">
        <v>145</v>
      </c>
      <c r="K1131" s="28"/>
    </row>
    <row r="1132" spans="1:11" s="25" customFormat="1" outlineLevel="1" x14ac:dyDescent="0.25">
      <c r="A1132" t="s">
        <v>1769</v>
      </c>
      <c r="B1132" s="25" t="s">
        <v>105</v>
      </c>
      <c r="C1132" s="25" t="s">
        <v>146</v>
      </c>
      <c r="E1132" s="25" t="str">
        <f t="shared" ref="E1132" si="1262">_xlfn.CONCAT("FretFluv",LEFT(B1132,3),RIGHT(B1126,2),"DistMoy")</f>
        <v>FretFluvCat17DistMoy</v>
      </c>
      <c r="F1132" s="25" t="s">
        <v>17</v>
      </c>
      <c r="G1132" s="25" cm="1">
        <f t="array" ref="G1132">IF((INDEX('Remplissage - Sit. Init.'!$C$473:$I$1088,MATCH((B1132)&amp;('Remplissage - Sit. Init.'!$D$483),('Remplissage - Sit. Init.'!$C$473:$C$1088)&amp;('Remplissage - Sit. Init.'!$D$473:$D$1088),0),7))&gt;0,0,1)</f>
        <v>1</v>
      </c>
      <c r="H1132" s="28"/>
      <c r="I1132" s="27"/>
      <c r="J1132" s="25" t="s">
        <v>88</v>
      </c>
      <c r="K1132" s="28"/>
    </row>
    <row r="1133" spans="1:11" s="25" customFormat="1" outlineLevel="1" x14ac:dyDescent="0.25">
      <c r="A1133" t="s">
        <v>1769</v>
      </c>
      <c r="B1133" s="25" t="s">
        <v>105</v>
      </c>
      <c r="C1133" s="25" t="s">
        <v>147</v>
      </c>
      <c r="E1133" s="25" t="str">
        <f t="shared" ref="E1133" si="1263">_xlfn.CONCAT("FretFluv",LEFT(B1133,3),RIGHT(B1126,2),"EmportMoy")</f>
        <v>FretFluvCat17EmportMoy</v>
      </c>
      <c r="F1133" s="25" t="s">
        <v>17</v>
      </c>
      <c r="G1133" s="25" cm="1">
        <f t="array" ref="G1133">IF((INDEX('Remplissage - Sit. Init.'!$C$473:$I$1088,MATCH((B1133)&amp;('Remplissage - Sit. Init.'!$D$483),('Remplissage - Sit. Init.'!$C$473:$C$1088)&amp;('Remplissage - Sit. Init.'!$D$473:$D$1088),0),7))&gt;0,0,1)</f>
        <v>1</v>
      </c>
      <c r="H1133" s="28"/>
      <c r="I1133" s="27"/>
      <c r="J1133" s="25" t="s">
        <v>148</v>
      </c>
      <c r="K1133" s="28"/>
    </row>
    <row r="1134" spans="1:11" s="25" customFormat="1" outlineLevel="1" x14ac:dyDescent="0.25">
      <c r="A1134" t="s">
        <v>1769</v>
      </c>
      <c r="B1134" s="25" t="s">
        <v>105</v>
      </c>
      <c r="C1134" s="25" t="s">
        <v>149</v>
      </c>
      <c r="E1134" s="25" t="str">
        <f t="shared" ref="E1134" si="1264">_xlfn.CONCAT("FretFluv",LEFT(B1134,3),RIGHT(B1126,2),"DistAn")</f>
        <v>FretFluvCat17DistAn</v>
      </c>
      <c r="F1134" s="25" t="s">
        <v>17</v>
      </c>
      <c r="G1134" s="25" cm="1">
        <f t="array" ref="G1134">IF((INDEX('Remplissage - Sit. Init.'!$C$473:$I$1088,MATCH((B1134)&amp;('Remplissage - Sit. Init.'!$D$483),('Remplissage - Sit. Init.'!$C$473:$C$1088)&amp;('Remplissage - Sit. Init.'!$D$473:$D$1088),0),7))&gt;0,0,1)</f>
        <v>1</v>
      </c>
      <c r="H1134" s="28"/>
      <c r="I1134" s="27"/>
      <c r="J1134" s="25" t="s">
        <v>88</v>
      </c>
    </row>
    <row r="1135" spans="1:11" s="25" customFormat="1" outlineLevel="1" x14ac:dyDescent="0.25">
      <c r="A1135" t="s">
        <v>1769</v>
      </c>
      <c r="B1135" s="25" t="s">
        <v>105</v>
      </c>
      <c r="C1135" s="25" t="s">
        <v>150</v>
      </c>
      <c r="E1135" s="25" t="str">
        <f t="shared" ref="E1135" si="1265">_xlfn.CONCAT("FretFluv",LEFT(B1135,3),RIGHT(B1126,2),"TauxChargeMoy")</f>
        <v>FretFluvCat17TauxChargeMoy</v>
      </c>
      <c r="F1135" s="25" t="s">
        <v>17</v>
      </c>
      <c r="G1135" s="25" cm="1">
        <f t="array" ref="G1135">IF((INDEX('Remplissage - Sit. Init.'!$C$473:$I$1088,MATCH((B1135)&amp;('Remplissage - Sit. Init.'!$D$483),('Remplissage - Sit. Init.'!$C$473:$C$1088)&amp;('Remplissage - Sit. Init.'!$D$473:$D$1088),0),7))&gt;0,0,1)</f>
        <v>1</v>
      </c>
      <c r="H1135" s="28"/>
      <c r="I1135" s="27"/>
      <c r="J1135" s="25" t="s">
        <v>70</v>
      </c>
    </row>
    <row r="1136" spans="1:11" s="25" customFormat="1" outlineLevel="1" x14ac:dyDescent="0.25">
      <c r="A1136" t="s">
        <v>1769</v>
      </c>
      <c r="B1136" s="25" t="s">
        <v>105</v>
      </c>
      <c r="C1136" s="26" t="s">
        <v>526</v>
      </c>
      <c r="E1136" s="25" t="str">
        <f t="shared" ref="E1136" si="1266">_xlfn.CONCAT("FretFluv",LEFT(B1136,3),RIGHT(B1126,2),"NbBarges")</f>
        <v>FretFluvCat17NbBarges</v>
      </c>
      <c r="F1136" s="25" t="s">
        <v>17</v>
      </c>
      <c r="G1136" s="25" cm="1">
        <f t="array" ref="G1136">IF((INDEX('Remplissage - Sit. Init.'!$C$473:$I$1088,MATCH((B1136)&amp;('Remplissage - Sit. Init.'!$D$483),('Remplissage - Sit. Init.'!$C$473:$C$1088)&amp;('Remplissage - Sit. Init.'!$D$473:$D$1088),0),7))&gt;0,0,1)</f>
        <v>1</v>
      </c>
      <c r="H1136" s="28"/>
      <c r="I1136" s="27"/>
      <c r="J1136" s="25" t="s">
        <v>151</v>
      </c>
    </row>
    <row r="1137" spans="1:11" s="25" customFormat="1" outlineLevel="1" x14ac:dyDescent="0.25">
      <c r="A1137" t="s">
        <v>1769</v>
      </c>
      <c r="B1137" s="25" t="s">
        <v>106</v>
      </c>
      <c r="C1137" s="25" t="s">
        <v>135</v>
      </c>
      <c r="E1137" s="25" t="str">
        <f t="shared" ref="E1137" si="1267">_xlfn.CONCAT("FretFluv",LEFT(B1137,3),RIGHT(B1137,2),"Nom")</f>
        <v>FretFluvCat18Nom</v>
      </c>
      <c r="F1137" s="26" t="s">
        <v>20</v>
      </c>
      <c r="G1137" s="25" cm="1">
        <f t="array" ref="G1137">IF((INDEX('Remplissage - Sit. Init.'!$C$473:$I$1088,MATCH((B1137)&amp;('Remplissage - Sit. Init.'!$D$483),('Remplissage - Sit. Init.'!$C$473:$C$1088)&amp;('Remplissage - Sit. Init.'!$D$473:$D$1088),0),7))&gt;0,0,1)</f>
        <v>1</v>
      </c>
      <c r="H1137" s="28"/>
      <c r="I1137" s="27" t="str">
        <f>VLOOKUP(B1137,'Parcs types'!$B$65:$AA$120,2,FALSE)</f>
        <v>Automoteurs 650-999 tonnes Phase V, HVO</v>
      </c>
      <c r="K1137" s="25" t="str">
        <f>I1137</f>
        <v>Automoteurs 650-999 tonnes Phase V, HVO</v>
      </c>
    </row>
    <row r="1138" spans="1:11" s="25" customFormat="1" outlineLevel="1" x14ac:dyDescent="0.25">
      <c r="A1138" t="s">
        <v>1769</v>
      </c>
      <c r="B1138" s="25" t="s">
        <v>106</v>
      </c>
      <c r="C1138" s="25" t="s">
        <v>136</v>
      </c>
      <c r="E1138" s="25" t="str">
        <f t="shared" ref="E1138" si="1268">_xlfn.CONCAT("FretFluv",LEFT(B1138,3),RIGHT(B1137,2),"Type")</f>
        <v>FretFluvCat18Type</v>
      </c>
      <c r="F1138" s="25" t="s">
        <v>20</v>
      </c>
      <c r="G1138" s="25" cm="1">
        <f t="array" ref="G1138">IF((INDEX('Remplissage - Sit. Init.'!$C$473:$I$1088,MATCH((B1138)&amp;('Remplissage - Sit. Init.'!$D$483),('Remplissage - Sit. Init.'!$C$473:$C$1088)&amp;('Remplissage - Sit. Init.'!$D$473:$D$1088),0),7))&gt;0,0,1)</f>
        <v>1</v>
      </c>
      <c r="H1138" s="28"/>
      <c r="I1138" s="27" t="str">
        <f>VLOOKUP(B1138,'Parcs types'!$B$65:$AA$120,3,FALSE)</f>
        <v>Automoteurs</v>
      </c>
      <c r="K1138" s="25" t="str">
        <f t="shared" ref="K1138:K1140" si="1269">I1138</f>
        <v>Automoteurs</v>
      </c>
    </row>
    <row r="1139" spans="1:11" s="25" customFormat="1" outlineLevel="1" x14ac:dyDescent="0.25">
      <c r="A1139" t="s">
        <v>1769</v>
      </c>
      <c r="B1139" s="25" t="s">
        <v>106</v>
      </c>
      <c r="C1139" s="26" t="s">
        <v>137</v>
      </c>
      <c r="E1139" s="25" t="str">
        <f t="shared" ref="E1139" si="1270">_xlfn.CONCAT("FretFluv",LEFT(B1139,3),RIGHT(B1137,2),"Cap")</f>
        <v>FretFluvCat18Cap</v>
      </c>
      <c r="F1139" s="26" t="s">
        <v>36</v>
      </c>
      <c r="G1139" s="25" cm="1">
        <f t="array" ref="G1139">IF((INDEX('Remplissage - Sit. Init.'!$C$473:$I$1088,MATCH((B1139)&amp;('Remplissage - Sit. Init.'!$D$483),('Remplissage - Sit. Init.'!$C$473:$C$1088)&amp;('Remplissage - Sit. Init.'!$D$473:$D$1088),0),7))&gt;0,0,1)</f>
        <v>1</v>
      </c>
      <c r="H1139" s="28"/>
      <c r="I1139" s="27" t="str">
        <f>VLOOKUP(B1139,'Parcs types'!$B$65:$AA$120,4,FALSE)</f>
        <v>650-999 tonnes</v>
      </c>
      <c r="J1139" s="25" t="s">
        <v>524</v>
      </c>
      <c r="K1139" s="25" t="str">
        <f t="shared" si="1269"/>
        <v>650-999 tonnes</v>
      </c>
    </row>
    <row r="1140" spans="1:11" s="25" customFormat="1" outlineLevel="1" x14ac:dyDescent="0.25">
      <c r="A1140" t="s">
        <v>1769</v>
      </c>
      <c r="B1140" s="25" t="s">
        <v>106</v>
      </c>
      <c r="C1140" s="26" t="s">
        <v>525</v>
      </c>
      <c r="E1140" s="25" t="str">
        <f t="shared" ref="E1140" si="1271">_xlfn.CONCAT("FretFluv",LEFT(B1140,3),RIGHT(B1137,2),"Tech")</f>
        <v>FretFluvCat18Tech</v>
      </c>
      <c r="F1140" s="26" t="s">
        <v>20</v>
      </c>
      <c r="G1140" s="25" cm="1">
        <f t="array" ref="G1140">IF((INDEX('Remplissage - Sit. Init.'!$C$473:$I$1088,MATCH((B1140)&amp;('Remplissage - Sit. Init.'!$D$483),('Remplissage - Sit. Init.'!$C$473:$C$1088)&amp;('Remplissage - Sit. Init.'!$D$473:$D$1088),0),7))&gt;0,0,1)</f>
        <v>1</v>
      </c>
      <c r="H1140" s="28"/>
      <c r="I1140" s="27" t="str">
        <f>VLOOKUP(B1140,'Parcs types'!$B$65:$AA$120,5,FALSE)</f>
        <v>Phase V, HVO</v>
      </c>
      <c r="K1140" s="25" t="str">
        <f t="shared" si="1269"/>
        <v>Phase V, HVO</v>
      </c>
    </row>
    <row r="1141" spans="1:11" s="25" customFormat="1" outlineLevel="1" x14ac:dyDescent="0.25">
      <c r="A1141" t="s">
        <v>1769</v>
      </c>
      <c r="B1141" s="25" t="s">
        <v>106</v>
      </c>
      <c r="C1141" s="25" t="s">
        <v>140</v>
      </c>
      <c r="E1141" s="25" t="str">
        <f t="shared" ref="E1141" si="1272">_xlfn.CONCAT("FretFluv",LEFT(B1141,3),RIGHT(B1137,2),"Request")</f>
        <v>FretFluvCat18Request</v>
      </c>
      <c r="F1141" s="26" t="s">
        <v>20</v>
      </c>
      <c r="G1141" s="25" cm="1">
        <f t="array" ref="G1141">IF((INDEX('Remplissage - Sit. Init.'!$C$473:$I$1088,MATCH((B1141)&amp;('Remplissage - Sit. Init.'!$D$483),('Remplissage - Sit. Init.'!$C$473:$C$1088)&amp;('Remplissage - Sit. Init.'!$D$473:$D$1088),0),7))&gt;0,0,1)</f>
        <v>1</v>
      </c>
      <c r="I1141" s="27" t="s">
        <v>142</v>
      </c>
      <c r="K1141" s="28"/>
    </row>
    <row r="1142" spans="1:11" s="25" customFormat="1" outlineLevel="1" x14ac:dyDescent="0.25">
      <c r="A1142" t="s">
        <v>1769</v>
      </c>
      <c r="B1142" s="25" t="s">
        <v>106</v>
      </c>
      <c r="C1142" s="25" t="s">
        <v>144</v>
      </c>
      <c r="E1142" s="25" t="str">
        <f t="shared" ref="E1142" si="1273">_xlfn.CONCAT("FretFluv",LEFT(B1142,3),RIGHT(B1137,2),"NbTraj")</f>
        <v>FretFluvCat18NbTraj</v>
      </c>
      <c r="F1142" s="25" t="s">
        <v>17</v>
      </c>
      <c r="G1142" s="25" cm="1">
        <f t="array" ref="G1142">IF((INDEX('Remplissage - Sit. Init.'!$C$473:$I$1088,MATCH((B1142)&amp;('Remplissage - Sit. Init.'!$D$483),('Remplissage - Sit. Init.'!$C$473:$C$1088)&amp;('Remplissage - Sit. Init.'!$D$473:$D$1088),0),7))&gt;0,0,1)</f>
        <v>1</v>
      </c>
      <c r="H1142" s="28"/>
      <c r="I1142" s="27"/>
      <c r="J1142" s="25" t="s">
        <v>145</v>
      </c>
      <c r="K1142" s="28"/>
    </row>
    <row r="1143" spans="1:11" s="25" customFormat="1" outlineLevel="1" x14ac:dyDescent="0.25">
      <c r="A1143" t="s">
        <v>1769</v>
      </c>
      <c r="B1143" s="25" t="s">
        <v>106</v>
      </c>
      <c r="C1143" s="25" t="s">
        <v>146</v>
      </c>
      <c r="E1143" s="25" t="str">
        <f t="shared" ref="E1143" si="1274">_xlfn.CONCAT("FretFluv",LEFT(B1143,3),RIGHT(B1137,2),"DistMoy")</f>
        <v>FretFluvCat18DistMoy</v>
      </c>
      <c r="F1143" s="25" t="s">
        <v>17</v>
      </c>
      <c r="G1143" s="25" cm="1">
        <f t="array" ref="G1143">IF((INDEX('Remplissage - Sit. Init.'!$C$473:$I$1088,MATCH((B1143)&amp;('Remplissage - Sit. Init.'!$D$483),('Remplissage - Sit. Init.'!$C$473:$C$1088)&amp;('Remplissage - Sit. Init.'!$D$473:$D$1088),0),7))&gt;0,0,1)</f>
        <v>1</v>
      </c>
      <c r="H1143" s="28"/>
      <c r="I1143" s="27"/>
      <c r="J1143" s="25" t="s">
        <v>88</v>
      </c>
      <c r="K1143" s="28"/>
    </row>
    <row r="1144" spans="1:11" s="25" customFormat="1" outlineLevel="1" x14ac:dyDescent="0.25">
      <c r="A1144" t="s">
        <v>1769</v>
      </c>
      <c r="B1144" s="25" t="s">
        <v>106</v>
      </c>
      <c r="C1144" s="25" t="s">
        <v>147</v>
      </c>
      <c r="E1144" s="25" t="str">
        <f t="shared" ref="E1144" si="1275">_xlfn.CONCAT("FretFluv",LEFT(B1144,3),RIGHT(B1137,2),"EmportMoy")</f>
        <v>FretFluvCat18EmportMoy</v>
      </c>
      <c r="F1144" s="25" t="s">
        <v>17</v>
      </c>
      <c r="G1144" s="25" cm="1">
        <f t="array" ref="G1144">IF((INDEX('Remplissage - Sit. Init.'!$C$473:$I$1088,MATCH((B1144)&amp;('Remplissage - Sit. Init.'!$D$483),('Remplissage - Sit. Init.'!$C$473:$C$1088)&amp;('Remplissage - Sit. Init.'!$D$473:$D$1088),0),7))&gt;0,0,1)</f>
        <v>1</v>
      </c>
      <c r="H1144" s="28"/>
      <c r="I1144" s="27"/>
      <c r="J1144" s="25" t="s">
        <v>148</v>
      </c>
      <c r="K1144" s="28"/>
    </row>
    <row r="1145" spans="1:11" s="25" customFormat="1" outlineLevel="1" x14ac:dyDescent="0.25">
      <c r="A1145" t="s">
        <v>1769</v>
      </c>
      <c r="B1145" s="25" t="s">
        <v>106</v>
      </c>
      <c r="C1145" s="25" t="s">
        <v>149</v>
      </c>
      <c r="E1145" s="25" t="str">
        <f t="shared" ref="E1145" si="1276">_xlfn.CONCAT("FretFluv",LEFT(B1145,3),RIGHT(B1137,2),"DistAn")</f>
        <v>FretFluvCat18DistAn</v>
      </c>
      <c r="F1145" s="25" t="s">
        <v>17</v>
      </c>
      <c r="G1145" s="25" cm="1">
        <f t="array" ref="G1145">IF((INDEX('Remplissage - Sit. Init.'!$C$473:$I$1088,MATCH((B1145)&amp;('Remplissage - Sit. Init.'!$D$483),('Remplissage - Sit. Init.'!$C$473:$C$1088)&amp;('Remplissage - Sit. Init.'!$D$473:$D$1088),0),7))&gt;0,0,1)</f>
        <v>1</v>
      </c>
      <c r="H1145" s="28"/>
      <c r="I1145" s="27"/>
      <c r="J1145" s="25" t="s">
        <v>88</v>
      </c>
      <c r="K1145" s="28"/>
    </row>
    <row r="1146" spans="1:11" s="25" customFormat="1" outlineLevel="1" x14ac:dyDescent="0.25">
      <c r="A1146" t="s">
        <v>1769</v>
      </c>
      <c r="B1146" s="25" t="s">
        <v>106</v>
      </c>
      <c r="C1146" s="25" t="s">
        <v>150</v>
      </c>
      <c r="E1146" s="25" t="str">
        <f t="shared" ref="E1146" si="1277">_xlfn.CONCAT("FretFluv",LEFT(B1146,3),RIGHT(B1137,2),"TauxChargeMoy")</f>
        <v>FretFluvCat18TauxChargeMoy</v>
      </c>
      <c r="F1146" s="25" t="s">
        <v>17</v>
      </c>
      <c r="G1146" s="25" cm="1">
        <f t="array" ref="G1146">IF((INDEX('Remplissage - Sit. Init.'!$C$473:$I$1088,MATCH((B1146)&amp;('Remplissage - Sit. Init.'!$D$483),('Remplissage - Sit. Init.'!$C$473:$C$1088)&amp;('Remplissage - Sit. Init.'!$D$473:$D$1088),0),7))&gt;0,0,1)</f>
        <v>1</v>
      </c>
      <c r="H1146" s="28"/>
      <c r="I1146" s="27"/>
      <c r="J1146" s="25" t="s">
        <v>70</v>
      </c>
      <c r="K1146" s="28"/>
    </row>
    <row r="1147" spans="1:11" s="25" customFormat="1" outlineLevel="1" x14ac:dyDescent="0.25">
      <c r="A1147" t="s">
        <v>1769</v>
      </c>
      <c r="B1147" s="25" t="s">
        <v>106</v>
      </c>
      <c r="C1147" s="26" t="s">
        <v>526</v>
      </c>
      <c r="E1147" s="25" t="str">
        <f t="shared" ref="E1147" si="1278">_xlfn.CONCAT("FretFluv",LEFT(B1147,3),RIGHT(B1137,2),"NbBarges")</f>
        <v>FretFluvCat18NbBarges</v>
      </c>
      <c r="F1147" s="25" t="s">
        <v>17</v>
      </c>
      <c r="G1147" s="25" cm="1">
        <f t="array" ref="G1147">IF((INDEX('Remplissage - Sit. Init.'!$C$473:$I$1088,MATCH((B1147)&amp;('Remplissage - Sit. Init.'!$D$483),('Remplissage - Sit. Init.'!$C$473:$C$1088)&amp;('Remplissage - Sit. Init.'!$D$473:$D$1088),0),7))&gt;0,0,1)</f>
        <v>1</v>
      </c>
      <c r="H1147" s="28"/>
      <c r="I1147" s="27"/>
      <c r="J1147" s="25" t="s">
        <v>151</v>
      </c>
      <c r="K1147" s="28"/>
    </row>
    <row r="1148" spans="1:11" s="25" customFormat="1" outlineLevel="1" x14ac:dyDescent="0.25">
      <c r="A1148" t="s">
        <v>1769</v>
      </c>
      <c r="B1148" s="25" t="s">
        <v>107</v>
      </c>
      <c r="C1148" s="25" t="s">
        <v>135</v>
      </c>
      <c r="E1148" s="25" t="str">
        <f t="shared" ref="E1148" si="1279">_xlfn.CONCAT("FretFluv",LEFT(B1148,3),RIGHT(B1148,2),"Nom")</f>
        <v>FretFluvCat19Nom</v>
      </c>
      <c r="F1148" s="26" t="s">
        <v>20</v>
      </c>
      <c r="G1148" s="25" cm="1">
        <f t="array" ref="G1148">IF((INDEX('Remplissage - Sit. Init.'!$C$473:$I$1088,MATCH((B1148)&amp;('Remplissage - Sit. Init.'!$D$483),('Remplissage - Sit. Init.'!$C$473:$C$1088)&amp;('Remplissage - Sit. Init.'!$D$473:$D$1088),0),7))&gt;0,0,1)</f>
        <v>1</v>
      </c>
      <c r="H1148" s="28"/>
      <c r="I1148" s="27" t="str">
        <f>VLOOKUP(B1148,'Parcs types'!$B$65:$AA$120,2,FALSE)</f>
        <v>Automoteurs 650-999 tonnes Batterie</v>
      </c>
      <c r="K1148" s="25" t="str">
        <f>I1148</f>
        <v>Automoteurs 650-999 tonnes Batterie</v>
      </c>
    </row>
    <row r="1149" spans="1:11" s="25" customFormat="1" outlineLevel="1" x14ac:dyDescent="0.25">
      <c r="A1149" t="s">
        <v>1769</v>
      </c>
      <c r="B1149" s="25" t="s">
        <v>107</v>
      </c>
      <c r="C1149" s="25" t="s">
        <v>136</v>
      </c>
      <c r="E1149" s="25" t="str">
        <f t="shared" ref="E1149" si="1280">_xlfn.CONCAT("FretFluv",LEFT(B1149,3),RIGHT(B1148,2),"Type")</f>
        <v>FretFluvCat19Type</v>
      </c>
      <c r="F1149" s="25" t="s">
        <v>20</v>
      </c>
      <c r="G1149" s="25" cm="1">
        <f t="array" ref="G1149">IF((INDEX('Remplissage - Sit. Init.'!$C$473:$I$1088,MATCH((B1149)&amp;('Remplissage - Sit. Init.'!$D$483),('Remplissage - Sit. Init.'!$C$473:$C$1088)&amp;('Remplissage - Sit. Init.'!$D$473:$D$1088),0),7))&gt;0,0,1)</f>
        <v>1</v>
      </c>
      <c r="H1149" s="28"/>
      <c r="I1149" s="27" t="str">
        <f>VLOOKUP(B1149,'Parcs types'!$B$65:$AA$120,3,FALSE)</f>
        <v>Automoteurs</v>
      </c>
      <c r="K1149" s="25" t="str">
        <f t="shared" ref="K1149:K1151" si="1281">I1149</f>
        <v>Automoteurs</v>
      </c>
    </row>
    <row r="1150" spans="1:11" s="25" customFormat="1" outlineLevel="1" x14ac:dyDescent="0.25">
      <c r="A1150" t="s">
        <v>1769</v>
      </c>
      <c r="B1150" s="25" t="s">
        <v>107</v>
      </c>
      <c r="C1150" s="26" t="s">
        <v>137</v>
      </c>
      <c r="E1150" s="25" t="str">
        <f t="shared" ref="E1150" si="1282">_xlfn.CONCAT("FretFluv",LEFT(B1150,3),RIGHT(B1148,2),"Cap")</f>
        <v>FretFluvCat19Cap</v>
      </c>
      <c r="F1150" s="26" t="s">
        <v>36</v>
      </c>
      <c r="G1150" s="25" cm="1">
        <f t="array" ref="G1150">IF((INDEX('Remplissage - Sit. Init.'!$C$473:$I$1088,MATCH((B1150)&amp;('Remplissage - Sit. Init.'!$D$483),('Remplissage - Sit. Init.'!$C$473:$C$1088)&amp;('Remplissage - Sit. Init.'!$D$473:$D$1088),0),7))&gt;0,0,1)</f>
        <v>1</v>
      </c>
      <c r="H1150" s="28"/>
      <c r="I1150" s="27" t="str">
        <f>VLOOKUP(B1150,'Parcs types'!$B$65:$AA$120,4,FALSE)</f>
        <v>650-999 tonnes</v>
      </c>
      <c r="J1150" s="25" t="s">
        <v>524</v>
      </c>
      <c r="K1150" s="25" t="str">
        <f t="shared" si="1281"/>
        <v>650-999 tonnes</v>
      </c>
    </row>
    <row r="1151" spans="1:11" s="25" customFormat="1" outlineLevel="1" x14ac:dyDescent="0.25">
      <c r="A1151" t="s">
        <v>1769</v>
      </c>
      <c r="B1151" s="25" t="s">
        <v>107</v>
      </c>
      <c r="C1151" s="26" t="s">
        <v>525</v>
      </c>
      <c r="E1151" s="25" t="str">
        <f t="shared" ref="E1151" si="1283">_xlfn.CONCAT("FretFluv",LEFT(B1151,3),RIGHT(B1148,2),"Tech")</f>
        <v>FretFluvCat19Tech</v>
      </c>
      <c r="F1151" s="26" t="s">
        <v>20</v>
      </c>
      <c r="G1151" s="25" cm="1">
        <f t="array" ref="G1151">IF((INDEX('Remplissage - Sit. Init.'!$C$473:$I$1088,MATCH((B1151)&amp;('Remplissage - Sit. Init.'!$D$483),('Remplissage - Sit. Init.'!$C$473:$C$1088)&amp;('Remplissage - Sit. Init.'!$D$473:$D$1088),0),7))&gt;0,0,1)</f>
        <v>1</v>
      </c>
      <c r="H1151" s="28"/>
      <c r="I1151" s="27" t="str">
        <f>VLOOKUP(B1151,'Parcs types'!$B$65:$AA$120,5,FALSE)</f>
        <v>Batterie</v>
      </c>
      <c r="K1151" s="25" t="str">
        <f t="shared" si="1281"/>
        <v>Batterie</v>
      </c>
    </row>
    <row r="1152" spans="1:11" s="25" customFormat="1" outlineLevel="1" x14ac:dyDescent="0.25">
      <c r="A1152" t="s">
        <v>1769</v>
      </c>
      <c r="B1152" s="25" t="s">
        <v>107</v>
      </c>
      <c r="C1152" s="25" t="s">
        <v>140</v>
      </c>
      <c r="E1152" s="25" t="str">
        <f t="shared" ref="E1152" si="1284">_xlfn.CONCAT("FretFluv",LEFT(B1152,3),RIGHT(B1148,2),"Request")</f>
        <v>FretFluvCat19Request</v>
      </c>
      <c r="F1152" s="26" t="s">
        <v>20</v>
      </c>
      <c r="G1152" s="25" cm="1">
        <f t="array" ref="G1152">IF((INDEX('Remplissage - Sit. Init.'!$C$473:$I$1088,MATCH((B1152)&amp;('Remplissage - Sit. Init.'!$D$483),('Remplissage - Sit. Init.'!$C$473:$C$1088)&amp;('Remplissage - Sit. Init.'!$D$473:$D$1088),0),7))&gt;0,0,1)</f>
        <v>1</v>
      </c>
      <c r="I1152" s="27" t="s">
        <v>142</v>
      </c>
      <c r="K1152" s="28"/>
    </row>
    <row r="1153" spans="1:11" s="25" customFormat="1" outlineLevel="1" x14ac:dyDescent="0.25">
      <c r="A1153" t="s">
        <v>1769</v>
      </c>
      <c r="B1153" s="25" t="s">
        <v>107</v>
      </c>
      <c r="C1153" s="25" t="s">
        <v>144</v>
      </c>
      <c r="E1153" s="25" t="str">
        <f t="shared" ref="E1153" si="1285">_xlfn.CONCAT("FretFluv",LEFT(B1153,3),RIGHT(B1148,2),"NbTraj")</f>
        <v>FretFluvCat19NbTraj</v>
      </c>
      <c r="F1153" s="25" t="s">
        <v>17</v>
      </c>
      <c r="G1153" s="25" cm="1">
        <f t="array" ref="G1153">IF((INDEX('Remplissage - Sit. Init.'!$C$473:$I$1088,MATCH((B1153)&amp;('Remplissage - Sit. Init.'!$D$483),('Remplissage - Sit. Init.'!$C$473:$C$1088)&amp;('Remplissage - Sit. Init.'!$D$473:$D$1088),0),7))&gt;0,0,1)</f>
        <v>1</v>
      </c>
      <c r="H1153" s="28"/>
      <c r="I1153" s="27"/>
      <c r="J1153" s="25" t="s">
        <v>145</v>
      </c>
      <c r="K1153" s="28"/>
    </row>
    <row r="1154" spans="1:11" s="25" customFormat="1" outlineLevel="1" x14ac:dyDescent="0.25">
      <c r="A1154" t="s">
        <v>1769</v>
      </c>
      <c r="B1154" s="25" t="s">
        <v>107</v>
      </c>
      <c r="C1154" s="25" t="s">
        <v>146</v>
      </c>
      <c r="E1154" s="25" t="str">
        <f t="shared" ref="E1154" si="1286">_xlfn.CONCAT("FretFluv",LEFT(B1154,3),RIGHT(B1148,2),"DistMoy")</f>
        <v>FretFluvCat19DistMoy</v>
      </c>
      <c r="F1154" s="25" t="s">
        <v>17</v>
      </c>
      <c r="G1154" s="25" cm="1">
        <f t="array" ref="G1154">IF((INDEX('Remplissage - Sit. Init.'!$C$473:$I$1088,MATCH((B1154)&amp;('Remplissage - Sit. Init.'!$D$483),('Remplissage - Sit. Init.'!$C$473:$C$1088)&amp;('Remplissage - Sit. Init.'!$D$473:$D$1088),0),7))&gt;0,0,1)</f>
        <v>1</v>
      </c>
      <c r="H1154" s="28"/>
      <c r="I1154" s="27"/>
      <c r="J1154" s="25" t="s">
        <v>88</v>
      </c>
      <c r="K1154" s="28"/>
    </row>
    <row r="1155" spans="1:11" s="25" customFormat="1" outlineLevel="1" x14ac:dyDescent="0.25">
      <c r="A1155" t="s">
        <v>1769</v>
      </c>
      <c r="B1155" s="25" t="s">
        <v>107</v>
      </c>
      <c r="C1155" s="25" t="s">
        <v>147</v>
      </c>
      <c r="E1155" s="25" t="str">
        <f t="shared" ref="E1155" si="1287">_xlfn.CONCAT("FretFluv",LEFT(B1155,3),RIGHT(B1148,2),"EmportMoy")</f>
        <v>FretFluvCat19EmportMoy</v>
      </c>
      <c r="F1155" s="25" t="s">
        <v>17</v>
      </c>
      <c r="G1155" s="25" cm="1">
        <f t="array" ref="G1155">IF((INDEX('Remplissage - Sit. Init.'!$C$473:$I$1088,MATCH((B1155)&amp;('Remplissage - Sit. Init.'!$D$483),('Remplissage - Sit. Init.'!$C$473:$C$1088)&amp;('Remplissage - Sit. Init.'!$D$473:$D$1088),0),7))&gt;0,0,1)</f>
        <v>1</v>
      </c>
      <c r="H1155" s="28"/>
      <c r="I1155" s="27"/>
      <c r="J1155" s="25" t="s">
        <v>148</v>
      </c>
      <c r="K1155" s="28"/>
    </row>
    <row r="1156" spans="1:11" s="25" customFormat="1" outlineLevel="1" x14ac:dyDescent="0.25">
      <c r="A1156" t="s">
        <v>1769</v>
      </c>
      <c r="B1156" s="25" t="s">
        <v>107</v>
      </c>
      <c r="C1156" s="25" t="s">
        <v>149</v>
      </c>
      <c r="E1156" s="25" t="str">
        <f t="shared" ref="E1156" si="1288">_xlfn.CONCAT("FretFluv",LEFT(B1156,3),RIGHT(B1148,2),"DistAn")</f>
        <v>FretFluvCat19DistAn</v>
      </c>
      <c r="F1156" s="25" t="s">
        <v>17</v>
      </c>
      <c r="G1156" s="25" cm="1">
        <f t="array" ref="G1156">IF((INDEX('Remplissage - Sit. Init.'!$C$473:$I$1088,MATCH((B1156)&amp;('Remplissage - Sit. Init.'!$D$483),('Remplissage - Sit. Init.'!$C$473:$C$1088)&amp;('Remplissage - Sit. Init.'!$D$473:$D$1088),0),7))&gt;0,0,1)</f>
        <v>1</v>
      </c>
      <c r="H1156" s="28"/>
      <c r="I1156" s="27"/>
      <c r="J1156" s="25" t="s">
        <v>88</v>
      </c>
    </row>
    <row r="1157" spans="1:11" s="25" customFormat="1" outlineLevel="1" x14ac:dyDescent="0.25">
      <c r="A1157" t="s">
        <v>1769</v>
      </c>
      <c r="B1157" s="25" t="s">
        <v>107</v>
      </c>
      <c r="C1157" s="25" t="s">
        <v>150</v>
      </c>
      <c r="E1157" s="25" t="str">
        <f t="shared" ref="E1157" si="1289">_xlfn.CONCAT("FretFluv",LEFT(B1157,3),RIGHT(B1148,2),"TauxChargeMoy")</f>
        <v>FretFluvCat19TauxChargeMoy</v>
      </c>
      <c r="F1157" s="25" t="s">
        <v>17</v>
      </c>
      <c r="G1157" s="25" cm="1">
        <f t="array" ref="G1157">IF((INDEX('Remplissage - Sit. Init.'!$C$473:$I$1088,MATCH((B1157)&amp;('Remplissage - Sit. Init.'!$D$483),('Remplissage - Sit. Init.'!$C$473:$C$1088)&amp;('Remplissage - Sit. Init.'!$D$473:$D$1088),0),7))&gt;0,0,1)</f>
        <v>1</v>
      </c>
      <c r="H1157" s="28"/>
      <c r="I1157" s="27"/>
      <c r="J1157" s="25" t="s">
        <v>70</v>
      </c>
    </row>
    <row r="1158" spans="1:11" s="25" customFormat="1" outlineLevel="1" x14ac:dyDescent="0.25">
      <c r="A1158" t="s">
        <v>1769</v>
      </c>
      <c r="B1158" s="25" t="s">
        <v>107</v>
      </c>
      <c r="C1158" s="26" t="s">
        <v>526</v>
      </c>
      <c r="E1158" s="25" t="str">
        <f t="shared" ref="E1158" si="1290">_xlfn.CONCAT("FretFluv",LEFT(B1158,3),RIGHT(B1148,2),"NbBarges")</f>
        <v>FretFluvCat19NbBarges</v>
      </c>
      <c r="F1158" s="25" t="s">
        <v>17</v>
      </c>
      <c r="G1158" s="25" cm="1">
        <f t="array" ref="G1158">IF((INDEX('Remplissage - Sit. Init.'!$C$473:$I$1088,MATCH((B1158)&amp;('Remplissage - Sit. Init.'!$D$483),('Remplissage - Sit. Init.'!$C$473:$C$1088)&amp;('Remplissage - Sit. Init.'!$D$473:$D$1088),0),7))&gt;0,0,1)</f>
        <v>1</v>
      </c>
      <c r="H1158" s="28"/>
      <c r="I1158" s="27"/>
      <c r="J1158" s="25" t="s">
        <v>151</v>
      </c>
    </row>
    <row r="1159" spans="1:11" s="25" customFormat="1" outlineLevel="1" x14ac:dyDescent="0.25">
      <c r="A1159" t="s">
        <v>1769</v>
      </c>
      <c r="B1159" s="25" t="s">
        <v>108</v>
      </c>
      <c r="C1159" s="25" t="s">
        <v>135</v>
      </c>
      <c r="E1159" s="25" t="str">
        <f t="shared" ref="E1159" si="1291">_xlfn.CONCAT("FretFluv",LEFT(B1159,3),RIGHT(B1159,2),"Nom")</f>
        <v>FretFluvCat20Nom</v>
      </c>
      <c r="F1159" s="26" t="s">
        <v>20</v>
      </c>
      <c r="G1159" s="25" cm="1">
        <f t="array" ref="G1159">IF((INDEX('Remplissage - Sit. Init.'!$C$473:$I$1088,MATCH((B1159)&amp;('Remplissage - Sit. Init.'!$D$483),('Remplissage - Sit. Init.'!$C$473:$C$1088)&amp;('Remplissage - Sit. Init.'!$D$473:$D$1088),0),7))&gt;0,0,1)</f>
        <v>1</v>
      </c>
      <c r="H1159" s="28"/>
      <c r="I1159" s="27" t="str">
        <f>VLOOKUP(B1159,'Parcs types'!$B$65:$AA$120,2,FALSE)</f>
        <v>Automoteurs 650-999 tonnes H2 , PAC</v>
      </c>
      <c r="K1159" s="25" t="str">
        <f>I1159</f>
        <v>Automoteurs 650-999 tonnes H2 , PAC</v>
      </c>
    </row>
    <row r="1160" spans="1:11" s="25" customFormat="1" outlineLevel="1" x14ac:dyDescent="0.25">
      <c r="A1160" t="s">
        <v>1769</v>
      </c>
      <c r="B1160" s="25" t="s">
        <v>108</v>
      </c>
      <c r="C1160" s="25" t="s">
        <v>136</v>
      </c>
      <c r="E1160" s="25" t="str">
        <f t="shared" ref="E1160" si="1292">_xlfn.CONCAT("FretFluv",LEFT(B1160,3),RIGHT(B1159,2),"Type")</f>
        <v>FretFluvCat20Type</v>
      </c>
      <c r="F1160" s="25" t="s">
        <v>20</v>
      </c>
      <c r="G1160" s="25" cm="1">
        <f t="array" ref="G1160">IF((INDEX('Remplissage - Sit. Init.'!$C$473:$I$1088,MATCH((B1160)&amp;('Remplissage - Sit. Init.'!$D$483),('Remplissage - Sit. Init.'!$C$473:$C$1088)&amp;('Remplissage - Sit. Init.'!$D$473:$D$1088),0),7))&gt;0,0,1)</f>
        <v>1</v>
      </c>
      <c r="H1160" s="28"/>
      <c r="I1160" s="27" t="str">
        <f>VLOOKUP(B1160,'Parcs types'!$B$65:$AA$120,3,FALSE)</f>
        <v>Automoteurs</v>
      </c>
      <c r="K1160" s="25" t="str">
        <f t="shared" ref="K1160:K1162" si="1293">I1160</f>
        <v>Automoteurs</v>
      </c>
    </row>
    <row r="1161" spans="1:11" s="25" customFormat="1" outlineLevel="1" x14ac:dyDescent="0.25">
      <c r="A1161" t="s">
        <v>1769</v>
      </c>
      <c r="B1161" s="25" t="s">
        <v>108</v>
      </c>
      <c r="C1161" s="26" t="s">
        <v>137</v>
      </c>
      <c r="E1161" s="25" t="str">
        <f t="shared" ref="E1161" si="1294">_xlfn.CONCAT("FretFluv",LEFT(B1161,3),RIGHT(B1159,2),"Cap")</f>
        <v>FretFluvCat20Cap</v>
      </c>
      <c r="F1161" s="26" t="s">
        <v>36</v>
      </c>
      <c r="G1161" s="25" cm="1">
        <f t="array" ref="G1161">IF((INDEX('Remplissage - Sit. Init.'!$C$473:$I$1088,MATCH((B1161)&amp;('Remplissage - Sit. Init.'!$D$483),('Remplissage - Sit. Init.'!$C$473:$C$1088)&amp;('Remplissage - Sit. Init.'!$D$473:$D$1088),0),7))&gt;0,0,1)</f>
        <v>1</v>
      </c>
      <c r="H1161" s="28"/>
      <c r="I1161" s="27" t="str">
        <f>VLOOKUP(B1161,'Parcs types'!$B$65:$AA$120,4,FALSE)</f>
        <v>650-999 tonnes</v>
      </c>
      <c r="J1161" s="25" t="s">
        <v>524</v>
      </c>
      <c r="K1161" s="25" t="str">
        <f t="shared" si="1293"/>
        <v>650-999 tonnes</v>
      </c>
    </row>
    <row r="1162" spans="1:11" s="25" customFormat="1" outlineLevel="1" x14ac:dyDescent="0.25">
      <c r="A1162" t="s">
        <v>1769</v>
      </c>
      <c r="B1162" s="25" t="s">
        <v>108</v>
      </c>
      <c r="C1162" s="26" t="s">
        <v>525</v>
      </c>
      <c r="E1162" s="25" t="str">
        <f t="shared" ref="E1162" si="1295">_xlfn.CONCAT("FretFluv",LEFT(B1162,3),RIGHT(B1159,2),"Tech")</f>
        <v>FretFluvCat20Tech</v>
      </c>
      <c r="F1162" s="26" t="s">
        <v>20</v>
      </c>
      <c r="G1162" s="25" cm="1">
        <f t="array" ref="G1162">IF((INDEX('Remplissage - Sit. Init.'!$C$473:$I$1088,MATCH((B1162)&amp;('Remplissage - Sit. Init.'!$D$483),('Remplissage - Sit. Init.'!$C$473:$C$1088)&amp;('Remplissage - Sit. Init.'!$D$473:$D$1088),0),7))&gt;0,0,1)</f>
        <v>1</v>
      </c>
      <c r="H1162" s="28"/>
      <c r="I1162" s="27" t="str">
        <f>VLOOKUP(B1162,'Parcs types'!$B$65:$AA$120,5,FALSE)</f>
        <v>H2 , PAC</v>
      </c>
      <c r="K1162" s="25" t="str">
        <f t="shared" si="1293"/>
        <v>H2 , PAC</v>
      </c>
    </row>
    <row r="1163" spans="1:11" s="25" customFormat="1" outlineLevel="1" x14ac:dyDescent="0.25">
      <c r="A1163" t="s">
        <v>1769</v>
      </c>
      <c r="B1163" s="25" t="s">
        <v>108</v>
      </c>
      <c r="C1163" s="25" t="s">
        <v>140</v>
      </c>
      <c r="E1163" s="25" t="str">
        <f t="shared" ref="E1163" si="1296">_xlfn.CONCAT("FretFluv",LEFT(B1163,3),RIGHT(B1159,2),"Request")</f>
        <v>FretFluvCat20Request</v>
      </c>
      <c r="F1163" s="26" t="s">
        <v>20</v>
      </c>
      <c r="G1163" s="25" cm="1">
        <f t="array" ref="G1163">IF((INDEX('Remplissage - Sit. Init.'!$C$473:$I$1088,MATCH((B1163)&amp;('Remplissage - Sit. Init.'!$D$483),('Remplissage - Sit. Init.'!$C$473:$C$1088)&amp;('Remplissage - Sit. Init.'!$D$473:$D$1088),0),7))&gt;0,0,1)</f>
        <v>1</v>
      </c>
      <c r="I1163" s="27" t="s">
        <v>142</v>
      </c>
      <c r="K1163" s="28"/>
    </row>
    <row r="1164" spans="1:11" s="25" customFormat="1" outlineLevel="1" x14ac:dyDescent="0.25">
      <c r="A1164" t="s">
        <v>1769</v>
      </c>
      <c r="B1164" s="25" t="s">
        <v>108</v>
      </c>
      <c r="C1164" s="25" t="s">
        <v>144</v>
      </c>
      <c r="E1164" s="25" t="str">
        <f t="shared" ref="E1164" si="1297">_xlfn.CONCAT("FretFluv",LEFT(B1164,3),RIGHT(B1159,2),"NbTraj")</f>
        <v>FretFluvCat20NbTraj</v>
      </c>
      <c r="F1164" s="25" t="s">
        <v>17</v>
      </c>
      <c r="G1164" s="25" cm="1">
        <f t="array" ref="G1164">IF((INDEX('Remplissage - Sit. Init.'!$C$473:$I$1088,MATCH((B1164)&amp;('Remplissage - Sit. Init.'!$D$483),('Remplissage - Sit. Init.'!$C$473:$C$1088)&amp;('Remplissage - Sit. Init.'!$D$473:$D$1088),0),7))&gt;0,0,1)</f>
        <v>1</v>
      </c>
      <c r="H1164" s="28"/>
      <c r="I1164" s="27"/>
      <c r="J1164" s="25" t="s">
        <v>145</v>
      </c>
      <c r="K1164" s="28"/>
    </row>
    <row r="1165" spans="1:11" s="25" customFormat="1" outlineLevel="1" x14ac:dyDescent="0.25">
      <c r="A1165" t="s">
        <v>1769</v>
      </c>
      <c r="B1165" s="25" t="s">
        <v>108</v>
      </c>
      <c r="C1165" s="25" t="s">
        <v>146</v>
      </c>
      <c r="E1165" s="25" t="str">
        <f t="shared" ref="E1165" si="1298">_xlfn.CONCAT("FretFluv",LEFT(B1165,3),RIGHT(B1159,2),"DistMoy")</f>
        <v>FretFluvCat20DistMoy</v>
      </c>
      <c r="F1165" s="25" t="s">
        <v>17</v>
      </c>
      <c r="G1165" s="25" cm="1">
        <f t="array" ref="G1165">IF((INDEX('Remplissage - Sit. Init.'!$C$473:$I$1088,MATCH((B1165)&amp;('Remplissage - Sit. Init.'!$D$483),('Remplissage - Sit. Init.'!$C$473:$C$1088)&amp;('Remplissage - Sit. Init.'!$D$473:$D$1088),0),7))&gt;0,0,1)</f>
        <v>1</v>
      </c>
      <c r="H1165" s="28"/>
      <c r="I1165" s="27"/>
      <c r="J1165" s="25" t="s">
        <v>88</v>
      </c>
      <c r="K1165" s="28"/>
    </row>
    <row r="1166" spans="1:11" s="25" customFormat="1" outlineLevel="1" x14ac:dyDescent="0.25">
      <c r="A1166" t="s">
        <v>1769</v>
      </c>
      <c r="B1166" s="25" t="s">
        <v>108</v>
      </c>
      <c r="C1166" s="25" t="s">
        <v>147</v>
      </c>
      <c r="E1166" s="25" t="str">
        <f t="shared" ref="E1166" si="1299">_xlfn.CONCAT("FretFluv",LEFT(B1166,3),RIGHT(B1159,2),"EmportMoy")</f>
        <v>FretFluvCat20EmportMoy</v>
      </c>
      <c r="F1166" s="25" t="s">
        <v>17</v>
      </c>
      <c r="G1166" s="25" cm="1">
        <f t="array" ref="G1166">IF((INDEX('Remplissage - Sit. Init.'!$C$473:$I$1088,MATCH((B1166)&amp;('Remplissage - Sit. Init.'!$D$483),('Remplissage - Sit. Init.'!$C$473:$C$1088)&amp;('Remplissage - Sit. Init.'!$D$473:$D$1088),0),7))&gt;0,0,1)</f>
        <v>1</v>
      </c>
      <c r="H1166" s="28"/>
      <c r="I1166" s="27"/>
      <c r="J1166" s="25" t="s">
        <v>148</v>
      </c>
      <c r="K1166" s="28"/>
    </row>
    <row r="1167" spans="1:11" s="25" customFormat="1" outlineLevel="1" x14ac:dyDescent="0.25">
      <c r="A1167" t="s">
        <v>1769</v>
      </c>
      <c r="B1167" s="25" t="s">
        <v>108</v>
      </c>
      <c r="C1167" s="25" t="s">
        <v>149</v>
      </c>
      <c r="E1167" s="25" t="str">
        <f t="shared" ref="E1167" si="1300">_xlfn.CONCAT("FretFluv",LEFT(B1167,3),RIGHT(B1159,2),"DistAn")</f>
        <v>FretFluvCat20DistAn</v>
      </c>
      <c r="F1167" s="25" t="s">
        <v>17</v>
      </c>
      <c r="G1167" s="25" cm="1">
        <f t="array" ref="G1167">IF((INDEX('Remplissage - Sit. Init.'!$C$473:$I$1088,MATCH((B1167)&amp;('Remplissage - Sit. Init.'!$D$483),('Remplissage - Sit. Init.'!$C$473:$C$1088)&amp;('Remplissage - Sit. Init.'!$D$473:$D$1088),0),7))&gt;0,0,1)</f>
        <v>1</v>
      </c>
      <c r="H1167" s="28"/>
      <c r="I1167" s="27"/>
      <c r="J1167" s="25" t="s">
        <v>88</v>
      </c>
      <c r="K1167" s="28"/>
    </row>
    <row r="1168" spans="1:11" s="25" customFormat="1" outlineLevel="1" x14ac:dyDescent="0.25">
      <c r="A1168" t="s">
        <v>1769</v>
      </c>
      <c r="B1168" s="25" t="s">
        <v>108</v>
      </c>
      <c r="C1168" s="25" t="s">
        <v>150</v>
      </c>
      <c r="E1168" s="25" t="str">
        <f t="shared" ref="E1168" si="1301">_xlfn.CONCAT("FretFluv",LEFT(B1168,3),RIGHT(B1159,2),"TauxChargeMoy")</f>
        <v>FretFluvCat20TauxChargeMoy</v>
      </c>
      <c r="F1168" s="25" t="s">
        <v>17</v>
      </c>
      <c r="G1168" s="25" cm="1">
        <f t="array" ref="G1168">IF((INDEX('Remplissage - Sit. Init.'!$C$473:$I$1088,MATCH((B1168)&amp;('Remplissage - Sit. Init.'!$D$483),('Remplissage - Sit. Init.'!$C$473:$C$1088)&amp;('Remplissage - Sit. Init.'!$D$473:$D$1088),0),7))&gt;0,0,1)</f>
        <v>1</v>
      </c>
      <c r="H1168" s="28"/>
      <c r="I1168" s="27"/>
      <c r="J1168" s="25" t="s">
        <v>70</v>
      </c>
      <c r="K1168" s="28"/>
    </row>
    <row r="1169" spans="1:11" s="25" customFormat="1" outlineLevel="1" x14ac:dyDescent="0.25">
      <c r="A1169" t="s">
        <v>1769</v>
      </c>
      <c r="B1169" s="25" t="s">
        <v>108</v>
      </c>
      <c r="C1169" s="26" t="s">
        <v>526</v>
      </c>
      <c r="E1169" s="25" t="str">
        <f t="shared" ref="E1169" si="1302">_xlfn.CONCAT("FretFluv",LEFT(B1169,3),RIGHT(B1159,2),"NbBarges")</f>
        <v>FretFluvCat20NbBarges</v>
      </c>
      <c r="F1169" s="25" t="s">
        <v>17</v>
      </c>
      <c r="G1169" s="25" cm="1">
        <f t="array" ref="G1169">IF((INDEX('Remplissage - Sit. Init.'!$C$473:$I$1088,MATCH((B1169)&amp;('Remplissage - Sit. Init.'!$D$483),('Remplissage - Sit. Init.'!$C$473:$C$1088)&amp;('Remplissage - Sit. Init.'!$D$473:$D$1088),0),7))&gt;0,0,1)</f>
        <v>1</v>
      </c>
      <c r="H1169" s="28"/>
      <c r="I1169" s="27"/>
      <c r="J1169" s="25" t="s">
        <v>151</v>
      </c>
      <c r="K1169" s="28"/>
    </row>
    <row r="1170" spans="1:11" s="25" customFormat="1" outlineLevel="1" x14ac:dyDescent="0.25">
      <c r="A1170" t="s">
        <v>1769</v>
      </c>
      <c r="B1170" s="25" t="s">
        <v>109</v>
      </c>
      <c r="C1170" s="25" t="s">
        <v>135</v>
      </c>
      <c r="E1170" s="25" t="str">
        <f t="shared" ref="E1170" si="1303">_xlfn.CONCAT("FretFluv",LEFT(B1170,3),RIGHT(B1170,2),"Nom")</f>
        <v>FretFluvCat21Nom</v>
      </c>
      <c r="F1170" s="26" t="s">
        <v>20</v>
      </c>
      <c r="G1170" s="25" cm="1">
        <f t="array" ref="G1170">IF((INDEX('Remplissage - Sit. Init.'!$C$473:$I$1088,MATCH((B1170)&amp;('Remplissage - Sit. Init.'!$D$483),('Remplissage - Sit. Init.'!$C$473:$C$1088)&amp;('Remplissage - Sit. Init.'!$D$473:$D$1088),0),7))&gt;0,0,1)</f>
        <v>1</v>
      </c>
      <c r="H1170" s="28"/>
      <c r="I1170" s="27" t="str">
        <f>VLOOKUP(B1170,'Parcs types'!$B$65:$AA$120,2,FALSE)</f>
        <v>Automoteurs 650-999 tonnes H2 , ICE</v>
      </c>
      <c r="K1170" s="25" t="str">
        <f>I1170</f>
        <v>Automoteurs 650-999 tonnes H2 , ICE</v>
      </c>
    </row>
    <row r="1171" spans="1:11" s="25" customFormat="1" outlineLevel="1" x14ac:dyDescent="0.25">
      <c r="A1171" t="s">
        <v>1769</v>
      </c>
      <c r="B1171" s="25" t="s">
        <v>109</v>
      </c>
      <c r="C1171" s="25" t="s">
        <v>136</v>
      </c>
      <c r="E1171" s="25" t="str">
        <f t="shared" ref="E1171" si="1304">_xlfn.CONCAT("FretFluv",LEFT(B1171,3),RIGHT(B1170,2),"Type")</f>
        <v>FretFluvCat21Type</v>
      </c>
      <c r="F1171" s="25" t="s">
        <v>20</v>
      </c>
      <c r="G1171" s="25" cm="1">
        <f t="array" ref="G1171">IF((INDEX('Remplissage - Sit. Init.'!$C$473:$I$1088,MATCH((B1171)&amp;('Remplissage - Sit. Init.'!$D$483),('Remplissage - Sit. Init.'!$C$473:$C$1088)&amp;('Remplissage - Sit. Init.'!$D$473:$D$1088),0),7))&gt;0,0,1)</f>
        <v>1</v>
      </c>
      <c r="H1171" s="28"/>
      <c r="I1171" s="27" t="str">
        <f>VLOOKUP(B1171,'Parcs types'!$B$65:$AA$120,3,FALSE)</f>
        <v>Automoteurs</v>
      </c>
      <c r="K1171" s="25" t="str">
        <f t="shared" ref="K1171:K1173" si="1305">I1171</f>
        <v>Automoteurs</v>
      </c>
    </row>
    <row r="1172" spans="1:11" s="25" customFormat="1" outlineLevel="1" x14ac:dyDescent="0.25">
      <c r="A1172" t="s">
        <v>1769</v>
      </c>
      <c r="B1172" s="25" t="s">
        <v>109</v>
      </c>
      <c r="C1172" s="26" t="s">
        <v>137</v>
      </c>
      <c r="E1172" s="25" t="str">
        <f t="shared" ref="E1172" si="1306">_xlfn.CONCAT("FretFluv",LEFT(B1172,3),RIGHT(B1170,2),"Cap")</f>
        <v>FretFluvCat21Cap</v>
      </c>
      <c r="F1172" s="26" t="s">
        <v>36</v>
      </c>
      <c r="G1172" s="25" cm="1">
        <f t="array" ref="G1172">IF((INDEX('Remplissage - Sit. Init.'!$C$473:$I$1088,MATCH((B1172)&amp;('Remplissage - Sit. Init.'!$D$483),('Remplissage - Sit. Init.'!$C$473:$C$1088)&amp;('Remplissage - Sit. Init.'!$D$473:$D$1088),0),7))&gt;0,0,1)</f>
        <v>1</v>
      </c>
      <c r="H1172" s="28"/>
      <c r="I1172" s="27" t="str">
        <f>VLOOKUP(B1172,'Parcs types'!$B$65:$AA$120,4,FALSE)</f>
        <v>650-999 tonnes</v>
      </c>
      <c r="J1172" s="25" t="s">
        <v>524</v>
      </c>
      <c r="K1172" s="25" t="str">
        <f t="shared" si="1305"/>
        <v>650-999 tonnes</v>
      </c>
    </row>
    <row r="1173" spans="1:11" s="25" customFormat="1" outlineLevel="1" x14ac:dyDescent="0.25">
      <c r="A1173" t="s">
        <v>1769</v>
      </c>
      <c r="B1173" s="25" t="s">
        <v>109</v>
      </c>
      <c r="C1173" s="26" t="s">
        <v>525</v>
      </c>
      <c r="E1173" s="25" t="str">
        <f t="shared" ref="E1173" si="1307">_xlfn.CONCAT("FretFluv",LEFT(B1173,3),RIGHT(B1170,2),"Tech")</f>
        <v>FretFluvCat21Tech</v>
      </c>
      <c r="F1173" s="26" t="s">
        <v>20</v>
      </c>
      <c r="G1173" s="25" cm="1">
        <f t="array" ref="G1173">IF((INDEX('Remplissage - Sit. Init.'!$C$473:$I$1088,MATCH((B1173)&amp;('Remplissage - Sit. Init.'!$D$483),('Remplissage - Sit. Init.'!$C$473:$C$1088)&amp;('Remplissage - Sit. Init.'!$D$473:$D$1088),0),7))&gt;0,0,1)</f>
        <v>1</v>
      </c>
      <c r="H1173" s="28"/>
      <c r="I1173" s="27" t="str">
        <f>VLOOKUP(B1173,'Parcs types'!$B$65:$AA$120,5,FALSE)</f>
        <v>H2 , ICE</v>
      </c>
      <c r="K1173" s="25" t="str">
        <f t="shared" si="1305"/>
        <v>H2 , ICE</v>
      </c>
    </row>
    <row r="1174" spans="1:11" s="25" customFormat="1" outlineLevel="1" x14ac:dyDescent="0.25">
      <c r="A1174" t="s">
        <v>1769</v>
      </c>
      <c r="B1174" s="25" t="s">
        <v>109</v>
      </c>
      <c r="C1174" s="25" t="s">
        <v>140</v>
      </c>
      <c r="E1174" s="25" t="str">
        <f t="shared" ref="E1174" si="1308">_xlfn.CONCAT("FretFluv",LEFT(B1174,3),RIGHT(B1170,2),"Request")</f>
        <v>FretFluvCat21Request</v>
      </c>
      <c r="F1174" s="26" t="s">
        <v>20</v>
      </c>
      <c r="G1174" s="25" cm="1">
        <f t="array" ref="G1174">IF((INDEX('Remplissage - Sit. Init.'!$C$473:$I$1088,MATCH((B1174)&amp;('Remplissage - Sit. Init.'!$D$483),('Remplissage - Sit. Init.'!$C$473:$C$1088)&amp;('Remplissage - Sit. Init.'!$D$473:$D$1088),0),7))&gt;0,0,1)</f>
        <v>1</v>
      </c>
      <c r="I1174" s="27" t="s">
        <v>142</v>
      </c>
      <c r="K1174" s="28"/>
    </row>
    <row r="1175" spans="1:11" s="25" customFormat="1" outlineLevel="1" x14ac:dyDescent="0.25">
      <c r="A1175" t="s">
        <v>1769</v>
      </c>
      <c r="B1175" s="25" t="s">
        <v>109</v>
      </c>
      <c r="C1175" s="25" t="s">
        <v>144</v>
      </c>
      <c r="E1175" s="25" t="str">
        <f t="shared" ref="E1175" si="1309">_xlfn.CONCAT("FretFluv",LEFT(B1175,3),RIGHT(B1170,2),"NbTraj")</f>
        <v>FretFluvCat21NbTraj</v>
      </c>
      <c r="F1175" s="25" t="s">
        <v>17</v>
      </c>
      <c r="G1175" s="25" cm="1">
        <f t="array" ref="G1175">IF((INDEX('Remplissage - Sit. Init.'!$C$473:$I$1088,MATCH((B1175)&amp;('Remplissage - Sit. Init.'!$D$483),('Remplissage - Sit. Init.'!$C$473:$C$1088)&amp;('Remplissage - Sit. Init.'!$D$473:$D$1088),0),7))&gt;0,0,1)</f>
        <v>1</v>
      </c>
      <c r="H1175" s="28"/>
      <c r="I1175" s="27"/>
      <c r="J1175" s="25" t="s">
        <v>145</v>
      </c>
      <c r="K1175" s="28"/>
    </row>
    <row r="1176" spans="1:11" s="25" customFormat="1" outlineLevel="1" x14ac:dyDescent="0.25">
      <c r="A1176" t="s">
        <v>1769</v>
      </c>
      <c r="B1176" s="25" t="s">
        <v>109</v>
      </c>
      <c r="C1176" s="25" t="s">
        <v>146</v>
      </c>
      <c r="E1176" s="25" t="str">
        <f t="shared" ref="E1176" si="1310">_xlfn.CONCAT("FretFluv",LEFT(B1176,3),RIGHT(B1170,2),"DistMoy")</f>
        <v>FretFluvCat21DistMoy</v>
      </c>
      <c r="F1176" s="25" t="s">
        <v>17</v>
      </c>
      <c r="G1176" s="25" cm="1">
        <f t="array" ref="G1176">IF((INDEX('Remplissage - Sit. Init.'!$C$473:$I$1088,MATCH((B1176)&amp;('Remplissage - Sit. Init.'!$D$483),('Remplissage - Sit. Init.'!$C$473:$C$1088)&amp;('Remplissage - Sit. Init.'!$D$473:$D$1088),0),7))&gt;0,0,1)</f>
        <v>1</v>
      </c>
      <c r="H1176" s="28"/>
      <c r="I1176" s="27"/>
      <c r="J1176" s="25" t="s">
        <v>88</v>
      </c>
      <c r="K1176" s="28"/>
    </row>
    <row r="1177" spans="1:11" s="25" customFormat="1" outlineLevel="1" x14ac:dyDescent="0.25">
      <c r="A1177" t="s">
        <v>1769</v>
      </c>
      <c r="B1177" s="25" t="s">
        <v>109</v>
      </c>
      <c r="C1177" s="25" t="s">
        <v>147</v>
      </c>
      <c r="E1177" s="25" t="str">
        <f t="shared" ref="E1177" si="1311">_xlfn.CONCAT("FretFluv",LEFT(B1177,3),RIGHT(B1170,2),"EmportMoy")</f>
        <v>FretFluvCat21EmportMoy</v>
      </c>
      <c r="F1177" s="25" t="s">
        <v>17</v>
      </c>
      <c r="G1177" s="25" cm="1">
        <f t="array" ref="G1177">IF((INDEX('Remplissage - Sit. Init.'!$C$473:$I$1088,MATCH((B1177)&amp;('Remplissage - Sit. Init.'!$D$483),('Remplissage - Sit. Init.'!$C$473:$C$1088)&amp;('Remplissage - Sit. Init.'!$D$473:$D$1088),0),7))&gt;0,0,1)</f>
        <v>1</v>
      </c>
      <c r="H1177" s="28"/>
      <c r="I1177" s="27"/>
      <c r="J1177" s="25" t="s">
        <v>148</v>
      </c>
      <c r="K1177" s="28"/>
    </row>
    <row r="1178" spans="1:11" s="25" customFormat="1" outlineLevel="1" x14ac:dyDescent="0.25">
      <c r="A1178" t="s">
        <v>1769</v>
      </c>
      <c r="B1178" s="25" t="s">
        <v>109</v>
      </c>
      <c r="C1178" s="25" t="s">
        <v>149</v>
      </c>
      <c r="E1178" s="25" t="str">
        <f t="shared" ref="E1178" si="1312">_xlfn.CONCAT("FretFluv",LEFT(B1178,3),RIGHT(B1170,2),"DistAn")</f>
        <v>FretFluvCat21DistAn</v>
      </c>
      <c r="F1178" s="25" t="s">
        <v>17</v>
      </c>
      <c r="G1178" s="25" cm="1">
        <f t="array" ref="G1178">IF((INDEX('Remplissage - Sit. Init.'!$C$473:$I$1088,MATCH((B1178)&amp;('Remplissage - Sit. Init.'!$D$483),('Remplissage - Sit. Init.'!$C$473:$C$1088)&amp;('Remplissage - Sit. Init.'!$D$473:$D$1088),0),7))&gt;0,0,1)</f>
        <v>1</v>
      </c>
      <c r="H1178" s="28"/>
      <c r="I1178" s="27"/>
      <c r="J1178" s="25" t="s">
        <v>88</v>
      </c>
    </row>
    <row r="1179" spans="1:11" s="25" customFormat="1" outlineLevel="1" x14ac:dyDescent="0.25">
      <c r="A1179" t="s">
        <v>1769</v>
      </c>
      <c r="B1179" s="25" t="s">
        <v>109</v>
      </c>
      <c r="C1179" s="25" t="s">
        <v>150</v>
      </c>
      <c r="E1179" s="25" t="str">
        <f t="shared" ref="E1179" si="1313">_xlfn.CONCAT("FretFluv",LEFT(B1179,3),RIGHT(B1170,2),"TauxChargeMoy")</f>
        <v>FretFluvCat21TauxChargeMoy</v>
      </c>
      <c r="F1179" s="25" t="s">
        <v>17</v>
      </c>
      <c r="G1179" s="25" cm="1">
        <f t="array" ref="G1179">IF((INDEX('Remplissage - Sit. Init.'!$C$473:$I$1088,MATCH((B1179)&amp;('Remplissage - Sit. Init.'!$D$483),('Remplissage - Sit. Init.'!$C$473:$C$1088)&amp;('Remplissage - Sit. Init.'!$D$473:$D$1088),0),7))&gt;0,0,1)</f>
        <v>1</v>
      </c>
      <c r="H1179" s="28"/>
      <c r="I1179" s="27"/>
      <c r="J1179" s="25" t="s">
        <v>70</v>
      </c>
    </row>
    <row r="1180" spans="1:11" s="25" customFormat="1" outlineLevel="1" x14ac:dyDescent="0.25">
      <c r="A1180" t="s">
        <v>1769</v>
      </c>
      <c r="B1180" s="25" t="s">
        <v>109</v>
      </c>
      <c r="C1180" s="26" t="s">
        <v>526</v>
      </c>
      <c r="E1180" s="25" t="str">
        <f t="shared" ref="E1180" si="1314">_xlfn.CONCAT("FretFluv",LEFT(B1180,3),RIGHT(B1170,2),"NbBarges")</f>
        <v>FretFluvCat21NbBarges</v>
      </c>
      <c r="F1180" s="25" t="s">
        <v>17</v>
      </c>
      <c r="G1180" s="25" cm="1">
        <f t="array" ref="G1180">IF((INDEX('Remplissage - Sit. Init.'!$C$473:$I$1088,MATCH((B1180)&amp;('Remplissage - Sit. Init.'!$D$483),('Remplissage - Sit. Init.'!$C$473:$C$1088)&amp;('Remplissage - Sit. Init.'!$D$473:$D$1088),0),7))&gt;0,0,1)</f>
        <v>1</v>
      </c>
      <c r="H1180" s="28"/>
      <c r="I1180" s="27"/>
      <c r="J1180" s="25" t="s">
        <v>151</v>
      </c>
    </row>
    <row r="1181" spans="1:11" s="25" customFormat="1" outlineLevel="1" x14ac:dyDescent="0.25">
      <c r="A1181" t="s">
        <v>1769</v>
      </c>
      <c r="B1181" s="25" t="s">
        <v>110</v>
      </c>
      <c r="C1181" s="25" t="s">
        <v>135</v>
      </c>
      <c r="E1181" s="25" t="str">
        <f t="shared" ref="E1181" si="1315">_xlfn.CONCAT("FretFluv",LEFT(B1181,3),RIGHT(B1181,2),"Nom")</f>
        <v>FretFluvCat22Nom</v>
      </c>
      <c r="F1181" s="26" t="s">
        <v>20</v>
      </c>
      <c r="G1181" s="25" cm="1">
        <f t="array" ref="G1181">IF((INDEX('Remplissage - Sit. Init.'!$C$473:$I$1088,MATCH((B1181)&amp;('Remplissage - Sit. Init.'!$D$483),('Remplissage - Sit. Init.'!$C$473:$C$1088)&amp;('Remplissage - Sit. Init.'!$D$473:$D$1088),0),7))&gt;0,0,1)</f>
        <v>1</v>
      </c>
      <c r="H1181" s="28"/>
      <c r="I1181" s="27" t="str">
        <f>VLOOKUP(B1181,'Parcs types'!$B$65:$AA$120,2,FALSE)</f>
        <v>Automoteurs 1000-1499 tonnes CCNR 2 ou inférieur, diesel</v>
      </c>
      <c r="K1181" s="25" t="str">
        <f>I1181</f>
        <v>Automoteurs 1000-1499 tonnes CCNR 2 ou inférieur, diesel</v>
      </c>
    </row>
    <row r="1182" spans="1:11" s="25" customFormat="1" outlineLevel="1" x14ac:dyDescent="0.25">
      <c r="A1182" t="s">
        <v>1769</v>
      </c>
      <c r="B1182" s="25" t="s">
        <v>110</v>
      </c>
      <c r="C1182" s="25" t="s">
        <v>136</v>
      </c>
      <c r="E1182" s="25" t="str">
        <f t="shared" ref="E1182" si="1316">_xlfn.CONCAT("FretFluv",LEFT(B1182,3),RIGHT(B1181,2),"Type")</f>
        <v>FretFluvCat22Type</v>
      </c>
      <c r="F1182" s="25" t="s">
        <v>20</v>
      </c>
      <c r="G1182" s="25" cm="1">
        <f t="array" ref="G1182">IF((INDEX('Remplissage - Sit. Init.'!$C$473:$I$1088,MATCH((B1182)&amp;('Remplissage - Sit. Init.'!$D$483),('Remplissage - Sit. Init.'!$C$473:$C$1088)&amp;('Remplissage - Sit. Init.'!$D$473:$D$1088),0),7))&gt;0,0,1)</f>
        <v>1</v>
      </c>
      <c r="H1182" s="28"/>
      <c r="I1182" s="27" t="str">
        <f>VLOOKUP(B1182,'Parcs types'!$B$65:$AA$120,3,FALSE)</f>
        <v>Automoteurs</v>
      </c>
      <c r="K1182" s="25" t="str">
        <f t="shared" ref="K1182:K1184" si="1317">I1182</f>
        <v>Automoteurs</v>
      </c>
    </row>
    <row r="1183" spans="1:11" s="25" customFormat="1" outlineLevel="1" x14ac:dyDescent="0.25">
      <c r="A1183" t="s">
        <v>1769</v>
      </c>
      <c r="B1183" s="25" t="s">
        <v>110</v>
      </c>
      <c r="C1183" s="26" t="s">
        <v>137</v>
      </c>
      <c r="E1183" s="25" t="str">
        <f t="shared" ref="E1183" si="1318">_xlfn.CONCAT("FretFluv",LEFT(B1183,3),RIGHT(B1181,2),"Cap")</f>
        <v>FretFluvCat22Cap</v>
      </c>
      <c r="F1183" s="26" t="s">
        <v>36</v>
      </c>
      <c r="G1183" s="25" cm="1">
        <f t="array" ref="G1183">IF((INDEX('Remplissage - Sit. Init.'!$C$473:$I$1088,MATCH((B1183)&amp;('Remplissage - Sit. Init.'!$D$483),('Remplissage - Sit. Init.'!$C$473:$C$1088)&amp;('Remplissage - Sit. Init.'!$D$473:$D$1088),0),7))&gt;0,0,1)</f>
        <v>1</v>
      </c>
      <c r="I1183" s="27" t="str">
        <f>VLOOKUP(B1183,'Parcs types'!$B$65:$AA$120,4,FALSE)</f>
        <v>1000-1499 tonnes</v>
      </c>
      <c r="J1183" s="25" t="s">
        <v>524</v>
      </c>
      <c r="K1183" s="25" t="str">
        <f t="shared" si="1317"/>
        <v>1000-1499 tonnes</v>
      </c>
    </row>
    <row r="1184" spans="1:11" s="25" customFormat="1" outlineLevel="1" x14ac:dyDescent="0.25">
      <c r="A1184" t="s">
        <v>1769</v>
      </c>
      <c r="B1184" s="25" t="s">
        <v>110</v>
      </c>
      <c r="C1184" s="26" t="s">
        <v>525</v>
      </c>
      <c r="E1184" s="25" t="str">
        <f t="shared" ref="E1184" si="1319">_xlfn.CONCAT("FretFluv",LEFT(B1184,3),RIGHT(B1181,2),"Tech")</f>
        <v>FretFluvCat22Tech</v>
      </c>
      <c r="F1184" s="26" t="s">
        <v>20</v>
      </c>
      <c r="G1184" s="25" cm="1">
        <f t="array" ref="G1184">IF((INDEX('Remplissage - Sit. Init.'!$C$473:$I$1088,MATCH((B1184)&amp;('Remplissage - Sit. Init.'!$D$483),('Remplissage - Sit. Init.'!$C$473:$C$1088)&amp;('Remplissage - Sit. Init.'!$D$473:$D$1088),0),7))&gt;0,0,1)</f>
        <v>1</v>
      </c>
      <c r="I1184" s="27" t="str">
        <f>VLOOKUP(B1184,'Parcs types'!$B$65:$AA$120,5,FALSE)</f>
        <v>CCNR 2 ou inférieur, diesel</v>
      </c>
      <c r="K1184" s="25" t="str">
        <f t="shared" si="1317"/>
        <v>CCNR 2 ou inférieur, diesel</v>
      </c>
    </row>
    <row r="1185" spans="1:11" s="25" customFormat="1" outlineLevel="1" x14ac:dyDescent="0.25">
      <c r="A1185" t="s">
        <v>1769</v>
      </c>
      <c r="B1185" s="25" t="s">
        <v>110</v>
      </c>
      <c r="C1185" s="25" t="s">
        <v>140</v>
      </c>
      <c r="E1185" s="25" t="str">
        <f t="shared" ref="E1185" si="1320">_xlfn.CONCAT("FretFluv",LEFT(B1185,3),RIGHT(B1181,2),"Request")</f>
        <v>FretFluvCat22Request</v>
      </c>
      <c r="F1185" s="26" t="s">
        <v>20</v>
      </c>
      <c r="G1185" s="25" cm="1">
        <f t="array" ref="G1185">IF((INDEX('Remplissage - Sit. Init.'!$C$473:$I$1088,MATCH((B1185)&amp;('Remplissage - Sit. Init.'!$D$483),('Remplissage - Sit. Init.'!$C$473:$C$1088)&amp;('Remplissage - Sit. Init.'!$D$473:$D$1088),0),7))&gt;0,0,1)</f>
        <v>1</v>
      </c>
      <c r="I1185" s="27" t="s">
        <v>142</v>
      </c>
    </row>
    <row r="1186" spans="1:11" s="25" customFormat="1" outlineLevel="1" x14ac:dyDescent="0.25">
      <c r="A1186" t="s">
        <v>1769</v>
      </c>
      <c r="B1186" s="25" t="s">
        <v>110</v>
      </c>
      <c r="C1186" s="25" t="s">
        <v>144</v>
      </c>
      <c r="E1186" s="25" t="str">
        <f t="shared" ref="E1186" si="1321">_xlfn.CONCAT("FretFluv",LEFT(B1186,3),RIGHT(B1181,2),"NbTraj")</f>
        <v>FretFluvCat22NbTraj</v>
      </c>
      <c r="F1186" s="25" t="s">
        <v>17</v>
      </c>
      <c r="G1186" s="25" cm="1">
        <f t="array" ref="G1186">IF((INDEX('Remplissage - Sit. Init.'!$C$473:$I$1088,MATCH((B1186)&amp;('Remplissage - Sit. Init.'!$D$483),('Remplissage - Sit. Init.'!$C$473:$C$1088)&amp;('Remplissage - Sit. Init.'!$D$473:$D$1088),0),7))&gt;0,0,1)</f>
        <v>1</v>
      </c>
      <c r="I1186" s="27"/>
      <c r="J1186" s="25" t="s">
        <v>145</v>
      </c>
    </row>
    <row r="1187" spans="1:11" s="25" customFormat="1" outlineLevel="1" x14ac:dyDescent="0.25">
      <c r="A1187" t="s">
        <v>1769</v>
      </c>
      <c r="B1187" s="25" t="s">
        <v>110</v>
      </c>
      <c r="C1187" s="25" t="s">
        <v>146</v>
      </c>
      <c r="E1187" s="25" t="str">
        <f t="shared" ref="E1187" si="1322">_xlfn.CONCAT("FretFluv",LEFT(B1187,3),RIGHT(B1181,2),"DistMoy")</f>
        <v>FretFluvCat22DistMoy</v>
      </c>
      <c r="F1187" s="25" t="s">
        <v>17</v>
      </c>
      <c r="G1187" s="25" cm="1">
        <f t="array" ref="G1187">IF((INDEX('Remplissage - Sit. Init.'!$C$473:$I$1088,MATCH((B1187)&amp;('Remplissage - Sit. Init.'!$D$483),('Remplissage - Sit. Init.'!$C$473:$C$1088)&amp;('Remplissage - Sit. Init.'!$D$473:$D$1088),0),7))&gt;0,0,1)</f>
        <v>1</v>
      </c>
      <c r="I1187" s="27"/>
      <c r="J1187" s="25" t="s">
        <v>88</v>
      </c>
    </row>
    <row r="1188" spans="1:11" s="25" customFormat="1" outlineLevel="1" x14ac:dyDescent="0.25">
      <c r="A1188" t="s">
        <v>1769</v>
      </c>
      <c r="B1188" s="25" t="s">
        <v>110</v>
      </c>
      <c r="C1188" s="25" t="s">
        <v>147</v>
      </c>
      <c r="E1188" s="25" t="str">
        <f t="shared" ref="E1188" si="1323">_xlfn.CONCAT("FretFluv",LEFT(B1188,3),RIGHT(B1181,2),"EmportMoy")</f>
        <v>FretFluvCat22EmportMoy</v>
      </c>
      <c r="F1188" s="25" t="s">
        <v>17</v>
      </c>
      <c r="G1188" s="25" cm="1">
        <f t="array" ref="G1188">IF((INDEX('Remplissage - Sit. Init.'!$C$473:$I$1088,MATCH((B1188)&amp;('Remplissage - Sit. Init.'!$D$483),('Remplissage - Sit. Init.'!$C$473:$C$1088)&amp;('Remplissage - Sit. Init.'!$D$473:$D$1088),0),7))&gt;0,0,1)</f>
        <v>1</v>
      </c>
      <c r="I1188" s="27"/>
      <c r="J1188" s="25" t="s">
        <v>148</v>
      </c>
    </row>
    <row r="1189" spans="1:11" s="25" customFormat="1" outlineLevel="1" x14ac:dyDescent="0.25">
      <c r="A1189" t="s">
        <v>1769</v>
      </c>
      <c r="B1189" s="25" t="s">
        <v>110</v>
      </c>
      <c r="C1189" s="25" t="s">
        <v>149</v>
      </c>
      <c r="E1189" s="25" t="str">
        <f t="shared" ref="E1189" si="1324">_xlfn.CONCAT("FretFluv",LEFT(B1189,3),RIGHT(B1181,2),"DistAn")</f>
        <v>FretFluvCat22DistAn</v>
      </c>
      <c r="F1189" s="25" t="s">
        <v>17</v>
      </c>
      <c r="G1189" s="25" cm="1">
        <f t="array" ref="G1189">IF((INDEX('Remplissage - Sit. Init.'!$C$473:$I$1088,MATCH((B1189)&amp;('Remplissage - Sit. Init.'!$D$483),('Remplissage - Sit. Init.'!$C$473:$C$1088)&amp;('Remplissage - Sit. Init.'!$D$473:$D$1088),0),7))&gt;0,0,1)</f>
        <v>1</v>
      </c>
      <c r="I1189" s="27"/>
      <c r="J1189" s="25" t="s">
        <v>88</v>
      </c>
    </row>
    <row r="1190" spans="1:11" s="25" customFormat="1" outlineLevel="1" x14ac:dyDescent="0.25">
      <c r="A1190" t="s">
        <v>1769</v>
      </c>
      <c r="B1190" s="25" t="s">
        <v>110</v>
      </c>
      <c r="C1190" s="25" t="s">
        <v>150</v>
      </c>
      <c r="E1190" s="25" t="str">
        <f t="shared" ref="E1190" si="1325">_xlfn.CONCAT("FretFluv",LEFT(B1190,3),RIGHT(B1181,2),"TauxChargeMoy")</f>
        <v>FretFluvCat22TauxChargeMoy</v>
      </c>
      <c r="F1190" s="25" t="s">
        <v>17</v>
      </c>
      <c r="G1190" s="25" cm="1">
        <f t="array" ref="G1190">IF((INDEX('Remplissage - Sit. Init.'!$C$473:$I$1088,MATCH((B1190)&amp;('Remplissage - Sit. Init.'!$D$483),('Remplissage - Sit. Init.'!$C$473:$C$1088)&amp;('Remplissage - Sit. Init.'!$D$473:$D$1088),0),7))&gt;0,0,1)</f>
        <v>1</v>
      </c>
      <c r="I1190" s="27"/>
      <c r="J1190" s="25" t="s">
        <v>70</v>
      </c>
    </row>
    <row r="1191" spans="1:11" s="25" customFormat="1" outlineLevel="1" x14ac:dyDescent="0.25">
      <c r="A1191" t="s">
        <v>1769</v>
      </c>
      <c r="B1191" s="25" t="s">
        <v>110</v>
      </c>
      <c r="C1191" s="26" t="s">
        <v>526</v>
      </c>
      <c r="E1191" s="25" t="str">
        <f t="shared" ref="E1191" si="1326">_xlfn.CONCAT("FretFluv",LEFT(B1191,3),RIGHT(B1181,2),"NbBarges")</f>
        <v>FretFluvCat22NbBarges</v>
      </c>
      <c r="F1191" s="25" t="s">
        <v>17</v>
      </c>
      <c r="G1191" s="25" cm="1">
        <f t="array" ref="G1191">IF((INDEX('Remplissage - Sit. Init.'!$C$473:$I$1088,MATCH((B1191)&amp;('Remplissage - Sit. Init.'!$D$483),('Remplissage - Sit. Init.'!$C$473:$C$1088)&amp;('Remplissage - Sit. Init.'!$D$473:$D$1088),0),7))&gt;0,0,1)</f>
        <v>1</v>
      </c>
      <c r="I1191" s="27"/>
      <c r="J1191" s="25" t="s">
        <v>151</v>
      </c>
      <c r="K1191" s="28"/>
    </row>
    <row r="1192" spans="1:11" s="25" customFormat="1" outlineLevel="1" x14ac:dyDescent="0.25">
      <c r="A1192" t="s">
        <v>1769</v>
      </c>
      <c r="B1192" s="25" t="s">
        <v>111</v>
      </c>
      <c r="C1192" s="25" t="s">
        <v>135</v>
      </c>
      <c r="E1192" s="25" t="str">
        <f t="shared" ref="E1192" si="1327">_xlfn.CONCAT("FretFluv",LEFT(B1192,3),RIGHT(B1192,2),"Nom")</f>
        <v>FretFluvCat23Nom</v>
      </c>
      <c r="F1192" s="26" t="s">
        <v>20</v>
      </c>
      <c r="G1192" s="25" cm="1">
        <f t="array" ref="G1192">IF((INDEX('Remplissage - Sit. Init.'!$C$473:$I$1088,MATCH((B1192)&amp;('Remplissage - Sit. Init.'!$D$483),('Remplissage - Sit. Init.'!$C$473:$C$1088)&amp;('Remplissage - Sit. Init.'!$D$473:$D$1088),0),7))&gt;0,0,1)</f>
        <v>1</v>
      </c>
      <c r="H1192" s="29"/>
      <c r="I1192" s="27" t="str">
        <f>VLOOKUP(B1192,'Parcs types'!$B$65:$AA$120,2,FALSE)</f>
        <v>Automoteurs 1000-1499 tonnes CCNR 2 + SCR, diesel</v>
      </c>
      <c r="K1192" s="25" t="str">
        <f>I1192</f>
        <v>Automoteurs 1000-1499 tonnes CCNR 2 + SCR, diesel</v>
      </c>
    </row>
    <row r="1193" spans="1:11" s="25" customFormat="1" outlineLevel="1" x14ac:dyDescent="0.25">
      <c r="A1193" t="s">
        <v>1769</v>
      </c>
      <c r="B1193" s="25" t="s">
        <v>111</v>
      </c>
      <c r="C1193" s="25" t="s">
        <v>136</v>
      </c>
      <c r="E1193" s="25" t="str">
        <f t="shared" ref="E1193" si="1328">_xlfn.CONCAT("FretFluv",LEFT(B1193,3),RIGHT(B1192,2),"Type")</f>
        <v>FretFluvCat23Type</v>
      </c>
      <c r="F1193" s="25" t="s">
        <v>20</v>
      </c>
      <c r="G1193" s="25" cm="1">
        <f t="array" ref="G1193">IF((INDEX('Remplissage - Sit. Init.'!$C$473:$I$1088,MATCH((B1193)&amp;('Remplissage - Sit. Init.'!$D$483),('Remplissage - Sit. Init.'!$C$473:$C$1088)&amp;('Remplissage - Sit. Init.'!$D$473:$D$1088),0),7))&gt;0,0,1)</f>
        <v>1</v>
      </c>
      <c r="H1193" s="28"/>
      <c r="I1193" s="27" t="str">
        <f>VLOOKUP(B1193,'Parcs types'!$B$65:$AA$120,3,FALSE)</f>
        <v>Automoteurs</v>
      </c>
      <c r="K1193" s="25" t="str">
        <f t="shared" ref="K1193:K1195" si="1329">I1193</f>
        <v>Automoteurs</v>
      </c>
    </row>
    <row r="1194" spans="1:11" s="25" customFormat="1" outlineLevel="1" x14ac:dyDescent="0.25">
      <c r="A1194" t="s">
        <v>1769</v>
      </c>
      <c r="B1194" s="25" t="s">
        <v>111</v>
      </c>
      <c r="C1194" s="26" t="s">
        <v>137</v>
      </c>
      <c r="E1194" s="25" t="str">
        <f t="shared" ref="E1194" si="1330">_xlfn.CONCAT("FretFluv",LEFT(B1194,3),RIGHT(B1192,2),"Cap")</f>
        <v>FretFluvCat23Cap</v>
      </c>
      <c r="F1194" s="26" t="s">
        <v>36</v>
      </c>
      <c r="G1194" s="25" cm="1">
        <f t="array" ref="G1194">IF((INDEX('Remplissage - Sit. Init.'!$C$473:$I$1088,MATCH((B1194)&amp;('Remplissage - Sit. Init.'!$D$483),('Remplissage - Sit. Init.'!$C$473:$C$1088)&amp;('Remplissage - Sit. Init.'!$D$473:$D$1088),0),7))&gt;0,0,1)</f>
        <v>1</v>
      </c>
      <c r="I1194" s="27" t="str">
        <f>VLOOKUP(B1194,'Parcs types'!$B$65:$AA$120,4,FALSE)</f>
        <v>1000-1499 tonnes</v>
      </c>
      <c r="J1194" s="25" t="s">
        <v>524</v>
      </c>
      <c r="K1194" s="25" t="str">
        <f t="shared" si="1329"/>
        <v>1000-1499 tonnes</v>
      </c>
    </row>
    <row r="1195" spans="1:11" s="25" customFormat="1" outlineLevel="1" x14ac:dyDescent="0.25">
      <c r="A1195" t="s">
        <v>1769</v>
      </c>
      <c r="B1195" s="25" t="s">
        <v>111</v>
      </c>
      <c r="C1195" s="26" t="s">
        <v>525</v>
      </c>
      <c r="E1195" s="25" t="str">
        <f t="shared" ref="E1195" si="1331">_xlfn.CONCAT("FretFluv",LEFT(B1195,3),RIGHT(B1192,2),"Tech")</f>
        <v>FretFluvCat23Tech</v>
      </c>
      <c r="F1195" s="26" t="s">
        <v>20</v>
      </c>
      <c r="G1195" s="25" cm="1">
        <f t="array" ref="G1195">IF((INDEX('Remplissage - Sit. Init.'!$C$473:$I$1088,MATCH((B1195)&amp;('Remplissage - Sit. Init.'!$D$483),('Remplissage - Sit. Init.'!$C$473:$C$1088)&amp;('Remplissage - Sit. Init.'!$D$473:$D$1088),0),7))&gt;0,0,1)</f>
        <v>1</v>
      </c>
      <c r="I1195" s="27" t="str">
        <f>VLOOKUP(B1195,'Parcs types'!$B$65:$AA$120,5,FALSE)</f>
        <v>CCNR 2 + SCR, diesel</v>
      </c>
      <c r="K1195" s="25" t="str">
        <f t="shared" si="1329"/>
        <v>CCNR 2 + SCR, diesel</v>
      </c>
    </row>
    <row r="1196" spans="1:11" s="25" customFormat="1" outlineLevel="1" x14ac:dyDescent="0.25">
      <c r="A1196" t="s">
        <v>1769</v>
      </c>
      <c r="B1196" s="25" t="s">
        <v>111</v>
      </c>
      <c r="C1196" s="25" t="s">
        <v>140</v>
      </c>
      <c r="E1196" s="25" t="str">
        <f t="shared" ref="E1196" si="1332">_xlfn.CONCAT("FretFluv",LEFT(B1196,3),RIGHT(B1192,2),"Request")</f>
        <v>FretFluvCat23Request</v>
      </c>
      <c r="F1196" s="26" t="s">
        <v>20</v>
      </c>
      <c r="G1196" s="25" cm="1">
        <f t="array" ref="G1196">IF((INDEX('Remplissage - Sit. Init.'!$C$473:$I$1088,MATCH((B1196)&amp;('Remplissage - Sit. Init.'!$D$483),('Remplissage - Sit. Init.'!$C$473:$C$1088)&amp;('Remplissage - Sit. Init.'!$D$473:$D$1088),0),7))&gt;0,0,1)</f>
        <v>1</v>
      </c>
      <c r="I1196" s="27" t="s">
        <v>142</v>
      </c>
      <c r="K1196" s="28"/>
    </row>
    <row r="1197" spans="1:11" s="25" customFormat="1" outlineLevel="1" x14ac:dyDescent="0.25">
      <c r="A1197" t="s">
        <v>1769</v>
      </c>
      <c r="B1197" s="25" t="s">
        <v>111</v>
      </c>
      <c r="C1197" s="25" t="s">
        <v>144</v>
      </c>
      <c r="E1197" s="25" t="str">
        <f t="shared" ref="E1197" si="1333">_xlfn.CONCAT("FretFluv",LEFT(B1197,3),RIGHT(B1192,2),"NbTraj")</f>
        <v>FretFluvCat23NbTraj</v>
      </c>
      <c r="F1197" s="25" t="s">
        <v>17</v>
      </c>
      <c r="G1197" s="25" cm="1">
        <f t="array" ref="G1197">IF((INDEX('Remplissage - Sit. Init.'!$C$473:$I$1088,MATCH((B1197)&amp;('Remplissage - Sit. Init.'!$D$483),('Remplissage - Sit. Init.'!$C$473:$C$1088)&amp;('Remplissage - Sit. Init.'!$D$473:$D$1088),0),7))&gt;0,0,1)</f>
        <v>1</v>
      </c>
      <c r="I1197" s="27"/>
      <c r="J1197" s="25" t="s">
        <v>145</v>
      </c>
      <c r="K1197" s="28"/>
    </row>
    <row r="1198" spans="1:11" s="25" customFormat="1" outlineLevel="1" x14ac:dyDescent="0.25">
      <c r="A1198" t="s">
        <v>1769</v>
      </c>
      <c r="B1198" s="25" t="s">
        <v>111</v>
      </c>
      <c r="C1198" s="25" t="s">
        <v>146</v>
      </c>
      <c r="E1198" s="25" t="str">
        <f t="shared" ref="E1198" si="1334">_xlfn.CONCAT("FretFluv",LEFT(B1198,3),RIGHT(B1192,2),"DistMoy")</f>
        <v>FretFluvCat23DistMoy</v>
      </c>
      <c r="F1198" s="25" t="s">
        <v>17</v>
      </c>
      <c r="G1198" s="25" cm="1">
        <f t="array" ref="G1198">IF((INDEX('Remplissage - Sit. Init.'!$C$473:$I$1088,MATCH((B1198)&amp;('Remplissage - Sit. Init.'!$D$483),('Remplissage - Sit. Init.'!$C$473:$C$1088)&amp;('Remplissage - Sit. Init.'!$D$473:$D$1088),0),7))&gt;0,0,1)</f>
        <v>1</v>
      </c>
      <c r="I1198" s="27"/>
      <c r="J1198" s="25" t="s">
        <v>88</v>
      </c>
      <c r="K1198" s="28"/>
    </row>
    <row r="1199" spans="1:11" s="25" customFormat="1" outlineLevel="1" x14ac:dyDescent="0.25">
      <c r="A1199" t="s">
        <v>1769</v>
      </c>
      <c r="B1199" s="25" t="s">
        <v>111</v>
      </c>
      <c r="C1199" s="25" t="s">
        <v>147</v>
      </c>
      <c r="E1199" s="25" t="str">
        <f t="shared" ref="E1199" si="1335">_xlfn.CONCAT("FretFluv",LEFT(B1199,3),RIGHT(B1192,2),"EmportMoy")</f>
        <v>FretFluvCat23EmportMoy</v>
      </c>
      <c r="F1199" s="25" t="s">
        <v>17</v>
      </c>
      <c r="G1199" s="25" cm="1">
        <f t="array" ref="G1199">IF((INDEX('Remplissage - Sit. Init.'!$C$473:$I$1088,MATCH((B1199)&amp;('Remplissage - Sit. Init.'!$D$483),('Remplissage - Sit. Init.'!$C$473:$C$1088)&amp;('Remplissage - Sit. Init.'!$D$473:$D$1088),0),7))&gt;0,0,1)</f>
        <v>1</v>
      </c>
      <c r="I1199" s="27"/>
      <c r="J1199" s="25" t="s">
        <v>148</v>
      </c>
      <c r="K1199" s="28"/>
    </row>
    <row r="1200" spans="1:11" s="25" customFormat="1" outlineLevel="1" x14ac:dyDescent="0.25">
      <c r="A1200" t="s">
        <v>1769</v>
      </c>
      <c r="B1200" s="25" t="s">
        <v>111</v>
      </c>
      <c r="C1200" s="25" t="s">
        <v>149</v>
      </c>
      <c r="E1200" s="25" t="str">
        <f t="shared" ref="E1200" si="1336">_xlfn.CONCAT("FretFluv",LEFT(B1200,3),RIGHT(B1192,2),"DistAn")</f>
        <v>FretFluvCat23DistAn</v>
      </c>
      <c r="F1200" s="25" t="s">
        <v>17</v>
      </c>
      <c r="G1200" s="25" cm="1">
        <f t="array" ref="G1200">IF((INDEX('Remplissage - Sit. Init.'!$C$473:$I$1088,MATCH((B1200)&amp;('Remplissage - Sit. Init.'!$D$483),('Remplissage - Sit. Init.'!$C$473:$C$1088)&amp;('Remplissage - Sit. Init.'!$D$473:$D$1088),0),7))&gt;0,0,1)</f>
        <v>1</v>
      </c>
      <c r="I1200" s="27"/>
      <c r="J1200" s="25" t="s">
        <v>88</v>
      </c>
    </row>
    <row r="1201" spans="1:11" s="25" customFormat="1" outlineLevel="1" x14ac:dyDescent="0.25">
      <c r="A1201" t="s">
        <v>1769</v>
      </c>
      <c r="B1201" s="25" t="s">
        <v>111</v>
      </c>
      <c r="C1201" s="25" t="s">
        <v>150</v>
      </c>
      <c r="E1201" s="25" t="str">
        <f t="shared" ref="E1201" si="1337">_xlfn.CONCAT("FretFluv",LEFT(B1201,3),RIGHT(B1192,2),"TauxChargeMoy")</f>
        <v>FretFluvCat23TauxChargeMoy</v>
      </c>
      <c r="F1201" s="25" t="s">
        <v>17</v>
      </c>
      <c r="G1201" s="25" cm="1">
        <f t="array" ref="G1201">IF((INDEX('Remplissage - Sit. Init.'!$C$473:$I$1088,MATCH((B1201)&amp;('Remplissage - Sit. Init.'!$D$483),('Remplissage - Sit. Init.'!$C$473:$C$1088)&amp;('Remplissage - Sit. Init.'!$D$473:$D$1088),0),7))&gt;0,0,1)</f>
        <v>1</v>
      </c>
      <c r="I1201" s="27"/>
      <c r="J1201" s="25" t="s">
        <v>70</v>
      </c>
    </row>
    <row r="1202" spans="1:11" s="25" customFormat="1" outlineLevel="1" x14ac:dyDescent="0.25">
      <c r="A1202" t="s">
        <v>1769</v>
      </c>
      <c r="B1202" s="25" t="s">
        <v>111</v>
      </c>
      <c r="C1202" s="26" t="s">
        <v>526</v>
      </c>
      <c r="E1202" s="25" t="str">
        <f t="shared" ref="E1202" si="1338">_xlfn.CONCAT("FretFluv",LEFT(B1202,3),RIGHT(B1192,2),"NbBarges")</f>
        <v>FretFluvCat23NbBarges</v>
      </c>
      <c r="F1202" s="25" t="s">
        <v>17</v>
      </c>
      <c r="G1202" s="25" cm="1">
        <f t="array" ref="G1202">IF((INDEX('Remplissage - Sit. Init.'!$C$473:$I$1088,MATCH((B1202)&amp;('Remplissage - Sit. Init.'!$D$483),('Remplissage - Sit. Init.'!$C$473:$C$1088)&amp;('Remplissage - Sit. Init.'!$D$473:$D$1088),0),7))&gt;0,0,1)</f>
        <v>1</v>
      </c>
      <c r="I1202" s="27"/>
      <c r="J1202" s="25" t="s">
        <v>151</v>
      </c>
    </row>
    <row r="1203" spans="1:11" s="25" customFormat="1" outlineLevel="1" x14ac:dyDescent="0.25">
      <c r="A1203" t="s">
        <v>1769</v>
      </c>
      <c r="B1203" s="25" t="s">
        <v>112</v>
      </c>
      <c r="C1203" s="25" t="s">
        <v>135</v>
      </c>
      <c r="E1203" s="25" t="str">
        <f t="shared" ref="E1203" si="1339">_xlfn.CONCAT("FretFluv",LEFT(B1203,3),RIGHT(B1203,2),"Nom")</f>
        <v>FretFluvCat24Nom</v>
      </c>
      <c r="F1203" s="26" t="s">
        <v>20</v>
      </c>
      <c r="G1203" s="25" cm="1">
        <f t="array" ref="G1203">IF((INDEX('Remplissage - Sit. Init.'!$C$473:$I$1088,MATCH((B1203)&amp;('Remplissage - Sit. Init.'!$D$483),('Remplissage - Sit. Init.'!$C$473:$C$1088)&amp;('Remplissage - Sit. Init.'!$D$473:$D$1088),0),7))&gt;0,0,1)</f>
        <v>1</v>
      </c>
      <c r="H1203" s="29"/>
      <c r="I1203" s="27" t="str">
        <f>VLOOKUP(B1203,'Parcs types'!$B$65:$AA$120,2,FALSE)</f>
        <v>Automoteurs 1000-1499 tonnes Phase V, diesel</v>
      </c>
      <c r="K1203" s="25" t="str">
        <f>I1203</f>
        <v>Automoteurs 1000-1499 tonnes Phase V, diesel</v>
      </c>
    </row>
    <row r="1204" spans="1:11" s="25" customFormat="1" outlineLevel="1" x14ac:dyDescent="0.25">
      <c r="A1204" t="s">
        <v>1769</v>
      </c>
      <c r="B1204" s="25" t="s">
        <v>112</v>
      </c>
      <c r="C1204" s="25" t="s">
        <v>136</v>
      </c>
      <c r="E1204" s="25" t="str">
        <f t="shared" ref="E1204" si="1340">_xlfn.CONCAT("FretFluv",LEFT(B1204,3),RIGHT(B1203,2),"Type")</f>
        <v>FretFluvCat24Type</v>
      </c>
      <c r="F1204" s="25" t="s">
        <v>20</v>
      </c>
      <c r="G1204" s="25" cm="1">
        <f t="array" ref="G1204">IF((INDEX('Remplissage - Sit. Init.'!$C$473:$I$1088,MATCH((B1204)&amp;('Remplissage - Sit. Init.'!$D$483),('Remplissage - Sit. Init.'!$C$473:$C$1088)&amp;('Remplissage - Sit. Init.'!$D$473:$D$1088),0),7))&gt;0,0,1)</f>
        <v>1</v>
      </c>
      <c r="H1204" s="28"/>
      <c r="I1204" s="27" t="str">
        <f>VLOOKUP(B1204,'Parcs types'!$B$65:$AA$120,3,FALSE)</f>
        <v>Automoteurs</v>
      </c>
      <c r="K1204" s="25" t="str">
        <f t="shared" ref="K1204:K1206" si="1341">I1204</f>
        <v>Automoteurs</v>
      </c>
    </row>
    <row r="1205" spans="1:11" s="25" customFormat="1" outlineLevel="1" x14ac:dyDescent="0.25">
      <c r="A1205" t="s">
        <v>1769</v>
      </c>
      <c r="B1205" s="25" t="s">
        <v>112</v>
      </c>
      <c r="C1205" s="26" t="s">
        <v>137</v>
      </c>
      <c r="E1205" s="25" t="str">
        <f t="shared" ref="E1205" si="1342">_xlfn.CONCAT("FretFluv",LEFT(B1205,3),RIGHT(B1203,2),"Cap")</f>
        <v>FretFluvCat24Cap</v>
      </c>
      <c r="F1205" s="26" t="s">
        <v>36</v>
      </c>
      <c r="G1205" s="25" cm="1">
        <f t="array" ref="G1205">IF((INDEX('Remplissage - Sit. Init.'!$C$473:$I$1088,MATCH((B1205)&amp;('Remplissage - Sit. Init.'!$D$483),('Remplissage - Sit. Init.'!$C$473:$C$1088)&amp;('Remplissage - Sit. Init.'!$D$473:$D$1088),0),7))&gt;0,0,1)</f>
        <v>1</v>
      </c>
      <c r="I1205" s="27" t="str">
        <f>VLOOKUP(B1205,'Parcs types'!$B$65:$AA$120,4,FALSE)</f>
        <v>1000-1499 tonnes</v>
      </c>
      <c r="J1205" s="25" t="s">
        <v>524</v>
      </c>
      <c r="K1205" s="25" t="str">
        <f t="shared" si="1341"/>
        <v>1000-1499 tonnes</v>
      </c>
    </row>
    <row r="1206" spans="1:11" s="25" customFormat="1" outlineLevel="1" x14ac:dyDescent="0.25">
      <c r="A1206" t="s">
        <v>1769</v>
      </c>
      <c r="B1206" s="25" t="s">
        <v>112</v>
      </c>
      <c r="C1206" s="26" t="s">
        <v>525</v>
      </c>
      <c r="E1206" s="25" t="str">
        <f t="shared" ref="E1206" si="1343">_xlfn.CONCAT("FretFluv",LEFT(B1206,3),RIGHT(B1203,2),"Tech")</f>
        <v>FretFluvCat24Tech</v>
      </c>
      <c r="F1206" s="26" t="s">
        <v>20</v>
      </c>
      <c r="G1206" s="25" cm="1">
        <f t="array" ref="G1206">IF((INDEX('Remplissage - Sit. Init.'!$C$473:$I$1088,MATCH((B1206)&amp;('Remplissage - Sit. Init.'!$D$483),('Remplissage - Sit. Init.'!$C$473:$C$1088)&amp;('Remplissage - Sit. Init.'!$D$473:$D$1088),0),7))&gt;0,0,1)</f>
        <v>1</v>
      </c>
      <c r="I1206" s="27" t="str">
        <f>VLOOKUP(B1206,'Parcs types'!$B$65:$AA$120,5,FALSE)</f>
        <v>Phase V, diesel</v>
      </c>
      <c r="K1206" s="25" t="str">
        <f t="shared" si="1341"/>
        <v>Phase V, diesel</v>
      </c>
    </row>
    <row r="1207" spans="1:11" s="25" customFormat="1" outlineLevel="1" x14ac:dyDescent="0.25">
      <c r="A1207" t="s">
        <v>1769</v>
      </c>
      <c r="B1207" s="25" t="s">
        <v>112</v>
      </c>
      <c r="C1207" s="25" t="s">
        <v>140</v>
      </c>
      <c r="E1207" s="25" t="str">
        <f t="shared" ref="E1207" si="1344">_xlfn.CONCAT("FretFluv",LEFT(B1207,3),RIGHT(B1203,2),"Request")</f>
        <v>FretFluvCat24Request</v>
      </c>
      <c r="F1207" s="26" t="s">
        <v>20</v>
      </c>
      <c r="G1207" s="25" cm="1">
        <f t="array" ref="G1207">IF((INDEX('Remplissage - Sit. Init.'!$C$473:$I$1088,MATCH((B1207)&amp;('Remplissage - Sit. Init.'!$D$483),('Remplissage - Sit. Init.'!$C$473:$C$1088)&amp;('Remplissage - Sit. Init.'!$D$473:$D$1088),0),7))&gt;0,0,1)</f>
        <v>1</v>
      </c>
      <c r="I1207" s="27" t="s">
        <v>142</v>
      </c>
    </row>
    <row r="1208" spans="1:11" s="25" customFormat="1" outlineLevel="1" x14ac:dyDescent="0.25">
      <c r="A1208" t="s">
        <v>1769</v>
      </c>
      <c r="B1208" s="25" t="s">
        <v>112</v>
      </c>
      <c r="C1208" s="25" t="s">
        <v>144</v>
      </c>
      <c r="E1208" s="25" t="str">
        <f t="shared" ref="E1208" si="1345">_xlfn.CONCAT("FretFluv",LEFT(B1208,3),RIGHT(B1203,2),"NbTraj")</f>
        <v>FretFluvCat24NbTraj</v>
      </c>
      <c r="F1208" s="25" t="s">
        <v>17</v>
      </c>
      <c r="G1208" s="25" cm="1">
        <f t="array" ref="G1208">IF((INDEX('Remplissage - Sit. Init.'!$C$473:$I$1088,MATCH((B1208)&amp;('Remplissage - Sit. Init.'!$D$483),('Remplissage - Sit. Init.'!$C$473:$C$1088)&amp;('Remplissage - Sit. Init.'!$D$473:$D$1088),0),7))&gt;0,0,1)</f>
        <v>1</v>
      </c>
      <c r="I1208" s="27"/>
      <c r="J1208" s="25" t="s">
        <v>145</v>
      </c>
    </row>
    <row r="1209" spans="1:11" s="25" customFormat="1" outlineLevel="1" x14ac:dyDescent="0.25">
      <c r="A1209" t="s">
        <v>1769</v>
      </c>
      <c r="B1209" s="25" t="s">
        <v>112</v>
      </c>
      <c r="C1209" s="25" t="s">
        <v>146</v>
      </c>
      <c r="E1209" s="25" t="str">
        <f t="shared" ref="E1209" si="1346">_xlfn.CONCAT("FretFluv",LEFT(B1209,3),RIGHT(B1203,2),"DistMoy")</f>
        <v>FretFluvCat24DistMoy</v>
      </c>
      <c r="F1209" s="25" t="s">
        <v>17</v>
      </c>
      <c r="G1209" s="25" cm="1">
        <f t="array" ref="G1209">IF((INDEX('Remplissage - Sit. Init.'!$C$473:$I$1088,MATCH((B1209)&amp;('Remplissage - Sit. Init.'!$D$483),('Remplissage - Sit. Init.'!$C$473:$C$1088)&amp;('Remplissage - Sit. Init.'!$D$473:$D$1088),0),7))&gt;0,0,1)</f>
        <v>1</v>
      </c>
      <c r="I1209" s="27"/>
      <c r="J1209" s="25" t="s">
        <v>88</v>
      </c>
    </row>
    <row r="1210" spans="1:11" s="25" customFormat="1" outlineLevel="1" x14ac:dyDescent="0.25">
      <c r="A1210" t="s">
        <v>1769</v>
      </c>
      <c r="B1210" s="25" t="s">
        <v>112</v>
      </c>
      <c r="C1210" s="25" t="s">
        <v>147</v>
      </c>
      <c r="E1210" s="25" t="str">
        <f t="shared" ref="E1210" si="1347">_xlfn.CONCAT("FretFluv",LEFT(B1210,3),RIGHT(B1203,2),"EmportMoy")</f>
        <v>FretFluvCat24EmportMoy</v>
      </c>
      <c r="F1210" s="25" t="s">
        <v>17</v>
      </c>
      <c r="G1210" s="25" cm="1">
        <f t="array" ref="G1210">IF((INDEX('Remplissage - Sit. Init.'!$C$473:$I$1088,MATCH((B1210)&amp;('Remplissage - Sit. Init.'!$D$483),('Remplissage - Sit. Init.'!$C$473:$C$1088)&amp;('Remplissage - Sit. Init.'!$D$473:$D$1088),0),7))&gt;0,0,1)</f>
        <v>1</v>
      </c>
      <c r="I1210" s="27"/>
      <c r="J1210" s="25" t="s">
        <v>148</v>
      </c>
    </row>
    <row r="1211" spans="1:11" s="25" customFormat="1" outlineLevel="1" x14ac:dyDescent="0.25">
      <c r="A1211" t="s">
        <v>1769</v>
      </c>
      <c r="B1211" s="25" t="s">
        <v>112</v>
      </c>
      <c r="C1211" s="25" t="s">
        <v>149</v>
      </c>
      <c r="E1211" s="25" t="str">
        <f t="shared" ref="E1211" si="1348">_xlfn.CONCAT("FretFluv",LEFT(B1211,3),RIGHT(B1203,2),"DistAn")</f>
        <v>FretFluvCat24DistAn</v>
      </c>
      <c r="F1211" s="25" t="s">
        <v>17</v>
      </c>
      <c r="G1211" s="25" cm="1">
        <f t="array" ref="G1211">IF((INDEX('Remplissage - Sit. Init.'!$C$473:$I$1088,MATCH((B1211)&amp;('Remplissage - Sit. Init.'!$D$483),('Remplissage - Sit. Init.'!$C$473:$C$1088)&amp;('Remplissage - Sit. Init.'!$D$473:$D$1088),0),7))&gt;0,0,1)</f>
        <v>1</v>
      </c>
      <c r="I1211" s="27"/>
      <c r="J1211" s="25" t="s">
        <v>88</v>
      </c>
    </row>
    <row r="1212" spans="1:11" s="25" customFormat="1" outlineLevel="1" x14ac:dyDescent="0.25">
      <c r="A1212" t="s">
        <v>1769</v>
      </c>
      <c r="B1212" s="25" t="s">
        <v>112</v>
      </c>
      <c r="C1212" s="25" t="s">
        <v>150</v>
      </c>
      <c r="E1212" s="25" t="str">
        <f t="shared" ref="E1212" si="1349">_xlfn.CONCAT("FretFluv",LEFT(B1212,3),RIGHT(B1203,2),"TauxChargeMoy")</f>
        <v>FretFluvCat24TauxChargeMoy</v>
      </c>
      <c r="F1212" s="25" t="s">
        <v>17</v>
      </c>
      <c r="G1212" s="25" cm="1">
        <f t="array" ref="G1212">IF((INDEX('Remplissage - Sit. Init.'!$C$473:$I$1088,MATCH((B1212)&amp;('Remplissage - Sit. Init.'!$D$483),('Remplissage - Sit. Init.'!$C$473:$C$1088)&amp;('Remplissage - Sit. Init.'!$D$473:$D$1088),0),7))&gt;0,0,1)</f>
        <v>1</v>
      </c>
      <c r="I1212" s="27"/>
      <c r="J1212" s="25" t="s">
        <v>70</v>
      </c>
    </row>
    <row r="1213" spans="1:11" s="25" customFormat="1" outlineLevel="1" x14ac:dyDescent="0.25">
      <c r="A1213" t="s">
        <v>1769</v>
      </c>
      <c r="B1213" s="25" t="s">
        <v>112</v>
      </c>
      <c r="C1213" s="26" t="s">
        <v>526</v>
      </c>
      <c r="E1213" s="25" t="str">
        <f t="shared" ref="E1213" si="1350">_xlfn.CONCAT("FretFluv",LEFT(B1213,3),RIGHT(B1203,2),"NbBarges")</f>
        <v>FretFluvCat24NbBarges</v>
      </c>
      <c r="F1213" s="25" t="s">
        <v>17</v>
      </c>
      <c r="G1213" s="25" cm="1">
        <f t="array" ref="G1213">IF((INDEX('Remplissage - Sit. Init.'!$C$473:$I$1088,MATCH((B1213)&amp;('Remplissage - Sit. Init.'!$D$483),('Remplissage - Sit. Init.'!$C$473:$C$1088)&amp;('Remplissage - Sit. Init.'!$D$473:$D$1088),0),7))&gt;0,0,1)</f>
        <v>1</v>
      </c>
      <c r="I1213" s="27"/>
      <c r="J1213" s="25" t="s">
        <v>151</v>
      </c>
      <c r="K1213" s="28"/>
    </row>
    <row r="1214" spans="1:11" s="25" customFormat="1" outlineLevel="1" x14ac:dyDescent="0.25">
      <c r="A1214" t="s">
        <v>1769</v>
      </c>
      <c r="B1214" s="25" t="s">
        <v>113</v>
      </c>
      <c r="C1214" s="25" t="s">
        <v>135</v>
      </c>
      <c r="E1214" s="25" t="str">
        <f t="shared" ref="E1214" si="1351">_xlfn.CONCAT("FretFluv",LEFT(B1214,3),RIGHT(B1214,2),"Nom")</f>
        <v>FretFluvCat25Nom</v>
      </c>
      <c r="F1214" s="26" t="s">
        <v>20</v>
      </c>
      <c r="G1214" s="25" cm="1">
        <f t="array" ref="G1214">IF((INDEX('Remplissage - Sit. Init.'!$C$473:$I$1088,MATCH((B1214)&amp;('Remplissage - Sit. Init.'!$D$483),('Remplissage - Sit. Init.'!$C$473:$C$1088)&amp;('Remplissage - Sit. Init.'!$D$473:$D$1088),0),7))&gt;0,0,1)</f>
        <v>1</v>
      </c>
      <c r="H1214" s="29"/>
      <c r="I1214" s="27" t="str">
        <f>VLOOKUP(B1214,'Parcs types'!$B$65:$AA$120,2,FALSE)</f>
        <v>Automoteurs 1000-1499 tonnes Phase V, HVO</v>
      </c>
      <c r="K1214" s="25" t="str">
        <f>I1214</f>
        <v>Automoteurs 1000-1499 tonnes Phase V, HVO</v>
      </c>
    </row>
    <row r="1215" spans="1:11" s="25" customFormat="1" outlineLevel="1" x14ac:dyDescent="0.25">
      <c r="A1215" t="s">
        <v>1769</v>
      </c>
      <c r="B1215" s="25" t="s">
        <v>113</v>
      </c>
      <c r="C1215" s="25" t="s">
        <v>136</v>
      </c>
      <c r="E1215" s="25" t="str">
        <f t="shared" ref="E1215" si="1352">_xlfn.CONCAT("FretFluv",LEFT(B1215,3),RIGHT(B1214,2),"Type")</f>
        <v>FretFluvCat25Type</v>
      </c>
      <c r="F1215" s="25" t="s">
        <v>20</v>
      </c>
      <c r="G1215" s="25" cm="1">
        <f t="array" ref="G1215">IF((INDEX('Remplissage - Sit. Init.'!$C$473:$I$1088,MATCH((B1215)&amp;('Remplissage - Sit. Init.'!$D$483),('Remplissage - Sit. Init.'!$C$473:$C$1088)&amp;('Remplissage - Sit. Init.'!$D$473:$D$1088),0),7))&gt;0,0,1)</f>
        <v>1</v>
      </c>
      <c r="H1215" s="28"/>
      <c r="I1215" s="27" t="str">
        <f>VLOOKUP(B1215,'Parcs types'!$B$65:$AA$120,3,FALSE)</f>
        <v>Automoteurs</v>
      </c>
      <c r="K1215" s="25" t="str">
        <f t="shared" ref="K1215:K1217" si="1353">I1215</f>
        <v>Automoteurs</v>
      </c>
    </row>
    <row r="1216" spans="1:11" s="25" customFormat="1" outlineLevel="1" x14ac:dyDescent="0.25">
      <c r="A1216" t="s">
        <v>1769</v>
      </c>
      <c r="B1216" s="25" t="s">
        <v>113</v>
      </c>
      <c r="C1216" s="26" t="s">
        <v>137</v>
      </c>
      <c r="E1216" s="25" t="str">
        <f t="shared" ref="E1216" si="1354">_xlfn.CONCAT("FretFluv",LEFT(B1216,3),RIGHT(B1214,2),"Cap")</f>
        <v>FretFluvCat25Cap</v>
      </c>
      <c r="F1216" s="26" t="s">
        <v>36</v>
      </c>
      <c r="G1216" s="25" cm="1">
        <f t="array" ref="G1216">IF((INDEX('Remplissage - Sit. Init.'!$C$473:$I$1088,MATCH((B1216)&amp;('Remplissage - Sit. Init.'!$D$483),('Remplissage - Sit. Init.'!$C$473:$C$1088)&amp;('Remplissage - Sit. Init.'!$D$473:$D$1088),0),7))&gt;0,0,1)</f>
        <v>1</v>
      </c>
      <c r="H1216" s="28"/>
      <c r="I1216" s="27" t="str">
        <f>VLOOKUP(B1216,'Parcs types'!$B$65:$AA$120,4,FALSE)</f>
        <v>1000-1499 tonnes</v>
      </c>
      <c r="J1216" s="25" t="s">
        <v>524</v>
      </c>
      <c r="K1216" s="25" t="str">
        <f t="shared" si="1353"/>
        <v>1000-1499 tonnes</v>
      </c>
    </row>
    <row r="1217" spans="1:11" s="25" customFormat="1" outlineLevel="1" x14ac:dyDescent="0.25">
      <c r="A1217" t="s">
        <v>1769</v>
      </c>
      <c r="B1217" s="25" t="s">
        <v>113</v>
      </c>
      <c r="C1217" s="26" t="s">
        <v>525</v>
      </c>
      <c r="E1217" s="25" t="str">
        <f t="shared" ref="E1217" si="1355">_xlfn.CONCAT("FretFluv",LEFT(B1217,3),RIGHT(B1214,2),"Tech")</f>
        <v>FretFluvCat25Tech</v>
      </c>
      <c r="F1217" s="26" t="s">
        <v>20</v>
      </c>
      <c r="G1217" s="25" cm="1">
        <f t="array" ref="G1217">IF((INDEX('Remplissage - Sit. Init.'!$C$473:$I$1088,MATCH((B1217)&amp;('Remplissage - Sit. Init.'!$D$483),('Remplissage - Sit. Init.'!$C$473:$C$1088)&amp;('Remplissage - Sit. Init.'!$D$473:$D$1088),0),7))&gt;0,0,1)</f>
        <v>1</v>
      </c>
      <c r="H1217" s="28"/>
      <c r="I1217" s="27" t="str">
        <f>VLOOKUP(B1217,'Parcs types'!$B$65:$AA$120,5,FALSE)</f>
        <v>Phase V, HVO</v>
      </c>
      <c r="K1217" s="25" t="str">
        <f t="shared" si="1353"/>
        <v>Phase V, HVO</v>
      </c>
    </row>
    <row r="1218" spans="1:11" s="25" customFormat="1" outlineLevel="1" x14ac:dyDescent="0.25">
      <c r="A1218" t="s">
        <v>1769</v>
      </c>
      <c r="B1218" s="25" t="s">
        <v>113</v>
      </c>
      <c r="C1218" s="25" t="s">
        <v>140</v>
      </c>
      <c r="E1218" s="25" t="str">
        <f t="shared" ref="E1218" si="1356">_xlfn.CONCAT("FretFluv",LEFT(B1218,3),RIGHT(B1214,2),"Request")</f>
        <v>FretFluvCat25Request</v>
      </c>
      <c r="F1218" s="26" t="s">
        <v>20</v>
      </c>
      <c r="G1218" s="25" cm="1">
        <f t="array" ref="G1218">IF((INDEX('Remplissage - Sit. Init.'!$C$473:$I$1088,MATCH((B1218)&amp;('Remplissage - Sit. Init.'!$D$483),('Remplissage - Sit. Init.'!$C$473:$C$1088)&amp;('Remplissage - Sit. Init.'!$D$473:$D$1088),0),7))&gt;0,0,1)</f>
        <v>1</v>
      </c>
      <c r="I1218" s="27" t="s">
        <v>142</v>
      </c>
      <c r="K1218" s="28"/>
    </row>
    <row r="1219" spans="1:11" s="25" customFormat="1" outlineLevel="1" x14ac:dyDescent="0.25">
      <c r="A1219" t="s">
        <v>1769</v>
      </c>
      <c r="B1219" s="25" t="s">
        <v>113</v>
      </c>
      <c r="C1219" s="25" t="s">
        <v>144</v>
      </c>
      <c r="E1219" s="25" t="str">
        <f t="shared" ref="E1219" si="1357">_xlfn.CONCAT("FretFluv",LEFT(B1219,3),RIGHT(B1214,2),"NbTraj")</f>
        <v>FretFluvCat25NbTraj</v>
      </c>
      <c r="F1219" s="25" t="s">
        <v>17</v>
      </c>
      <c r="G1219" s="25" cm="1">
        <f t="array" ref="G1219">IF((INDEX('Remplissage - Sit. Init.'!$C$473:$I$1088,MATCH((B1219)&amp;('Remplissage - Sit. Init.'!$D$483),('Remplissage - Sit. Init.'!$C$473:$C$1088)&amp;('Remplissage - Sit. Init.'!$D$473:$D$1088),0),7))&gt;0,0,1)</f>
        <v>1</v>
      </c>
      <c r="H1219" s="28"/>
      <c r="I1219" s="27"/>
      <c r="J1219" s="25" t="s">
        <v>145</v>
      </c>
      <c r="K1219" s="28"/>
    </row>
    <row r="1220" spans="1:11" s="25" customFormat="1" outlineLevel="1" x14ac:dyDescent="0.25">
      <c r="A1220" t="s">
        <v>1769</v>
      </c>
      <c r="B1220" s="25" t="s">
        <v>113</v>
      </c>
      <c r="C1220" s="25" t="s">
        <v>146</v>
      </c>
      <c r="E1220" s="25" t="str">
        <f t="shared" ref="E1220" si="1358">_xlfn.CONCAT("FretFluv",LEFT(B1220,3),RIGHT(B1214,2),"DistMoy")</f>
        <v>FretFluvCat25DistMoy</v>
      </c>
      <c r="F1220" s="25" t="s">
        <v>17</v>
      </c>
      <c r="G1220" s="25" cm="1">
        <f t="array" ref="G1220">IF((INDEX('Remplissage - Sit. Init.'!$C$473:$I$1088,MATCH((B1220)&amp;('Remplissage - Sit. Init.'!$D$483),('Remplissage - Sit. Init.'!$C$473:$C$1088)&amp;('Remplissage - Sit. Init.'!$D$473:$D$1088),0),7))&gt;0,0,1)</f>
        <v>1</v>
      </c>
      <c r="H1220" s="28"/>
      <c r="I1220" s="27"/>
      <c r="J1220" s="25" t="s">
        <v>88</v>
      </c>
      <c r="K1220" s="28"/>
    </row>
    <row r="1221" spans="1:11" s="25" customFormat="1" outlineLevel="1" x14ac:dyDescent="0.25">
      <c r="A1221" t="s">
        <v>1769</v>
      </c>
      <c r="B1221" s="25" t="s">
        <v>113</v>
      </c>
      <c r="C1221" s="25" t="s">
        <v>147</v>
      </c>
      <c r="E1221" s="25" t="str">
        <f t="shared" ref="E1221" si="1359">_xlfn.CONCAT("FretFluv",LEFT(B1221,3),RIGHT(B1214,2),"EmportMoy")</f>
        <v>FretFluvCat25EmportMoy</v>
      </c>
      <c r="F1221" s="25" t="s">
        <v>17</v>
      </c>
      <c r="G1221" s="25" cm="1">
        <f t="array" ref="G1221">IF((INDEX('Remplissage - Sit. Init.'!$C$473:$I$1088,MATCH((B1221)&amp;('Remplissage - Sit. Init.'!$D$483),('Remplissage - Sit. Init.'!$C$473:$C$1088)&amp;('Remplissage - Sit. Init.'!$D$473:$D$1088),0),7))&gt;0,0,1)</f>
        <v>1</v>
      </c>
      <c r="H1221" s="28"/>
      <c r="I1221" s="27"/>
      <c r="J1221" s="25" t="s">
        <v>148</v>
      </c>
      <c r="K1221" s="28"/>
    </row>
    <row r="1222" spans="1:11" s="25" customFormat="1" outlineLevel="1" x14ac:dyDescent="0.25">
      <c r="A1222" t="s">
        <v>1769</v>
      </c>
      <c r="B1222" s="25" t="s">
        <v>113</v>
      </c>
      <c r="C1222" s="25" t="s">
        <v>149</v>
      </c>
      <c r="E1222" s="25" t="str">
        <f t="shared" ref="E1222" si="1360">_xlfn.CONCAT("FretFluv",LEFT(B1222,3),RIGHT(B1214,2),"DistAn")</f>
        <v>FretFluvCat25DistAn</v>
      </c>
      <c r="F1222" s="25" t="s">
        <v>17</v>
      </c>
      <c r="G1222" s="25" cm="1">
        <f t="array" ref="G1222">IF((INDEX('Remplissage - Sit. Init.'!$C$473:$I$1088,MATCH((B1222)&amp;('Remplissage - Sit. Init.'!$D$483),('Remplissage - Sit. Init.'!$C$473:$C$1088)&amp;('Remplissage - Sit. Init.'!$D$473:$D$1088),0),7))&gt;0,0,1)</f>
        <v>1</v>
      </c>
      <c r="H1222" s="28"/>
      <c r="I1222" s="27"/>
      <c r="J1222" s="25" t="s">
        <v>88</v>
      </c>
    </row>
    <row r="1223" spans="1:11" s="25" customFormat="1" outlineLevel="1" x14ac:dyDescent="0.25">
      <c r="A1223" t="s">
        <v>1769</v>
      </c>
      <c r="B1223" s="25" t="s">
        <v>113</v>
      </c>
      <c r="C1223" s="25" t="s">
        <v>150</v>
      </c>
      <c r="E1223" s="25" t="str">
        <f t="shared" ref="E1223" si="1361">_xlfn.CONCAT("FretFluv",LEFT(B1223,3),RIGHT(B1214,2),"TauxChargeMoy")</f>
        <v>FretFluvCat25TauxChargeMoy</v>
      </c>
      <c r="F1223" s="25" t="s">
        <v>17</v>
      </c>
      <c r="G1223" s="25" cm="1">
        <f t="array" ref="G1223">IF((INDEX('Remplissage - Sit. Init.'!$C$473:$I$1088,MATCH((B1223)&amp;('Remplissage - Sit. Init.'!$D$483),('Remplissage - Sit. Init.'!$C$473:$C$1088)&amp;('Remplissage - Sit. Init.'!$D$473:$D$1088),0),7))&gt;0,0,1)</f>
        <v>1</v>
      </c>
      <c r="H1223" s="28"/>
      <c r="I1223" s="27"/>
      <c r="J1223" s="25" t="s">
        <v>70</v>
      </c>
    </row>
    <row r="1224" spans="1:11" s="25" customFormat="1" outlineLevel="1" x14ac:dyDescent="0.25">
      <c r="A1224" t="s">
        <v>1769</v>
      </c>
      <c r="B1224" s="25" t="s">
        <v>113</v>
      </c>
      <c r="C1224" s="26" t="s">
        <v>526</v>
      </c>
      <c r="E1224" s="25" t="str">
        <f t="shared" ref="E1224" si="1362">_xlfn.CONCAT("FretFluv",LEFT(B1224,3),RIGHT(B1214,2),"NbBarges")</f>
        <v>FretFluvCat25NbBarges</v>
      </c>
      <c r="F1224" s="25" t="s">
        <v>17</v>
      </c>
      <c r="G1224" s="25" cm="1">
        <f t="array" ref="G1224">IF((INDEX('Remplissage - Sit. Init.'!$C$473:$I$1088,MATCH((B1224)&amp;('Remplissage - Sit. Init.'!$D$483),('Remplissage - Sit. Init.'!$C$473:$C$1088)&amp;('Remplissage - Sit. Init.'!$D$473:$D$1088),0),7))&gt;0,0,1)</f>
        <v>1</v>
      </c>
      <c r="H1224" s="28"/>
      <c r="I1224" s="27"/>
      <c r="J1224" s="25" t="s">
        <v>151</v>
      </c>
    </row>
    <row r="1225" spans="1:11" s="25" customFormat="1" outlineLevel="1" x14ac:dyDescent="0.25">
      <c r="A1225" t="s">
        <v>1769</v>
      </c>
      <c r="B1225" s="25" t="s">
        <v>114</v>
      </c>
      <c r="C1225" s="25" t="s">
        <v>135</v>
      </c>
      <c r="E1225" s="25" t="str">
        <f t="shared" ref="E1225" si="1363">_xlfn.CONCAT("FretFluv",LEFT(B1225,3),RIGHT(B1225,2),"Nom")</f>
        <v>FretFluvCat26Nom</v>
      </c>
      <c r="F1225" s="26" t="s">
        <v>20</v>
      </c>
      <c r="G1225" s="25" cm="1">
        <f t="array" ref="G1225">IF((INDEX('Remplissage - Sit. Init.'!$C$473:$I$1088,MATCH((B1225)&amp;('Remplissage - Sit. Init.'!$D$483),('Remplissage - Sit. Init.'!$C$473:$C$1088)&amp;('Remplissage - Sit. Init.'!$D$473:$D$1088),0),7))&gt;0,0,1)</f>
        <v>1</v>
      </c>
      <c r="H1225" s="28"/>
      <c r="I1225" s="27" t="str">
        <f>VLOOKUP(B1225,'Parcs types'!$B$65:$AA$120,2,FALSE)</f>
        <v>Automoteurs 1000-1499 tonnes Batterie</v>
      </c>
      <c r="K1225" s="25" t="str">
        <f>I1225</f>
        <v>Automoteurs 1000-1499 tonnes Batterie</v>
      </c>
    </row>
    <row r="1226" spans="1:11" s="25" customFormat="1" outlineLevel="1" x14ac:dyDescent="0.25">
      <c r="A1226" t="s">
        <v>1769</v>
      </c>
      <c r="B1226" s="25" t="s">
        <v>114</v>
      </c>
      <c r="C1226" s="25" t="s">
        <v>136</v>
      </c>
      <c r="E1226" s="25" t="str">
        <f t="shared" ref="E1226" si="1364">_xlfn.CONCAT("FretFluv",LEFT(B1226,3),RIGHT(B1225,2),"Type")</f>
        <v>FretFluvCat26Type</v>
      </c>
      <c r="F1226" s="25" t="s">
        <v>20</v>
      </c>
      <c r="G1226" s="25" cm="1">
        <f t="array" ref="G1226">IF((INDEX('Remplissage - Sit. Init.'!$C$473:$I$1088,MATCH((B1226)&amp;('Remplissage - Sit. Init.'!$D$483),('Remplissage - Sit. Init.'!$C$473:$C$1088)&amp;('Remplissage - Sit. Init.'!$D$473:$D$1088),0),7))&gt;0,0,1)</f>
        <v>1</v>
      </c>
      <c r="H1226" s="28"/>
      <c r="I1226" s="27" t="str">
        <f>VLOOKUP(B1226,'Parcs types'!$B$65:$AA$120,3,FALSE)</f>
        <v>Automoteurs</v>
      </c>
      <c r="K1226" s="25" t="str">
        <f t="shared" ref="K1226:K1228" si="1365">I1226</f>
        <v>Automoteurs</v>
      </c>
    </row>
    <row r="1227" spans="1:11" s="25" customFormat="1" outlineLevel="1" x14ac:dyDescent="0.25">
      <c r="A1227" t="s">
        <v>1769</v>
      </c>
      <c r="B1227" s="25" t="s">
        <v>114</v>
      </c>
      <c r="C1227" s="26" t="s">
        <v>137</v>
      </c>
      <c r="E1227" s="25" t="str">
        <f t="shared" ref="E1227" si="1366">_xlfn.CONCAT("FretFluv",LEFT(B1227,3),RIGHT(B1225,2),"Cap")</f>
        <v>FretFluvCat26Cap</v>
      </c>
      <c r="F1227" s="26" t="s">
        <v>36</v>
      </c>
      <c r="G1227" s="25" cm="1">
        <f t="array" ref="G1227">IF((INDEX('Remplissage - Sit. Init.'!$C$473:$I$1088,MATCH((B1227)&amp;('Remplissage - Sit. Init.'!$D$483),('Remplissage - Sit. Init.'!$C$473:$C$1088)&amp;('Remplissage - Sit. Init.'!$D$473:$D$1088),0),7))&gt;0,0,1)</f>
        <v>1</v>
      </c>
      <c r="H1227" s="28"/>
      <c r="I1227" s="27" t="str">
        <f>VLOOKUP(B1227,'Parcs types'!$B$65:$AA$120,4,FALSE)</f>
        <v>1000-1499 tonnes</v>
      </c>
      <c r="J1227" s="25" t="s">
        <v>524</v>
      </c>
      <c r="K1227" s="25" t="str">
        <f t="shared" si="1365"/>
        <v>1000-1499 tonnes</v>
      </c>
    </row>
    <row r="1228" spans="1:11" s="25" customFormat="1" outlineLevel="1" x14ac:dyDescent="0.25">
      <c r="A1228" t="s">
        <v>1769</v>
      </c>
      <c r="B1228" s="25" t="s">
        <v>114</v>
      </c>
      <c r="C1228" s="26" t="s">
        <v>525</v>
      </c>
      <c r="E1228" s="25" t="str">
        <f t="shared" ref="E1228" si="1367">_xlfn.CONCAT("FretFluv",LEFT(B1228,3),RIGHT(B1225,2),"Tech")</f>
        <v>FretFluvCat26Tech</v>
      </c>
      <c r="F1228" s="26" t="s">
        <v>20</v>
      </c>
      <c r="G1228" s="25" cm="1">
        <f t="array" ref="G1228">IF((INDEX('Remplissage - Sit. Init.'!$C$473:$I$1088,MATCH((B1228)&amp;('Remplissage - Sit. Init.'!$D$483),('Remplissage - Sit. Init.'!$C$473:$C$1088)&amp;('Remplissage - Sit. Init.'!$D$473:$D$1088),0),7))&gt;0,0,1)</f>
        <v>1</v>
      </c>
      <c r="H1228" s="28"/>
      <c r="I1228" s="27" t="str">
        <f>VLOOKUP(B1228,'Parcs types'!$B$65:$AA$120,5,FALSE)</f>
        <v>Batterie</v>
      </c>
      <c r="K1228" s="25" t="str">
        <f t="shared" si="1365"/>
        <v>Batterie</v>
      </c>
    </row>
    <row r="1229" spans="1:11" s="25" customFormat="1" outlineLevel="1" x14ac:dyDescent="0.25">
      <c r="A1229" t="s">
        <v>1769</v>
      </c>
      <c r="B1229" s="25" t="s">
        <v>114</v>
      </c>
      <c r="C1229" s="25" t="s">
        <v>140</v>
      </c>
      <c r="E1229" s="25" t="str">
        <f t="shared" ref="E1229" si="1368">_xlfn.CONCAT("FretFluv",LEFT(B1229,3),RIGHT(B1225,2),"Request")</f>
        <v>FretFluvCat26Request</v>
      </c>
      <c r="F1229" s="26" t="s">
        <v>20</v>
      </c>
      <c r="G1229" s="25" cm="1">
        <f t="array" ref="G1229">IF((INDEX('Remplissage - Sit. Init.'!$C$473:$I$1088,MATCH((B1229)&amp;('Remplissage - Sit. Init.'!$D$483),('Remplissage - Sit. Init.'!$C$473:$C$1088)&amp;('Remplissage - Sit. Init.'!$D$473:$D$1088),0),7))&gt;0,0,1)</f>
        <v>1</v>
      </c>
      <c r="I1229" s="27" t="s">
        <v>142</v>
      </c>
      <c r="K1229" s="28"/>
    </row>
    <row r="1230" spans="1:11" s="25" customFormat="1" outlineLevel="1" x14ac:dyDescent="0.25">
      <c r="A1230" t="s">
        <v>1769</v>
      </c>
      <c r="B1230" s="25" t="s">
        <v>114</v>
      </c>
      <c r="C1230" s="25" t="s">
        <v>144</v>
      </c>
      <c r="E1230" s="25" t="str">
        <f t="shared" ref="E1230" si="1369">_xlfn.CONCAT("FretFluv",LEFT(B1230,3),RIGHT(B1225,2),"NbTraj")</f>
        <v>FretFluvCat26NbTraj</v>
      </c>
      <c r="F1230" s="25" t="s">
        <v>17</v>
      </c>
      <c r="G1230" s="25" cm="1">
        <f t="array" ref="G1230">IF((INDEX('Remplissage - Sit. Init.'!$C$473:$I$1088,MATCH((B1230)&amp;('Remplissage - Sit. Init.'!$D$483),('Remplissage - Sit. Init.'!$C$473:$C$1088)&amp;('Remplissage - Sit. Init.'!$D$473:$D$1088),0),7))&gt;0,0,1)</f>
        <v>1</v>
      </c>
      <c r="H1230" s="28"/>
      <c r="I1230" s="27"/>
      <c r="J1230" s="25" t="s">
        <v>145</v>
      </c>
      <c r="K1230" s="28"/>
    </row>
    <row r="1231" spans="1:11" s="25" customFormat="1" outlineLevel="1" x14ac:dyDescent="0.25">
      <c r="A1231" t="s">
        <v>1769</v>
      </c>
      <c r="B1231" s="25" t="s">
        <v>114</v>
      </c>
      <c r="C1231" s="25" t="s">
        <v>146</v>
      </c>
      <c r="E1231" s="25" t="str">
        <f t="shared" ref="E1231" si="1370">_xlfn.CONCAT("FretFluv",LEFT(B1231,3),RIGHT(B1225,2),"DistMoy")</f>
        <v>FretFluvCat26DistMoy</v>
      </c>
      <c r="F1231" s="25" t="s">
        <v>17</v>
      </c>
      <c r="G1231" s="25" cm="1">
        <f t="array" ref="G1231">IF((INDEX('Remplissage - Sit. Init.'!$C$473:$I$1088,MATCH((B1231)&amp;('Remplissage - Sit. Init.'!$D$483),('Remplissage - Sit. Init.'!$C$473:$C$1088)&amp;('Remplissage - Sit. Init.'!$D$473:$D$1088),0),7))&gt;0,0,1)</f>
        <v>1</v>
      </c>
      <c r="H1231" s="28"/>
      <c r="I1231" s="27"/>
      <c r="J1231" s="25" t="s">
        <v>88</v>
      </c>
      <c r="K1231" s="28"/>
    </row>
    <row r="1232" spans="1:11" s="25" customFormat="1" outlineLevel="1" x14ac:dyDescent="0.25">
      <c r="A1232" t="s">
        <v>1769</v>
      </c>
      <c r="B1232" s="25" t="s">
        <v>114</v>
      </c>
      <c r="C1232" s="25" t="s">
        <v>147</v>
      </c>
      <c r="E1232" s="25" t="str">
        <f t="shared" ref="E1232" si="1371">_xlfn.CONCAT("FretFluv",LEFT(B1232,3),RIGHT(B1225,2),"EmportMoy")</f>
        <v>FretFluvCat26EmportMoy</v>
      </c>
      <c r="F1232" s="25" t="s">
        <v>17</v>
      </c>
      <c r="G1232" s="25" cm="1">
        <f t="array" ref="G1232">IF((INDEX('Remplissage - Sit. Init.'!$C$473:$I$1088,MATCH((B1232)&amp;('Remplissage - Sit. Init.'!$D$483),('Remplissage - Sit. Init.'!$C$473:$C$1088)&amp;('Remplissage - Sit. Init.'!$D$473:$D$1088),0),7))&gt;0,0,1)</f>
        <v>1</v>
      </c>
      <c r="H1232" s="28"/>
      <c r="I1232" s="27"/>
      <c r="J1232" s="25" t="s">
        <v>148</v>
      </c>
      <c r="K1232" s="28"/>
    </row>
    <row r="1233" spans="1:11" s="25" customFormat="1" outlineLevel="1" x14ac:dyDescent="0.25">
      <c r="A1233" t="s">
        <v>1769</v>
      </c>
      <c r="B1233" s="25" t="s">
        <v>114</v>
      </c>
      <c r="C1233" s="25" t="s">
        <v>149</v>
      </c>
      <c r="E1233" s="25" t="str">
        <f t="shared" ref="E1233" si="1372">_xlfn.CONCAT("FretFluv",LEFT(B1233,3),RIGHT(B1225,2),"DistAn")</f>
        <v>FretFluvCat26DistAn</v>
      </c>
      <c r="F1233" s="25" t="s">
        <v>17</v>
      </c>
      <c r="G1233" s="25" cm="1">
        <f t="array" ref="G1233">IF((INDEX('Remplissage - Sit. Init.'!$C$473:$I$1088,MATCH((B1233)&amp;('Remplissage - Sit. Init.'!$D$483),('Remplissage - Sit. Init.'!$C$473:$C$1088)&amp;('Remplissage - Sit. Init.'!$D$473:$D$1088),0),7))&gt;0,0,1)</f>
        <v>1</v>
      </c>
      <c r="H1233" s="28"/>
      <c r="I1233" s="27"/>
      <c r="J1233" s="25" t="s">
        <v>88</v>
      </c>
      <c r="K1233" s="28"/>
    </row>
    <row r="1234" spans="1:11" s="25" customFormat="1" outlineLevel="1" x14ac:dyDescent="0.25">
      <c r="A1234" t="s">
        <v>1769</v>
      </c>
      <c r="B1234" s="25" t="s">
        <v>114</v>
      </c>
      <c r="C1234" s="25" t="s">
        <v>150</v>
      </c>
      <c r="E1234" s="25" t="str">
        <f t="shared" ref="E1234" si="1373">_xlfn.CONCAT("FretFluv",LEFT(B1234,3),RIGHT(B1225,2),"TauxChargeMoy")</f>
        <v>FretFluvCat26TauxChargeMoy</v>
      </c>
      <c r="F1234" s="25" t="s">
        <v>17</v>
      </c>
      <c r="G1234" s="25" cm="1">
        <f t="array" ref="G1234">IF((INDEX('Remplissage - Sit. Init.'!$C$473:$I$1088,MATCH((B1234)&amp;('Remplissage - Sit. Init.'!$D$483),('Remplissage - Sit. Init.'!$C$473:$C$1088)&amp;('Remplissage - Sit. Init.'!$D$473:$D$1088),0),7))&gt;0,0,1)</f>
        <v>1</v>
      </c>
      <c r="H1234" s="28"/>
      <c r="I1234" s="27"/>
      <c r="J1234" s="25" t="s">
        <v>70</v>
      </c>
      <c r="K1234" s="28"/>
    </row>
    <row r="1235" spans="1:11" s="25" customFormat="1" outlineLevel="1" x14ac:dyDescent="0.25">
      <c r="A1235" t="s">
        <v>1769</v>
      </c>
      <c r="B1235" s="25" t="s">
        <v>114</v>
      </c>
      <c r="C1235" s="26" t="s">
        <v>526</v>
      </c>
      <c r="E1235" s="25" t="str">
        <f t="shared" ref="E1235" si="1374">_xlfn.CONCAT("FretFluv",LEFT(B1235,3),RIGHT(B1225,2),"NbBarges")</f>
        <v>FretFluvCat26NbBarges</v>
      </c>
      <c r="F1235" s="25" t="s">
        <v>17</v>
      </c>
      <c r="G1235" s="25" cm="1">
        <f t="array" ref="G1235">IF((INDEX('Remplissage - Sit. Init.'!$C$473:$I$1088,MATCH((B1235)&amp;('Remplissage - Sit. Init.'!$D$483),('Remplissage - Sit. Init.'!$C$473:$C$1088)&amp;('Remplissage - Sit. Init.'!$D$473:$D$1088),0),7))&gt;0,0,1)</f>
        <v>1</v>
      </c>
      <c r="H1235" s="28"/>
      <c r="I1235" s="27"/>
      <c r="J1235" s="25" t="s">
        <v>151</v>
      </c>
      <c r="K1235" s="28"/>
    </row>
    <row r="1236" spans="1:11" s="25" customFormat="1" outlineLevel="1" x14ac:dyDescent="0.25">
      <c r="A1236" t="s">
        <v>1769</v>
      </c>
      <c r="B1236" s="25" t="s">
        <v>115</v>
      </c>
      <c r="C1236" s="25" t="s">
        <v>135</v>
      </c>
      <c r="E1236" s="25" t="str">
        <f t="shared" ref="E1236" si="1375">_xlfn.CONCAT("FretFluv",LEFT(B1236,3),RIGHT(B1236,2),"Nom")</f>
        <v>FretFluvCat27Nom</v>
      </c>
      <c r="F1236" s="26" t="s">
        <v>20</v>
      </c>
      <c r="G1236" s="25" cm="1">
        <f t="array" ref="G1236">IF((INDEX('Remplissage - Sit. Init.'!$C$473:$I$1088,MATCH((B1236)&amp;('Remplissage - Sit. Init.'!$D$483),('Remplissage - Sit. Init.'!$C$473:$C$1088)&amp;('Remplissage - Sit. Init.'!$D$473:$D$1088),0),7))&gt;0,0,1)</f>
        <v>1</v>
      </c>
      <c r="H1236" s="28"/>
      <c r="I1236" s="27" t="str">
        <f>VLOOKUP(B1236,'Parcs types'!$B$65:$AA$120,2,FALSE)</f>
        <v>Automoteurs 1000-1499 tonnes H2 , PAC</v>
      </c>
      <c r="K1236" s="25" t="str">
        <f>I1236</f>
        <v>Automoteurs 1000-1499 tonnes H2 , PAC</v>
      </c>
    </row>
    <row r="1237" spans="1:11" s="25" customFormat="1" outlineLevel="1" x14ac:dyDescent="0.25">
      <c r="A1237" t="s">
        <v>1769</v>
      </c>
      <c r="B1237" s="25" t="s">
        <v>115</v>
      </c>
      <c r="C1237" s="25" t="s">
        <v>136</v>
      </c>
      <c r="E1237" s="25" t="str">
        <f t="shared" ref="E1237" si="1376">_xlfn.CONCAT("FretFluv",LEFT(B1237,3),RIGHT(B1236,2),"Type")</f>
        <v>FretFluvCat27Type</v>
      </c>
      <c r="F1237" s="25" t="s">
        <v>20</v>
      </c>
      <c r="G1237" s="25" cm="1">
        <f t="array" ref="G1237">IF((INDEX('Remplissage - Sit. Init.'!$C$473:$I$1088,MATCH((B1237)&amp;('Remplissage - Sit. Init.'!$D$483),('Remplissage - Sit. Init.'!$C$473:$C$1088)&amp;('Remplissage - Sit. Init.'!$D$473:$D$1088),0),7))&gt;0,0,1)</f>
        <v>1</v>
      </c>
      <c r="H1237" s="28"/>
      <c r="I1237" s="27" t="str">
        <f>VLOOKUP(B1237,'Parcs types'!$B$65:$AA$120,3,FALSE)</f>
        <v>Automoteurs</v>
      </c>
      <c r="K1237" s="25" t="str">
        <f t="shared" ref="K1237:K1239" si="1377">I1237</f>
        <v>Automoteurs</v>
      </c>
    </row>
    <row r="1238" spans="1:11" s="25" customFormat="1" outlineLevel="1" x14ac:dyDescent="0.25">
      <c r="A1238" t="s">
        <v>1769</v>
      </c>
      <c r="B1238" s="25" t="s">
        <v>115</v>
      </c>
      <c r="C1238" s="26" t="s">
        <v>137</v>
      </c>
      <c r="E1238" s="25" t="str">
        <f t="shared" ref="E1238" si="1378">_xlfn.CONCAT("FretFluv",LEFT(B1238,3),RIGHT(B1236,2),"Cap")</f>
        <v>FretFluvCat27Cap</v>
      </c>
      <c r="F1238" s="26" t="s">
        <v>36</v>
      </c>
      <c r="G1238" s="25" cm="1">
        <f t="array" ref="G1238">IF((INDEX('Remplissage - Sit. Init.'!$C$473:$I$1088,MATCH((B1238)&amp;('Remplissage - Sit. Init.'!$D$483),('Remplissage - Sit. Init.'!$C$473:$C$1088)&amp;('Remplissage - Sit. Init.'!$D$473:$D$1088),0),7))&gt;0,0,1)</f>
        <v>1</v>
      </c>
      <c r="H1238" s="28"/>
      <c r="I1238" s="27" t="str">
        <f>VLOOKUP(B1238,'Parcs types'!$B$65:$AA$120,4,FALSE)</f>
        <v>1000-1499 tonnes</v>
      </c>
      <c r="J1238" s="25" t="s">
        <v>524</v>
      </c>
      <c r="K1238" s="25" t="str">
        <f t="shared" si="1377"/>
        <v>1000-1499 tonnes</v>
      </c>
    </row>
    <row r="1239" spans="1:11" s="25" customFormat="1" outlineLevel="1" x14ac:dyDescent="0.25">
      <c r="A1239" t="s">
        <v>1769</v>
      </c>
      <c r="B1239" s="25" t="s">
        <v>115</v>
      </c>
      <c r="C1239" s="26" t="s">
        <v>525</v>
      </c>
      <c r="E1239" s="25" t="str">
        <f t="shared" ref="E1239" si="1379">_xlfn.CONCAT("FretFluv",LEFT(B1239,3),RIGHT(B1236,2),"Tech")</f>
        <v>FretFluvCat27Tech</v>
      </c>
      <c r="F1239" s="26" t="s">
        <v>20</v>
      </c>
      <c r="G1239" s="25" cm="1">
        <f t="array" ref="G1239">IF((INDEX('Remplissage - Sit. Init.'!$C$473:$I$1088,MATCH((B1239)&amp;('Remplissage - Sit. Init.'!$D$483),('Remplissage - Sit. Init.'!$C$473:$C$1088)&amp;('Remplissage - Sit. Init.'!$D$473:$D$1088),0),7))&gt;0,0,1)</f>
        <v>1</v>
      </c>
      <c r="H1239" s="28"/>
      <c r="I1239" s="27" t="str">
        <f>VLOOKUP(B1239,'Parcs types'!$B$65:$AA$120,5,FALSE)</f>
        <v>H2 , PAC</v>
      </c>
      <c r="K1239" s="25" t="str">
        <f t="shared" si="1377"/>
        <v>H2 , PAC</v>
      </c>
    </row>
    <row r="1240" spans="1:11" s="25" customFormat="1" outlineLevel="1" x14ac:dyDescent="0.25">
      <c r="A1240" t="s">
        <v>1769</v>
      </c>
      <c r="B1240" s="25" t="s">
        <v>115</v>
      </c>
      <c r="C1240" s="25" t="s">
        <v>140</v>
      </c>
      <c r="E1240" s="25" t="str">
        <f t="shared" ref="E1240" si="1380">_xlfn.CONCAT("FretFluv",LEFT(B1240,3),RIGHT(B1236,2),"Request")</f>
        <v>FretFluvCat27Request</v>
      </c>
      <c r="F1240" s="26" t="s">
        <v>20</v>
      </c>
      <c r="G1240" s="25" cm="1">
        <f t="array" ref="G1240">IF((INDEX('Remplissage - Sit. Init.'!$C$473:$I$1088,MATCH((B1240)&amp;('Remplissage - Sit. Init.'!$D$483),('Remplissage - Sit. Init.'!$C$473:$C$1088)&amp;('Remplissage - Sit. Init.'!$D$473:$D$1088),0),7))&gt;0,0,1)</f>
        <v>1</v>
      </c>
      <c r="I1240" s="27" t="s">
        <v>142</v>
      </c>
      <c r="K1240" s="28"/>
    </row>
    <row r="1241" spans="1:11" s="25" customFormat="1" outlineLevel="1" x14ac:dyDescent="0.25">
      <c r="A1241" t="s">
        <v>1769</v>
      </c>
      <c r="B1241" s="25" t="s">
        <v>115</v>
      </c>
      <c r="C1241" s="25" t="s">
        <v>144</v>
      </c>
      <c r="E1241" s="25" t="str">
        <f t="shared" ref="E1241" si="1381">_xlfn.CONCAT("FretFluv",LEFT(B1241,3),RIGHT(B1236,2),"NbTraj")</f>
        <v>FretFluvCat27NbTraj</v>
      </c>
      <c r="F1241" s="25" t="s">
        <v>17</v>
      </c>
      <c r="G1241" s="25" cm="1">
        <f t="array" ref="G1241">IF((INDEX('Remplissage - Sit. Init.'!$C$473:$I$1088,MATCH((B1241)&amp;('Remplissage - Sit. Init.'!$D$483),('Remplissage - Sit. Init.'!$C$473:$C$1088)&amp;('Remplissage - Sit. Init.'!$D$473:$D$1088),0),7))&gt;0,0,1)</f>
        <v>1</v>
      </c>
      <c r="H1241" s="28"/>
      <c r="I1241" s="27"/>
      <c r="J1241" s="25" t="s">
        <v>145</v>
      </c>
      <c r="K1241" s="28"/>
    </row>
    <row r="1242" spans="1:11" s="25" customFormat="1" outlineLevel="1" x14ac:dyDescent="0.25">
      <c r="A1242" t="s">
        <v>1769</v>
      </c>
      <c r="B1242" s="25" t="s">
        <v>115</v>
      </c>
      <c r="C1242" s="25" t="s">
        <v>146</v>
      </c>
      <c r="E1242" s="25" t="str">
        <f t="shared" ref="E1242" si="1382">_xlfn.CONCAT("FretFluv",LEFT(B1242,3),RIGHT(B1236,2),"DistMoy")</f>
        <v>FretFluvCat27DistMoy</v>
      </c>
      <c r="F1242" s="25" t="s">
        <v>17</v>
      </c>
      <c r="G1242" s="25" cm="1">
        <f t="array" ref="G1242">IF((INDEX('Remplissage - Sit. Init.'!$C$473:$I$1088,MATCH((B1242)&amp;('Remplissage - Sit. Init.'!$D$483),('Remplissage - Sit. Init.'!$C$473:$C$1088)&amp;('Remplissage - Sit. Init.'!$D$473:$D$1088),0),7))&gt;0,0,1)</f>
        <v>1</v>
      </c>
      <c r="H1242" s="28"/>
      <c r="I1242" s="113"/>
      <c r="J1242" s="25" t="s">
        <v>88</v>
      </c>
      <c r="K1242" s="28"/>
    </row>
    <row r="1243" spans="1:11" s="25" customFormat="1" outlineLevel="1" x14ac:dyDescent="0.25">
      <c r="A1243" t="s">
        <v>1769</v>
      </c>
      <c r="B1243" s="25" t="s">
        <v>115</v>
      </c>
      <c r="C1243" s="25" t="s">
        <v>147</v>
      </c>
      <c r="E1243" s="25" t="str">
        <f t="shared" ref="E1243" si="1383">_xlfn.CONCAT("FretFluv",LEFT(B1243,3),RIGHT(B1236,2),"EmportMoy")</f>
        <v>FretFluvCat27EmportMoy</v>
      </c>
      <c r="F1243" s="25" t="s">
        <v>17</v>
      </c>
      <c r="G1243" s="25" cm="1">
        <f t="array" ref="G1243">IF((INDEX('Remplissage - Sit. Init.'!$C$473:$I$1088,MATCH((B1243)&amp;('Remplissage - Sit. Init.'!$D$483),('Remplissage - Sit. Init.'!$C$473:$C$1088)&amp;('Remplissage - Sit. Init.'!$D$473:$D$1088),0),7))&gt;0,0,1)</f>
        <v>1</v>
      </c>
      <c r="H1243" s="28"/>
      <c r="I1243" s="27"/>
      <c r="J1243" s="25" t="s">
        <v>148</v>
      </c>
      <c r="K1243" s="28"/>
    </row>
    <row r="1244" spans="1:11" s="25" customFormat="1" outlineLevel="1" x14ac:dyDescent="0.25">
      <c r="A1244" t="s">
        <v>1769</v>
      </c>
      <c r="B1244" s="25" t="s">
        <v>115</v>
      </c>
      <c r="C1244" s="25" t="s">
        <v>149</v>
      </c>
      <c r="E1244" s="25" t="str">
        <f t="shared" ref="E1244" si="1384">_xlfn.CONCAT("FretFluv",LEFT(B1244,3),RIGHT(B1236,2),"DistAn")</f>
        <v>FretFluvCat27DistAn</v>
      </c>
      <c r="F1244" s="25" t="s">
        <v>17</v>
      </c>
      <c r="G1244" s="25" cm="1">
        <f t="array" ref="G1244">IF((INDEX('Remplissage - Sit. Init.'!$C$473:$I$1088,MATCH((B1244)&amp;('Remplissage - Sit. Init.'!$D$483),('Remplissage - Sit. Init.'!$C$473:$C$1088)&amp;('Remplissage - Sit. Init.'!$D$473:$D$1088),0),7))&gt;0,0,1)</f>
        <v>1</v>
      </c>
      <c r="H1244" s="28"/>
      <c r="I1244" s="27"/>
      <c r="J1244" s="25" t="s">
        <v>88</v>
      </c>
    </row>
    <row r="1245" spans="1:11" s="25" customFormat="1" outlineLevel="1" x14ac:dyDescent="0.25">
      <c r="A1245" t="s">
        <v>1769</v>
      </c>
      <c r="B1245" s="25" t="s">
        <v>115</v>
      </c>
      <c r="C1245" s="25" t="s">
        <v>150</v>
      </c>
      <c r="E1245" s="25" t="str">
        <f t="shared" ref="E1245" si="1385">_xlfn.CONCAT("FretFluv",LEFT(B1245,3),RIGHT(B1236,2),"TauxChargeMoy")</f>
        <v>FretFluvCat27TauxChargeMoy</v>
      </c>
      <c r="F1245" s="25" t="s">
        <v>17</v>
      </c>
      <c r="G1245" s="25" cm="1">
        <f t="array" ref="G1245">IF((INDEX('Remplissage - Sit. Init.'!$C$473:$I$1088,MATCH((B1245)&amp;('Remplissage - Sit. Init.'!$D$483),('Remplissage - Sit. Init.'!$C$473:$C$1088)&amp;('Remplissage - Sit. Init.'!$D$473:$D$1088),0),7))&gt;0,0,1)</f>
        <v>1</v>
      </c>
      <c r="H1245" s="28"/>
      <c r="I1245" s="27"/>
      <c r="J1245" s="25" t="s">
        <v>70</v>
      </c>
    </row>
    <row r="1246" spans="1:11" s="25" customFormat="1" outlineLevel="1" x14ac:dyDescent="0.25">
      <c r="A1246" t="s">
        <v>1769</v>
      </c>
      <c r="B1246" s="25" t="s">
        <v>115</v>
      </c>
      <c r="C1246" s="26" t="s">
        <v>526</v>
      </c>
      <c r="E1246" s="25" t="str">
        <f t="shared" ref="E1246" si="1386">_xlfn.CONCAT("FretFluv",LEFT(B1246,3),RIGHT(B1236,2),"NbBarges")</f>
        <v>FretFluvCat27NbBarges</v>
      </c>
      <c r="F1246" s="25" t="s">
        <v>17</v>
      </c>
      <c r="G1246" s="25" cm="1">
        <f t="array" ref="G1246">IF((INDEX('Remplissage - Sit. Init.'!$C$473:$I$1088,MATCH((B1246)&amp;('Remplissage - Sit. Init.'!$D$483),('Remplissage - Sit. Init.'!$C$473:$C$1088)&amp;('Remplissage - Sit. Init.'!$D$473:$D$1088),0),7))&gt;0,0,1)</f>
        <v>1</v>
      </c>
      <c r="H1246" s="28"/>
      <c r="I1246" s="27"/>
      <c r="J1246" s="25" t="s">
        <v>151</v>
      </c>
    </row>
    <row r="1247" spans="1:11" s="25" customFormat="1" outlineLevel="1" x14ac:dyDescent="0.25">
      <c r="A1247" t="s">
        <v>1769</v>
      </c>
      <c r="B1247" s="25" t="s">
        <v>116</v>
      </c>
      <c r="C1247" s="25" t="s">
        <v>135</v>
      </c>
      <c r="E1247" s="25" t="str">
        <f t="shared" ref="E1247" si="1387">_xlfn.CONCAT("FretFluv",LEFT(B1247,3),RIGHT(B1247,2),"Nom")</f>
        <v>FretFluvCat28Nom</v>
      </c>
      <c r="F1247" s="26" t="s">
        <v>20</v>
      </c>
      <c r="G1247" s="25" cm="1">
        <f t="array" ref="G1247">IF((INDEX('Remplissage - Sit. Init.'!$C$473:$I$1088,MATCH((B1247)&amp;('Remplissage - Sit. Init.'!$D$483),('Remplissage - Sit. Init.'!$C$473:$C$1088)&amp;('Remplissage - Sit. Init.'!$D$473:$D$1088),0),7))&gt;0,0,1)</f>
        <v>1</v>
      </c>
      <c r="H1247" s="28"/>
      <c r="I1247" s="27" t="str">
        <f>VLOOKUP(B1247,'Parcs types'!$B$65:$AA$120,2,FALSE)</f>
        <v>Automoteurs 1000-1499 tonnes H2 , ICE</v>
      </c>
      <c r="K1247" s="25" t="str">
        <f>I1247</f>
        <v>Automoteurs 1000-1499 tonnes H2 , ICE</v>
      </c>
    </row>
    <row r="1248" spans="1:11" s="25" customFormat="1" outlineLevel="1" x14ac:dyDescent="0.25">
      <c r="A1248" t="s">
        <v>1769</v>
      </c>
      <c r="B1248" s="25" t="s">
        <v>116</v>
      </c>
      <c r="C1248" s="25" t="s">
        <v>136</v>
      </c>
      <c r="E1248" s="25" t="str">
        <f t="shared" ref="E1248" si="1388">_xlfn.CONCAT("FretFluv",LEFT(B1248,3),RIGHT(B1247,2),"Type")</f>
        <v>FretFluvCat28Type</v>
      </c>
      <c r="F1248" s="25" t="s">
        <v>20</v>
      </c>
      <c r="G1248" s="25" cm="1">
        <f t="array" ref="G1248">IF((INDEX('Remplissage - Sit. Init.'!$C$473:$I$1088,MATCH((B1248)&amp;('Remplissage - Sit. Init.'!$D$483),('Remplissage - Sit. Init.'!$C$473:$C$1088)&amp;('Remplissage - Sit. Init.'!$D$473:$D$1088),0),7))&gt;0,0,1)</f>
        <v>1</v>
      </c>
      <c r="H1248" s="28"/>
      <c r="I1248" s="27" t="str">
        <f>VLOOKUP(B1248,'Parcs types'!$B$65:$AA$120,3,FALSE)</f>
        <v>Automoteurs</v>
      </c>
      <c r="K1248" s="25" t="str">
        <f t="shared" ref="K1248:K1250" si="1389">I1248</f>
        <v>Automoteurs</v>
      </c>
    </row>
    <row r="1249" spans="1:11" s="25" customFormat="1" outlineLevel="1" x14ac:dyDescent="0.25">
      <c r="A1249" t="s">
        <v>1769</v>
      </c>
      <c r="B1249" s="25" t="s">
        <v>116</v>
      </c>
      <c r="C1249" s="26" t="s">
        <v>137</v>
      </c>
      <c r="E1249" s="25" t="str">
        <f t="shared" ref="E1249" si="1390">_xlfn.CONCAT("FretFluv",LEFT(B1249,3),RIGHT(B1247,2),"Cap")</f>
        <v>FretFluvCat28Cap</v>
      </c>
      <c r="F1249" s="26" t="s">
        <v>36</v>
      </c>
      <c r="G1249" s="25" cm="1">
        <f t="array" ref="G1249">IF((INDEX('Remplissage - Sit. Init.'!$C$473:$I$1088,MATCH((B1249)&amp;('Remplissage - Sit. Init.'!$D$483),('Remplissage - Sit. Init.'!$C$473:$C$1088)&amp;('Remplissage - Sit. Init.'!$D$473:$D$1088),0),7))&gt;0,0,1)</f>
        <v>1</v>
      </c>
      <c r="H1249" s="28"/>
      <c r="I1249" s="27" t="str">
        <f>VLOOKUP(B1249,'Parcs types'!$B$65:$AA$120,4,FALSE)</f>
        <v>1000-1499 tonnes</v>
      </c>
      <c r="J1249" s="25" t="s">
        <v>524</v>
      </c>
      <c r="K1249" s="25" t="str">
        <f t="shared" si="1389"/>
        <v>1000-1499 tonnes</v>
      </c>
    </row>
    <row r="1250" spans="1:11" s="25" customFormat="1" outlineLevel="1" x14ac:dyDescent="0.25">
      <c r="A1250" t="s">
        <v>1769</v>
      </c>
      <c r="B1250" s="25" t="s">
        <v>116</v>
      </c>
      <c r="C1250" s="26" t="s">
        <v>525</v>
      </c>
      <c r="E1250" s="25" t="str">
        <f t="shared" ref="E1250" si="1391">_xlfn.CONCAT("FretFluv",LEFT(B1250,3),RIGHT(B1247,2),"Tech")</f>
        <v>FretFluvCat28Tech</v>
      </c>
      <c r="F1250" s="26" t="s">
        <v>20</v>
      </c>
      <c r="G1250" s="25" cm="1">
        <f t="array" ref="G1250">IF((INDEX('Remplissage - Sit. Init.'!$C$473:$I$1088,MATCH((B1250)&amp;('Remplissage - Sit. Init.'!$D$483),('Remplissage - Sit. Init.'!$C$473:$C$1088)&amp;('Remplissage - Sit. Init.'!$D$473:$D$1088),0),7))&gt;0,0,1)</f>
        <v>1</v>
      </c>
      <c r="H1250" s="28"/>
      <c r="I1250" s="27" t="str">
        <f>VLOOKUP(B1250,'Parcs types'!$B$65:$AA$120,5,FALSE)</f>
        <v>H2 , ICE</v>
      </c>
      <c r="K1250" s="25" t="str">
        <f t="shared" si="1389"/>
        <v>H2 , ICE</v>
      </c>
    </row>
    <row r="1251" spans="1:11" s="25" customFormat="1" outlineLevel="1" x14ac:dyDescent="0.25">
      <c r="A1251" t="s">
        <v>1769</v>
      </c>
      <c r="B1251" s="25" t="s">
        <v>116</v>
      </c>
      <c r="C1251" s="25" t="s">
        <v>140</v>
      </c>
      <c r="E1251" s="25" t="str">
        <f t="shared" ref="E1251" si="1392">_xlfn.CONCAT("FretFluv",LEFT(B1251,3),RIGHT(B1247,2),"Request")</f>
        <v>FretFluvCat28Request</v>
      </c>
      <c r="F1251" s="26" t="s">
        <v>20</v>
      </c>
      <c r="G1251" s="25" cm="1">
        <f t="array" ref="G1251">IF((INDEX('Remplissage - Sit. Init.'!$C$473:$I$1088,MATCH((B1251)&amp;('Remplissage - Sit. Init.'!$D$483),('Remplissage - Sit. Init.'!$C$473:$C$1088)&amp;('Remplissage - Sit. Init.'!$D$473:$D$1088),0),7))&gt;0,0,1)</f>
        <v>1</v>
      </c>
      <c r="I1251" s="27" t="s">
        <v>142</v>
      </c>
      <c r="K1251" s="28"/>
    </row>
    <row r="1252" spans="1:11" s="25" customFormat="1" outlineLevel="1" x14ac:dyDescent="0.25">
      <c r="A1252" t="s">
        <v>1769</v>
      </c>
      <c r="B1252" s="25" t="s">
        <v>116</v>
      </c>
      <c r="C1252" s="25" t="s">
        <v>144</v>
      </c>
      <c r="E1252" s="25" t="str">
        <f t="shared" ref="E1252" si="1393">_xlfn.CONCAT("FretFluv",LEFT(B1252,3),RIGHT(B1247,2),"NbTraj")</f>
        <v>FretFluvCat28NbTraj</v>
      </c>
      <c r="F1252" s="25" t="s">
        <v>17</v>
      </c>
      <c r="G1252" s="25" cm="1">
        <f t="array" ref="G1252">IF((INDEX('Remplissage - Sit. Init.'!$C$473:$I$1088,MATCH((B1252)&amp;('Remplissage - Sit. Init.'!$D$483),('Remplissage - Sit. Init.'!$C$473:$C$1088)&amp;('Remplissage - Sit. Init.'!$D$473:$D$1088),0),7))&gt;0,0,1)</f>
        <v>1</v>
      </c>
      <c r="H1252" s="28"/>
      <c r="I1252" s="27"/>
      <c r="J1252" s="25" t="s">
        <v>145</v>
      </c>
      <c r="K1252" s="28"/>
    </row>
    <row r="1253" spans="1:11" s="25" customFormat="1" outlineLevel="1" x14ac:dyDescent="0.25">
      <c r="A1253" t="s">
        <v>1769</v>
      </c>
      <c r="B1253" s="25" t="s">
        <v>116</v>
      </c>
      <c r="C1253" s="25" t="s">
        <v>146</v>
      </c>
      <c r="E1253" s="25" t="str">
        <f t="shared" ref="E1253" si="1394">_xlfn.CONCAT("FretFluv",LEFT(B1253,3),RIGHT(B1247,2),"DistMoy")</f>
        <v>FretFluvCat28DistMoy</v>
      </c>
      <c r="F1253" s="25" t="s">
        <v>17</v>
      </c>
      <c r="G1253" s="25" cm="1">
        <f t="array" ref="G1253">IF((INDEX('Remplissage - Sit. Init.'!$C$473:$I$1088,MATCH((B1253)&amp;('Remplissage - Sit. Init.'!$D$483),('Remplissage - Sit. Init.'!$C$473:$C$1088)&amp;('Remplissage - Sit. Init.'!$D$473:$D$1088),0),7))&gt;0,0,1)</f>
        <v>1</v>
      </c>
      <c r="H1253" s="28"/>
      <c r="I1253" s="27"/>
      <c r="J1253" s="25" t="s">
        <v>88</v>
      </c>
      <c r="K1253" s="28"/>
    </row>
    <row r="1254" spans="1:11" s="25" customFormat="1" outlineLevel="1" x14ac:dyDescent="0.25">
      <c r="A1254" t="s">
        <v>1769</v>
      </c>
      <c r="B1254" s="25" t="s">
        <v>116</v>
      </c>
      <c r="C1254" s="25" t="s">
        <v>147</v>
      </c>
      <c r="E1254" s="25" t="str">
        <f t="shared" ref="E1254" si="1395">_xlfn.CONCAT("FretFluv",LEFT(B1254,3),RIGHT(B1247,2),"EmportMoy")</f>
        <v>FretFluvCat28EmportMoy</v>
      </c>
      <c r="F1254" s="25" t="s">
        <v>17</v>
      </c>
      <c r="G1254" s="25" cm="1">
        <f t="array" ref="G1254">IF((INDEX('Remplissage - Sit. Init.'!$C$473:$I$1088,MATCH((B1254)&amp;('Remplissage - Sit. Init.'!$D$483),('Remplissage - Sit. Init.'!$C$473:$C$1088)&amp;('Remplissage - Sit. Init.'!$D$473:$D$1088),0),7))&gt;0,0,1)</f>
        <v>1</v>
      </c>
      <c r="H1254" s="28"/>
      <c r="I1254" s="27"/>
      <c r="J1254" s="25" t="s">
        <v>148</v>
      </c>
      <c r="K1254" s="28"/>
    </row>
    <row r="1255" spans="1:11" s="25" customFormat="1" outlineLevel="1" x14ac:dyDescent="0.25">
      <c r="A1255" t="s">
        <v>1769</v>
      </c>
      <c r="B1255" s="25" t="s">
        <v>116</v>
      </c>
      <c r="C1255" s="25" t="s">
        <v>149</v>
      </c>
      <c r="E1255" s="25" t="str">
        <f t="shared" ref="E1255" si="1396">_xlfn.CONCAT("FretFluv",LEFT(B1255,3),RIGHT(B1247,2),"DistAn")</f>
        <v>FretFluvCat28DistAn</v>
      </c>
      <c r="F1255" s="25" t="s">
        <v>17</v>
      </c>
      <c r="G1255" s="25" cm="1">
        <f t="array" ref="G1255">IF((INDEX('Remplissage - Sit. Init.'!$C$473:$I$1088,MATCH((B1255)&amp;('Remplissage - Sit. Init.'!$D$483),('Remplissage - Sit. Init.'!$C$473:$C$1088)&amp;('Remplissage - Sit. Init.'!$D$473:$D$1088),0),7))&gt;0,0,1)</f>
        <v>1</v>
      </c>
      <c r="H1255" s="28"/>
      <c r="I1255" s="27"/>
      <c r="J1255" s="25" t="s">
        <v>88</v>
      </c>
      <c r="K1255" s="28"/>
    </row>
    <row r="1256" spans="1:11" s="25" customFormat="1" outlineLevel="1" x14ac:dyDescent="0.25">
      <c r="A1256" t="s">
        <v>1769</v>
      </c>
      <c r="B1256" s="25" t="s">
        <v>116</v>
      </c>
      <c r="C1256" s="25" t="s">
        <v>150</v>
      </c>
      <c r="E1256" s="25" t="str">
        <f t="shared" ref="E1256" si="1397">_xlfn.CONCAT("FretFluv",LEFT(B1256,3),RIGHT(B1247,2),"TauxChargeMoy")</f>
        <v>FretFluvCat28TauxChargeMoy</v>
      </c>
      <c r="F1256" s="25" t="s">
        <v>17</v>
      </c>
      <c r="G1256" s="25" cm="1">
        <f t="array" ref="G1256">IF((INDEX('Remplissage - Sit. Init.'!$C$473:$I$1088,MATCH((B1256)&amp;('Remplissage - Sit. Init.'!$D$483),('Remplissage - Sit. Init.'!$C$473:$C$1088)&amp;('Remplissage - Sit. Init.'!$D$473:$D$1088),0),7))&gt;0,0,1)</f>
        <v>1</v>
      </c>
      <c r="H1256" s="28"/>
      <c r="I1256" s="27"/>
      <c r="J1256" s="25" t="s">
        <v>70</v>
      </c>
      <c r="K1256" s="28"/>
    </row>
    <row r="1257" spans="1:11" s="25" customFormat="1" outlineLevel="1" x14ac:dyDescent="0.25">
      <c r="A1257" t="s">
        <v>1769</v>
      </c>
      <c r="B1257" s="25" t="s">
        <v>116</v>
      </c>
      <c r="C1257" s="26" t="s">
        <v>526</v>
      </c>
      <c r="E1257" s="25" t="str">
        <f t="shared" ref="E1257" si="1398">_xlfn.CONCAT("FretFluv",LEFT(B1257,3),RIGHT(B1247,2),"NbBarges")</f>
        <v>FretFluvCat28NbBarges</v>
      </c>
      <c r="F1257" s="25" t="s">
        <v>17</v>
      </c>
      <c r="G1257" s="25" cm="1">
        <f t="array" ref="G1257">IF((INDEX('Remplissage - Sit. Init.'!$C$473:$I$1088,MATCH((B1257)&amp;('Remplissage - Sit. Init.'!$D$483),('Remplissage - Sit. Init.'!$C$473:$C$1088)&amp;('Remplissage - Sit. Init.'!$D$473:$D$1088),0),7))&gt;0,0,1)</f>
        <v>1</v>
      </c>
      <c r="H1257" s="28"/>
      <c r="I1257" s="27"/>
      <c r="J1257" s="25" t="s">
        <v>151</v>
      </c>
      <c r="K1257" s="28"/>
    </row>
    <row r="1258" spans="1:11" s="25" customFormat="1" outlineLevel="1" x14ac:dyDescent="0.25">
      <c r="A1258" t="s">
        <v>1769</v>
      </c>
      <c r="B1258" s="25" t="s">
        <v>117</v>
      </c>
      <c r="C1258" s="25" t="s">
        <v>135</v>
      </c>
      <c r="E1258" s="25" t="str">
        <f t="shared" ref="E1258" si="1399">_xlfn.CONCAT("FretFluv",LEFT(B1258,3),RIGHT(B1258,2),"Nom")</f>
        <v>FretFluvCat29Nom</v>
      </c>
      <c r="F1258" s="26" t="s">
        <v>20</v>
      </c>
      <c r="G1258" s="25" cm="1">
        <f t="array" ref="G1258">IF((INDEX('Remplissage - Sit. Init.'!$C$473:$I$1088,MATCH((B1258)&amp;('Remplissage - Sit. Init.'!$D$483),('Remplissage - Sit. Init.'!$C$473:$C$1088)&amp;('Remplissage - Sit. Init.'!$D$473:$D$1088),0),7))&gt;0,0,1)</f>
        <v>1</v>
      </c>
      <c r="H1258" s="28"/>
      <c r="I1258" s="27" t="str">
        <f>VLOOKUP(B1258,'Parcs types'!$B$65:$AA$120,2,FALSE)</f>
        <v>Automoteurs 1500-3000 tonnes CCNR 2 ou inférieur, diesel</v>
      </c>
      <c r="K1258" s="25" t="str">
        <f>I1258</f>
        <v>Automoteurs 1500-3000 tonnes CCNR 2 ou inférieur, diesel</v>
      </c>
    </row>
    <row r="1259" spans="1:11" s="25" customFormat="1" outlineLevel="1" x14ac:dyDescent="0.25">
      <c r="A1259" t="s">
        <v>1769</v>
      </c>
      <c r="B1259" s="25" t="s">
        <v>117</v>
      </c>
      <c r="C1259" s="25" t="s">
        <v>136</v>
      </c>
      <c r="E1259" s="25" t="str">
        <f t="shared" ref="E1259" si="1400">_xlfn.CONCAT("FretFluv",LEFT(B1259,3),RIGHT(B1258,2),"Type")</f>
        <v>FretFluvCat29Type</v>
      </c>
      <c r="F1259" s="25" t="s">
        <v>20</v>
      </c>
      <c r="G1259" s="25" cm="1">
        <f t="array" ref="G1259">IF((INDEX('Remplissage - Sit. Init.'!$C$473:$I$1088,MATCH((B1259)&amp;('Remplissage - Sit. Init.'!$D$483),('Remplissage - Sit. Init.'!$C$473:$C$1088)&amp;('Remplissage - Sit. Init.'!$D$473:$D$1088),0),7))&gt;0,0,1)</f>
        <v>1</v>
      </c>
      <c r="H1259" s="28"/>
      <c r="I1259" s="27" t="str">
        <f>VLOOKUP(B1259,'Parcs types'!$B$65:$AA$120,3,FALSE)</f>
        <v>Automoteurs</v>
      </c>
      <c r="K1259" s="25" t="str">
        <f t="shared" ref="K1259:K1261" si="1401">I1259</f>
        <v>Automoteurs</v>
      </c>
    </row>
    <row r="1260" spans="1:11" s="25" customFormat="1" outlineLevel="1" x14ac:dyDescent="0.25">
      <c r="A1260" t="s">
        <v>1769</v>
      </c>
      <c r="B1260" s="25" t="s">
        <v>117</v>
      </c>
      <c r="C1260" s="26" t="s">
        <v>137</v>
      </c>
      <c r="E1260" s="25" t="str">
        <f t="shared" ref="E1260" si="1402">_xlfn.CONCAT("FretFluv",LEFT(B1260,3),RIGHT(B1258,2),"Cap")</f>
        <v>FretFluvCat29Cap</v>
      </c>
      <c r="F1260" s="26" t="s">
        <v>36</v>
      </c>
      <c r="G1260" s="25" cm="1">
        <f t="array" ref="G1260">IF((INDEX('Remplissage - Sit. Init.'!$C$473:$I$1088,MATCH((B1260)&amp;('Remplissage - Sit. Init.'!$D$483),('Remplissage - Sit. Init.'!$C$473:$C$1088)&amp;('Remplissage - Sit. Init.'!$D$473:$D$1088),0),7))&gt;0,0,1)</f>
        <v>1</v>
      </c>
      <c r="H1260" s="28"/>
      <c r="I1260" s="27" t="str">
        <f>VLOOKUP(B1260,'Parcs types'!$B$65:$AA$120,4,FALSE)</f>
        <v>1500-3000 tonnes</v>
      </c>
      <c r="J1260" s="25" t="s">
        <v>524</v>
      </c>
      <c r="K1260" s="25" t="str">
        <f t="shared" si="1401"/>
        <v>1500-3000 tonnes</v>
      </c>
    </row>
    <row r="1261" spans="1:11" s="25" customFormat="1" outlineLevel="1" x14ac:dyDescent="0.25">
      <c r="A1261" t="s">
        <v>1769</v>
      </c>
      <c r="B1261" s="25" t="s">
        <v>117</v>
      </c>
      <c r="C1261" s="26" t="s">
        <v>525</v>
      </c>
      <c r="E1261" s="25" t="str">
        <f t="shared" ref="E1261" si="1403">_xlfn.CONCAT("FretFluv",LEFT(B1261,3),RIGHT(B1258,2),"Tech")</f>
        <v>FretFluvCat29Tech</v>
      </c>
      <c r="F1261" s="26" t="s">
        <v>20</v>
      </c>
      <c r="G1261" s="25" cm="1">
        <f t="array" ref="G1261">IF((INDEX('Remplissage - Sit. Init.'!$C$473:$I$1088,MATCH((B1261)&amp;('Remplissage - Sit. Init.'!$D$483),('Remplissage - Sit. Init.'!$C$473:$C$1088)&amp;('Remplissage - Sit. Init.'!$D$473:$D$1088),0),7))&gt;0,0,1)</f>
        <v>1</v>
      </c>
      <c r="H1261" s="28"/>
      <c r="I1261" s="27" t="str">
        <f>VLOOKUP(B1261,'Parcs types'!$B$65:$AA$120,5,FALSE)</f>
        <v>CCNR 2 ou inférieur, diesel</v>
      </c>
      <c r="K1261" s="25" t="str">
        <f t="shared" si="1401"/>
        <v>CCNR 2 ou inférieur, diesel</v>
      </c>
    </row>
    <row r="1262" spans="1:11" s="25" customFormat="1" outlineLevel="1" x14ac:dyDescent="0.25">
      <c r="A1262" t="s">
        <v>1769</v>
      </c>
      <c r="B1262" s="25" t="s">
        <v>117</v>
      </c>
      <c r="C1262" s="25" t="s">
        <v>140</v>
      </c>
      <c r="E1262" s="25" t="str">
        <f t="shared" ref="E1262" si="1404">_xlfn.CONCAT("FretFluv",LEFT(B1262,3),RIGHT(B1258,2),"Request")</f>
        <v>FretFluvCat29Request</v>
      </c>
      <c r="F1262" s="26" t="s">
        <v>20</v>
      </c>
      <c r="G1262" s="25" cm="1">
        <f t="array" ref="G1262">IF((INDEX('Remplissage - Sit. Init.'!$C$473:$I$1088,MATCH((B1262)&amp;('Remplissage - Sit. Init.'!$D$483),('Remplissage - Sit. Init.'!$C$473:$C$1088)&amp;('Remplissage - Sit. Init.'!$D$473:$D$1088),0),7))&gt;0,0,1)</f>
        <v>1</v>
      </c>
      <c r="I1262" s="27" t="s">
        <v>142</v>
      </c>
      <c r="K1262" s="28"/>
    </row>
    <row r="1263" spans="1:11" s="25" customFormat="1" outlineLevel="1" x14ac:dyDescent="0.25">
      <c r="A1263" t="s">
        <v>1769</v>
      </c>
      <c r="B1263" s="25" t="s">
        <v>117</v>
      </c>
      <c r="C1263" s="25" t="s">
        <v>144</v>
      </c>
      <c r="E1263" s="25" t="str">
        <f t="shared" ref="E1263" si="1405">_xlfn.CONCAT("FretFluv",LEFT(B1263,3),RIGHT(B1258,2),"NbTraj")</f>
        <v>FretFluvCat29NbTraj</v>
      </c>
      <c r="F1263" s="25" t="s">
        <v>17</v>
      </c>
      <c r="G1263" s="25" cm="1">
        <f t="array" ref="G1263">IF((INDEX('Remplissage - Sit. Init.'!$C$473:$I$1088,MATCH((B1263)&amp;('Remplissage - Sit. Init.'!$D$483),('Remplissage - Sit. Init.'!$C$473:$C$1088)&amp;('Remplissage - Sit. Init.'!$D$473:$D$1088),0),7))&gt;0,0,1)</f>
        <v>1</v>
      </c>
      <c r="H1263" s="28"/>
      <c r="I1263" s="27"/>
      <c r="J1263" s="25" t="s">
        <v>145</v>
      </c>
      <c r="K1263" s="28"/>
    </row>
    <row r="1264" spans="1:11" s="25" customFormat="1" outlineLevel="1" x14ac:dyDescent="0.25">
      <c r="A1264" t="s">
        <v>1769</v>
      </c>
      <c r="B1264" s="25" t="s">
        <v>117</v>
      </c>
      <c r="C1264" s="25" t="s">
        <v>146</v>
      </c>
      <c r="E1264" s="25" t="str">
        <f t="shared" ref="E1264" si="1406">_xlfn.CONCAT("FretFluv",LEFT(B1264,3),RIGHT(B1258,2),"DistMoy")</f>
        <v>FretFluvCat29DistMoy</v>
      </c>
      <c r="F1264" s="25" t="s">
        <v>17</v>
      </c>
      <c r="G1264" s="25" cm="1">
        <f t="array" ref="G1264">IF((INDEX('Remplissage - Sit. Init.'!$C$473:$I$1088,MATCH((B1264)&amp;('Remplissage - Sit. Init.'!$D$483),('Remplissage - Sit. Init.'!$C$473:$C$1088)&amp;('Remplissage - Sit. Init.'!$D$473:$D$1088),0),7))&gt;0,0,1)</f>
        <v>1</v>
      </c>
      <c r="H1264" s="28"/>
      <c r="I1264" s="27"/>
      <c r="J1264" s="25" t="s">
        <v>88</v>
      </c>
      <c r="K1264" s="28"/>
    </row>
    <row r="1265" spans="1:11" s="25" customFormat="1" outlineLevel="1" x14ac:dyDescent="0.25">
      <c r="A1265" t="s">
        <v>1769</v>
      </c>
      <c r="B1265" s="25" t="s">
        <v>117</v>
      </c>
      <c r="C1265" s="25" t="s">
        <v>147</v>
      </c>
      <c r="E1265" s="25" t="str">
        <f t="shared" ref="E1265" si="1407">_xlfn.CONCAT("FretFluv",LEFT(B1265,3),RIGHT(B1258,2),"EmportMoy")</f>
        <v>FretFluvCat29EmportMoy</v>
      </c>
      <c r="F1265" s="25" t="s">
        <v>17</v>
      </c>
      <c r="G1265" s="25" cm="1">
        <f t="array" ref="G1265">IF((INDEX('Remplissage - Sit. Init.'!$C$473:$I$1088,MATCH((B1265)&amp;('Remplissage - Sit. Init.'!$D$483),('Remplissage - Sit. Init.'!$C$473:$C$1088)&amp;('Remplissage - Sit. Init.'!$D$473:$D$1088),0),7))&gt;0,0,1)</f>
        <v>1</v>
      </c>
      <c r="H1265" s="28"/>
      <c r="I1265" s="27"/>
      <c r="J1265" s="25" t="s">
        <v>148</v>
      </c>
      <c r="K1265" s="28"/>
    </row>
    <row r="1266" spans="1:11" s="25" customFormat="1" outlineLevel="1" x14ac:dyDescent="0.25">
      <c r="A1266" t="s">
        <v>1769</v>
      </c>
      <c r="B1266" s="25" t="s">
        <v>117</v>
      </c>
      <c r="C1266" s="25" t="s">
        <v>149</v>
      </c>
      <c r="E1266" s="25" t="str">
        <f t="shared" ref="E1266" si="1408">_xlfn.CONCAT("FretFluv",LEFT(B1266,3),RIGHT(B1258,2),"DistAn")</f>
        <v>FretFluvCat29DistAn</v>
      </c>
      <c r="F1266" s="25" t="s">
        <v>17</v>
      </c>
      <c r="G1266" s="25" cm="1">
        <f t="array" ref="G1266">IF((INDEX('Remplissage - Sit. Init.'!$C$473:$I$1088,MATCH((B1266)&amp;('Remplissage - Sit. Init.'!$D$483),('Remplissage - Sit. Init.'!$C$473:$C$1088)&amp;('Remplissage - Sit. Init.'!$D$473:$D$1088),0),7))&gt;0,0,1)</f>
        <v>1</v>
      </c>
      <c r="H1266" s="28"/>
      <c r="I1266" s="27"/>
      <c r="J1266" s="25" t="s">
        <v>88</v>
      </c>
    </row>
    <row r="1267" spans="1:11" s="25" customFormat="1" outlineLevel="1" x14ac:dyDescent="0.25">
      <c r="A1267" t="s">
        <v>1769</v>
      </c>
      <c r="B1267" s="25" t="s">
        <v>117</v>
      </c>
      <c r="C1267" s="25" t="s">
        <v>150</v>
      </c>
      <c r="E1267" s="25" t="str">
        <f t="shared" ref="E1267" si="1409">_xlfn.CONCAT("FretFluv",LEFT(B1267,3),RIGHT(B1258,2),"TauxChargeMoy")</f>
        <v>FretFluvCat29TauxChargeMoy</v>
      </c>
      <c r="F1267" s="25" t="s">
        <v>17</v>
      </c>
      <c r="G1267" s="25" cm="1">
        <f t="array" ref="G1267">IF((INDEX('Remplissage - Sit. Init.'!$C$473:$I$1088,MATCH((B1267)&amp;('Remplissage - Sit. Init.'!$D$483),('Remplissage - Sit. Init.'!$C$473:$C$1088)&amp;('Remplissage - Sit. Init.'!$D$473:$D$1088),0),7))&gt;0,0,1)</f>
        <v>1</v>
      </c>
      <c r="H1267" s="28"/>
      <c r="I1267" s="27"/>
      <c r="J1267" s="25" t="s">
        <v>70</v>
      </c>
    </row>
    <row r="1268" spans="1:11" s="25" customFormat="1" outlineLevel="1" x14ac:dyDescent="0.25">
      <c r="A1268" t="s">
        <v>1769</v>
      </c>
      <c r="B1268" s="25" t="s">
        <v>117</v>
      </c>
      <c r="C1268" s="26" t="s">
        <v>526</v>
      </c>
      <c r="E1268" s="25" t="str">
        <f t="shared" ref="E1268" si="1410">_xlfn.CONCAT("FretFluv",LEFT(B1268,3),RIGHT(B1258,2),"NbBarges")</f>
        <v>FretFluvCat29NbBarges</v>
      </c>
      <c r="F1268" s="25" t="s">
        <v>17</v>
      </c>
      <c r="G1268" s="25" cm="1">
        <f t="array" ref="G1268">IF((INDEX('Remplissage - Sit. Init.'!$C$473:$I$1088,MATCH((B1268)&amp;('Remplissage - Sit. Init.'!$D$483),('Remplissage - Sit. Init.'!$C$473:$C$1088)&amp;('Remplissage - Sit. Init.'!$D$473:$D$1088),0),7))&gt;0,0,1)</f>
        <v>1</v>
      </c>
      <c r="H1268" s="28"/>
      <c r="I1268" s="27"/>
      <c r="J1268" s="25" t="s">
        <v>151</v>
      </c>
    </row>
    <row r="1269" spans="1:11" s="25" customFormat="1" outlineLevel="1" x14ac:dyDescent="0.25">
      <c r="A1269" t="s">
        <v>1769</v>
      </c>
      <c r="B1269" s="25" t="s">
        <v>118</v>
      </c>
      <c r="C1269" s="25" t="s">
        <v>135</v>
      </c>
      <c r="E1269" s="25" t="str">
        <f t="shared" ref="E1269" si="1411">_xlfn.CONCAT("FretFluv",LEFT(B1269,3),RIGHT(B1269,2),"Nom")</f>
        <v>FretFluvCat30Nom</v>
      </c>
      <c r="F1269" s="26" t="s">
        <v>20</v>
      </c>
      <c r="G1269" s="25" cm="1">
        <f t="array" ref="G1269">IF((INDEX('Remplissage - Sit. Init.'!$C$473:$I$1088,MATCH((B1269)&amp;('Remplissage - Sit. Init.'!$D$483),('Remplissage - Sit. Init.'!$C$473:$C$1088)&amp;('Remplissage - Sit. Init.'!$D$473:$D$1088),0),7))&gt;0,0,1)</f>
        <v>1</v>
      </c>
      <c r="H1269" s="28"/>
      <c r="I1269" s="27" t="str">
        <f>VLOOKUP(B1269,'Parcs types'!$B$65:$AA$120,2,FALSE)</f>
        <v>Automoteurs 1500-3000 tonnes CCNR 2 + SCR, diesel</v>
      </c>
      <c r="K1269" s="25" t="str">
        <f>I1269</f>
        <v>Automoteurs 1500-3000 tonnes CCNR 2 + SCR, diesel</v>
      </c>
    </row>
    <row r="1270" spans="1:11" s="25" customFormat="1" outlineLevel="1" x14ac:dyDescent="0.25">
      <c r="A1270" t="s">
        <v>1769</v>
      </c>
      <c r="B1270" s="25" t="s">
        <v>118</v>
      </c>
      <c r="C1270" s="25" t="s">
        <v>136</v>
      </c>
      <c r="E1270" s="25" t="str">
        <f t="shared" ref="E1270" si="1412">_xlfn.CONCAT("FretFluv",LEFT(B1270,3),RIGHT(B1269,2),"Type")</f>
        <v>FretFluvCat30Type</v>
      </c>
      <c r="F1270" s="25" t="s">
        <v>20</v>
      </c>
      <c r="G1270" s="25" cm="1">
        <f t="array" ref="G1270">IF((INDEX('Remplissage - Sit. Init.'!$C$473:$I$1088,MATCH((B1270)&amp;('Remplissage - Sit. Init.'!$D$483),('Remplissage - Sit. Init.'!$C$473:$C$1088)&amp;('Remplissage - Sit. Init.'!$D$473:$D$1088),0),7))&gt;0,0,1)</f>
        <v>1</v>
      </c>
      <c r="H1270" s="28"/>
      <c r="I1270" s="27" t="str">
        <f>VLOOKUP(B1270,'Parcs types'!$B$65:$AA$120,3,FALSE)</f>
        <v>Automoteurs</v>
      </c>
      <c r="K1270" s="25" t="str">
        <f t="shared" ref="K1270:K1272" si="1413">I1270</f>
        <v>Automoteurs</v>
      </c>
    </row>
    <row r="1271" spans="1:11" s="25" customFormat="1" outlineLevel="1" x14ac:dyDescent="0.25">
      <c r="A1271" t="s">
        <v>1769</v>
      </c>
      <c r="B1271" s="25" t="s">
        <v>118</v>
      </c>
      <c r="C1271" s="26" t="s">
        <v>137</v>
      </c>
      <c r="E1271" s="25" t="str">
        <f t="shared" ref="E1271" si="1414">_xlfn.CONCAT("FretFluv",LEFT(B1271,3),RIGHT(B1269,2),"Cap")</f>
        <v>FretFluvCat30Cap</v>
      </c>
      <c r="F1271" s="26" t="s">
        <v>36</v>
      </c>
      <c r="G1271" s="25" cm="1">
        <f t="array" ref="G1271">IF((INDEX('Remplissage - Sit. Init.'!$C$473:$I$1088,MATCH((B1271)&amp;('Remplissage - Sit. Init.'!$D$483),('Remplissage - Sit. Init.'!$C$473:$C$1088)&amp;('Remplissage - Sit. Init.'!$D$473:$D$1088),0),7))&gt;0,0,1)</f>
        <v>1</v>
      </c>
      <c r="H1271" s="28"/>
      <c r="I1271" s="27" t="str">
        <f>VLOOKUP(B1271,'Parcs types'!$B$65:$AA$120,4,FALSE)</f>
        <v>1500-3000 tonnes</v>
      </c>
      <c r="J1271" s="25" t="s">
        <v>524</v>
      </c>
      <c r="K1271" s="25" t="str">
        <f t="shared" si="1413"/>
        <v>1500-3000 tonnes</v>
      </c>
    </row>
    <row r="1272" spans="1:11" s="25" customFormat="1" outlineLevel="1" x14ac:dyDescent="0.25">
      <c r="A1272" t="s">
        <v>1769</v>
      </c>
      <c r="B1272" s="25" t="s">
        <v>118</v>
      </c>
      <c r="C1272" s="26" t="s">
        <v>525</v>
      </c>
      <c r="E1272" s="25" t="str">
        <f t="shared" ref="E1272" si="1415">_xlfn.CONCAT("FretFluv",LEFT(B1272,3),RIGHT(B1269,2),"Tech")</f>
        <v>FretFluvCat30Tech</v>
      </c>
      <c r="F1272" s="26" t="s">
        <v>20</v>
      </c>
      <c r="G1272" s="25" cm="1">
        <f t="array" ref="G1272">IF((INDEX('Remplissage - Sit. Init.'!$C$473:$I$1088,MATCH((B1272)&amp;('Remplissage - Sit. Init.'!$D$483),('Remplissage - Sit. Init.'!$C$473:$C$1088)&amp;('Remplissage - Sit. Init.'!$D$473:$D$1088),0),7))&gt;0,0,1)</f>
        <v>1</v>
      </c>
      <c r="H1272" s="28"/>
      <c r="I1272" s="27" t="str">
        <f>VLOOKUP(B1272,'Parcs types'!$B$65:$AA$120,5,FALSE)</f>
        <v>CCNR 2 + SCR, diesel</v>
      </c>
      <c r="K1272" s="25" t="str">
        <f t="shared" si="1413"/>
        <v>CCNR 2 + SCR, diesel</v>
      </c>
    </row>
    <row r="1273" spans="1:11" s="25" customFormat="1" outlineLevel="1" x14ac:dyDescent="0.25">
      <c r="A1273" t="s">
        <v>1769</v>
      </c>
      <c r="B1273" s="25" t="s">
        <v>118</v>
      </c>
      <c r="C1273" s="25" t="s">
        <v>140</v>
      </c>
      <c r="E1273" s="25" t="str">
        <f t="shared" ref="E1273" si="1416">_xlfn.CONCAT("FretFluv",LEFT(B1273,3),RIGHT(B1269,2),"Request")</f>
        <v>FretFluvCat30Request</v>
      </c>
      <c r="F1273" s="26" t="s">
        <v>20</v>
      </c>
      <c r="G1273" s="25" cm="1">
        <f t="array" ref="G1273">IF((INDEX('Remplissage - Sit. Init.'!$C$473:$I$1088,MATCH((B1273)&amp;('Remplissage - Sit. Init.'!$D$483),('Remplissage - Sit. Init.'!$C$473:$C$1088)&amp;('Remplissage - Sit. Init.'!$D$473:$D$1088),0),7))&gt;0,0,1)</f>
        <v>1</v>
      </c>
      <c r="I1273" s="27" t="s">
        <v>142</v>
      </c>
      <c r="K1273" s="28"/>
    </row>
    <row r="1274" spans="1:11" s="25" customFormat="1" outlineLevel="1" x14ac:dyDescent="0.25">
      <c r="A1274" t="s">
        <v>1769</v>
      </c>
      <c r="B1274" s="25" t="s">
        <v>118</v>
      </c>
      <c r="C1274" s="25" t="s">
        <v>144</v>
      </c>
      <c r="E1274" s="25" t="str">
        <f t="shared" ref="E1274" si="1417">_xlfn.CONCAT("FretFluv",LEFT(B1274,3),RIGHT(B1269,2),"NbTraj")</f>
        <v>FretFluvCat30NbTraj</v>
      </c>
      <c r="F1274" s="25" t="s">
        <v>17</v>
      </c>
      <c r="G1274" s="25" cm="1">
        <f t="array" ref="G1274">IF((INDEX('Remplissage - Sit. Init.'!$C$473:$I$1088,MATCH((B1274)&amp;('Remplissage - Sit. Init.'!$D$483),('Remplissage - Sit. Init.'!$C$473:$C$1088)&amp;('Remplissage - Sit. Init.'!$D$473:$D$1088),0),7))&gt;0,0,1)</f>
        <v>1</v>
      </c>
      <c r="H1274" s="28"/>
      <c r="I1274" s="27"/>
      <c r="J1274" s="25" t="s">
        <v>145</v>
      </c>
      <c r="K1274" s="28"/>
    </row>
    <row r="1275" spans="1:11" s="25" customFormat="1" outlineLevel="1" x14ac:dyDescent="0.25">
      <c r="A1275" t="s">
        <v>1769</v>
      </c>
      <c r="B1275" s="25" t="s">
        <v>118</v>
      </c>
      <c r="C1275" s="25" t="s">
        <v>146</v>
      </c>
      <c r="E1275" s="25" t="str">
        <f t="shared" ref="E1275" si="1418">_xlfn.CONCAT("FretFluv",LEFT(B1275,3),RIGHT(B1269,2),"DistMoy")</f>
        <v>FretFluvCat30DistMoy</v>
      </c>
      <c r="F1275" s="25" t="s">
        <v>17</v>
      </c>
      <c r="G1275" s="25" cm="1">
        <f t="array" ref="G1275">IF((INDEX('Remplissage - Sit. Init.'!$C$473:$I$1088,MATCH((B1275)&amp;('Remplissage - Sit. Init.'!$D$483),('Remplissage - Sit. Init.'!$C$473:$C$1088)&amp;('Remplissage - Sit. Init.'!$D$473:$D$1088),0),7))&gt;0,0,1)</f>
        <v>1</v>
      </c>
      <c r="H1275" s="28"/>
      <c r="I1275" s="27"/>
      <c r="J1275" s="25" t="s">
        <v>88</v>
      </c>
      <c r="K1275" s="28"/>
    </row>
    <row r="1276" spans="1:11" s="25" customFormat="1" outlineLevel="1" x14ac:dyDescent="0.25">
      <c r="A1276" t="s">
        <v>1769</v>
      </c>
      <c r="B1276" s="25" t="s">
        <v>118</v>
      </c>
      <c r="C1276" s="25" t="s">
        <v>147</v>
      </c>
      <c r="E1276" s="25" t="str">
        <f t="shared" ref="E1276" si="1419">_xlfn.CONCAT("FretFluv",LEFT(B1276,3),RIGHT(B1269,2),"EmportMoy")</f>
        <v>FretFluvCat30EmportMoy</v>
      </c>
      <c r="F1276" s="25" t="s">
        <v>17</v>
      </c>
      <c r="G1276" s="25" cm="1">
        <f t="array" ref="G1276">IF((INDEX('Remplissage - Sit. Init.'!$C$473:$I$1088,MATCH((B1276)&amp;('Remplissage - Sit. Init.'!$D$483),('Remplissage - Sit. Init.'!$C$473:$C$1088)&amp;('Remplissage - Sit. Init.'!$D$473:$D$1088),0),7))&gt;0,0,1)</f>
        <v>1</v>
      </c>
      <c r="I1276" s="27"/>
      <c r="J1276" s="25" t="s">
        <v>148</v>
      </c>
    </row>
    <row r="1277" spans="1:11" s="25" customFormat="1" outlineLevel="1" x14ac:dyDescent="0.25">
      <c r="A1277" t="s">
        <v>1769</v>
      </c>
      <c r="B1277" s="25" t="s">
        <v>118</v>
      </c>
      <c r="C1277" s="25" t="s">
        <v>149</v>
      </c>
      <c r="E1277" s="25" t="str">
        <f t="shared" ref="E1277" si="1420">_xlfn.CONCAT("FretFluv",LEFT(B1277,3),RIGHT(B1269,2),"DistAn")</f>
        <v>FretFluvCat30DistAn</v>
      </c>
      <c r="F1277" s="25" t="s">
        <v>17</v>
      </c>
      <c r="G1277" s="25" cm="1">
        <f t="array" ref="G1277">IF((INDEX('Remplissage - Sit. Init.'!$C$473:$I$1088,MATCH((B1277)&amp;('Remplissage - Sit. Init.'!$D$483),('Remplissage - Sit. Init.'!$C$473:$C$1088)&amp;('Remplissage - Sit. Init.'!$D$473:$D$1088),0),7))&gt;0,0,1)</f>
        <v>1</v>
      </c>
      <c r="I1277" s="27"/>
      <c r="J1277" s="25" t="s">
        <v>88</v>
      </c>
    </row>
    <row r="1278" spans="1:11" s="25" customFormat="1" outlineLevel="1" x14ac:dyDescent="0.25">
      <c r="A1278" t="s">
        <v>1769</v>
      </c>
      <c r="B1278" s="25" t="s">
        <v>118</v>
      </c>
      <c r="C1278" s="25" t="s">
        <v>150</v>
      </c>
      <c r="E1278" s="25" t="str">
        <f t="shared" ref="E1278" si="1421">_xlfn.CONCAT("FretFluv",LEFT(B1278,3),RIGHT(B1269,2),"TauxChargeMoy")</f>
        <v>FretFluvCat30TauxChargeMoy</v>
      </c>
      <c r="F1278" s="25" t="s">
        <v>17</v>
      </c>
      <c r="G1278" s="25" cm="1">
        <f t="array" ref="G1278">IF((INDEX('Remplissage - Sit. Init.'!$C$473:$I$1088,MATCH((B1278)&amp;('Remplissage - Sit. Init.'!$D$483),('Remplissage - Sit. Init.'!$C$473:$C$1088)&amp;('Remplissage - Sit. Init.'!$D$473:$D$1088),0),7))&gt;0,0,1)</f>
        <v>1</v>
      </c>
      <c r="I1278" s="27"/>
      <c r="J1278" s="25" t="s">
        <v>70</v>
      </c>
    </row>
    <row r="1279" spans="1:11" s="25" customFormat="1" outlineLevel="1" x14ac:dyDescent="0.25">
      <c r="A1279" t="s">
        <v>1769</v>
      </c>
      <c r="B1279" s="25" t="s">
        <v>118</v>
      </c>
      <c r="C1279" s="26" t="s">
        <v>526</v>
      </c>
      <c r="E1279" s="25" t="str">
        <f t="shared" ref="E1279" si="1422">_xlfn.CONCAT("FretFluv",LEFT(B1279,3),RIGHT(B1269,2),"NbBarges")</f>
        <v>FretFluvCat30NbBarges</v>
      </c>
      <c r="F1279" s="25" t="s">
        <v>17</v>
      </c>
      <c r="G1279" s="25" cm="1">
        <f t="array" ref="G1279">IF((INDEX('Remplissage - Sit. Init.'!$C$473:$I$1088,MATCH((B1279)&amp;('Remplissage - Sit. Init.'!$D$483),('Remplissage - Sit. Init.'!$C$473:$C$1088)&amp;('Remplissage - Sit. Init.'!$D$473:$D$1088),0),7))&gt;0,0,1)</f>
        <v>1</v>
      </c>
      <c r="I1279" s="27"/>
      <c r="J1279" s="25" t="s">
        <v>151</v>
      </c>
    </row>
    <row r="1280" spans="1:11" s="25" customFormat="1" outlineLevel="1" x14ac:dyDescent="0.25">
      <c r="A1280" t="s">
        <v>1769</v>
      </c>
      <c r="B1280" s="25" t="s">
        <v>119</v>
      </c>
      <c r="C1280" s="25" t="s">
        <v>135</v>
      </c>
      <c r="E1280" s="25" t="str">
        <f t="shared" ref="E1280" si="1423">_xlfn.CONCAT("FretFluv",LEFT(B1280,3),RIGHT(B1280,2),"Nom")</f>
        <v>FretFluvCat31Nom</v>
      </c>
      <c r="F1280" s="26" t="s">
        <v>20</v>
      </c>
      <c r="G1280" s="25" cm="1">
        <f t="array" ref="G1280">IF((INDEX('Remplissage - Sit. Init.'!$C$473:$I$1088,MATCH((B1280)&amp;('Remplissage - Sit. Init.'!$D$483),('Remplissage - Sit. Init.'!$C$473:$C$1088)&amp;('Remplissage - Sit. Init.'!$D$473:$D$1088),0),7))&gt;0,0,1)</f>
        <v>1</v>
      </c>
      <c r="I1280" s="27" t="str">
        <f>VLOOKUP(B1280,'Parcs types'!$B$65:$AA$120,2,FALSE)</f>
        <v>Automoteurs 1500-3000 tonnes Phase V, diesel</v>
      </c>
      <c r="K1280" s="25" t="str">
        <f>I1280</f>
        <v>Automoteurs 1500-3000 tonnes Phase V, diesel</v>
      </c>
    </row>
    <row r="1281" spans="1:11" s="25" customFormat="1" outlineLevel="1" x14ac:dyDescent="0.25">
      <c r="A1281" t="s">
        <v>1769</v>
      </c>
      <c r="B1281" s="25" t="s">
        <v>119</v>
      </c>
      <c r="C1281" s="25" t="s">
        <v>136</v>
      </c>
      <c r="E1281" s="25" t="str">
        <f t="shared" ref="E1281" si="1424">_xlfn.CONCAT("FretFluv",LEFT(B1281,3),RIGHT(B1280,2),"Type")</f>
        <v>FretFluvCat31Type</v>
      </c>
      <c r="F1281" s="25" t="s">
        <v>20</v>
      </c>
      <c r="G1281" s="25" cm="1">
        <f t="array" ref="G1281">IF((INDEX('Remplissage - Sit. Init.'!$C$473:$I$1088,MATCH((B1281)&amp;('Remplissage - Sit. Init.'!$D$483),('Remplissage - Sit. Init.'!$C$473:$C$1088)&amp;('Remplissage - Sit. Init.'!$D$473:$D$1088),0),7))&gt;0,0,1)</f>
        <v>1</v>
      </c>
      <c r="I1281" s="27" t="str">
        <f>VLOOKUP(B1281,'Parcs types'!$B$65:$AA$120,3,FALSE)</f>
        <v>Automoteurs</v>
      </c>
      <c r="K1281" s="25" t="str">
        <f t="shared" ref="K1281:K1283" si="1425">I1281</f>
        <v>Automoteurs</v>
      </c>
    </row>
    <row r="1282" spans="1:11" s="25" customFormat="1" outlineLevel="1" x14ac:dyDescent="0.25">
      <c r="A1282" t="s">
        <v>1769</v>
      </c>
      <c r="B1282" s="25" t="s">
        <v>119</v>
      </c>
      <c r="C1282" s="26" t="s">
        <v>137</v>
      </c>
      <c r="E1282" s="25" t="str">
        <f t="shared" ref="E1282" si="1426">_xlfn.CONCAT("FretFluv",LEFT(B1282,3),RIGHT(B1280,2),"Cap")</f>
        <v>FretFluvCat31Cap</v>
      </c>
      <c r="F1282" s="26" t="s">
        <v>36</v>
      </c>
      <c r="G1282" s="25" cm="1">
        <f t="array" ref="G1282">IF((INDEX('Remplissage - Sit. Init.'!$C$473:$I$1088,MATCH((B1282)&amp;('Remplissage - Sit. Init.'!$D$483),('Remplissage - Sit. Init.'!$C$473:$C$1088)&amp;('Remplissage - Sit. Init.'!$D$473:$D$1088),0),7))&gt;0,0,1)</f>
        <v>1</v>
      </c>
      <c r="I1282" s="27" t="str">
        <f>VLOOKUP(B1282,'Parcs types'!$B$65:$AA$120,4,FALSE)</f>
        <v>1500-3000 tonnes</v>
      </c>
      <c r="J1282" s="25" t="s">
        <v>524</v>
      </c>
      <c r="K1282" s="25" t="str">
        <f t="shared" si="1425"/>
        <v>1500-3000 tonnes</v>
      </c>
    </row>
    <row r="1283" spans="1:11" s="25" customFormat="1" outlineLevel="1" x14ac:dyDescent="0.25">
      <c r="A1283" t="s">
        <v>1769</v>
      </c>
      <c r="B1283" s="25" t="s">
        <v>119</v>
      </c>
      <c r="C1283" s="26" t="s">
        <v>525</v>
      </c>
      <c r="E1283" s="25" t="str">
        <f t="shared" ref="E1283" si="1427">_xlfn.CONCAT("FretFluv",LEFT(B1283,3),RIGHT(B1280,2),"Tech")</f>
        <v>FretFluvCat31Tech</v>
      </c>
      <c r="F1283" s="26" t="s">
        <v>20</v>
      </c>
      <c r="G1283" s="25" cm="1">
        <f t="array" ref="G1283">IF((INDEX('Remplissage - Sit. Init.'!$C$473:$I$1088,MATCH((B1283)&amp;('Remplissage - Sit. Init.'!$D$483),('Remplissage - Sit. Init.'!$C$473:$C$1088)&amp;('Remplissage - Sit. Init.'!$D$473:$D$1088),0),7))&gt;0,0,1)</f>
        <v>1</v>
      </c>
      <c r="I1283" s="27" t="str">
        <f>VLOOKUP(B1283,'Parcs types'!$B$65:$AA$120,5,FALSE)</f>
        <v>Phase V, diesel</v>
      </c>
      <c r="K1283" s="25" t="str">
        <f t="shared" si="1425"/>
        <v>Phase V, diesel</v>
      </c>
    </row>
    <row r="1284" spans="1:11" s="25" customFormat="1" outlineLevel="1" x14ac:dyDescent="0.25">
      <c r="A1284" t="s">
        <v>1769</v>
      </c>
      <c r="B1284" s="25" t="s">
        <v>119</v>
      </c>
      <c r="C1284" s="25" t="s">
        <v>140</v>
      </c>
      <c r="E1284" s="25" t="str">
        <f t="shared" ref="E1284" si="1428">_xlfn.CONCAT("FretFluv",LEFT(B1284,3),RIGHT(B1280,2),"Request")</f>
        <v>FretFluvCat31Request</v>
      </c>
      <c r="F1284" s="26" t="s">
        <v>20</v>
      </c>
      <c r="G1284" s="25" cm="1">
        <f t="array" ref="G1284">IF((INDEX('Remplissage - Sit. Init.'!$C$473:$I$1088,MATCH((B1284)&amp;('Remplissage - Sit. Init.'!$D$483),('Remplissage - Sit. Init.'!$C$473:$C$1088)&amp;('Remplissage - Sit. Init.'!$D$473:$D$1088),0),7))&gt;0,0,1)</f>
        <v>1</v>
      </c>
      <c r="I1284" s="27" t="s">
        <v>142</v>
      </c>
      <c r="K1284" s="28"/>
    </row>
    <row r="1285" spans="1:11" s="25" customFormat="1" outlineLevel="1" x14ac:dyDescent="0.25">
      <c r="A1285" t="s">
        <v>1769</v>
      </c>
      <c r="B1285" s="25" t="s">
        <v>119</v>
      </c>
      <c r="C1285" s="25" t="s">
        <v>144</v>
      </c>
      <c r="E1285" s="25" t="str">
        <f t="shared" ref="E1285" si="1429">_xlfn.CONCAT("FretFluv",LEFT(B1285,3),RIGHT(B1280,2),"NbTraj")</f>
        <v>FretFluvCat31NbTraj</v>
      </c>
      <c r="F1285" s="25" t="s">
        <v>17</v>
      </c>
      <c r="G1285" s="25" cm="1">
        <f t="array" ref="G1285">IF((INDEX('Remplissage - Sit. Init.'!$C$473:$I$1088,MATCH((B1285)&amp;('Remplissage - Sit. Init.'!$D$483),('Remplissage - Sit. Init.'!$C$473:$C$1088)&amp;('Remplissage - Sit. Init.'!$D$473:$D$1088),0),7))&gt;0,0,1)</f>
        <v>1</v>
      </c>
      <c r="H1285" s="29"/>
      <c r="I1285" s="27"/>
      <c r="J1285" s="25" t="s">
        <v>145</v>
      </c>
      <c r="K1285" s="28"/>
    </row>
    <row r="1286" spans="1:11" s="25" customFormat="1" outlineLevel="1" x14ac:dyDescent="0.25">
      <c r="A1286" t="s">
        <v>1769</v>
      </c>
      <c r="B1286" s="25" t="s">
        <v>119</v>
      </c>
      <c r="C1286" s="25" t="s">
        <v>146</v>
      </c>
      <c r="E1286" s="25" t="str">
        <f t="shared" ref="E1286" si="1430">_xlfn.CONCAT("FretFluv",LEFT(B1286,3),RIGHT(B1280,2),"DistMoy")</f>
        <v>FretFluvCat31DistMoy</v>
      </c>
      <c r="F1286" s="25" t="s">
        <v>17</v>
      </c>
      <c r="G1286" s="25" cm="1">
        <f t="array" ref="G1286">IF((INDEX('Remplissage - Sit. Init.'!$C$473:$I$1088,MATCH((B1286)&amp;('Remplissage - Sit. Init.'!$D$483),('Remplissage - Sit. Init.'!$C$473:$C$1088)&amp;('Remplissage - Sit. Init.'!$D$473:$D$1088),0),7))&gt;0,0,1)</f>
        <v>1</v>
      </c>
      <c r="H1286" s="28"/>
      <c r="I1286" s="27"/>
      <c r="J1286" s="25" t="s">
        <v>88</v>
      </c>
      <c r="K1286" s="28"/>
    </row>
    <row r="1287" spans="1:11" s="25" customFormat="1" outlineLevel="1" x14ac:dyDescent="0.25">
      <c r="A1287" t="s">
        <v>1769</v>
      </c>
      <c r="B1287" s="25" t="s">
        <v>119</v>
      </c>
      <c r="C1287" s="25" t="s">
        <v>147</v>
      </c>
      <c r="E1287" s="25" t="str">
        <f t="shared" ref="E1287" si="1431">_xlfn.CONCAT("FretFluv",LEFT(B1287,3),RIGHT(B1280,2),"EmportMoy")</f>
        <v>FretFluvCat31EmportMoy</v>
      </c>
      <c r="F1287" s="25" t="s">
        <v>17</v>
      </c>
      <c r="G1287" s="25" cm="1">
        <f t="array" ref="G1287">IF((INDEX('Remplissage - Sit. Init.'!$C$473:$I$1088,MATCH((B1287)&amp;('Remplissage - Sit. Init.'!$D$483),('Remplissage - Sit. Init.'!$C$473:$C$1088)&amp;('Remplissage - Sit. Init.'!$D$473:$D$1088),0),7))&gt;0,0,1)</f>
        <v>1</v>
      </c>
      <c r="I1287" s="27"/>
      <c r="J1287" s="25" t="s">
        <v>148</v>
      </c>
      <c r="K1287" s="28"/>
    </row>
    <row r="1288" spans="1:11" s="25" customFormat="1" outlineLevel="1" x14ac:dyDescent="0.25">
      <c r="A1288" t="s">
        <v>1769</v>
      </c>
      <c r="B1288" s="25" t="s">
        <v>119</v>
      </c>
      <c r="C1288" s="25" t="s">
        <v>149</v>
      </c>
      <c r="E1288" s="25" t="str">
        <f t="shared" ref="E1288" si="1432">_xlfn.CONCAT("FretFluv",LEFT(B1288,3),RIGHT(B1280,2),"DistAn")</f>
        <v>FretFluvCat31DistAn</v>
      </c>
      <c r="F1288" s="25" t="s">
        <v>17</v>
      </c>
      <c r="G1288" s="25" cm="1">
        <f t="array" ref="G1288">IF((INDEX('Remplissage - Sit. Init.'!$C$473:$I$1088,MATCH((B1288)&amp;('Remplissage - Sit. Init.'!$D$483),('Remplissage - Sit. Init.'!$C$473:$C$1088)&amp;('Remplissage - Sit. Init.'!$D$473:$D$1088),0),7))&gt;0,0,1)</f>
        <v>1</v>
      </c>
      <c r="I1288" s="27"/>
      <c r="J1288" s="25" t="s">
        <v>88</v>
      </c>
    </row>
    <row r="1289" spans="1:11" s="25" customFormat="1" outlineLevel="1" x14ac:dyDescent="0.25">
      <c r="A1289" t="s">
        <v>1769</v>
      </c>
      <c r="B1289" s="25" t="s">
        <v>119</v>
      </c>
      <c r="C1289" s="25" t="s">
        <v>150</v>
      </c>
      <c r="E1289" s="25" t="str">
        <f t="shared" ref="E1289" si="1433">_xlfn.CONCAT("FretFluv",LEFT(B1289,3),RIGHT(B1280,2),"TauxChargeMoy")</f>
        <v>FretFluvCat31TauxChargeMoy</v>
      </c>
      <c r="F1289" s="25" t="s">
        <v>17</v>
      </c>
      <c r="G1289" s="25" cm="1">
        <f t="array" ref="G1289">IF((INDEX('Remplissage - Sit. Init.'!$C$473:$I$1088,MATCH((B1289)&amp;('Remplissage - Sit. Init.'!$D$483),('Remplissage - Sit. Init.'!$C$473:$C$1088)&amp;('Remplissage - Sit. Init.'!$D$473:$D$1088),0),7))&gt;0,0,1)</f>
        <v>1</v>
      </c>
      <c r="I1289" s="27"/>
      <c r="J1289" s="25" t="s">
        <v>70</v>
      </c>
    </row>
    <row r="1290" spans="1:11" s="25" customFormat="1" outlineLevel="1" x14ac:dyDescent="0.25">
      <c r="A1290" t="s">
        <v>1769</v>
      </c>
      <c r="B1290" s="25" t="s">
        <v>119</v>
      </c>
      <c r="C1290" s="26" t="s">
        <v>526</v>
      </c>
      <c r="E1290" s="25" t="str">
        <f t="shared" ref="E1290" si="1434">_xlfn.CONCAT("FretFluv",LEFT(B1290,3),RIGHT(B1280,2),"NbBarges")</f>
        <v>FretFluvCat31NbBarges</v>
      </c>
      <c r="F1290" s="25" t="s">
        <v>17</v>
      </c>
      <c r="G1290" s="25" cm="1">
        <f t="array" ref="G1290">IF((INDEX('Remplissage - Sit. Init.'!$C$473:$I$1088,MATCH((B1290)&amp;('Remplissage - Sit. Init.'!$D$483),('Remplissage - Sit. Init.'!$C$473:$C$1088)&amp;('Remplissage - Sit. Init.'!$D$473:$D$1088),0),7))&gt;0,0,1)</f>
        <v>1</v>
      </c>
      <c r="I1290" s="27"/>
      <c r="J1290" s="25" t="s">
        <v>151</v>
      </c>
    </row>
    <row r="1291" spans="1:11" s="25" customFormat="1" outlineLevel="1" x14ac:dyDescent="0.25">
      <c r="A1291" t="s">
        <v>1769</v>
      </c>
      <c r="B1291" s="25" t="s">
        <v>120</v>
      </c>
      <c r="C1291" s="25" t="s">
        <v>135</v>
      </c>
      <c r="E1291" s="25" t="str">
        <f t="shared" ref="E1291" si="1435">_xlfn.CONCAT("FretFluv",LEFT(B1291,3),RIGHT(B1291,2),"Nom")</f>
        <v>FretFluvCat32Nom</v>
      </c>
      <c r="F1291" s="26" t="s">
        <v>20</v>
      </c>
      <c r="G1291" s="25" cm="1">
        <f t="array" ref="G1291">IF((INDEX('Remplissage - Sit. Init.'!$C$473:$I$1088,MATCH((B1291)&amp;('Remplissage - Sit. Init.'!$D$483),('Remplissage - Sit. Init.'!$C$473:$C$1088)&amp;('Remplissage - Sit. Init.'!$D$473:$D$1088),0),7))&gt;0,0,1)</f>
        <v>1</v>
      </c>
      <c r="I1291" s="27" t="str">
        <f>VLOOKUP(B1291,'Parcs types'!$B$65:$AA$120,2,FALSE)</f>
        <v>Automoteurs 1500-3000 tonnes Phase V, HVO</v>
      </c>
      <c r="K1291" s="25" t="str">
        <f>I1291</f>
        <v>Automoteurs 1500-3000 tonnes Phase V, HVO</v>
      </c>
    </row>
    <row r="1292" spans="1:11" s="25" customFormat="1" outlineLevel="1" x14ac:dyDescent="0.25">
      <c r="A1292" t="s">
        <v>1769</v>
      </c>
      <c r="B1292" s="25" t="s">
        <v>120</v>
      </c>
      <c r="C1292" s="25" t="s">
        <v>136</v>
      </c>
      <c r="E1292" s="25" t="str">
        <f t="shared" ref="E1292" si="1436">_xlfn.CONCAT("FretFluv",LEFT(B1292,3),RIGHT(B1291,2),"Type")</f>
        <v>FretFluvCat32Type</v>
      </c>
      <c r="F1292" s="25" t="s">
        <v>20</v>
      </c>
      <c r="G1292" s="25" cm="1">
        <f t="array" ref="G1292">IF((INDEX('Remplissage - Sit. Init.'!$C$473:$I$1088,MATCH((B1292)&amp;('Remplissage - Sit. Init.'!$D$483),('Remplissage - Sit. Init.'!$C$473:$C$1088)&amp;('Remplissage - Sit. Init.'!$D$473:$D$1088),0),7))&gt;0,0,1)</f>
        <v>1</v>
      </c>
      <c r="I1292" s="27" t="str">
        <f>VLOOKUP(B1292,'Parcs types'!$B$65:$AA$120,3,FALSE)</f>
        <v>Automoteurs</v>
      </c>
      <c r="K1292" s="25" t="str">
        <f t="shared" ref="K1292:K1294" si="1437">I1292</f>
        <v>Automoteurs</v>
      </c>
    </row>
    <row r="1293" spans="1:11" s="25" customFormat="1" outlineLevel="1" x14ac:dyDescent="0.25">
      <c r="A1293" t="s">
        <v>1769</v>
      </c>
      <c r="B1293" s="25" t="s">
        <v>120</v>
      </c>
      <c r="C1293" s="26" t="s">
        <v>137</v>
      </c>
      <c r="E1293" s="25" t="str">
        <f t="shared" ref="E1293" si="1438">_xlfn.CONCAT("FretFluv",LEFT(B1293,3),RIGHT(B1291,2),"Cap")</f>
        <v>FretFluvCat32Cap</v>
      </c>
      <c r="F1293" s="26" t="s">
        <v>36</v>
      </c>
      <c r="G1293" s="25" cm="1">
        <f t="array" ref="G1293">IF((INDEX('Remplissage - Sit. Init.'!$C$473:$I$1088,MATCH((B1293)&amp;('Remplissage - Sit. Init.'!$D$483),('Remplissage - Sit. Init.'!$C$473:$C$1088)&amp;('Remplissage - Sit. Init.'!$D$473:$D$1088),0),7))&gt;0,0,1)</f>
        <v>1</v>
      </c>
      <c r="I1293" s="27" t="str">
        <f>VLOOKUP(B1293,'Parcs types'!$B$65:$AA$120,4,FALSE)</f>
        <v>1500-3000 tonnes</v>
      </c>
      <c r="J1293" s="25" t="s">
        <v>524</v>
      </c>
      <c r="K1293" s="25" t="str">
        <f t="shared" si="1437"/>
        <v>1500-3000 tonnes</v>
      </c>
    </row>
    <row r="1294" spans="1:11" s="25" customFormat="1" outlineLevel="1" x14ac:dyDescent="0.25">
      <c r="A1294" t="s">
        <v>1769</v>
      </c>
      <c r="B1294" s="25" t="s">
        <v>120</v>
      </c>
      <c r="C1294" s="26" t="s">
        <v>525</v>
      </c>
      <c r="E1294" s="25" t="str">
        <f t="shared" ref="E1294" si="1439">_xlfn.CONCAT("FretFluv",LEFT(B1294,3),RIGHT(B1291,2),"Tech")</f>
        <v>FretFluvCat32Tech</v>
      </c>
      <c r="F1294" s="26" t="s">
        <v>20</v>
      </c>
      <c r="G1294" s="25" cm="1">
        <f t="array" ref="G1294">IF((INDEX('Remplissage - Sit. Init.'!$C$473:$I$1088,MATCH((B1294)&amp;('Remplissage - Sit. Init.'!$D$483),('Remplissage - Sit. Init.'!$C$473:$C$1088)&amp;('Remplissage - Sit. Init.'!$D$473:$D$1088),0),7))&gt;0,0,1)</f>
        <v>1</v>
      </c>
      <c r="I1294" s="27" t="str">
        <f>VLOOKUP(B1294,'Parcs types'!$B$65:$AA$120,5,FALSE)</f>
        <v>Phase V, HVO</v>
      </c>
      <c r="K1294" s="25" t="str">
        <f t="shared" si="1437"/>
        <v>Phase V, HVO</v>
      </c>
    </row>
    <row r="1295" spans="1:11" s="25" customFormat="1" outlineLevel="1" x14ac:dyDescent="0.25">
      <c r="A1295" t="s">
        <v>1769</v>
      </c>
      <c r="B1295" s="25" t="s">
        <v>120</v>
      </c>
      <c r="C1295" s="25" t="s">
        <v>140</v>
      </c>
      <c r="E1295" s="25" t="str">
        <f t="shared" ref="E1295" si="1440">_xlfn.CONCAT("FretFluv",LEFT(B1295,3),RIGHT(B1291,2),"Request")</f>
        <v>FretFluvCat32Request</v>
      </c>
      <c r="F1295" s="26" t="s">
        <v>20</v>
      </c>
      <c r="G1295" s="25" cm="1">
        <f t="array" ref="G1295">IF((INDEX('Remplissage - Sit. Init.'!$C$473:$I$1088,MATCH((B1295)&amp;('Remplissage - Sit. Init.'!$D$483),('Remplissage - Sit. Init.'!$C$473:$C$1088)&amp;('Remplissage - Sit. Init.'!$D$473:$D$1088),0),7))&gt;0,0,1)</f>
        <v>1</v>
      </c>
      <c r="I1295" s="27" t="s">
        <v>142</v>
      </c>
      <c r="K1295" s="28"/>
    </row>
    <row r="1296" spans="1:11" s="25" customFormat="1" outlineLevel="1" x14ac:dyDescent="0.25">
      <c r="A1296" t="s">
        <v>1769</v>
      </c>
      <c r="B1296" s="25" t="s">
        <v>120</v>
      </c>
      <c r="C1296" s="25" t="s">
        <v>144</v>
      </c>
      <c r="E1296" s="25" t="str">
        <f t="shared" ref="E1296" si="1441">_xlfn.CONCAT("FretFluv",LEFT(B1296,3),RIGHT(B1291,2),"NbTraj")</f>
        <v>FretFluvCat32NbTraj</v>
      </c>
      <c r="F1296" s="25" t="s">
        <v>17</v>
      </c>
      <c r="G1296" s="25" cm="1">
        <f t="array" ref="G1296">IF((INDEX('Remplissage - Sit. Init.'!$C$473:$I$1088,MATCH((B1296)&amp;('Remplissage - Sit. Init.'!$D$483),('Remplissage - Sit. Init.'!$C$473:$C$1088)&amp;('Remplissage - Sit. Init.'!$D$473:$D$1088),0),7))&gt;0,0,1)</f>
        <v>1</v>
      </c>
      <c r="H1296" s="29"/>
      <c r="I1296" s="27"/>
      <c r="J1296" s="25" t="s">
        <v>145</v>
      </c>
      <c r="K1296" s="30"/>
    </row>
    <row r="1297" spans="1:11" s="25" customFormat="1" outlineLevel="1" x14ac:dyDescent="0.25">
      <c r="A1297" t="s">
        <v>1769</v>
      </c>
      <c r="B1297" s="25" t="s">
        <v>120</v>
      </c>
      <c r="C1297" s="25" t="s">
        <v>146</v>
      </c>
      <c r="E1297" s="25" t="str">
        <f t="shared" ref="E1297" si="1442">_xlfn.CONCAT("FretFluv",LEFT(B1297,3),RIGHT(B1291,2),"DistMoy")</f>
        <v>FretFluvCat32DistMoy</v>
      </c>
      <c r="F1297" s="25" t="s">
        <v>17</v>
      </c>
      <c r="G1297" s="25" cm="1">
        <f t="array" ref="G1297">IF((INDEX('Remplissage - Sit. Init.'!$C$473:$I$1088,MATCH((B1297)&amp;('Remplissage - Sit. Init.'!$D$483),('Remplissage - Sit. Init.'!$C$473:$C$1088)&amp;('Remplissage - Sit. Init.'!$D$473:$D$1088),0),7))&gt;0,0,1)</f>
        <v>1</v>
      </c>
      <c r="H1297" s="28"/>
      <c r="I1297" s="27"/>
      <c r="J1297" s="25" t="s">
        <v>88</v>
      </c>
      <c r="K1297" s="28"/>
    </row>
    <row r="1298" spans="1:11" s="25" customFormat="1" outlineLevel="1" x14ac:dyDescent="0.25">
      <c r="A1298" t="s">
        <v>1769</v>
      </c>
      <c r="B1298" s="25" t="s">
        <v>120</v>
      </c>
      <c r="C1298" s="25" t="s">
        <v>147</v>
      </c>
      <c r="E1298" s="25" t="str">
        <f t="shared" ref="E1298" si="1443">_xlfn.CONCAT("FretFluv",LEFT(B1298,3),RIGHT(B1291,2),"EmportMoy")</f>
        <v>FretFluvCat32EmportMoy</v>
      </c>
      <c r="F1298" s="25" t="s">
        <v>17</v>
      </c>
      <c r="G1298" s="25" cm="1">
        <f t="array" ref="G1298">IF((INDEX('Remplissage - Sit. Init.'!$C$473:$I$1088,MATCH((B1298)&amp;('Remplissage - Sit. Init.'!$D$483),('Remplissage - Sit. Init.'!$C$473:$C$1088)&amp;('Remplissage - Sit. Init.'!$D$473:$D$1088),0),7))&gt;0,0,1)</f>
        <v>1</v>
      </c>
      <c r="I1298" s="27"/>
      <c r="J1298" s="25" t="s">
        <v>148</v>
      </c>
    </row>
    <row r="1299" spans="1:11" s="25" customFormat="1" outlineLevel="1" x14ac:dyDescent="0.25">
      <c r="A1299" t="s">
        <v>1769</v>
      </c>
      <c r="B1299" s="25" t="s">
        <v>120</v>
      </c>
      <c r="C1299" s="25" t="s">
        <v>149</v>
      </c>
      <c r="E1299" s="25" t="str">
        <f t="shared" ref="E1299" si="1444">_xlfn.CONCAT("FretFluv",LEFT(B1299,3),RIGHT(B1291,2),"DistAn")</f>
        <v>FretFluvCat32DistAn</v>
      </c>
      <c r="F1299" s="25" t="s">
        <v>17</v>
      </c>
      <c r="G1299" s="25" cm="1">
        <f t="array" ref="G1299">IF((INDEX('Remplissage - Sit. Init.'!$C$473:$I$1088,MATCH((B1299)&amp;('Remplissage - Sit. Init.'!$D$483),('Remplissage - Sit. Init.'!$C$473:$C$1088)&amp;('Remplissage - Sit. Init.'!$D$473:$D$1088),0),7))&gt;0,0,1)</f>
        <v>1</v>
      </c>
      <c r="I1299" s="27"/>
      <c r="J1299" s="25" t="s">
        <v>88</v>
      </c>
    </row>
    <row r="1300" spans="1:11" s="25" customFormat="1" outlineLevel="1" x14ac:dyDescent="0.25">
      <c r="A1300" t="s">
        <v>1769</v>
      </c>
      <c r="B1300" s="25" t="s">
        <v>120</v>
      </c>
      <c r="C1300" s="25" t="s">
        <v>150</v>
      </c>
      <c r="E1300" s="25" t="str">
        <f t="shared" ref="E1300" si="1445">_xlfn.CONCAT("FretFluv",LEFT(B1300,3),RIGHT(B1291,2),"TauxChargeMoy")</f>
        <v>FretFluvCat32TauxChargeMoy</v>
      </c>
      <c r="F1300" s="25" t="s">
        <v>17</v>
      </c>
      <c r="G1300" s="25" cm="1">
        <f t="array" ref="G1300">IF((INDEX('Remplissage - Sit. Init.'!$C$473:$I$1088,MATCH((B1300)&amp;('Remplissage - Sit. Init.'!$D$483),('Remplissage - Sit. Init.'!$C$473:$C$1088)&amp;('Remplissage - Sit. Init.'!$D$473:$D$1088),0),7))&gt;0,0,1)</f>
        <v>1</v>
      </c>
      <c r="I1300" s="27"/>
      <c r="J1300" s="25" t="s">
        <v>70</v>
      </c>
    </row>
    <row r="1301" spans="1:11" s="25" customFormat="1" outlineLevel="1" x14ac:dyDescent="0.25">
      <c r="A1301" t="s">
        <v>1769</v>
      </c>
      <c r="B1301" s="25" t="s">
        <v>120</v>
      </c>
      <c r="C1301" s="26" t="s">
        <v>526</v>
      </c>
      <c r="E1301" s="25" t="str">
        <f t="shared" ref="E1301" si="1446">_xlfn.CONCAT("FretFluv",LEFT(B1301,3),RIGHT(B1291,2),"NbBarges")</f>
        <v>FretFluvCat32NbBarges</v>
      </c>
      <c r="F1301" s="25" t="s">
        <v>17</v>
      </c>
      <c r="G1301" s="25" cm="1">
        <f t="array" ref="G1301">IF((INDEX('Remplissage - Sit. Init.'!$C$473:$I$1088,MATCH((B1301)&amp;('Remplissage - Sit. Init.'!$D$483),('Remplissage - Sit. Init.'!$C$473:$C$1088)&amp;('Remplissage - Sit. Init.'!$D$473:$D$1088),0),7))&gt;0,0,1)</f>
        <v>1</v>
      </c>
      <c r="I1301" s="27"/>
      <c r="J1301" s="25" t="s">
        <v>151</v>
      </c>
    </row>
    <row r="1302" spans="1:11" s="25" customFormat="1" outlineLevel="1" x14ac:dyDescent="0.25">
      <c r="A1302" t="s">
        <v>1769</v>
      </c>
      <c r="B1302" s="25" t="s">
        <v>121</v>
      </c>
      <c r="C1302" s="25" t="s">
        <v>135</v>
      </c>
      <c r="E1302" s="25" t="str">
        <f t="shared" ref="E1302" si="1447">_xlfn.CONCAT("FretFluv",LEFT(B1302,3),RIGHT(B1302,2),"Nom")</f>
        <v>FretFluvCat33Nom</v>
      </c>
      <c r="F1302" s="26" t="s">
        <v>20</v>
      </c>
      <c r="G1302" s="25" cm="1">
        <f t="array" ref="G1302">IF((INDEX('Remplissage - Sit. Init.'!$C$473:$I$1088,MATCH((B1302)&amp;('Remplissage - Sit. Init.'!$D$483),('Remplissage - Sit. Init.'!$C$473:$C$1088)&amp;('Remplissage - Sit. Init.'!$D$473:$D$1088),0),7))&gt;0,0,1)</f>
        <v>1</v>
      </c>
      <c r="I1302" s="27" t="str">
        <f>VLOOKUP(B1302,'Parcs types'!$B$65:$AA$120,2,FALSE)</f>
        <v>Automoteurs 1500-3000 tonnes Batterie</v>
      </c>
      <c r="K1302" s="25" t="str">
        <f>I1302</f>
        <v>Automoteurs 1500-3000 tonnes Batterie</v>
      </c>
    </row>
    <row r="1303" spans="1:11" s="25" customFormat="1" outlineLevel="1" x14ac:dyDescent="0.25">
      <c r="A1303" t="s">
        <v>1769</v>
      </c>
      <c r="B1303" s="25" t="s">
        <v>121</v>
      </c>
      <c r="C1303" s="25" t="s">
        <v>136</v>
      </c>
      <c r="E1303" s="25" t="str">
        <f t="shared" ref="E1303" si="1448">_xlfn.CONCAT("FretFluv",LEFT(B1303,3),RIGHT(B1302,2),"Type")</f>
        <v>FretFluvCat33Type</v>
      </c>
      <c r="F1303" s="25" t="s">
        <v>20</v>
      </c>
      <c r="G1303" s="25" cm="1">
        <f t="array" ref="G1303">IF((INDEX('Remplissage - Sit. Init.'!$C$473:$I$1088,MATCH((B1303)&amp;('Remplissage - Sit. Init.'!$D$483),('Remplissage - Sit. Init.'!$C$473:$C$1088)&amp;('Remplissage - Sit. Init.'!$D$473:$D$1088),0),7))&gt;0,0,1)</f>
        <v>1</v>
      </c>
      <c r="I1303" s="27" t="str">
        <f>VLOOKUP(B1303,'Parcs types'!$B$65:$AA$120,3,FALSE)</f>
        <v>Automoteurs</v>
      </c>
      <c r="K1303" s="25" t="str">
        <f t="shared" ref="K1303:K1305" si="1449">I1303</f>
        <v>Automoteurs</v>
      </c>
    </row>
    <row r="1304" spans="1:11" s="25" customFormat="1" outlineLevel="1" x14ac:dyDescent="0.25">
      <c r="A1304" t="s">
        <v>1769</v>
      </c>
      <c r="B1304" s="25" t="s">
        <v>121</v>
      </c>
      <c r="C1304" s="26" t="s">
        <v>137</v>
      </c>
      <c r="E1304" s="25" t="str">
        <f t="shared" ref="E1304" si="1450">_xlfn.CONCAT("FretFluv",LEFT(B1304,3),RIGHT(B1302,2),"Cap")</f>
        <v>FretFluvCat33Cap</v>
      </c>
      <c r="F1304" s="26" t="s">
        <v>36</v>
      </c>
      <c r="G1304" s="25" cm="1">
        <f t="array" ref="G1304">IF((INDEX('Remplissage - Sit. Init.'!$C$473:$I$1088,MATCH((B1304)&amp;('Remplissage - Sit. Init.'!$D$483),('Remplissage - Sit. Init.'!$C$473:$C$1088)&amp;('Remplissage - Sit. Init.'!$D$473:$D$1088),0),7))&gt;0,0,1)</f>
        <v>1</v>
      </c>
      <c r="I1304" s="27" t="str">
        <f>VLOOKUP(B1304,'Parcs types'!$B$65:$AA$120,4,FALSE)</f>
        <v>1500-3000 tonnes</v>
      </c>
      <c r="J1304" s="25" t="s">
        <v>524</v>
      </c>
      <c r="K1304" s="25" t="str">
        <f t="shared" si="1449"/>
        <v>1500-3000 tonnes</v>
      </c>
    </row>
    <row r="1305" spans="1:11" s="25" customFormat="1" outlineLevel="1" x14ac:dyDescent="0.25">
      <c r="A1305" t="s">
        <v>1769</v>
      </c>
      <c r="B1305" s="25" t="s">
        <v>121</v>
      </c>
      <c r="C1305" s="26" t="s">
        <v>525</v>
      </c>
      <c r="E1305" s="25" t="str">
        <f t="shared" ref="E1305" si="1451">_xlfn.CONCAT("FretFluv",LEFT(B1305,3),RIGHT(B1302,2),"Tech")</f>
        <v>FretFluvCat33Tech</v>
      </c>
      <c r="F1305" s="26" t="s">
        <v>20</v>
      </c>
      <c r="G1305" s="25" cm="1">
        <f t="array" ref="G1305">IF((INDEX('Remplissage - Sit. Init.'!$C$473:$I$1088,MATCH((B1305)&amp;('Remplissage - Sit. Init.'!$D$483),('Remplissage - Sit. Init.'!$C$473:$C$1088)&amp;('Remplissage - Sit. Init.'!$D$473:$D$1088),0),7))&gt;0,0,1)</f>
        <v>1</v>
      </c>
      <c r="I1305" s="27" t="str">
        <f>VLOOKUP(B1305,'Parcs types'!$B$65:$AA$120,5,FALSE)</f>
        <v>Batterie</v>
      </c>
      <c r="K1305" s="25" t="str">
        <f t="shared" si="1449"/>
        <v>Batterie</v>
      </c>
    </row>
    <row r="1306" spans="1:11" s="25" customFormat="1" outlineLevel="1" x14ac:dyDescent="0.25">
      <c r="A1306" t="s">
        <v>1769</v>
      </c>
      <c r="B1306" s="25" t="s">
        <v>121</v>
      </c>
      <c r="C1306" s="25" t="s">
        <v>140</v>
      </c>
      <c r="E1306" s="25" t="str">
        <f t="shared" ref="E1306" si="1452">_xlfn.CONCAT("FretFluv",LEFT(B1306,3),RIGHT(B1302,2),"Request")</f>
        <v>FretFluvCat33Request</v>
      </c>
      <c r="F1306" s="26" t="s">
        <v>20</v>
      </c>
      <c r="G1306" s="25" cm="1">
        <f t="array" ref="G1306">IF((INDEX('Remplissage - Sit. Init.'!$C$473:$I$1088,MATCH((B1306)&amp;('Remplissage - Sit. Init.'!$D$483),('Remplissage - Sit. Init.'!$C$473:$C$1088)&amp;('Remplissage - Sit. Init.'!$D$473:$D$1088),0),7))&gt;0,0,1)</f>
        <v>1</v>
      </c>
      <c r="I1306" s="27" t="s">
        <v>142</v>
      </c>
      <c r="K1306" s="28"/>
    </row>
    <row r="1307" spans="1:11" s="25" customFormat="1" outlineLevel="1" x14ac:dyDescent="0.25">
      <c r="A1307" t="s">
        <v>1769</v>
      </c>
      <c r="B1307" s="25" t="s">
        <v>121</v>
      </c>
      <c r="C1307" s="25" t="s">
        <v>144</v>
      </c>
      <c r="E1307" s="25" t="str">
        <f t="shared" ref="E1307" si="1453">_xlfn.CONCAT("FretFluv",LEFT(B1307,3),RIGHT(B1302,2),"NbTraj")</f>
        <v>FretFluvCat33NbTraj</v>
      </c>
      <c r="F1307" s="25" t="s">
        <v>17</v>
      </c>
      <c r="G1307" s="25" cm="1">
        <f t="array" ref="G1307">IF((INDEX('Remplissage - Sit. Init.'!$C$473:$I$1088,MATCH((B1307)&amp;('Remplissage - Sit. Init.'!$D$483),('Remplissage - Sit. Init.'!$C$473:$C$1088)&amp;('Remplissage - Sit. Init.'!$D$473:$D$1088),0),7))&gt;0,0,1)</f>
        <v>1</v>
      </c>
      <c r="H1307" s="29"/>
      <c r="I1307" s="27"/>
      <c r="J1307" s="25" t="s">
        <v>145</v>
      </c>
      <c r="K1307" s="28"/>
    </row>
    <row r="1308" spans="1:11" s="25" customFormat="1" outlineLevel="1" x14ac:dyDescent="0.25">
      <c r="A1308" t="s">
        <v>1769</v>
      </c>
      <c r="B1308" s="25" t="s">
        <v>121</v>
      </c>
      <c r="C1308" s="25" t="s">
        <v>146</v>
      </c>
      <c r="E1308" s="25" t="str">
        <f t="shared" ref="E1308" si="1454">_xlfn.CONCAT("FretFluv",LEFT(B1308,3),RIGHT(B1302,2),"DistMoy")</f>
        <v>FretFluvCat33DistMoy</v>
      </c>
      <c r="F1308" s="25" t="s">
        <v>17</v>
      </c>
      <c r="G1308" s="25" cm="1">
        <f t="array" ref="G1308">IF((INDEX('Remplissage - Sit. Init.'!$C$473:$I$1088,MATCH((B1308)&amp;('Remplissage - Sit. Init.'!$D$483),('Remplissage - Sit. Init.'!$C$473:$C$1088)&amp;('Remplissage - Sit. Init.'!$D$473:$D$1088),0),7))&gt;0,0,1)</f>
        <v>1</v>
      </c>
      <c r="H1308" s="28"/>
      <c r="I1308" s="27"/>
      <c r="J1308" s="25" t="s">
        <v>88</v>
      </c>
      <c r="K1308" s="28"/>
    </row>
    <row r="1309" spans="1:11" s="25" customFormat="1" outlineLevel="1" x14ac:dyDescent="0.25">
      <c r="A1309" t="s">
        <v>1769</v>
      </c>
      <c r="B1309" s="25" t="s">
        <v>121</v>
      </c>
      <c r="C1309" s="25" t="s">
        <v>147</v>
      </c>
      <c r="E1309" s="25" t="str">
        <f t="shared" ref="E1309" si="1455">_xlfn.CONCAT("FretFluv",LEFT(B1309,3),RIGHT(B1302,2),"EmportMoy")</f>
        <v>FretFluvCat33EmportMoy</v>
      </c>
      <c r="F1309" s="25" t="s">
        <v>17</v>
      </c>
      <c r="G1309" s="25" cm="1">
        <f t="array" ref="G1309">IF((INDEX('Remplissage - Sit. Init.'!$C$473:$I$1088,MATCH((B1309)&amp;('Remplissage - Sit. Init.'!$D$483),('Remplissage - Sit. Init.'!$C$473:$C$1088)&amp;('Remplissage - Sit. Init.'!$D$473:$D$1088),0),7))&gt;0,0,1)</f>
        <v>1</v>
      </c>
      <c r="H1309" s="28"/>
      <c r="I1309" s="27"/>
      <c r="J1309" s="25" t="s">
        <v>148</v>
      </c>
      <c r="K1309" s="28"/>
    </row>
    <row r="1310" spans="1:11" s="25" customFormat="1" outlineLevel="1" x14ac:dyDescent="0.25">
      <c r="A1310" t="s">
        <v>1769</v>
      </c>
      <c r="B1310" s="25" t="s">
        <v>121</v>
      </c>
      <c r="C1310" s="25" t="s">
        <v>149</v>
      </c>
      <c r="E1310" s="25" t="str">
        <f t="shared" ref="E1310" si="1456">_xlfn.CONCAT("FretFluv",LEFT(B1310,3),RIGHT(B1302,2),"DistAn")</f>
        <v>FretFluvCat33DistAn</v>
      </c>
      <c r="F1310" s="25" t="s">
        <v>17</v>
      </c>
      <c r="G1310" s="25" cm="1">
        <f t="array" ref="G1310">IF((INDEX('Remplissage - Sit. Init.'!$C$473:$I$1088,MATCH((B1310)&amp;('Remplissage - Sit. Init.'!$D$483),('Remplissage - Sit. Init.'!$C$473:$C$1088)&amp;('Remplissage - Sit. Init.'!$D$473:$D$1088),0),7))&gt;0,0,1)</f>
        <v>1</v>
      </c>
      <c r="H1310" s="28"/>
      <c r="I1310" s="27"/>
      <c r="J1310" s="25" t="s">
        <v>88</v>
      </c>
    </row>
    <row r="1311" spans="1:11" s="25" customFormat="1" outlineLevel="1" x14ac:dyDescent="0.25">
      <c r="A1311" t="s">
        <v>1769</v>
      </c>
      <c r="B1311" s="25" t="s">
        <v>121</v>
      </c>
      <c r="C1311" s="25" t="s">
        <v>150</v>
      </c>
      <c r="E1311" s="25" t="str">
        <f t="shared" ref="E1311" si="1457">_xlfn.CONCAT("FretFluv",LEFT(B1311,3),RIGHT(B1302,2),"TauxChargeMoy")</f>
        <v>FretFluvCat33TauxChargeMoy</v>
      </c>
      <c r="F1311" s="25" t="s">
        <v>17</v>
      </c>
      <c r="G1311" s="25" cm="1">
        <f t="array" ref="G1311">IF((INDEX('Remplissage - Sit. Init.'!$C$473:$I$1088,MATCH((B1311)&amp;('Remplissage - Sit. Init.'!$D$483),('Remplissage - Sit. Init.'!$C$473:$C$1088)&amp;('Remplissage - Sit. Init.'!$D$473:$D$1088),0),7))&gt;0,0,1)</f>
        <v>1</v>
      </c>
      <c r="H1311" s="28"/>
      <c r="I1311" s="27"/>
      <c r="J1311" s="25" t="s">
        <v>70</v>
      </c>
    </row>
    <row r="1312" spans="1:11" s="25" customFormat="1" outlineLevel="1" x14ac:dyDescent="0.25">
      <c r="A1312" t="s">
        <v>1769</v>
      </c>
      <c r="B1312" s="25" t="s">
        <v>121</v>
      </c>
      <c r="C1312" s="26" t="s">
        <v>526</v>
      </c>
      <c r="E1312" s="25" t="str">
        <f t="shared" ref="E1312" si="1458">_xlfn.CONCAT("FretFluv",LEFT(B1312,3),RIGHT(B1302,2),"NbBarges")</f>
        <v>FretFluvCat33NbBarges</v>
      </c>
      <c r="F1312" s="25" t="s">
        <v>17</v>
      </c>
      <c r="G1312" s="25" cm="1">
        <f t="array" ref="G1312">IF((INDEX('Remplissage - Sit. Init.'!$C$473:$I$1088,MATCH((B1312)&amp;('Remplissage - Sit. Init.'!$D$483),('Remplissage - Sit. Init.'!$C$473:$C$1088)&amp;('Remplissage - Sit. Init.'!$D$473:$D$1088),0),7))&gt;0,0,1)</f>
        <v>1</v>
      </c>
      <c r="H1312" s="28"/>
      <c r="I1312" s="27"/>
      <c r="J1312" s="25" t="s">
        <v>151</v>
      </c>
    </row>
    <row r="1313" spans="1:11" s="25" customFormat="1" outlineLevel="1" x14ac:dyDescent="0.25">
      <c r="A1313" t="s">
        <v>1769</v>
      </c>
      <c r="B1313" s="25" t="s">
        <v>122</v>
      </c>
      <c r="C1313" s="25" t="s">
        <v>135</v>
      </c>
      <c r="E1313" s="25" t="str">
        <f t="shared" ref="E1313" si="1459">_xlfn.CONCAT("FretFluv",LEFT(B1313,3),RIGHT(B1313,2),"Nom")</f>
        <v>FretFluvCat34Nom</v>
      </c>
      <c r="F1313" s="26" t="s">
        <v>20</v>
      </c>
      <c r="G1313" s="25" cm="1">
        <f t="array" ref="G1313">IF((INDEX('Remplissage - Sit. Init.'!$C$473:$I$1088,MATCH((B1313)&amp;('Remplissage - Sit. Init.'!$D$483),('Remplissage - Sit. Init.'!$C$473:$C$1088)&amp;('Remplissage - Sit. Init.'!$D$473:$D$1088),0),7))&gt;0,0,1)</f>
        <v>1</v>
      </c>
      <c r="H1313" s="28"/>
      <c r="I1313" s="27" t="str">
        <f>VLOOKUP(B1313,'Parcs types'!$B$65:$AA$120,2,FALSE)</f>
        <v>Automoteurs 1500-3000 tonnes H2 , PAC</v>
      </c>
      <c r="K1313" s="25" t="str">
        <f>I1313</f>
        <v>Automoteurs 1500-3000 tonnes H2 , PAC</v>
      </c>
    </row>
    <row r="1314" spans="1:11" s="25" customFormat="1" outlineLevel="1" x14ac:dyDescent="0.25">
      <c r="A1314" t="s">
        <v>1769</v>
      </c>
      <c r="B1314" s="25" t="s">
        <v>122</v>
      </c>
      <c r="C1314" s="25" t="s">
        <v>136</v>
      </c>
      <c r="E1314" s="25" t="str">
        <f t="shared" ref="E1314" si="1460">_xlfn.CONCAT("FretFluv",LEFT(B1314,3),RIGHT(B1313,2),"Type")</f>
        <v>FretFluvCat34Type</v>
      </c>
      <c r="F1314" s="25" t="s">
        <v>20</v>
      </c>
      <c r="G1314" s="25" cm="1">
        <f t="array" ref="G1314">IF((INDEX('Remplissage - Sit. Init.'!$C$473:$I$1088,MATCH((B1314)&amp;('Remplissage - Sit. Init.'!$D$483),('Remplissage - Sit. Init.'!$C$473:$C$1088)&amp;('Remplissage - Sit. Init.'!$D$473:$D$1088),0),7))&gt;0,0,1)</f>
        <v>1</v>
      </c>
      <c r="H1314" s="28"/>
      <c r="I1314" s="27" t="str">
        <f>VLOOKUP(B1314,'Parcs types'!$B$65:$AA$120,3,FALSE)</f>
        <v>Automoteurs</v>
      </c>
      <c r="K1314" s="25" t="str">
        <f t="shared" ref="K1314:K1316" si="1461">I1314</f>
        <v>Automoteurs</v>
      </c>
    </row>
    <row r="1315" spans="1:11" s="25" customFormat="1" outlineLevel="1" x14ac:dyDescent="0.25">
      <c r="A1315" t="s">
        <v>1769</v>
      </c>
      <c r="B1315" s="25" t="s">
        <v>122</v>
      </c>
      <c r="C1315" s="26" t="s">
        <v>137</v>
      </c>
      <c r="E1315" s="25" t="str">
        <f t="shared" ref="E1315" si="1462">_xlfn.CONCAT("FretFluv",LEFT(B1315,3),RIGHT(B1313,2),"Cap")</f>
        <v>FretFluvCat34Cap</v>
      </c>
      <c r="F1315" s="26" t="s">
        <v>36</v>
      </c>
      <c r="G1315" s="25" cm="1">
        <f t="array" ref="G1315">IF((INDEX('Remplissage - Sit. Init.'!$C$473:$I$1088,MATCH((B1315)&amp;('Remplissage - Sit. Init.'!$D$483),('Remplissage - Sit. Init.'!$C$473:$C$1088)&amp;('Remplissage - Sit. Init.'!$D$473:$D$1088),0),7))&gt;0,0,1)</f>
        <v>1</v>
      </c>
      <c r="H1315" s="28"/>
      <c r="I1315" s="27" t="str">
        <f>VLOOKUP(B1315,'Parcs types'!$B$65:$AA$120,4,FALSE)</f>
        <v>1500-3000 tonnes</v>
      </c>
      <c r="J1315" s="25" t="s">
        <v>524</v>
      </c>
      <c r="K1315" s="25" t="str">
        <f t="shared" si="1461"/>
        <v>1500-3000 tonnes</v>
      </c>
    </row>
    <row r="1316" spans="1:11" s="25" customFormat="1" outlineLevel="1" x14ac:dyDescent="0.25">
      <c r="A1316" t="s">
        <v>1769</v>
      </c>
      <c r="B1316" s="25" t="s">
        <v>122</v>
      </c>
      <c r="C1316" s="26" t="s">
        <v>525</v>
      </c>
      <c r="E1316" s="25" t="str">
        <f t="shared" ref="E1316" si="1463">_xlfn.CONCAT("FretFluv",LEFT(B1316,3),RIGHT(B1313,2),"Tech")</f>
        <v>FretFluvCat34Tech</v>
      </c>
      <c r="F1316" s="26" t="s">
        <v>20</v>
      </c>
      <c r="G1316" s="25" cm="1">
        <f t="array" ref="G1316">IF((INDEX('Remplissage - Sit. Init.'!$C$473:$I$1088,MATCH((B1316)&amp;('Remplissage - Sit. Init.'!$D$483),('Remplissage - Sit. Init.'!$C$473:$C$1088)&amp;('Remplissage - Sit. Init.'!$D$473:$D$1088),0),7))&gt;0,0,1)</f>
        <v>1</v>
      </c>
      <c r="H1316" s="28"/>
      <c r="I1316" s="27" t="str">
        <f>VLOOKUP(B1316,'Parcs types'!$B$65:$AA$120,5,FALSE)</f>
        <v>H2 , PAC</v>
      </c>
      <c r="K1316" s="25" t="str">
        <f t="shared" si="1461"/>
        <v>H2 , PAC</v>
      </c>
    </row>
    <row r="1317" spans="1:11" s="25" customFormat="1" outlineLevel="1" x14ac:dyDescent="0.25">
      <c r="A1317" t="s">
        <v>1769</v>
      </c>
      <c r="B1317" s="25" t="s">
        <v>122</v>
      </c>
      <c r="C1317" s="25" t="s">
        <v>140</v>
      </c>
      <c r="E1317" s="25" t="str">
        <f t="shared" ref="E1317" si="1464">_xlfn.CONCAT("FretFluv",LEFT(B1317,3),RIGHT(B1313,2),"Request")</f>
        <v>FretFluvCat34Request</v>
      </c>
      <c r="F1317" s="26" t="s">
        <v>20</v>
      </c>
      <c r="G1317" s="25" cm="1">
        <f t="array" ref="G1317">IF((INDEX('Remplissage - Sit. Init.'!$C$473:$I$1088,MATCH((B1317)&amp;('Remplissage - Sit. Init.'!$D$483),('Remplissage - Sit. Init.'!$C$473:$C$1088)&amp;('Remplissage - Sit. Init.'!$D$473:$D$1088),0),7))&gt;0,0,1)</f>
        <v>1</v>
      </c>
      <c r="I1317" s="27" t="s">
        <v>142</v>
      </c>
      <c r="K1317" s="28"/>
    </row>
    <row r="1318" spans="1:11" s="25" customFormat="1" outlineLevel="1" x14ac:dyDescent="0.25">
      <c r="A1318" t="s">
        <v>1769</v>
      </c>
      <c r="B1318" s="25" t="s">
        <v>122</v>
      </c>
      <c r="C1318" s="25" t="s">
        <v>144</v>
      </c>
      <c r="E1318" s="25" t="str">
        <f t="shared" ref="E1318" si="1465">_xlfn.CONCAT("FretFluv",LEFT(B1318,3),RIGHT(B1313,2),"NbTraj")</f>
        <v>FretFluvCat34NbTraj</v>
      </c>
      <c r="F1318" s="25" t="s">
        <v>17</v>
      </c>
      <c r="G1318" s="25" cm="1">
        <f t="array" ref="G1318">IF((INDEX('Remplissage - Sit. Init.'!$C$473:$I$1088,MATCH((B1318)&amp;('Remplissage - Sit. Init.'!$D$483),('Remplissage - Sit. Init.'!$C$473:$C$1088)&amp;('Remplissage - Sit. Init.'!$D$473:$D$1088),0),7))&gt;0,0,1)</f>
        <v>1</v>
      </c>
      <c r="H1318" s="28"/>
      <c r="I1318" s="27"/>
      <c r="J1318" s="25" t="s">
        <v>145</v>
      </c>
      <c r="K1318" s="28"/>
    </row>
    <row r="1319" spans="1:11" s="25" customFormat="1" outlineLevel="1" x14ac:dyDescent="0.25">
      <c r="A1319" t="s">
        <v>1769</v>
      </c>
      <c r="B1319" s="25" t="s">
        <v>122</v>
      </c>
      <c r="C1319" s="25" t="s">
        <v>146</v>
      </c>
      <c r="E1319" s="25" t="str">
        <f t="shared" ref="E1319" si="1466">_xlfn.CONCAT("FretFluv",LEFT(B1319,3),RIGHT(B1313,2),"DistMoy")</f>
        <v>FretFluvCat34DistMoy</v>
      </c>
      <c r="F1319" s="25" t="s">
        <v>17</v>
      </c>
      <c r="G1319" s="25" cm="1">
        <f t="array" ref="G1319">IF((INDEX('Remplissage - Sit. Init.'!$C$473:$I$1088,MATCH((B1319)&amp;('Remplissage - Sit. Init.'!$D$483),('Remplissage - Sit. Init.'!$C$473:$C$1088)&amp;('Remplissage - Sit. Init.'!$D$473:$D$1088),0),7))&gt;0,0,1)</f>
        <v>1</v>
      </c>
      <c r="H1319" s="28"/>
      <c r="I1319" s="27"/>
      <c r="J1319" s="25" t="s">
        <v>88</v>
      </c>
      <c r="K1319" s="28"/>
    </row>
    <row r="1320" spans="1:11" s="25" customFormat="1" outlineLevel="1" x14ac:dyDescent="0.25">
      <c r="A1320" t="s">
        <v>1769</v>
      </c>
      <c r="B1320" s="25" t="s">
        <v>122</v>
      </c>
      <c r="C1320" s="25" t="s">
        <v>147</v>
      </c>
      <c r="E1320" s="25" t="str">
        <f t="shared" ref="E1320" si="1467">_xlfn.CONCAT("FretFluv",LEFT(B1320,3),RIGHT(B1313,2),"EmportMoy")</f>
        <v>FretFluvCat34EmportMoy</v>
      </c>
      <c r="F1320" s="25" t="s">
        <v>17</v>
      </c>
      <c r="G1320" s="25" cm="1">
        <f t="array" ref="G1320">IF((INDEX('Remplissage - Sit. Init.'!$C$473:$I$1088,MATCH((B1320)&amp;('Remplissage - Sit. Init.'!$D$483),('Remplissage - Sit. Init.'!$C$473:$C$1088)&amp;('Remplissage - Sit. Init.'!$D$473:$D$1088),0),7))&gt;0,0,1)</f>
        <v>1</v>
      </c>
      <c r="H1320" s="28"/>
      <c r="I1320" s="27"/>
      <c r="J1320" s="25" t="s">
        <v>148</v>
      </c>
      <c r="K1320" s="28"/>
    </row>
    <row r="1321" spans="1:11" s="25" customFormat="1" outlineLevel="1" x14ac:dyDescent="0.25">
      <c r="A1321" t="s">
        <v>1769</v>
      </c>
      <c r="B1321" s="25" t="s">
        <v>122</v>
      </c>
      <c r="C1321" s="25" t="s">
        <v>149</v>
      </c>
      <c r="E1321" s="25" t="str">
        <f t="shared" ref="E1321" si="1468">_xlfn.CONCAT("FretFluv",LEFT(B1321,3),RIGHT(B1313,2),"DistAn")</f>
        <v>FretFluvCat34DistAn</v>
      </c>
      <c r="F1321" s="25" t="s">
        <v>17</v>
      </c>
      <c r="G1321" s="25" cm="1">
        <f t="array" ref="G1321">IF((INDEX('Remplissage - Sit. Init.'!$C$473:$I$1088,MATCH((B1321)&amp;('Remplissage - Sit. Init.'!$D$483),('Remplissage - Sit. Init.'!$C$473:$C$1088)&amp;('Remplissage - Sit. Init.'!$D$473:$D$1088),0),7))&gt;0,0,1)</f>
        <v>1</v>
      </c>
      <c r="H1321" s="28"/>
      <c r="I1321" s="27"/>
      <c r="J1321" s="25" t="s">
        <v>88</v>
      </c>
      <c r="K1321" s="28"/>
    </row>
    <row r="1322" spans="1:11" s="25" customFormat="1" outlineLevel="1" x14ac:dyDescent="0.25">
      <c r="A1322" t="s">
        <v>1769</v>
      </c>
      <c r="B1322" s="25" t="s">
        <v>122</v>
      </c>
      <c r="C1322" s="25" t="s">
        <v>150</v>
      </c>
      <c r="E1322" s="25" t="str">
        <f t="shared" ref="E1322" si="1469">_xlfn.CONCAT("FretFluv",LEFT(B1322,3),RIGHT(B1313,2),"TauxChargeMoy")</f>
        <v>FretFluvCat34TauxChargeMoy</v>
      </c>
      <c r="F1322" s="25" t="s">
        <v>17</v>
      </c>
      <c r="G1322" s="25" cm="1">
        <f t="array" ref="G1322">IF((INDEX('Remplissage - Sit. Init.'!$C$473:$I$1088,MATCH((B1322)&amp;('Remplissage - Sit. Init.'!$D$483),('Remplissage - Sit. Init.'!$C$473:$C$1088)&amp;('Remplissage - Sit. Init.'!$D$473:$D$1088),0),7))&gt;0,0,1)</f>
        <v>1</v>
      </c>
      <c r="H1322" s="28"/>
      <c r="I1322" s="27"/>
      <c r="J1322" s="25" t="s">
        <v>70</v>
      </c>
      <c r="K1322" s="28"/>
    </row>
    <row r="1323" spans="1:11" s="25" customFormat="1" outlineLevel="1" x14ac:dyDescent="0.25">
      <c r="A1323" t="s">
        <v>1769</v>
      </c>
      <c r="B1323" s="25" t="s">
        <v>122</v>
      </c>
      <c r="C1323" s="26" t="s">
        <v>526</v>
      </c>
      <c r="E1323" s="25" t="str">
        <f t="shared" ref="E1323" si="1470">_xlfn.CONCAT("FretFluv",LEFT(B1323,3),RIGHT(B1313,2),"NbBarges")</f>
        <v>FretFluvCat34NbBarges</v>
      </c>
      <c r="F1323" s="25" t="s">
        <v>17</v>
      </c>
      <c r="G1323" s="25" cm="1">
        <f t="array" ref="G1323">IF((INDEX('Remplissage - Sit. Init.'!$C$473:$I$1088,MATCH((B1323)&amp;('Remplissage - Sit. Init.'!$D$483),('Remplissage - Sit. Init.'!$C$473:$C$1088)&amp;('Remplissage - Sit. Init.'!$D$473:$D$1088),0),7))&gt;0,0,1)</f>
        <v>1</v>
      </c>
      <c r="H1323" s="28"/>
      <c r="I1323" s="27"/>
      <c r="J1323" s="25" t="s">
        <v>151</v>
      </c>
      <c r="K1323" s="28"/>
    </row>
    <row r="1324" spans="1:11" s="25" customFormat="1" outlineLevel="1" x14ac:dyDescent="0.25">
      <c r="A1324" t="s">
        <v>1769</v>
      </c>
      <c r="B1324" s="25" t="s">
        <v>123</v>
      </c>
      <c r="C1324" s="25" t="s">
        <v>135</v>
      </c>
      <c r="E1324" s="25" t="str">
        <f t="shared" ref="E1324" si="1471">_xlfn.CONCAT("FretFluv",LEFT(B1324,3),RIGHT(B1324,2),"Nom")</f>
        <v>FretFluvCat35Nom</v>
      </c>
      <c r="F1324" s="26" t="s">
        <v>20</v>
      </c>
      <c r="G1324" s="25" cm="1">
        <f t="array" ref="G1324">IF((INDEX('Remplissage - Sit. Init.'!$C$473:$I$1088,MATCH((B1324)&amp;('Remplissage - Sit. Init.'!$D$483),('Remplissage - Sit. Init.'!$C$473:$C$1088)&amp;('Remplissage - Sit. Init.'!$D$473:$D$1088),0),7))&gt;0,0,1)</f>
        <v>1</v>
      </c>
      <c r="H1324" s="28"/>
      <c r="I1324" s="27" t="str">
        <f>VLOOKUP(B1324,'Parcs types'!$B$65:$AA$120,2,FALSE)</f>
        <v>Automoteurs 1500-3000 tonnes H2 , ICE</v>
      </c>
      <c r="K1324" s="25" t="str">
        <f>I1324</f>
        <v>Automoteurs 1500-3000 tonnes H2 , ICE</v>
      </c>
    </row>
    <row r="1325" spans="1:11" s="25" customFormat="1" outlineLevel="1" x14ac:dyDescent="0.25">
      <c r="A1325" t="s">
        <v>1769</v>
      </c>
      <c r="B1325" s="25" t="s">
        <v>123</v>
      </c>
      <c r="C1325" s="25" t="s">
        <v>136</v>
      </c>
      <c r="E1325" s="25" t="str">
        <f t="shared" ref="E1325" si="1472">_xlfn.CONCAT("FretFluv",LEFT(B1325,3),RIGHT(B1324,2),"Type")</f>
        <v>FretFluvCat35Type</v>
      </c>
      <c r="F1325" s="25" t="s">
        <v>20</v>
      </c>
      <c r="G1325" s="25" cm="1">
        <f t="array" ref="G1325">IF((INDEX('Remplissage - Sit. Init.'!$C$473:$I$1088,MATCH((B1325)&amp;('Remplissage - Sit. Init.'!$D$483),('Remplissage - Sit. Init.'!$C$473:$C$1088)&amp;('Remplissage - Sit. Init.'!$D$473:$D$1088),0),7))&gt;0,0,1)</f>
        <v>1</v>
      </c>
      <c r="H1325" s="28"/>
      <c r="I1325" s="27" t="str">
        <f>VLOOKUP(B1325,'Parcs types'!$B$65:$AA$120,3,FALSE)</f>
        <v>Automoteurs</v>
      </c>
      <c r="K1325" s="25" t="str">
        <f t="shared" ref="K1325:K1327" si="1473">I1325</f>
        <v>Automoteurs</v>
      </c>
    </row>
    <row r="1326" spans="1:11" s="25" customFormat="1" outlineLevel="1" x14ac:dyDescent="0.25">
      <c r="A1326" t="s">
        <v>1769</v>
      </c>
      <c r="B1326" s="25" t="s">
        <v>123</v>
      </c>
      <c r="C1326" s="26" t="s">
        <v>137</v>
      </c>
      <c r="E1326" s="25" t="str">
        <f t="shared" ref="E1326" si="1474">_xlfn.CONCAT("FretFluv",LEFT(B1326,3),RIGHT(B1324,2),"Cap")</f>
        <v>FretFluvCat35Cap</v>
      </c>
      <c r="F1326" s="26" t="s">
        <v>36</v>
      </c>
      <c r="G1326" s="25" cm="1">
        <f t="array" ref="G1326">IF((INDEX('Remplissage - Sit. Init.'!$C$473:$I$1088,MATCH((B1326)&amp;('Remplissage - Sit. Init.'!$D$483),('Remplissage - Sit. Init.'!$C$473:$C$1088)&amp;('Remplissage - Sit. Init.'!$D$473:$D$1088),0),7))&gt;0,0,1)</f>
        <v>1</v>
      </c>
      <c r="H1326" s="28"/>
      <c r="I1326" s="27" t="str">
        <f>VLOOKUP(B1326,'Parcs types'!$B$65:$AA$120,4,FALSE)</f>
        <v>1500-3000 tonnes</v>
      </c>
      <c r="J1326" s="25" t="s">
        <v>524</v>
      </c>
      <c r="K1326" s="25" t="str">
        <f t="shared" si="1473"/>
        <v>1500-3000 tonnes</v>
      </c>
    </row>
    <row r="1327" spans="1:11" s="25" customFormat="1" outlineLevel="1" x14ac:dyDescent="0.25">
      <c r="A1327" t="s">
        <v>1769</v>
      </c>
      <c r="B1327" s="25" t="s">
        <v>123</v>
      </c>
      <c r="C1327" s="26" t="s">
        <v>525</v>
      </c>
      <c r="E1327" s="25" t="str">
        <f t="shared" ref="E1327" si="1475">_xlfn.CONCAT("FretFluv",LEFT(B1327,3),RIGHT(B1324,2),"Tech")</f>
        <v>FretFluvCat35Tech</v>
      </c>
      <c r="F1327" s="26" t="s">
        <v>20</v>
      </c>
      <c r="G1327" s="25" cm="1">
        <f t="array" ref="G1327">IF((INDEX('Remplissage - Sit. Init.'!$C$473:$I$1088,MATCH((B1327)&amp;('Remplissage - Sit. Init.'!$D$483),('Remplissage - Sit. Init.'!$C$473:$C$1088)&amp;('Remplissage - Sit. Init.'!$D$473:$D$1088),0),7))&gt;0,0,1)</f>
        <v>1</v>
      </c>
      <c r="H1327" s="28"/>
      <c r="I1327" s="27" t="str">
        <f>VLOOKUP(B1327,'Parcs types'!$B$65:$AA$120,5,FALSE)</f>
        <v>H2 , ICE</v>
      </c>
      <c r="K1327" s="25" t="str">
        <f t="shared" si="1473"/>
        <v>H2 , ICE</v>
      </c>
    </row>
    <row r="1328" spans="1:11" s="25" customFormat="1" outlineLevel="1" x14ac:dyDescent="0.25">
      <c r="A1328" t="s">
        <v>1769</v>
      </c>
      <c r="B1328" s="25" t="s">
        <v>123</v>
      </c>
      <c r="C1328" s="25" t="s">
        <v>140</v>
      </c>
      <c r="E1328" s="25" t="str">
        <f t="shared" ref="E1328" si="1476">_xlfn.CONCAT("FretFluv",LEFT(B1328,3),RIGHT(B1324,2),"Request")</f>
        <v>FretFluvCat35Request</v>
      </c>
      <c r="F1328" s="26" t="s">
        <v>20</v>
      </c>
      <c r="G1328" s="25" cm="1">
        <f t="array" ref="G1328">IF((INDEX('Remplissage - Sit. Init.'!$C$473:$I$1088,MATCH((B1328)&amp;('Remplissage - Sit. Init.'!$D$483),('Remplissage - Sit. Init.'!$C$473:$C$1088)&amp;('Remplissage - Sit. Init.'!$D$473:$D$1088),0),7))&gt;0,0,1)</f>
        <v>1</v>
      </c>
      <c r="I1328" s="27" t="s">
        <v>142</v>
      </c>
      <c r="K1328" s="28"/>
    </row>
    <row r="1329" spans="1:11" s="25" customFormat="1" outlineLevel="1" x14ac:dyDescent="0.25">
      <c r="A1329" t="s">
        <v>1769</v>
      </c>
      <c r="B1329" s="25" t="s">
        <v>123</v>
      </c>
      <c r="C1329" s="25" t="s">
        <v>144</v>
      </c>
      <c r="E1329" s="25" t="str">
        <f t="shared" ref="E1329" si="1477">_xlfn.CONCAT("FretFluv",LEFT(B1329,3),RIGHT(B1324,2),"NbTraj")</f>
        <v>FretFluvCat35NbTraj</v>
      </c>
      <c r="F1329" s="25" t="s">
        <v>17</v>
      </c>
      <c r="G1329" s="25" cm="1">
        <f t="array" ref="G1329">IF((INDEX('Remplissage - Sit. Init.'!$C$473:$I$1088,MATCH((B1329)&amp;('Remplissage - Sit. Init.'!$D$483),('Remplissage - Sit. Init.'!$C$473:$C$1088)&amp;('Remplissage - Sit. Init.'!$D$473:$D$1088),0),7))&gt;0,0,1)</f>
        <v>1</v>
      </c>
      <c r="H1329" s="28"/>
      <c r="I1329" s="27"/>
      <c r="J1329" s="25" t="s">
        <v>145</v>
      </c>
      <c r="K1329" s="28"/>
    </row>
    <row r="1330" spans="1:11" s="25" customFormat="1" outlineLevel="1" x14ac:dyDescent="0.25">
      <c r="A1330" t="s">
        <v>1769</v>
      </c>
      <c r="B1330" s="25" t="s">
        <v>123</v>
      </c>
      <c r="C1330" s="25" t="s">
        <v>146</v>
      </c>
      <c r="E1330" s="25" t="str">
        <f t="shared" ref="E1330" si="1478">_xlfn.CONCAT("FretFluv",LEFT(B1330,3),RIGHT(B1324,2),"DistMoy")</f>
        <v>FretFluvCat35DistMoy</v>
      </c>
      <c r="F1330" s="25" t="s">
        <v>17</v>
      </c>
      <c r="G1330" s="25" cm="1">
        <f t="array" ref="G1330">IF((INDEX('Remplissage - Sit. Init.'!$C$473:$I$1088,MATCH((B1330)&amp;('Remplissage - Sit. Init.'!$D$483),('Remplissage - Sit. Init.'!$C$473:$C$1088)&amp;('Remplissage - Sit. Init.'!$D$473:$D$1088),0),7))&gt;0,0,1)</f>
        <v>1</v>
      </c>
      <c r="H1330" s="28"/>
      <c r="I1330" s="27"/>
      <c r="J1330" s="25" t="s">
        <v>88</v>
      </c>
      <c r="K1330" s="28"/>
    </row>
    <row r="1331" spans="1:11" s="25" customFormat="1" outlineLevel="1" x14ac:dyDescent="0.25">
      <c r="A1331" t="s">
        <v>1769</v>
      </c>
      <c r="B1331" s="25" t="s">
        <v>123</v>
      </c>
      <c r="C1331" s="25" t="s">
        <v>147</v>
      </c>
      <c r="E1331" s="25" t="str">
        <f t="shared" ref="E1331" si="1479">_xlfn.CONCAT("FretFluv",LEFT(B1331,3),RIGHT(B1324,2),"EmportMoy")</f>
        <v>FretFluvCat35EmportMoy</v>
      </c>
      <c r="F1331" s="25" t="s">
        <v>17</v>
      </c>
      <c r="G1331" s="25" cm="1">
        <f t="array" ref="G1331">IF((INDEX('Remplissage - Sit. Init.'!$C$473:$I$1088,MATCH((B1331)&amp;('Remplissage - Sit. Init.'!$D$483),('Remplissage - Sit. Init.'!$C$473:$C$1088)&amp;('Remplissage - Sit. Init.'!$D$473:$D$1088),0),7))&gt;0,0,1)</f>
        <v>1</v>
      </c>
      <c r="H1331" s="28"/>
      <c r="I1331" s="27"/>
      <c r="J1331" s="25" t="s">
        <v>148</v>
      </c>
      <c r="K1331" s="28"/>
    </row>
    <row r="1332" spans="1:11" s="25" customFormat="1" outlineLevel="1" x14ac:dyDescent="0.25">
      <c r="A1332" t="s">
        <v>1769</v>
      </c>
      <c r="B1332" s="25" t="s">
        <v>123</v>
      </c>
      <c r="C1332" s="25" t="s">
        <v>149</v>
      </c>
      <c r="E1332" s="25" t="str">
        <f t="shared" ref="E1332" si="1480">_xlfn.CONCAT("FretFluv",LEFT(B1332,3),RIGHT(B1324,2),"DistAn")</f>
        <v>FretFluvCat35DistAn</v>
      </c>
      <c r="F1332" s="25" t="s">
        <v>17</v>
      </c>
      <c r="G1332" s="25" cm="1">
        <f t="array" ref="G1332">IF((INDEX('Remplissage - Sit. Init.'!$C$473:$I$1088,MATCH((B1332)&amp;('Remplissage - Sit. Init.'!$D$483),('Remplissage - Sit. Init.'!$C$473:$C$1088)&amp;('Remplissage - Sit. Init.'!$D$473:$D$1088),0),7))&gt;0,0,1)</f>
        <v>1</v>
      </c>
      <c r="H1332" s="28"/>
      <c r="I1332" s="27"/>
      <c r="J1332" s="25" t="s">
        <v>88</v>
      </c>
    </row>
    <row r="1333" spans="1:11" s="25" customFormat="1" outlineLevel="1" x14ac:dyDescent="0.25">
      <c r="A1333" t="s">
        <v>1769</v>
      </c>
      <c r="B1333" s="25" t="s">
        <v>123</v>
      </c>
      <c r="C1333" s="25" t="s">
        <v>150</v>
      </c>
      <c r="E1333" s="25" t="str">
        <f t="shared" ref="E1333" si="1481">_xlfn.CONCAT("FretFluv",LEFT(B1333,3),RIGHT(B1324,2),"TauxChargeMoy")</f>
        <v>FretFluvCat35TauxChargeMoy</v>
      </c>
      <c r="F1333" s="25" t="s">
        <v>17</v>
      </c>
      <c r="G1333" s="25" cm="1">
        <f t="array" ref="G1333">IF((INDEX('Remplissage - Sit. Init.'!$C$473:$I$1088,MATCH((B1333)&amp;('Remplissage - Sit. Init.'!$D$483),('Remplissage - Sit. Init.'!$C$473:$C$1088)&amp;('Remplissage - Sit. Init.'!$D$473:$D$1088),0),7))&gt;0,0,1)</f>
        <v>1</v>
      </c>
      <c r="H1333" s="28"/>
      <c r="I1333" s="27"/>
      <c r="J1333" s="25" t="s">
        <v>70</v>
      </c>
    </row>
    <row r="1334" spans="1:11" s="25" customFormat="1" outlineLevel="1" x14ac:dyDescent="0.25">
      <c r="A1334" t="s">
        <v>1769</v>
      </c>
      <c r="B1334" s="25" t="s">
        <v>123</v>
      </c>
      <c r="C1334" s="26" t="s">
        <v>526</v>
      </c>
      <c r="E1334" s="25" t="str">
        <f t="shared" ref="E1334" si="1482">_xlfn.CONCAT("FretFluv",LEFT(B1334,3),RIGHT(B1324,2),"NbBarges")</f>
        <v>FretFluvCat35NbBarges</v>
      </c>
      <c r="F1334" s="25" t="s">
        <v>17</v>
      </c>
      <c r="G1334" s="25" cm="1">
        <f t="array" ref="G1334">IF((INDEX('Remplissage - Sit. Init.'!$C$473:$I$1088,MATCH((B1334)&amp;('Remplissage - Sit. Init.'!$D$483),('Remplissage - Sit. Init.'!$C$473:$C$1088)&amp;('Remplissage - Sit. Init.'!$D$473:$D$1088),0),7))&gt;0,0,1)</f>
        <v>1</v>
      </c>
      <c r="H1334" s="28"/>
      <c r="I1334" s="27"/>
      <c r="J1334" s="25" t="s">
        <v>151</v>
      </c>
    </row>
    <row r="1335" spans="1:11" s="25" customFormat="1" outlineLevel="1" x14ac:dyDescent="0.25">
      <c r="A1335" t="s">
        <v>1769</v>
      </c>
      <c r="B1335" s="25" t="s">
        <v>124</v>
      </c>
      <c r="C1335" s="25" t="s">
        <v>135</v>
      </c>
      <c r="E1335" s="25" t="str">
        <f t="shared" ref="E1335" si="1483">_xlfn.CONCAT("FretFluv",LEFT(B1335,3),RIGHT(B1335,2),"Nom")</f>
        <v>FretFluvCat36Nom</v>
      </c>
      <c r="F1335" s="26" t="s">
        <v>20</v>
      </c>
      <c r="G1335" s="25" cm="1">
        <f t="array" ref="G1335">IF((INDEX('Remplissage - Sit. Init.'!$C$473:$I$1088,MATCH((B1335)&amp;('Remplissage - Sit. Init.'!$D$483),('Remplissage - Sit. Init.'!$C$473:$C$1088)&amp;('Remplissage - Sit. Init.'!$D$473:$D$1088),0),7))&gt;0,0,1)</f>
        <v>1</v>
      </c>
      <c r="H1335" s="28"/>
      <c r="I1335" s="27" t="str">
        <f>VLOOKUP(B1335,'Parcs types'!$B$65:$AA$120,2,FALSE)</f>
        <v>Automoteurs &gt;3000 tonnes CCNR 2 ou inférieur, diesel</v>
      </c>
      <c r="K1335" s="25" t="str">
        <f>I1335</f>
        <v>Automoteurs &gt;3000 tonnes CCNR 2 ou inférieur, diesel</v>
      </c>
    </row>
    <row r="1336" spans="1:11" s="25" customFormat="1" outlineLevel="1" x14ac:dyDescent="0.25">
      <c r="A1336" t="s">
        <v>1769</v>
      </c>
      <c r="B1336" s="25" t="s">
        <v>124</v>
      </c>
      <c r="C1336" s="25" t="s">
        <v>136</v>
      </c>
      <c r="E1336" s="25" t="str">
        <f t="shared" ref="E1336" si="1484">_xlfn.CONCAT("FretFluv",LEFT(B1336,3),RIGHT(B1335,2),"Type")</f>
        <v>FretFluvCat36Type</v>
      </c>
      <c r="F1336" s="25" t="s">
        <v>20</v>
      </c>
      <c r="G1336" s="25" cm="1">
        <f t="array" ref="G1336">IF((INDEX('Remplissage - Sit. Init.'!$C$473:$I$1088,MATCH((B1336)&amp;('Remplissage - Sit. Init.'!$D$483),('Remplissage - Sit. Init.'!$C$473:$C$1088)&amp;('Remplissage - Sit. Init.'!$D$473:$D$1088),0),7))&gt;0,0,1)</f>
        <v>1</v>
      </c>
      <c r="H1336" s="28"/>
      <c r="I1336" s="27" t="str">
        <f>VLOOKUP(B1336,'Parcs types'!$B$65:$AA$120,3,FALSE)</f>
        <v>Automoteurs</v>
      </c>
      <c r="K1336" s="25" t="str">
        <f t="shared" ref="K1336:K1338" si="1485">I1336</f>
        <v>Automoteurs</v>
      </c>
    </row>
    <row r="1337" spans="1:11" s="25" customFormat="1" outlineLevel="1" x14ac:dyDescent="0.25">
      <c r="A1337" t="s">
        <v>1769</v>
      </c>
      <c r="B1337" s="25" t="s">
        <v>124</v>
      </c>
      <c r="C1337" s="26" t="s">
        <v>137</v>
      </c>
      <c r="E1337" s="25" t="str">
        <f t="shared" ref="E1337" si="1486">_xlfn.CONCAT("FretFluv",LEFT(B1337,3),RIGHT(B1335,2),"Cap")</f>
        <v>FretFluvCat36Cap</v>
      </c>
      <c r="F1337" s="26" t="s">
        <v>36</v>
      </c>
      <c r="G1337" s="25" cm="1">
        <f t="array" ref="G1337">IF((INDEX('Remplissage - Sit. Init.'!$C$473:$I$1088,MATCH((B1337)&amp;('Remplissage - Sit. Init.'!$D$483),('Remplissage - Sit. Init.'!$C$473:$C$1088)&amp;('Remplissage - Sit. Init.'!$D$473:$D$1088),0),7))&gt;0,0,1)</f>
        <v>1</v>
      </c>
      <c r="H1337" s="28"/>
      <c r="I1337" s="27" t="str">
        <f>VLOOKUP(B1337,'Parcs types'!$B$65:$AA$120,4,FALSE)</f>
        <v>&gt;3000 tonnes</v>
      </c>
      <c r="J1337" s="25" t="s">
        <v>524</v>
      </c>
      <c r="K1337" s="25" t="str">
        <f t="shared" si="1485"/>
        <v>&gt;3000 tonnes</v>
      </c>
    </row>
    <row r="1338" spans="1:11" s="25" customFormat="1" outlineLevel="1" x14ac:dyDescent="0.25">
      <c r="A1338" t="s">
        <v>1769</v>
      </c>
      <c r="B1338" s="25" t="s">
        <v>124</v>
      </c>
      <c r="C1338" s="26" t="s">
        <v>525</v>
      </c>
      <c r="E1338" s="25" t="str">
        <f t="shared" ref="E1338" si="1487">_xlfn.CONCAT("FretFluv",LEFT(B1338,3),RIGHT(B1335,2),"Tech")</f>
        <v>FretFluvCat36Tech</v>
      </c>
      <c r="F1338" s="26" t="s">
        <v>20</v>
      </c>
      <c r="G1338" s="25" cm="1">
        <f t="array" ref="G1338">IF((INDEX('Remplissage - Sit. Init.'!$C$473:$I$1088,MATCH((B1338)&amp;('Remplissage - Sit. Init.'!$D$483),('Remplissage - Sit. Init.'!$C$473:$C$1088)&amp;('Remplissage - Sit. Init.'!$D$473:$D$1088),0),7))&gt;0,0,1)</f>
        <v>1</v>
      </c>
      <c r="H1338" s="28"/>
      <c r="I1338" s="27" t="str">
        <f>VLOOKUP(B1338,'Parcs types'!$B$65:$AA$120,5,FALSE)</f>
        <v>CCNR 2 ou inférieur, diesel</v>
      </c>
      <c r="K1338" s="25" t="str">
        <f t="shared" si="1485"/>
        <v>CCNR 2 ou inférieur, diesel</v>
      </c>
    </row>
    <row r="1339" spans="1:11" s="25" customFormat="1" outlineLevel="1" x14ac:dyDescent="0.25">
      <c r="A1339" t="s">
        <v>1769</v>
      </c>
      <c r="B1339" s="25" t="s">
        <v>124</v>
      </c>
      <c r="C1339" s="25" t="s">
        <v>140</v>
      </c>
      <c r="E1339" s="25" t="str">
        <f t="shared" ref="E1339" si="1488">_xlfn.CONCAT("FretFluv",LEFT(B1339,3),RIGHT(B1335,2),"Request")</f>
        <v>FretFluvCat36Request</v>
      </c>
      <c r="F1339" s="26" t="s">
        <v>20</v>
      </c>
      <c r="G1339" s="25" cm="1">
        <f t="array" ref="G1339">IF((INDEX('Remplissage - Sit. Init.'!$C$473:$I$1088,MATCH((B1339)&amp;('Remplissage - Sit. Init.'!$D$483),('Remplissage - Sit. Init.'!$C$473:$C$1088)&amp;('Remplissage - Sit. Init.'!$D$473:$D$1088),0),7))&gt;0,0,1)</f>
        <v>1</v>
      </c>
      <c r="I1339" s="27" t="s">
        <v>142</v>
      </c>
      <c r="K1339" s="28"/>
    </row>
    <row r="1340" spans="1:11" s="25" customFormat="1" outlineLevel="1" x14ac:dyDescent="0.25">
      <c r="A1340" t="s">
        <v>1769</v>
      </c>
      <c r="B1340" s="25" t="s">
        <v>124</v>
      </c>
      <c r="C1340" s="25" t="s">
        <v>144</v>
      </c>
      <c r="E1340" s="25" t="str">
        <f t="shared" ref="E1340" si="1489">_xlfn.CONCAT("FretFluv",LEFT(B1340,3),RIGHT(B1335,2),"NbTraj")</f>
        <v>FretFluvCat36NbTraj</v>
      </c>
      <c r="F1340" s="25" t="s">
        <v>17</v>
      </c>
      <c r="G1340" s="25" cm="1">
        <f t="array" ref="G1340">IF((INDEX('Remplissage - Sit. Init.'!$C$473:$I$1088,MATCH((B1340)&amp;('Remplissage - Sit. Init.'!$D$483),('Remplissage - Sit. Init.'!$C$473:$C$1088)&amp;('Remplissage - Sit. Init.'!$D$473:$D$1088),0),7))&gt;0,0,1)</f>
        <v>1</v>
      </c>
      <c r="H1340" s="28"/>
      <c r="I1340" s="27"/>
      <c r="J1340" s="25" t="s">
        <v>145</v>
      </c>
      <c r="K1340" s="28"/>
    </row>
    <row r="1341" spans="1:11" s="25" customFormat="1" outlineLevel="1" x14ac:dyDescent="0.25">
      <c r="A1341" t="s">
        <v>1769</v>
      </c>
      <c r="B1341" s="25" t="s">
        <v>124</v>
      </c>
      <c r="C1341" s="25" t="s">
        <v>146</v>
      </c>
      <c r="E1341" s="25" t="str">
        <f t="shared" ref="E1341" si="1490">_xlfn.CONCAT("FretFluv",LEFT(B1341,3),RIGHT(B1335,2),"DistMoy")</f>
        <v>FretFluvCat36DistMoy</v>
      </c>
      <c r="F1341" s="25" t="s">
        <v>17</v>
      </c>
      <c r="G1341" s="25" cm="1">
        <f t="array" ref="G1341">IF((INDEX('Remplissage - Sit. Init.'!$C$473:$I$1088,MATCH((B1341)&amp;('Remplissage - Sit. Init.'!$D$483),('Remplissage - Sit. Init.'!$C$473:$C$1088)&amp;('Remplissage - Sit. Init.'!$D$473:$D$1088),0),7))&gt;0,0,1)</f>
        <v>1</v>
      </c>
      <c r="H1341" s="28"/>
      <c r="I1341" s="27"/>
      <c r="J1341" s="25" t="s">
        <v>88</v>
      </c>
      <c r="K1341" s="28"/>
    </row>
    <row r="1342" spans="1:11" s="25" customFormat="1" outlineLevel="1" x14ac:dyDescent="0.25">
      <c r="A1342" t="s">
        <v>1769</v>
      </c>
      <c r="B1342" s="25" t="s">
        <v>124</v>
      </c>
      <c r="C1342" s="25" t="s">
        <v>147</v>
      </c>
      <c r="E1342" s="25" t="str">
        <f t="shared" ref="E1342" si="1491">_xlfn.CONCAT("FretFluv",LEFT(B1342,3),RIGHT(B1335,2),"EmportMoy")</f>
        <v>FretFluvCat36EmportMoy</v>
      </c>
      <c r="F1342" s="25" t="s">
        <v>17</v>
      </c>
      <c r="G1342" s="25" cm="1">
        <f t="array" ref="G1342">IF((INDEX('Remplissage - Sit. Init.'!$C$473:$I$1088,MATCH((B1342)&amp;('Remplissage - Sit. Init.'!$D$483),('Remplissage - Sit. Init.'!$C$473:$C$1088)&amp;('Remplissage - Sit. Init.'!$D$473:$D$1088),0),7))&gt;0,0,1)</f>
        <v>1</v>
      </c>
      <c r="H1342" s="28"/>
      <c r="I1342" s="27"/>
      <c r="J1342" s="25" t="s">
        <v>148</v>
      </c>
      <c r="K1342" s="28"/>
    </row>
    <row r="1343" spans="1:11" s="25" customFormat="1" outlineLevel="1" x14ac:dyDescent="0.25">
      <c r="A1343" t="s">
        <v>1769</v>
      </c>
      <c r="B1343" s="25" t="s">
        <v>124</v>
      </c>
      <c r="C1343" s="25" t="s">
        <v>149</v>
      </c>
      <c r="E1343" s="25" t="str">
        <f t="shared" ref="E1343" si="1492">_xlfn.CONCAT("FretFluv",LEFT(B1343,3),RIGHT(B1335,2),"DistAn")</f>
        <v>FretFluvCat36DistAn</v>
      </c>
      <c r="F1343" s="25" t="s">
        <v>17</v>
      </c>
      <c r="G1343" s="25" cm="1">
        <f t="array" ref="G1343">IF((INDEX('Remplissage - Sit. Init.'!$C$473:$I$1088,MATCH((B1343)&amp;('Remplissage - Sit. Init.'!$D$483),('Remplissage - Sit. Init.'!$C$473:$C$1088)&amp;('Remplissage - Sit. Init.'!$D$473:$D$1088),0),7))&gt;0,0,1)</f>
        <v>1</v>
      </c>
      <c r="H1343" s="28"/>
      <c r="I1343" s="27"/>
      <c r="J1343" s="25" t="s">
        <v>88</v>
      </c>
      <c r="K1343" s="28"/>
    </row>
    <row r="1344" spans="1:11" s="25" customFormat="1" outlineLevel="1" x14ac:dyDescent="0.25">
      <c r="A1344" t="s">
        <v>1769</v>
      </c>
      <c r="B1344" s="25" t="s">
        <v>124</v>
      </c>
      <c r="C1344" s="25" t="s">
        <v>150</v>
      </c>
      <c r="E1344" s="25" t="str">
        <f t="shared" ref="E1344" si="1493">_xlfn.CONCAT("FretFluv",LEFT(B1344,3),RIGHT(B1335,2),"TauxChargeMoy")</f>
        <v>FretFluvCat36TauxChargeMoy</v>
      </c>
      <c r="F1344" s="25" t="s">
        <v>17</v>
      </c>
      <c r="G1344" s="25" cm="1">
        <f t="array" ref="G1344">IF((INDEX('Remplissage - Sit. Init.'!$C$473:$I$1088,MATCH((B1344)&amp;('Remplissage - Sit. Init.'!$D$483),('Remplissage - Sit. Init.'!$C$473:$C$1088)&amp;('Remplissage - Sit. Init.'!$D$473:$D$1088),0),7))&gt;0,0,1)</f>
        <v>1</v>
      </c>
      <c r="H1344" s="28"/>
      <c r="I1344" s="27"/>
      <c r="J1344" s="25" t="s">
        <v>70</v>
      </c>
      <c r="K1344" s="28"/>
    </row>
    <row r="1345" spans="1:11" s="25" customFormat="1" outlineLevel="1" x14ac:dyDescent="0.25">
      <c r="A1345" t="s">
        <v>1769</v>
      </c>
      <c r="B1345" s="25" t="s">
        <v>124</v>
      </c>
      <c r="C1345" s="26" t="s">
        <v>526</v>
      </c>
      <c r="E1345" s="25" t="str">
        <f t="shared" ref="E1345" si="1494">_xlfn.CONCAT("FretFluv",LEFT(B1345,3),RIGHT(B1335,2),"NbBarges")</f>
        <v>FretFluvCat36NbBarges</v>
      </c>
      <c r="F1345" s="25" t="s">
        <v>17</v>
      </c>
      <c r="G1345" s="25" cm="1">
        <f t="array" ref="G1345">IF((INDEX('Remplissage - Sit. Init.'!$C$473:$I$1088,MATCH((B1345)&amp;('Remplissage - Sit. Init.'!$D$483),('Remplissage - Sit. Init.'!$C$473:$C$1088)&amp;('Remplissage - Sit. Init.'!$D$473:$D$1088),0),7))&gt;0,0,1)</f>
        <v>1</v>
      </c>
      <c r="H1345" s="28"/>
      <c r="I1345" s="27"/>
      <c r="J1345" s="25" t="s">
        <v>151</v>
      </c>
      <c r="K1345" s="28"/>
    </row>
    <row r="1346" spans="1:11" s="25" customFormat="1" outlineLevel="1" x14ac:dyDescent="0.25">
      <c r="A1346" t="s">
        <v>1769</v>
      </c>
      <c r="B1346" s="25" t="s">
        <v>125</v>
      </c>
      <c r="C1346" s="25" t="s">
        <v>135</v>
      </c>
      <c r="E1346" s="25" t="str">
        <f t="shared" ref="E1346" si="1495">_xlfn.CONCAT("FretFluv",LEFT(B1346,3),RIGHT(B1346,2),"Nom")</f>
        <v>FretFluvCat37Nom</v>
      </c>
      <c r="F1346" s="26" t="s">
        <v>20</v>
      </c>
      <c r="G1346" s="25" cm="1">
        <f t="array" ref="G1346">IF((INDEX('Remplissage - Sit. Init.'!$C$473:$I$1088,MATCH((B1346)&amp;('Remplissage - Sit. Init.'!$D$483),('Remplissage - Sit. Init.'!$C$473:$C$1088)&amp;('Remplissage - Sit. Init.'!$D$473:$D$1088),0),7))&gt;0,0,1)</f>
        <v>1</v>
      </c>
      <c r="H1346" s="28"/>
      <c r="I1346" s="27" t="str">
        <f>VLOOKUP(B1346,'Parcs types'!$B$65:$AA$120,2,FALSE)</f>
        <v>Automoteurs &gt;3000 tonnes CCNR 2 + SCR, diesel</v>
      </c>
      <c r="K1346" s="25" t="str">
        <f>I1346</f>
        <v>Automoteurs &gt;3000 tonnes CCNR 2 + SCR, diesel</v>
      </c>
    </row>
    <row r="1347" spans="1:11" s="25" customFormat="1" outlineLevel="1" x14ac:dyDescent="0.25">
      <c r="A1347" t="s">
        <v>1769</v>
      </c>
      <c r="B1347" s="25" t="s">
        <v>125</v>
      </c>
      <c r="C1347" s="25" t="s">
        <v>136</v>
      </c>
      <c r="E1347" s="25" t="str">
        <f t="shared" ref="E1347" si="1496">_xlfn.CONCAT("FretFluv",LEFT(B1347,3),RIGHT(B1346,2),"Type")</f>
        <v>FretFluvCat37Type</v>
      </c>
      <c r="F1347" s="25" t="s">
        <v>20</v>
      </c>
      <c r="G1347" s="25" cm="1">
        <f t="array" ref="G1347">IF((INDEX('Remplissage - Sit. Init.'!$C$473:$I$1088,MATCH((B1347)&amp;('Remplissage - Sit. Init.'!$D$483),('Remplissage - Sit. Init.'!$C$473:$C$1088)&amp;('Remplissage - Sit. Init.'!$D$473:$D$1088),0),7))&gt;0,0,1)</f>
        <v>1</v>
      </c>
      <c r="H1347" s="28"/>
      <c r="I1347" s="27" t="str">
        <f>VLOOKUP(B1347,'Parcs types'!$B$65:$AA$120,3,FALSE)</f>
        <v>Automoteurs</v>
      </c>
      <c r="K1347" s="25" t="str">
        <f t="shared" ref="K1347:K1349" si="1497">I1347</f>
        <v>Automoteurs</v>
      </c>
    </row>
    <row r="1348" spans="1:11" s="25" customFormat="1" outlineLevel="1" x14ac:dyDescent="0.25">
      <c r="A1348" t="s">
        <v>1769</v>
      </c>
      <c r="B1348" s="25" t="s">
        <v>125</v>
      </c>
      <c r="C1348" s="26" t="s">
        <v>137</v>
      </c>
      <c r="E1348" s="25" t="str">
        <f t="shared" ref="E1348" si="1498">_xlfn.CONCAT("FretFluv",LEFT(B1348,3),RIGHT(B1346,2),"Cap")</f>
        <v>FretFluvCat37Cap</v>
      </c>
      <c r="F1348" s="26" t="s">
        <v>36</v>
      </c>
      <c r="G1348" s="25" cm="1">
        <f t="array" ref="G1348">IF((INDEX('Remplissage - Sit. Init.'!$C$473:$I$1088,MATCH((B1348)&amp;('Remplissage - Sit. Init.'!$D$483),('Remplissage - Sit. Init.'!$C$473:$C$1088)&amp;('Remplissage - Sit. Init.'!$D$473:$D$1088),0),7))&gt;0,0,1)</f>
        <v>1</v>
      </c>
      <c r="H1348" s="28"/>
      <c r="I1348" s="27" t="str">
        <f>VLOOKUP(B1348,'Parcs types'!$B$65:$AA$120,4,FALSE)</f>
        <v>&gt;3000 tonnes</v>
      </c>
      <c r="J1348" s="25" t="s">
        <v>524</v>
      </c>
      <c r="K1348" s="25" t="str">
        <f t="shared" si="1497"/>
        <v>&gt;3000 tonnes</v>
      </c>
    </row>
    <row r="1349" spans="1:11" s="25" customFormat="1" outlineLevel="1" x14ac:dyDescent="0.25">
      <c r="A1349" t="s">
        <v>1769</v>
      </c>
      <c r="B1349" s="25" t="s">
        <v>125</v>
      </c>
      <c r="C1349" s="26" t="s">
        <v>525</v>
      </c>
      <c r="E1349" s="25" t="str">
        <f t="shared" ref="E1349" si="1499">_xlfn.CONCAT("FretFluv",LEFT(B1349,3),RIGHT(B1346,2),"Tech")</f>
        <v>FretFluvCat37Tech</v>
      </c>
      <c r="F1349" s="26" t="s">
        <v>20</v>
      </c>
      <c r="G1349" s="25" cm="1">
        <f t="array" ref="G1349">IF((INDEX('Remplissage - Sit. Init.'!$C$473:$I$1088,MATCH((B1349)&amp;('Remplissage - Sit. Init.'!$D$483),('Remplissage - Sit. Init.'!$C$473:$C$1088)&amp;('Remplissage - Sit. Init.'!$D$473:$D$1088),0),7))&gt;0,0,1)</f>
        <v>1</v>
      </c>
      <c r="H1349" s="28"/>
      <c r="I1349" s="27" t="str">
        <f>VLOOKUP(B1349,'Parcs types'!$B$65:$AA$120,5,FALSE)</f>
        <v>CCNR 2 + SCR, diesel</v>
      </c>
      <c r="K1349" s="25" t="str">
        <f t="shared" si="1497"/>
        <v>CCNR 2 + SCR, diesel</v>
      </c>
    </row>
    <row r="1350" spans="1:11" s="25" customFormat="1" outlineLevel="1" x14ac:dyDescent="0.25">
      <c r="A1350" t="s">
        <v>1769</v>
      </c>
      <c r="B1350" s="25" t="s">
        <v>125</v>
      </c>
      <c r="C1350" s="25" t="s">
        <v>140</v>
      </c>
      <c r="E1350" s="25" t="str">
        <f t="shared" ref="E1350" si="1500">_xlfn.CONCAT("FretFluv",LEFT(B1350,3),RIGHT(B1346,2),"Request")</f>
        <v>FretFluvCat37Request</v>
      </c>
      <c r="F1350" s="26" t="s">
        <v>20</v>
      </c>
      <c r="G1350" s="25" cm="1">
        <f t="array" ref="G1350">IF((INDEX('Remplissage - Sit. Init.'!$C$473:$I$1088,MATCH((B1350)&amp;('Remplissage - Sit. Init.'!$D$483),('Remplissage - Sit. Init.'!$C$473:$C$1088)&amp;('Remplissage - Sit. Init.'!$D$473:$D$1088),0),7))&gt;0,0,1)</f>
        <v>1</v>
      </c>
      <c r="I1350" s="27" t="s">
        <v>142</v>
      </c>
      <c r="K1350" s="28"/>
    </row>
    <row r="1351" spans="1:11" s="25" customFormat="1" outlineLevel="1" x14ac:dyDescent="0.25">
      <c r="A1351" t="s">
        <v>1769</v>
      </c>
      <c r="B1351" s="25" t="s">
        <v>125</v>
      </c>
      <c r="C1351" s="25" t="s">
        <v>144</v>
      </c>
      <c r="E1351" s="25" t="str">
        <f t="shared" ref="E1351" si="1501">_xlfn.CONCAT("FretFluv",LEFT(B1351,3),RIGHT(B1346,2),"NbTraj")</f>
        <v>FretFluvCat37NbTraj</v>
      </c>
      <c r="F1351" s="25" t="s">
        <v>17</v>
      </c>
      <c r="G1351" s="25" cm="1">
        <f t="array" ref="G1351">IF((INDEX('Remplissage - Sit. Init.'!$C$473:$I$1088,MATCH((B1351)&amp;('Remplissage - Sit. Init.'!$D$483),('Remplissage - Sit. Init.'!$C$473:$C$1088)&amp;('Remplissage - Sit. Init.'!$D$473:$D$1088),0),7))&gt;0,0,1)</f>
        <v>1</v>
      </c>
      <c r="H1351" s="28"/>
      <c r="I1351" s="27"/>
      <c r="J1351" s="25" t="s">
        <v>145</v>
      </c>
      <c r="K1351" s="28"/>
    </row>
    <row r="1352" spans="1:11" s="25" customFormat="1" outlineLevel="1" x14ac:dyDescent="0.25">
      <c r="A1352" t="s">
        <v>1769</v>
      </c>
      <c r="B1352" s="25" t="s">
        <v>125</v>
      </c>
      <c r="C1352" s="25" t="s">
        <v>146</v>
      </c>
      <c r="E1352" s="25" t="str">
        <f t="shared" ref="E1352" si="1502">_xlfn.CONCAT("FretFluv",LEFT(B1352,3),RIGHT(B1346,2),"DistMoy")</f>
        <v>FretFluvCat37DistMoy</v>
      </c>
      <c r="F1352" s="25" t="s">
        <v>17</v>
      </c>
      <c r="G1352" s="25" cm="1">
        <f t="array" ref="G1352">IF((INDEX('Remplissage - Sit. Init.'!$C$473:$I$1088,MATCH((B1352)&amp;('Remplissage - Sit. Init.'!$D$483),('Remplissage - Sit. Init.'!$C$473:$C$1088)&amp;('Remplissage - Sit. Init.'!$D$473:$D$1088),0),7))&gt;0,0,1)</f>
        <v>1</v>
      </c>
      <c r="H1352" s="28"/>
      <c r="I1352" s="27"/>
      <c r="J1352" s="25" t="s">
        <v>88</v>
      </c>
      <c r="K1352" s="28"/>
    </row>
    <row r="1353" spans="1:11" s="25" customFormat="1" outlineLevel="1" x14ac:dyDescent="0.25">
      <c r="A1353" t="s">
        <v>1769</v>
      </c>
      <c r="B1353" s="25" t="s">
        <v>125</v>
      </c>
      <c r="C1353" s="25" t="s">
        <v>147</v>
      </c>
      <c r="E1353" s="25" t="str">
        <f t="shared" ref="E1353" si="1503">_xlfn.CONCAT("FretFluv",LEFT(B1353,3),RIGHT(B1346,2),"EmportMoy")</f>
        <v>FretFluvCat37EmportMoy</v>
      </c>
      <c r="F1353" s="25" t="s">
        <v>17</v>
      </c>
      <c r="G1353" s="25" cm="1">
        <f t="array" ref="G1353">IF((INDEX('Remplissage - Sit. Init.'!$C$473:$I$1088,MATCH((B1353)&amp;('Remplissage - Sit. Init.'!$D$483),('Remplissage - Sit. Init.'!$C$473:$C$1088)&amp;('Remplissage - Sit. Init.'!$D$473:$D$1088),0),7))&gt;0,0,1)</f>
        <v>1</v>
      </c>
      <c r="H1353" s="28"/>
      <c r="I1353" s="27"/>
      <c r="J1353" s="25" t="s">
        <v>148</v>
      </c>
      <c r="K1353" s="28"/>
    </row>
    <row r="1354" spans="1:11" s="25" customFormat="1" outlineLevel="1" x14ac:dyDescent="0.25">
      <c r="A1354" t="s">
        <v>1769</v>
      </c>
      <c r="B1354" s="25" t="s">
        <v>125</v>
      </c>
      <c r="C1354" s="25" t="s">
        <v>149</v>
      </c>
      <c r="E1354" s="25" t="str">
        <f t="shared" ref="E1354" si="1504">_xlfn.CONCAT("FretFluv",LEFT(B1354,3),RIGHT(B1346,2),"DistAn")</f>
        <v>FretFluvCat37DistAn</v>
      </c>
      <c r="F1354" s="25" t="s">
        <v>17</v>
      </c>
      <c r="G1354" s="25" cm="1">
        <f t="array" ref="G1354">IF((INDEX('Remplissage - Sit. Init.'!$C$473:$I$1088,MATCH((B1354)&amp;('Remplissage - Sit. Init.'!$D$483),('Remplissage - Sit. Init.'!$C$473:$C$1088)&amp;('Remplissage - Sit. Init.'!$D$473:$D$1088),0),7))&gt;0,0,1)</f>
        <v>1</v>
      </c>
      <c r="H1354" s="28"/>
      <c r="I1354" s="27"/>
      <c r="J1354" s="25" t="s">
        <v>88</v>
      </c>
    </row>
    <row r="1355" spans="1:11" s="25" customFormat="1" outlineLevel="1" x14ac:dyDescent="0.25">
      <c r="A1355" t="s">
        <v>1769</v>
      </c>
      <c r="B1355" s="25" t="s">
        <v>125</v>
      </c>
      <c r="C1355" s="25" t="s">
        <v>150</v>
      </c>
      <c r="E1355" s="25" t="str">
        <f t="shared" ref="E1355" si="1505">_xlfn.CONCAT("FretFluv",LEFT(B1355,3),RIGHT(B1346,2),"TauxChargeMoy")</f>
        <v>FretFluvCat37TauxChargeMoy</v>
      </c>
      <c r="F1355" s="25" t="s">
        <v>17</v>
      </c>
      <c r="G1355" s="25" cm="1">
        <f t="array" ref="G1355">IF((INDEX('Remplissage - Sit. Init.'!$C$473:$I$1088,MATCH((B1355)&amp;('Remplissage - Sit. Init.'!$D$483),('Remplissage - Sit. Init.'!$C$473:$C$1088)&amp;('Remplissage - Sit. Init.'!$D$473:$D$1088),0),7))&gt;0,0,1)</f>
        <v>1</v>
      </c>
      <c r="H1355" s="28"/>
      <c r="I1355" s="27"/>
      <c r="J1355" s="25" t="s">
        <v>70</v>
      </c>
    </row>
    <row r="1356" spans="1:11" s="25" customFormat="1" outlineLevel="1" x14ac:dyDescent="0.25">
      <c r="A1356" t="s">
        <v>1769</v>
      </c>
      <c r="B1356" s="25" t="s">
        <v>125</v>
      </c>
      <c r="C1356" s="26" t="s">
        <v>526</v>
      </c>
      <c r="E1356" s="25" t="str">
        <f t="shared" ref="E1356" si="1506">_xlfn.CONCAT("FretFluv",LEFT(B1356,3),RIGHT(B1346,2),"NbBarges")</f>
        <v>FretFluvCat37NbBarges</v>
      </c>
      <c r="F1356" s="25" t="s">
        <v>17</v>
      </c>
      <c r="G1356" s="25" cm="1">
        <f t="array" ref="G1356">IF((INDEX('Remplissage - Sit. Init.'!$C$473:$I$1088,MATCH((B1356)&amp;('Remplissage - Sit. Init.'!$D$483),('Remplissage - Sit. Init.'!$C$473:$C$1088)&amp;('Remplissage - Sit. Init.'!$D$473:$D$1088),0),7))&gt;0,0,1)</f>
        <v>1</v>
      </c>
      <c r="H1356" s="28"/>
      <c r="I1356" s="27"/>
      <c r="J1356" s="25" t="s">
        <v>151</v>
      </c>
    </row>
    <row r="1357" spans="1:11" s="25" customFormat="1" outlineLevel="1" x14ac:dyDescent="0.25">
      <c r="A1357" t="s">
        <v>1769</v>
      </c>
      <c r="B1357" s="25" t="s">
        <v>126</v>
      </c>
      <c r="C1357" s="25" t="s">
        <v>135</v>
      </c>
      <c r="E1357" s="25" t="str">
        <f t="shared" ref="E1357" si="1507">_xlfn.CONCAT("FretFluv",LEFT(B1357,3),RIGHT(B1357,2),"Nom")</f>
        <v>FretFluvCat38Nom</v>
      </c>
      <c r="F1357" s="26" t="s">
        <v>20</v>
      </c>
      <c r="G1357" s="25" cm="1">
        <f t="array" ref="G1357">IF((INDEX('Remplissage - Sit. Init.'!$C$473:$I$1088,MATCH((B1357)&amp;('Remplissage - Sit. Init.'!$D$483),('Remplissage - Sit. Init.'!$C$473:$C$1088)&amp;('Remplissage - Sit. Init.'!$D$473:$D$1088),0),7))&gt;0,0,1)</f>
        <v>1</v>
      </c>
      <c r="H1357" s="28"/>
      <c r="I1357" s="27" t="str">
        <f>VLOOKUP(B1357,'Parcs types'!$B$65:$AA$120,2,FALSE)</f>
        <v>Automoteurs &gt;3000 tonnes Phase V, diesel</v>
      </c>
      <c r="K1357" s="25" t="str">
        <f>I1357</f>
        <v>Automoteurs &gt;3000 tonnes Phase V, diesel</v>
      </c>
    </row>
    <row r="1358" spans="1:11" s="25" customFormat="1" outlineLevel="1" x14ac:dyDescent="0.25">
      <c r="A1358" t="s">
        <v>1769</v>
      </c>
      <c r="B1358" s="25" t="s">
        <v>126</v>
      </c>
      <c r="C1358" s="25" t="s">
        <v>136</v>
      </c>
      <c r="E1358" s="25" t="str">
        <f t="shared" ref="E1358" si="1508">_xlfn.CONCAT("FretFluv",LEFT(B1358,3),RIGHT(B1357,2),"Type")</f>
        <v>FretFluvCat38Type</v>
      </c>
      <c r="F1358" s="25" t="s">
        <v>20</v>
      </c>
      <c r="G1358" s="25" cm="1">
        <f t="array" ref="G1358">IF((INDEX('Remplissage - Sit. Init.'!$C$473:$I$1088,MATCH((B1358)&amp;('Remplissage - Sit. Init.'!$D$483),('Remplissage - Sit. Init.'!$C$473:$C$1088)&amp;('Remplissage - Sit. Init.'!$D$473:$D$1088),0),7))&gt;0,0,1)</f>
        <v>1</v>
      </c>
      <c r="H1358" s="28"/>
      <c r="I1358" s="27" t="str">
        <f>VLOOKUP(B1358,'Parcs types'!$B$65:$AA$120,3,FALSE)</f>
        <v>Automoteurs</v>
      </c>
      <c r="K1358" s="25" t="str">
        <f t="shared" ref="K1358:K1360" si="1509">I1358</f>
        <v>Automoteurs</v>
      </c>
    </row>
    <row r="1359" spans="1:11" s="25" customFormat="1" outlineLevel="1" x14ac:dyDescent="0.25">
      <c r="A1359" t="s">
        <v>1769</v>
      </c>
      <c r="B1359" s="25" t="s">
        <v>126</v>
      </c>
      <c r="C1359" s="26" t="s">
        <v>137</v>
      </c>
      <c r="E1359" s="25" t="str">
        <f t="shared" ref="E1359" si="1510">_xlfn.CONCAT("FretFluv",LEFT(B1359,3),RIGHT(B1357,2),"Cap")</f>
        <v>FretFluvCat38Cap</v>
      </c>
      <c r="F1359" s="26" t="s">
        <v>36</v>
      </c>
      <c r="G1359" s="25" cm="1">
        <f t="array" ref="G1359">IF((INDEX('Remplissage - Sit. Init.'!$C$473:$I$1088,MATCH((B1359)&amp;('Remplissage - Sit. Init.'!$D$483),('Remplissage - Sit. Init.'!$C$473:$C$1088)&amp;('Remplissage - Sit. Init.'!$D$473:$D$1088),0),7))&gt;0,0,1)</f>
        <v>1</v>
      </c>
      <c r="H1359" s="28"/>
      <c r="I1359" s="27" t="str">
        <f>VLOOKUP(B1359,'Parcs types'!$B$65:$AA$120,4,FALSE)</f>
        <v>&gt;3000 tonnes</v>
      </c>
      <c r="J1359" s="25" t="s">
        <v>524</v>
      </c>
      <c r="K1359" s="25" t="str">
        <f t="shared" si="1509"/>
        <v>&gt;3000 tonnes</v>
      </c>
    </row>
    <row r="1360" spans="1:11" s="25" customFormat="1" outlineLevel="1" x14ac:dyDescent="0.25">
      <c r="A1360" t="s">
        <v>1769</v>
      </c>
      <c r="B1360" s="25" t="s">
        <v>126</v>
      </c>
      <c r="C1360" s="26" t="s">
        <v>525</v>
      </c>
      <c r="E1360" s="25" t="str">
        <f t="shared" ref="E1360" si="1511">_xlfn.CONCAT("FretFluv",LEFT(B1360,3),RIGHT(B1357,2),"Tech")</f>
        <v>FretFluvCat38Tech</v>
      </c>
      <c r="F1360" s="26" t="s">
        <v>20</v>
      </c>
      <c r="G1360" s="25" cm="1">
        <f t="array" ref="G1360">IF((INDEX('Remplissage - Sit. Init.'!$C$473:$I$1088,MATCH((B1360)&amp;('Remplissage - Sit. Init.'!$D$483),('Remplissage - Sit. Init.'!$C$473:$C$1088)&amp;('Remplissage - Sit. Init.'!$D$473:$D$1088),0),7))&gt;0,0,1)</f>
        <v>1</v>
      </c>
      <c r="H1360" s="28"/>
      <c r="I1360" s="27" t="str">
        <f>VLOOKUP(B1360,'Parcs types'!$B$65:$AA$120,5,FALSE)</f>
        <v>Phase V, diesel</v>
      </c>
      <c r="K1360" s="25" t="str">
        <f t="shared" si="1509"/>
        <v>Phase V, diesel</v>
      </c>
    </row>
    <row r="1361" spans="1:11" s="25" customFormat="1" outlineLevel="1" x14ac:dyDescent="0.25">
      <c r="A1361" t="s">
        <v>1769</v>
      </c>
      <c r="B1361" s="25" t="s">
        <v>126</v>
      </c>
      <c r="C1361" s="25" t="s">
        <v>140</v>
      </c>
      <c r="E1361" s="25" t="str">
        <f t="shared" ref="E1361" si="1512">_xlfn.CONCAT("FretFluv",LEFT(B1361,3),RIGHT(B1357,2),"Request")</f>
        <v>FretFluvCat38Request</v>
      </c>
      <c r="F1361" s="26" t="s">
        <v>20</v>
      </c>
      <c r="G1361" s="25" cm="1">
        <f t="array" ref="G1361">IF((INDEX('Remplissage - Sit. Init.'!$C$473:$I$1088,MATCH((B1361)&amp;('Remplissage - Sit. Init.'!$D$483),('Remplissage - Sit. Init.'!$C$473:$C$1088)&amp;('Remplissage - Sit. Init.'!$D$473:$D$1088),0),7))&gt;0,0,1)</f>
        <v>1</v>
      </c>
      <c r="I1361" s="27" t="s">
        <v>142</v>
      </c>
      <c r="K1361" s="28"/>
    </row>
    <row r="1362" spans="1:11" s="25" customFormat="1" outlineLevel="1" x14ac:dyDescent="0.25">
      <c r="A1362" t="s">
        <v>1769</v>
      </c>
      <c r="B1362" s="25" t="s">
        <v>126</v>
      </c>
      <c r="C1362" s="25" t="s">
        <v>144</v>
      </c>
      <c r="E1362" s="25" t="str">
        <f t="shared" ref="E1362" si="1513">_xlfn.CONCAT("FretFluv",LEFT(B1362,3),RIGHT(B1357,2),"NbTraj")</f>
        <v>FretFluvCat38NbTraj</v>
      </c>
      <c r="F1362" s="25" t="s">
        <v>17</v>
      </c>
      <c r="G1362" s="25" cm="1">
        <f t="array" ref="G1362">IF((INDEX('Remplissage - Sit. Init.'!$C$473:$I$1088,MATCH((B1362)&amp;('Remplissage - Sit. Init.'!$D$483),('Remplissage - Sit. Init.'!$C$473:$C$1088)&amp;('Remplissage - Sit. Init.'!$D$473:$D$1088),0),7))&gt;0,0,1)</f>
        <v>1</v>
      </c>
      <c r="H1362" s="28"/>
      <c r="I1362" s="27"/>
      <c r="J1362" s="25" t="s">
        <v>145</v>
      </c>
      <c r="K1362" s="28"/>
    </row>
    <row r="1363" spans="1:11" s="25" customFormat="1" outlineLevel="1" x14ac:dyDescent="0.25">
      <c r="A1363" t="s">
        <v>1769</v>
      </c>
      <c r="B1363" s="25" t="s">
        <v>126</v>
      </c>
      <c r="C1363" s="25" t="s">
        <v>146</v>
      </c>
      <c r="E1363" s="25" t="str">
        <f t="shared" ref="E1363" si="1514">_xlfn.CONCAT("FretFluv",LEFT(B1363,3),RIGHT(B1357,2),"DistMoy")</f>
        <v>FretFluvCat38DistMoy</v>
      </c>
      <c r="F1363" s="25" t="s">
        <v>17</v>
      </c>
      <c r="G1363" s="25" cm="1">
        <f t="array" ref="G1363">IF((INDEX('Remplissage - Sit. Init.'!$C$473:$I$1088,MATCH((B1363)&amp;('Remplissage - Sit. Init.'!$D$483),('Remplissage - Sit. Init.'!$C$473:$C$1088)&amp;('Remplissage - Sit. Init.'!$D$473:$D$1088),0),7))&gt;0,0,1)</f>
        <v>1</v>
      </c>
      <c r="H1363" s="28"/>
      <c r="I1363" s="27"/>
      <c r="J1363" s="25" t="s">
        <v>88</v>
      </c>
      <c r="K1363" s="28"/>
    </row>
    <row r="1364" spans="1:11" s="25" customFormat="1" outlineLevel="1" x14ac:dyDescent="0.25">
      <c r="A1364" t="s">
        <v>1769</v>
      </c>
      <c r="B1364" s="25" t="s">
        <v>126</v>
      </c>
      <c r="C1364" s="25" t="s">
        <v>147</v>
      </c>
      <c r="E1364" s="25" t="str">
        <f t="shared" ref="E1364" si="1515">_xlfn.CONCAT("FretFluv",LEFT(B1364,3),RIGHT(B1357,2),"EmportMoy")</f>
        <v>FretFluvCat38EmportMoy</v>
      </c>
      <c r="F1364" s="25" t="s">
        <v>17</v>
      </c>
      <c r="G1364" s="25" cm="1">
        <f t="array" ref="G1364">IF((INDEX('Remplissage - Sit. Init.'!$C$473:$I$1088,MATCH((B1364)&amp;('Remplissage - Sit. Init.'!$D$483),('Remplissage - Sit. Init.'!$C$473:$C$1088)&amp;('Remplissage - Sit. Init.'!$D$473:$D$1088),0),7))&gt;0,0,1)</f>
        <v>1</v>
      </c>
      <c r="H1364" s="28"/>
      <c r="I1364" s="27"/>
      <c r="J1364" s="25" t="s">
        <v>148</v>
      </c>
      <c r="K1364" s="28"/>
    </row>
    <row r="1365" spans="1:11" s="25" customFormat="1" outlineLevel="1" x14ac:dyDescent="0.25">
      <c r="A1365" t="s">
        <v>1769</v>
      </c>
      <c r="B1365" s="25" t="s">
        <v>126</v>
      </c>
      <c r="C1365" s="25" t="s">
        <v>149</v>
      </c>
      <c r="E1365" s="25" t="str">
        <f t="shared" ref="E1365" si="1516">_xlfn.CONCAT("FretFluv",LEFT(B1365,3),RIGHT(B1357,2),"DistAn")</f>
        <v>FretFluvCat38DistAn</v>
      </c>
      <c r="F1365" s="25" t="s">
        <v>17</v>
      </c>
      <c r="G1365" s="25" cm="1">
        <f t="array" ref="G1365">IF((INDEX('Remplissage - Sit. Init.'!$C$473:$I$1088,MATCH((B1365)&amp;('Remplissage - Sit. Init.'!$D$483),('Remplissage - Sit. Init.'!$C$473:$C$1088)&amp;('Remplissage - Sit. Init.'!$D$473:$D$1088),0),7))&gt;0,0,1)</f>
        <v>1</v>
      </c>
      <c r="H1365" s="28"/>
      <c r="I1365" s="27"/>
      <c r="J1365" s="25" t="s">
        <v>88</v>
      </c>
      <c r="K1365" s="28"/>
    </row>
    <row r="1366" spans="1:11" s="25" customFormat="1" outlineLevel="1" x14ac:dyDescent="0.25">
      <c r="A1366" t="s">
        <v>1769</v>
      </c>
      <c r="B1366" s="25" t="s">
        <v>126</v>
      </c>
      <c r="C1366" s="25" t="s">
        <v>150</v>
      </c>
      <c r="E1366" s="25" t="str">
        <f t="shared" ref="E1366" si="1517">_xlfn.CONCAT("FretFluv",LEFT(B1366,3),RIGHT(B1357,2),"TauxChargeMoy")</f>
        <v>FretFluvCat38TauxChargeMoy</v>
      </c>
      <c r="F1366" s="25" t="s">
        <v>17</v>
      </c>
      <c r="G1366" s="25" cm="1">
        <f t="array" ref="G1366">IF((INDEX('Remplissage - Sit. Init.'!$C$473:$I$1088,MATCH((B1366)&amp;('Remplissage - Sit. Init.'!$D$483),('Remplissage - Sit. Init.'!$C$473:$C$1088)&amp;('Remplissage - Sit. Init.'!$D$473:$D$1088),0),7))&gt;0,0,1)</f>
        <v>1</v>
      </c>
      <c r="H1366" s="28"/>
      <c r="I1366" s="27"/>
      <c r="J1366" s="25" t="s">
        <v>70</v>
      </c>
      <c r="K1366" s="28"/>
    </row>
    <row r="1367" spans="1:11" s="25" customFormat="1" outlineLevel="1" x14ac:dyDescent="0.25">
      <c r="A1367" t="s">
        <v>1769</v>
      </c>
      <c r="B1367" s="25" t="s">
        <v>126</v>
      </c>
      <c r="C1367" s="26" t="s">
        <v>526</v>
      </c>
      <c r="E1367" s="25" t="str">
        <f t="shared" ref="E1367" si="1518">_xlfn.CONCAT("FretFluv",LEFT(B1367,3),RIGHT(B1357,2),"NbBarges")</f>
        <v>FretFluvCat38NbBarges</v>
      </c>
      <c r="F1367" s="25" t="s">
        <v>17</v>
      </c>
      <c r="G1367" s="25" cm="1">
        <f t="array" ref="G1367">IF((INDEX('Remplissage - Sit. Init.'!$C$473:$I$1088,MATCH((B1367)&amp;('Remplissage - Sit. Init.'!$D$483),('Remplissage - Sit. Init.'!$C$473:$C$1088)&amp;('Remplissage - Sit. Init.'!$D$473:$D$1088),0),7))&gt;0,0,1)</f>
        <v>1</v>
      </c>
      <c r="H1367" s="28"/>
      <c r="I1367" s="27"/>
      <c r="J1367" s="25" t="s">
        <v>151</v>
      </c>
      <c r="K1367" s="28"/>
    </row>
    <row r="1368" spans="1:11" s="25" customFormat="1" outlineLevel="1" x14ac:dyDescent="0.25">
      <c r="A1368" t="s">
        <v>1769</v>
      </c>
      <c r="B1368" s="25" t="s">
        <v>127</v>
      </c>
      <c r="C1368" s="25" t="s">
        <v>135</v>
      </c>
      <c r="E1368" s="25" t="str">
        <f t="shared" ref="E1368" si="1519">_xlfn.CONCAT("FretFluv",LEFT(B1368,3),RIGHT(B1368,2),"Nom")</f>
        <v>FretFluvCat39Nom</v>
      </c>
      <c r="F1368" s="26" t="s">
        <v>20</v>
      </c>
      <c r="G1368" s="25" cm="1">
        <f t="array" ref="G1368">IF((INDEX('Remplissage - Sit. Init.'!$C$473:$I$1088,MATCH((B1368)&amp;('Remplissage - Sit. Init.'!$D$483),('Remplissage - Sit. Init.'!$C$473:$C$1088)&amp;('Remplissage - Sit. Init.'!$D$473:$D$1088),0),7))&gt;0,0,1)</f>
        <v>1</v>
      </c>
      <c r="H1368" s="28"/>
      <c r="I1368" s="27" t="str">
        <f>VLOOKUP(B1368,'Parcs types'!$B$65:$AA$120,2,FALSE)</f>
        <v>Automoteurs &gt;3000 tonnes Phase V, HVO</v>
      </c>
      <c r="K1368" s="25" t="str">
        <f>I1368</f>
        <v>Automoteurs &gt;3000 tonnes Phase V, HVO</v>
      </c>
    </row>
    <row r="1369" spans="1:11" s="25" customFormat="1" outlineLevel="1" x14ac:dyDescent="0.25">
      <c r="A1369" t="s">
        <v>1769</v>
      </c>
      <c r="B1369" s="25" t="s">
        <v>127</v>
      </c>
      <c r="C1369" s="25" t="s">
        <v>136</v>
      </c>
      <c r="E1369" s="25" t="str">
        <f t="shared" ref="E1369" si="1520">_xlfn.CONCAT("FretFluv",LEFT(B1369,3),RIGHT(B1368,2),"Type")</f>
        <v>FretFluvCat39Type</v>
      </c>
      <c r="F1369" s="25" t="s">
        <v>20</v>
      </c>
      <c r="G1369" s="25" cm="1">
        <f t="array" ref="G1369">IF((INDEX('Remplissage - Sit. Init.'!$C$473:$I$1088,MATCH((B1369)&amp;('Remplissage - Sit. Init.'!$D$483),('Remplissage - Sit. Init.'!$C$473:$C$1088)&amp;('Remplissage - Sit. Init.'!$D$473:$D$1088),0),7))&gt;0,0,1)</f>
        <v>1</v>
      </c>
      <c r="I1369" s="27" t="str">
        <f>VLOOKUP(B1369,'Parcs types'!$B$65:$AA$120,3,FALSE)</f>
        <v>Automoteurs</v>
      </c>
      <c r="K1369" s="25" t="str">
        <f t="shared" ref="K1369:K1371" si="1521">I1369</f>
        <v>Automoteurs</v>
      </c>
    </row>
    <row r="1370" spans="1:11" s="25" customFormat="1" outlineLevel="1" x14ac:dyDescent="0.25">
      <c r="A1370" t="s">
        <v>1769</v>
      </c>
      <c r="B1370" s="25" t="s">
        <v>127</v>
      </c>
      <c r="C1370" s="26" t="s">
        <v>137</v>
      </c>
      <c r="E1370" s="25" t="str">
        <f t="shared" ref="E1370" si="1522">_xlfn.CONCAT("FretFluv",LEFT(B1370,3),RIGHT(B1368,2),"Cap")</f>
        <v>FretFluvCat39Cap</v>
      </c>
      <c r="F1370" s="26" t="s">
        <v>36</v>
      </c>
      <c r="G1370" s="25" cm="1">
        <f t="array" ref="G1370">IF((INDEX('Remplissage - Sit. Init.'!$C$473:$I$1088,MATCH((B1370)&amp;('Remplissage - Sit. Init.'!$D$483),('Remplissage - Sit. Init.'!$C$473:$C$1088)&amp;('Remplissage - Sit. Init.'!$D$473:$D$1088),0),7))&gt;0,0,1)</f>
        <v>1</v>
      </c>
      <c r="I1370" s="27" t="str">
        <f>VLOOKUP(B1370,'Parcs types'!$B$65:$AA$120,4,FALSE)</f>
        <v>&gt;3000 tonnes</v>
      </c>
      <c r="J1370" s="25" t="s">
        <v>524</v>
      </c>
      <c r="K1370" s="25" t="str">
        <f t="shared" si="1521"/>
        <v>&gt;3000 tonnes</v>
      </c>
    </row>
    <row r="1371" spans="1:11" s="25" customFormat="1" outlineLevel="1" x14ac:dyDescent="0.25">
      <c r="A1371" t="s">
        <v>1769</v>
      </c>
      <c r="B1371" s="25" t="s">
        <v>127</v>
      </c>
      <c r="C1371" s="26" t="s">
        <v>525</v>
      </c>
      <c r="E1371" s="25" t="str">
        <f t="shared" ref="E1371" si="1523">_xlfn.CONCAT("FretFluv",LEFT(B1371,3),RIGHT(B1368,2),"Tech")</f>
        <v>FretFluvCat39Tech</v>
      </c>
      <c r="F1371" s="26" t="s">
        <v>20</v>
      </c>
      <c r="G1371" s="25" cm="1">
        <f t="array" ref="G1371">IF((INDEX('Remplissage - Sit. Init.'!$C$473:$I$1088,MATCH((B1371)&amp;('Remplissage - Sit. Init.'!$D$483),('Remplissage - Sit. Init.'!$C$473:$C$1088)&amp;('Remplissage - Sit. Init.'!$D$473:$D$1088),0),7))&gt;0,0,1)</f>
        <v>1</v>
      </c>
      <c r="I1371" s="27" t="str">
        <f>VLOOKUP(B1371,'Parcs types'!$B$65:$AA$120,5,FALSE)</f>
        <v>Phase V, HVO</v>
      </c>
      <c r="K1371" s="25" t="str">
        <f t="shared" si="1521"/>
        <v>Phase V, HVO</v>
      </c>
    </row>
    <row r="1372" spans="1:11" s="25" customFormat="1" outlineLevel="1" x14ac:dyDescent="0.25">
      <c r="A1372" t="s">
        <v>1769</v>
      </c>
      <c r="B1372" s="25" t="s">
        <v>127</v>
      </c>
      <c r="C1372" s="25" t="s">
        <v>140</v>
      </c>
      <c r="E1372" s="25" t="str">
        <f t="shared" ref="E1372" si="1524">_xlfn.CONCAT("FretFluv",LEFT(B1372,3),RIGHT(B1368,2),"Request")</f>
        <v>FretFluvCat39Request</v>
      </c>
      <c r="F1372" s="26" t="s">
        <v>20</v>
      </c>
      <c r="G1372" s="25" cm="1">
        <f t="array" ref="G1372">IF((INDEX('Remplissage - Sit. Init.'!$C$473:$I$1088,MATCH((B1372)&amp;('Remplissage - Sit. Init.'!$D$483),('Remplissage - Sit. Init.'!$C$473:$C$1088)&amp;('Remplissage - Sit. Init.'!$D$473:$D$1088),0),7))&gt;0,0,1)</f>
        <v>1</v>
      </c>
      <c r="I1372" s="27" t="s">
        <v>142</v>
      </c>
      <c r="K1372" s="28"/>
    </row>
    <row r="1373" spans="1:11" s="25" customFormat="1" outlineLevel="1" x14ac:dyDescent="0.25">
      <c r="A1373" t="s">
        <v>1769</v>
      </c>
      <c r="B1373" s="25" t="s">
        <v>127</v>
      </c>
      <c r="C1373" s="25" t="s">
        <v>144</v>
      </c>
      <c r="E1373" s="25" t="str">
        <f t="shared" ref="E1373" si="1525">_xlfn.CONCAT("FretFluv",LEFT(B1373,3),RIGHT(B1368,2),"NbTraj")</f>
        <v>FretFluvCat39NbTraj</v>
      </c>
      <c r="F1373" s="25" t="s">
        <v>17</v>
      </c>
      <c r="G1373" s="25" cm="1">
        <f t="array" ref="G1373">IF((INDEX('Remplissage - Sit. Init.'!$C$473:$I$1088,MATCH((B1373)&amp;('Remplissage - Sit. Init.'!$D$483),('Remplissage - Sit. Init.'!$C$473:$C$1088)&amp;('Remplissage - Sit. Init.'!$D$473:$D$1088),0),7))&gt;0,0,1)</f>
        <v>1</v>
      </c>
      <c r="I1373" s="27"/>
      <c r="J1373" s="25" t="s">
        <v>145</v>
      </c>
      <c r="K1373" s="28"/>
    </row>
    <row r="1374" spans="1:11" s="25" customFormat="1" outlineLevel="1" x14ac:dyDescent="0.25">
      <c r="A1374" t="s">
        <v>1769</v>
      </c>
      <c r="B1374" s="25" t="s">
        <v>127</v>
      </c>
      <c r="C1374" s="25" t="s">
        <v>146</v>
      </c>
      <c r="E1374" s="25" t="str">
        <f t="shared" ref="E1374" si="1526">_xlfn.CONCAT("FretFluv",LEFT(B1374,3),RIGHT(B1368,2),"DistMoy")</f>
        <v>FretFluvCat39DistMoy</v>
      </c>
      <c r="F1374" s="25" t="s">
        <v>17</v>
      </c>
      <c r="G1374" s="25" cm="1">
        <f t="array" ref="G1374">IF((INDEX('Remplissage - Sit. Init.'!$C$473:$I$1088,MATCH((B1374)&amp;('Remplissage - Sit. Init.'!$D$483),('Remplissage - Sit. Init.'!$C$473:$C$1088)&amp;('Remplissage - Sit. Init.'!$D$473:$D$1088),0),7))&gt;0,0,1)</f>
        <v>1</v>
      </c>
      <c r="I1374" s="27"/>
      <c r="J1374" s="25" t="s">
        <v>88</v>
      </c>
      <c r="K1374" s="28"/>
    </row>
    <row r="1375" spans="1:11" s="25" customFormat="1" outlineLevel="1" x14ac:dyDescent="0.25">
      <c r="A1375" t="s">
        <v>1769</v>
      </c>
      <c r="B1375" s="25" t="s">
        <v>127</v>
      </c>
      <c r="C1375" s="25" t="s">
        <v>147</v>
      </c>
      <c r="E1375" s="25" t="str">
        <f t="shared" ref="E1375" si="1527">_xlfn.CONCAT("FretFluv",LEFT(B1375,3),RIGHT(B1368,2),"EmportMoy")</f>
        <v>FretFluvCat39EmportMoy</v>
      </c>
      <c r="F1375" s="25" t="s">
        <v>17</v>
      </c>
      <c r="G1375" s="25" cm="1">
        <f t="array" ref="G1375">IF((INDEX('Remplissage - Sit. Init.'!$C$473:$I$1088,MATCH((B1375)&amp;('Remplissage - Sit. Init.'!$D$483),('Remplissage - Sit. Init.'!$C$473:$C$1088)&amp;('Remplissage - Sit. Init.'!$D$473:$D$1088),0),7))&gt;0,0,1)</f>
        <v>1</v>
      </c>
      <c r="I1375" s="27"/>
      <c r="J1375" s="25" t="s">
        <v>148</v>
      </c>
      <c r="K1375" s="28"/>
    </row>
    <row r="1376" spans="1:11" s="25" customFormat="1" outlineLevel="1" x14ac:dyDescent="0.25">
      <c r="A1376" t="s">
        <v>1769</v>
      </c>
      <c r="B1376" s="25" t="s">
        <v>127</v>
      </c>
      <c r="C1376" s="25" t="s">
        <v>149</v>
      </c>
      <c r="E1376" s="25" t="str">
        <f t="shared" ref="E1376" si="1528">_xlfn.CONCAT("FretFluv",LEFT(B1376,3),RIGHT(B1368,2),"DistAn")</f>
        <v>FretFluvCat39DistAn</v>
      </c>
      <c r="F1376" s="25" t="s">
        <v>17</v>
      </c>
      <c r="G1376" s="25" cm="1">
        <f t="array" ref="G1376">IF((INDEX('Remplissage - Sit. Init.'!$C$473:$I$1088,MATCH((B1376)&amp;('Remplissage - Sit. Init.'!$D$483),('Remplissage - Sit. Init.'!$C$473:$C$1088)&amp;('Remplissage - Sit. Init.'!$D$473:$D$1088),0),7))&gt;0,0,1)</f>
        <v>1</v>
      </c>
      <c r="I1376" s="27"/>
      <c r="J1376" s="25" t="s">
        <v>88</v>
      </c>
    </row>
    <row r="1377" spans="1:11" s="25" customFormat="1" outlineLevel="1" x14ac:dyDescent="0.25">
      <c r="A1377" t="s">
        <v>1769</v>
      </c>
      <c r="B1377" s="25" t="s">
        <v>127</v>
      </c>
      <c r="C1377" s="25" t="s">
        <v>150</v>
      </c>
      <c r="E1377" s="25" t="str">
        <f t="shared" ref="E1377" si="1529">_xlfn.CONCAT("FretFluv",LEFT(B1377,3),RIGHT(B1368,2),"TauxChargeMoy")</f>
        <v>FretFluvCat39TauxChargeMoy</v>
      </c>
      <c r="F1377" s="25" t="s">
        <v>17</v>
      </c>
      <c r="G1377" s="25" cm="1">
        <f t="array" ref="G1377">IF((INDEX('Remplissage - Sit. Init.'!$C$473:$I$1088,MATCH((B1377)&amp;('Remplissage - Sit. Init.'!$D$483),('Remplissage - Sit. Init.'!$C$473:$C$1088)&amp;('Remplissage - Sit. Init.'!$D$473:$D$1088),0),7))&gt;0,0,1)</f>
        <v>1</v>
      </c>
      <c r="I1377" s="27"/>
      <c r="J1377" s="25" t="s">
        <v>70</v>
      </c>
    </row>
    <row r="1378" spans="1:11" s="25" customFormat="1" outlineLevel="1" x14ac:dyDescent="0.25">
      <c r="A1378" t="s">
        <v>1769</v>
      </c>
      <c r="B1378" s="25" t="s">
        <v>127</v>
      </c>
      <c r="C1378" s="26" t="s">
        <v>526</v>
      </c>
      <c r="E1378" s="25" t="str">
        <f t="shared" ref="E1378" si="1530">_xlfn.CONCAT("FretFluv",LEFT(B1378,3),RIGHT(B1368,2),"NbBarges")</f>
        <v>FretFluvCat39NbBarges</v>
      </c>
      <c r="F1378" s="25" t="s">
        <v>17</v>
      </c>
      <c r="G1378" s="25" cm="1">
        <f t="array" ref="G1378">IF((INDEX('Remplissage - Sit. Init.'!$C$473:$I$1088,MATCH((B1378)&amp;('Remplissage - Sit. Init.'!$D$483),('Remplissage - Sit. Init.'!$C$473:$C$1088)&amp;('Remplissage - Sit. Init.'!$D$473:$D$1088),0),7))&gt;0,0,1)</f>
        <v>1</v>
      </c>
      <c r="H1378" s="29"/>
      <c r="I1378" s="27"/>
      <c r="J1378" s="25" t="s">
        <v>151</v>
      </c>
    </row>
    <row r="1379" spans="1:11" s="25" customFormat="1" outlineLevel="1" x14ac:dyDescent="0.25">
      <c r="A1379" t="s">
        <v>1769</v>
      </c>
      <c r="B1379" s="25" t="s">
        <v>128</v>
      </c>
      <c r="C1379" s="25" t="s">
        <v>135</v>
      </c>
      <c r="E1379" s="25" t="str">
        <f t="shared" ref="E1379" si="1531">_xlfn.CONCAT("FretFluv",LEFT(B1379,3),RIGHT(B1379,2),"Nom")</f>
        <v>FretFluvCat40Nom</v>
      </c>
      <c r="F1379" s="26" t="s">
        <v>20</v>
      </c>
      <c r="G1379" s="25" cm="1">
        <f t="array" ref="G1379">IF((INDEX('Remplissage - Sit. Init.'!$C$473:$I$1088,MATCH((B1379)&amp;('Remplissage - Sit. Init.'!$D$483),('Remplissage - Sit. Init.'!$C$473:$C$1088)&amp;('Remplissage - Sit. Init.'!$D$473:$D$1088),0),7))&gt;0,0,1)</f>
        <v>1</v>
      </c>
      <c r="H1379" s="28"/>
      <c r="I1379" s="27" t="str">
        <f>VLOOKUP(B1379,'Parcs types'!$B$65:$AA$120,2,FALSE)</f>
        <v>Automoteurs &gt;3000 tonnes Batterie</v>
      </c>
      <c r="K1379" s="25" t="str">
        <f>I1379</f>
        <v>Automoteurs &gt;3000 tonnes Batterie</v>
      </c>
    </row>
    <row r="1380" spans="1:11" s="25" customFormat="1" outlineLevel="1" x14ac:dyDescent="0.25">
      <c r="A1380" t="s">
        <v>1769</v>
      </c>
      <c r="B1380" s="25" t="s">
        <v>128</v>
      </c>
      <c r="C1380" s="25" t="s">
        <v>136</v>
      </c>
      <c r="E1380" s="25" t="str">
        <f t="shared" ref="E1380" si="1532">_xlfn.CONCAT("FretFluv",LEFT(B1380,3),RIGHT(B1379,2),"Type")</f>
        <v>FretFluvCat40Type</v>
      </c>
      <c r="F1380" s="25" t="s">
        <v>20</v>
      </c>
      <c r="G1380" s="25" cm="1">
        <f t="array" ref="G1380">IF((INDEX('Remplissage - Sit. Init.'!$C$473:$I$1088,MATCH((B1380)&amp;('Remplissage - Sit. Init.'!$D$483),('Remplissage - Sit. Init.'!$C$473:$C$1088)&amp;('Remplissage - Sit. Init.'!$D$473:$D$1088),0),7))&gt;0,0,1)</f>
        <v>1</v>
      </c>
      <c r="I1380" s="27" t="str">
        <f>VLOOKUP(B1380,'Parcs types'!$B$65:$AA$120,3,FALSE)</f>
        <v>Automoteurs</v>
      </c>
      <c r="K1380" s="25" t="str">
        <f t="shared" ref="K1380:K1382" si="1533">I1380</f>
        <v>Automoteurs</v>
      </c>
    </row>
    <row r="1381" spans="1:11" s="25" customFormat="1" outlineLevel="1" x14ac:dyDescent="0.25">
      <c r="A1381" t="s">
        <v>1769</v>
      </c>
      <c r="B1381" s="25" t="s">
        <v>128</v>
      </c>
      <c r="C1381" s="26" t="s">
        <v>137</v>
      </c>
      <c r="E1381" s="25" t="str">
        <f t="shared" ref="E1381" si="1534">_xlfn.CONCAT("FretFluv",LEFT(B1381,3),RIGHT(B1379,2),"Cap")</f>
        <v>FretFluvCat40Cap</v>
      </c>
      <c r="F1381" s="26" t="s">
        <v>36</v>
      </c>
      <c r="G1381" s="25" cm="1">
        <f t="array" ref="G1381">IF((INDEX('Remplissage - Sit. Init.'!$C$473:$I$1088,MATCH((B1381)&amp;('Remplissage - Sit. Init.'!$D$483),('Remplissage - Sit. Init.'!$C$473:$C$1088)&amp;('Remplissage - Sit. Init.'!$D$473:$D$1088),0),7))&gt;0,0,1)</f>
        <v>1</v>
      </c>
      <c r="I1381" s="27" t="str">
        <f>VLOOKUP(B1381,'Parcs types'!$B$65:$AA$120,4,FALSE)</f>
        <v>&gt;3000 tonnes</v>
      </c>
      <c r="J1381" s="25" t="s">
        <v>524</v>
      </c>
      <c r="K1381" s="25" t="str">
        <f t="shared" si="1533"/>
        <v>&gt;3000 tonnes</v>
      </c>
    </row>
    <row r="1382" spans="1:11" s="25" customFormat="1" outlineLevel="1" x14ac:dyDescent="0.25">
      <c r="A1382" t="s">
        <v>1769</v>
      </c>
      <c r="B1382" s="25" t="s">
        <v>128</v>
      </c>
      <c r="C1382" s="26" t="s">
        <v>525</v>
      </c>
      <c r="E1382" s="25" t="str">
        <f t="shared" ref="E1382" si="1535">_xlfn.CONCAT("FretFluv",LEFT(B1382,3),RIGHT(B1379,2),"Tech")</f>
        <v>FretFluvCat40Tech</v>
      </c>
      <c r="F1382" s="26" t="s">
        <v>20</v>
      </c>
      <c r="G1382" s="25" cm="1">
        <f t="array" ref="G1382">IF((INDEX('Remplissage - Sit. Init.'!$C$473:$I$1088,MATCH((B1382)&amp;('Remplissage - Sit. Init.'!$D$483),('Remplissage - Sit. Init.'!$C$473:$C$1088)&amp;('Remplissage - Sit. Init.'!$D$473:$D$1088),0),7))&gt;0,0,1)</f>
        <v>1</v>
      </c>
      <c r="I1382" s="27" t="str">
        <f>VLOOKUP(B1382,'Parcs types'!$B$65:$AA$120,5,FALSE)</f>
        <v>Batterie</v>
      </c>
      <c r="K1382" s="25" t="str">
        <f t="shared" si="1533"/>
        <v>Batterie</v>
      </c>
    </row>
    <row r="1383" spans="1:11" s="25" customFormat="1" outlineLevel="1" x14ac:dyDescent="0.25">
      <c r="A1383" t="s">
        <v>1769</v>
      </c>
      <c r="B1383" s="25" t="s">
        <v>128</v>
      </c>
      <c r="C1383" s="25" t="s">
        <v>140</v>
      </c>
      <c r="E1383" s="25" t="str">
        <f t="shared" ref="E1383" si="1536">_xlfn.CONCAT("FretFluv",LEFT(B1383,3),RIGHT(B1379,2),"Request")</f>
        <v>FretFluvCat40Request</v>
      </c>
      <c r="F1383" s="26" t="s">
        <v>20</v>
      </c>
      <c r="G1383" s="25" cm="1">
        <f t="array" ref="G1383">IF((INDEX('Remplissage - Sit. Init.'!$C$473:$I$1088,MATCH((B1383)&amp;('Remplissage - Sit. Init.'!$D$483),('Remplissage - Sit. Init.'!$C$473:$C$1088)&amp;('Remplissage - Sit. Init.'!$D$473:$D$1088),0),7))&gt;0,0,1)</f>
        <v>1</v>
      </c>
      <c r="I1383" s="27" t="s">
        <v>142</v>
      </c>
    </row>
    <row r="1384" spans="1:11" s="25" customFormat="1" outlineLevel="1" x14ac:dyDescent="0.25">
      <c r="A1384" t="s">
        <v>1769</v>
      </c>
      <c r="B1384" s="25" t="s">
        <v>128</v>
      </c>
      <c r="C1384" s="25" t="s">
        <v>144</v>
      </c>
      <c r="E1384" s="25" t="str">
        <f t="shared" ref="E1384" si="1537">_xlfn.CONCAT("FretFluv",LEFT(B1384,3),RIGHT(B1379,2),"NbTraj")</f>
        <v>FretFluvCat40NbTraj</v>
      </c>
      <c r="F1384" s="25" t="s">
        <v>17</v>
      </c>
      <c r="G1384" s="25" cm="1">
        <f t="array" ref="G1384">IF((INDEX('Remplissage - Sit. Init.'!$C$473:$I$1088,MATCH((B1384)&amp;('Remplissage - Sit. Init.'!$D$483),('Remplissage - Sit. Init.'!$C$473:$C$1088)&amp;('Remplissage - Sit. Init.'!$D$473:$D$1088),0),7))&gt;0,0,1)</f>
        <v>1</v>
      </c>
      <c r="I1384" s="27"/>
      <c r="J1384" s="25" t="s">
        <v>145</v>
      </c>
    </row>
    <row r="1385" spans="1:11" s="25" customFormat="1" outlineLevel="1" x14ac:dyDescent="0.25">
      <c r="A1385" t="s">
        <v>1769</v>
      </c>
      <c r="B1385" s="25" t="s">
        <v>128</v>
      </c>
      <c r="C1385" s="25" t="s">
        <v>146</v>
      </c>
      <c r="E1385" s="25" t="str">
        <f t="shared" ref="E1385" si="1538">_xlfn.CONCAT("FretFluv",LEFT(B1385,3),RIGHT(B1379,2),"DistMoy")</f>
        <v>FretFluvCat40DistMoy</v>
      </c>
      <c r="F1385" s="25" t="s">
        <v>17</v>
      </c>
      <c r="G1385" s="25" cm="1">
        <f t="array" ref="G1385">IF((INDEX('Remplissage - Sit. Init.'!$C$473:$I$1088,MATCH((B1385)&amp;('Remplissage - Sit. Init.'!$D$483),('Remplissage - Sit. Init.'!$C$473:$C$1088)&amp;('Remplissage - Sit. Init.'!$D$473:$D$1088),0),7))&gt;0,0,1)</f>
        <v>1</v>
      </c>
      <c r="I1385" s="27"/>
      <c r="J1385" s="25" t="s">
        <v>88</v>
      </c>
    </row>
    <row r="1386" spans="1:11" s="25" customFormat="1" outlineLevel="1" x14ac:dyDescent="0.25">
      <c r="A1386" t="s">
        <v>1769</v>
      </c>
      <c r="B1386" s="25" t="s">
        <v>128</v>
      </c>
      <c r="C1386" s="25" t="s">
        <v>147</v>
      </c>
      <c r="E1386" s="25" t="str">
        <f t="shared" ref="E1386" si="1539">_xlfn.CONCAT("FretFluv",LEFT(B1386,3),RIGHT(B1379,2),"EmportMoy")</f>
        <v>FretFluvCat40EmportMoy</v>
      </c>
      <c r="F1386" s="25" t="s">
        <v>17</v>
      </c>
      <c r="G1386" s="25" cm="1">
        <f t="array" ref="G1386">IF((INDEX('Remplissage - Sit. Init.'!$C$473:$I$1088,MATCH((B1386)&amp;('Remplissage - Sit. Init.'!$D$483),('Remplissage - Sit. Init.'!$C$473:$C$1088)&amp;('Remplissage - Sit. Init.'!$D$473:$D$1088),0),7))&gt;0,0,1)</f>
        <v>1</v>
      </c>
      <c r="I1386" s="27"/>
      <c r="J1386" s="25" t="s">
        <v>148</v>
      </c>
    </row>
    <row r="1387" spans="1:11" s="25" customFormat="1" outlineLevel="1" x14ac:dyDescent="0.25">
      <c r="A1387" t="s">
        <v>1769</v>
      </c>
      <c r="B1387" s="25" t="s">
        <v>128</v>
      </c>
      <c r="C1387" s="25" t="s">
        <v>149</v>
      </c>
      <c r="E1387" s="25" t="str">
        <f t="shared" ref="E1387" si="1540">_xlfn.CONCAT("FretFluv",LEFT(B1387,3),RIGHT(B1379,2),"DistAn")</f>
        <v>FretFluvCat40DistAn</v>
      </c>
      <c r="F1387" s="25" t="s">
        <v>17</v>
      </c>
      <c r="G1387" s="25" cm="1">
        <f t="array" ref="G1387">IF((INDEX('Remplissage - Sit. Init.'!$C$473:$I$1088,MATCH((B1387)&amp;('Remplissage - Sit. Init.'!$D$483),('Remplissage - Sit. Init.'!$C$473:$C$1088)&amp;('Remplissage - Sit. Init.'!$D$473:$D$1088),0),7))&gt;0,0,1)</f>
        <v>1</v>
      </c>
      <c r="I1387" s="27"/>
      <c r="J1387" s="25" t="s">
        <v>88</v>
      </c>
    </row>
    <row r="1388" spans="1:11" s="25" customFormat="1" outlineLevel="1" x14ac:dyDescent="0.25">
      <c r="A1388" t="s">
        <v>1769</v>
      </c>
      <c r="B1388" s="25" t="s">
        <v>128</v>
      </c>
      <c r="C1388" s="25" t="s">
        <v>150</v>
      </c>
      <c r="E1388" s="25" t="str">
        <f t="shared" ref="E1388" si="1541">_xlfn.CONCAT("FretFluv",LEFT(B1388,3),RIGHT(B1379,2),"TauxChargeMoy")</f>
        <v>FretFluvCat40TauxChargeMoy</v>
      </c>
      <c r="F1388" s="25" t="s">
        <v>17</v>
      </c>
      <c r="G1388" s="25" cm="1">
        <f t="array" ref="G1388">IF((INDEX('Remplissage - Sit. Init.'!$C$473:$I$1088,MATCH((B1388)&amp;('Remplissage - Sit. Init.'!$D$483),('Remplissage - Sit. Init.'!$C$473:$C$1088)&amp;('Remplissage - Sit. Init.'!$D$473:$D$1088),0),7))&gt;0,0,1)</f>
        <v>1</v>
      </c>
      <c r="I1388" s="27"/>
      <c r="J1388" s="25" t="s">
        <v>70</v>
      </c>
      <c r="K1388" s="28"/>
    </row>
    <row r="1389" spans="1:11" s="25" customFormat="1" outlineLevel="1" x14ac:dyDescent="0.25">
      <c r="A1389" t="s">
        <v>1769</v>
      </c>
      <c r="B1389" s="25" t="s">
        <v>128</v>
      </c>
      <c r="C1389" s="26" t="s">
        <v>526</v>
      </c>
      <c r="E1389" s="25" t="str">
        <f t="shared" ref="E1389" si="1542">_xlfn.CONCAT("FretFluv",LEFT(B1389,3),RIGHT(B1379,2),"NbBarges")</f>
        <v>FretFluvCat40NbBarges</v>
      </c>
      <c r="F1389" s="25" t="s">
        <v>17</v>
      </c>
      <c r="G1389" s="25" cm="1">
        <f t="array" ref="G1389">IF((INDEX('Remplissage - Sit. Init.'!$C$473:$I$1088,MATCH((B1389)&amp;('Remplissage - Sit. Init.'!$D$483),('Remplissage - Sit. Init.'!$C$473:$C$1088)&amp;('Remplissage - Sit. Init.'!$D$473:$D$1088),0),7))&gt;0,0,1)</f>
        <v>1</v>
      </c>
      <c r="H1389" s="29"/>
      <c r="I1389" s="27"/>
      <c r="J1389" s="25" t="s">
        <v>151</v>
      </c>
      <c r="K1389" s="30"/>
    </row>
    <row r="1390" spans="1:11" s="25" customFormat="1" outlineLevel="1" x14ac:dyDescent="0.25">
      <c r="A1390" t="s">
        <v>1769</v>
      </c>
      <c r="B1390" s="25" t="s">
        <v>129</v>
      </c>
      <c r="C1390" s="25" t="s">
        <v>135</v>
      </c>
      <c r="E1390" s="25" t="str">
        <f t="shared" ref="E1390" si="1543">_xlfn.CONCAT("FretFluv",LEFT(B1390,3),RIGHT(B1390,2),"Nom")</f>
        <v>FretFluvCat41Nom</v>
      </c>
      <c r="F1390" s="26" t="s">
        <v>20</v>
      </c>
      <c r="G1390" s="25" cm="1">
        <f t="array" ref="G1390">IF((INDEX('Remplissage - Sit. Init.'!$C$473:$I$1088,MATCH((B1390)&amp;('Remplissage - Sit. Init.'!$D$483),('Remplissage - Sit. Init.'!$C$473:$C$1088)&amp;('Remplissage - Sit. Init.'!$D$473:$D$1088),0),7))&gt;0,0,1)</f>
        <v>1</v>
      </c>
      <c r="H1390" s="28"/>
      <c r="I1390" s="27" t="str">
        <f>VLOOKUP(B1390,'Parcs types'!$B$65:$AA$120,2,FALSE)</f>
        <v>Automoteurs &gt;3000 tonnes H2 , PAC</v>
      </c>
      <c r="K1390" s="25" t="str">
        <f>I1390</f>
        <v>Automoteurs &gt;3000 tonnes H2 , PAC</v>
      </c>
    </row>
    <row r="1391" spans="1:11" s="25" customFormat="1" outlineLevel="1" x14ac:dyDescent="0.25">
      <c r="A1391" t="s">
        <v>1769</v>
      </c>
      <c r="B1391" s="25" t="s">
        <v>129</v>
      </c>
      <c r="C1391" s="25" t="s">
        <v>136</v>
      </c>
      <c r="E1391" s="25" t="str">
        <f t="shared" ref="E1391" si="1544">_xlfn.CONCAT("FretFluv",LEFT(B1391,3),RIGHT(B1390,2),"Type")</f>
        <v>FretFluvCat41Type</v>
      </c>
      <c r="F1391" s="25" t="s">
        <v>20</v>
      </c>
      <c r="G1391" s="25" cm="1">
        <f t="array" ref="G1391">IF((INDEX('Remplissage - Sit. Init.'!$C$473:$I$1088,MATCH((B1391)&amp;('Remplissage - Sit. Init.'!$D$483),('Remplissage - Sit. Init.'!$C$473:$C$1088)&amp;('Remplissage - Sit. Init.'!$D$473:$D$1088),0),7))&gt;0,0,1)</f>
        <v>1</v>
      </c>
      <c r="I1391" s="27" t="str">
        <f>VLOOKUP(B1391,'Parcs types'!$B$65:$AA$120,3,FALSE)</f>
        <v>Automoteurs</v>
      </c>
      <c r="K1391" s="25" t="str">
        <f t="shared" ref="K1391:K1393" si="1545">I1391</f>
        <v>Automoteurs</v>
      </c>
    </row>
    <row r="1392" spans="1:11" s="25" customFormat="1" outlineLevel="1" x14ac:dyDescent="0.25">
      <c r="A1392" t="s">
        <v>1769</v>
      </c>
      <c r="B1392" s="25" t="s">
        <v>129</v>
      </c>
      <c r="C1392" s="26" t="s">
        <v>137</v>
      </c>
      <c r="E1392" s="25" t="str">
        <f t="shared" ref="E1392" si="1546">_xlfn.CONCAT("FretFluv",LEFT(B1392,3),RIGHT(B1390,2),"Cap")</f>
        <v>FretFluvCat41Cap</v>
      </c>
      <c r="F1392" s="26" t="s">
        <v>36</v>
      </c>
      <c r="G1392" s="25" cm="1">
        <f t="array" ref="G1392">IF((INDEX('Remplissage - Sit. Init.'!$C$473:$I$1088,MATCH((B1392)&amp;('Remplissage - Sit. Init.'!$D$483),('Remplissage - Sit. Init.'!$C$473:$C$1088)&amp;('Remplissage - Sit. Init.'!$D$473:$D$1088),0),7))&gt;0,0,1)</f>
        <v>1</v>
      </c>
      <c r="I1392" s="27" t="str">
        <f>VLOOKUP(B1392,'Parcs types'!$B$65:$AA$120,4,FALSE)</f>
        <v>&gt;3000 tonnes</v>
      </c>
      <c r="J1392" s="25" t="s">
        <v>524</v>
      </c>
      <c r="K1392" s="25" t="str">
        <f t="shared" si="1545"/>
        <v>&gt;3000 tonnes</v>
      </c>
    </row>
    <row r="1393" spans="1:11" s="25" customFormat="1" outlineLevel="1" x14ac:dyDescent="0.25">
      <c r="A1393" t="s">
        <v>1769</v>
      </c>
      <c r="B1393" s="25" t="s">
        <v>129</v>
      </c>
      <c r="C1393" s="26" t="s">
        <v>525</v>
      </c>
      <c r="E1393" s="25" t="str">
        <f t="shared" ref="E1393" si="1547">_xlfn.CONCAT("FretFluv",LEFT(B1393,3),RIGHT(B1390,2),"Tech")</f>
        <v>FretFluvCat41Tech</v>
      </c>
      <c r="F1393" s="26" t="s">
        <v>20</v>
      </c>
      <c r="G1393" s="25" cm="1">
        <f t="array" ref="G1393">IF((INDEX('Remplissage - Sit. Init.'!$C$473:$I$1088,MATCH((B1393)&amp;('Remplissage - Sit. Init.'!$D$483),('Remplissage - Sit. Init.'!$C$473:$C$1088)&amp;('Remplissage - Sit. Init.'!$D$473:$D$1088),0),7))&gt;0,0,1)</f>
        <v>1</v>
      </c>
      <c r="I1393" s="27" t="str">
        <f>VLOOKUP(B1393,'Parcs types'!$B$65:$AA$120,5,FALSE)</f>
        <v>H2 , PAC</v>
      </c>
      <c r="K1393" s="25" t="str">
        <f t="shared" si="1545"/>
        <v>H2 , PAC</v>
      </c>
    </row>
    <row r="1394" spans="1:11" s="25" customFormat="1" outlineLevel="1" x14ac:dyDescent="0.25">
      <c r="A1394" t="s">
        <v>1769</v>
      </c>
      <c r="B1394" s="25" t="s">
        <v>129</v>
      </c>
      <c r="C1394" s="25" t="s">
        <v>140</v>
      </c>
      <c r="E1394" s="25" t="str">
        <f t="shared" ref="E1394" si="1548">_xlfn.CONCAT("FretFluv",LEFT(B1394,3),RIGHT(B1390,2),"Request")</f>
        <v>FretFluvCat41Request</v>
      </c>
      <c r="F1394" s="26" t="s">
        <v>20</v>
      </c>
      <c r="G1394" s="25" cm="1">
        <f t="array" ref="G1394">IF((INDEX('Remplissage - Sit. Init.'!$C$473:$I$1088,MATCH((B1394)&amp;('Remplissage - Sit. Init.'!$D$483),('Remplissage - Sit. Init.'!$C$473:$C$1088)&amp;('Remplissage - Sit. Init.'!$D$473:$D$1088),0),7))&gt;0,0,1)</f>
        <v>1</v>
      </c>
      <c r="I1394" s="27" t="s">
        <v>142</v>
      </c>
      <c r="K1394" s="28"/>
    </row>
    <row r="1395" spans="1:11" s="25" customFormat="1" outlineLevel="1" x14ac:dyDescent="0.25">
      <c r="A1395" t="s">
        <v>1769</v>
      </c>
      <c r="B1395" s="25" t="s">
        <v>129</v>
      </c>
      <c r="C1395" s="25" t="s">
        <v>144</v>
      </c>
      <c r="E1395" s="25" t="str">
        <f t="shared" ref="E1395" si="1549">_xlfn.CONCAT("FretFluv",LEFT(B1395,3),RIGHT(B1390,2),"NbTraj")</f>
        <v>FretFluvCat41NbTraj</v>
      </c>
      <c r="F1395" s="25" t="s">
        <v>17</v>
      </c>
      <c r="G1395" s="25" cm="1">
        <f t="array" ref="G1395">IF((INDEX('Remplissage - Sit. Init.'!$C$473:$I$1088,MATCH((B1395)&amp;('Remplissage - Sit. Init.'!$D$483),('Remplissage - Sit. Init.'!$C$473:$C$1088)&amp;('Remplissage - Sit. Init.'!$D$473:$D$1088),0),7))&gt;0,0,1)</f>
        <v>1</v>
      </c>
      <c r="I1395" s="27"/>
      <c r="J1395" s="25" t="s">
        <v>145</v>
      </c>
      <c r="K1395" s="28"/>
    </row>
    <row r="1396" spans="1:11" s="25" customFormat="1" outlineLevel="1" x14ac:dyDescent="0.25">
      <c r="A1396" t="s">
        <v>1769</v>
      </c>
      <c r="B1396" s="25" t="s">
        <v>129</v>
      </c>
      <c r="C1396" s="25" t="s">
        <v>146</v>
      </c>
      <c r="E1396" s="25" t="str">
        <f t="shared" ref="E1396" si="1550">_xlfn.CONCAT("FretFluv",LEFT(B1396,3),RIGHT(B1390,2),"DistMoy")</f>
        <v>FretFluvCat41DistMoy</v>
      </c>
      <c r="F1396" s="25" t="s">
        <v>17</v>
      </c>
      <c r="G1396" s="25" cm="1">
        <f t="array" ref="G1396">IF((INDEX('Remplissage - Sit. Init.'!$C$473:$I$1088,MATCH((B1396)&amp;('Remplissage - Sit. Init.'!$D$483),('Remplissage - Sit. Init.'!$C$473:$C$1088)&amp;('Remplissage - Sit. Init.'!$D$473:$D$1088),0),7))&gt;0,0,1)</f>
        <v>1</v>
      </c>
      <c r="I1396" s="27"/>
      <c r="J1396" s="25" t="s">
        <v>88</v>
      </c>
      <c r="K1396" s="28"/>
    </row>
    <row r="1397" spans="1:11" s="25" customFormat="1" outlineLevel="1" x14ac:dyDescent="0.25">
      <c r="A1397" t="s">
        <v>1769</v>
      </c>
      <c r="B1397" s="25" t="s">
        <v>129</v>
      </c>
      <c r="C1397" s="25" t="s">
        <v>147</v>
      </c>
      <c r="E1397" s="25" t="str">
        <f t="shared" ref="E1397" si="1551">_xlfn.CONCAT("FretFluv",LEFT(B1397,3),RIGHT(B1390,2),"EmportMoy")</f>
        <v>FretFluvCat41EmportMoy</v>
      </c>
      <c r="F1397" s="25" t="s">
        <v>17</v>
      </c>
      <c r="G1397" s="25" cm="1">
        <f t="array" ref="G1397">IF((INDEX('Remplissage - Sit. Init.'!$C$473:$I$1088,MATCH((B1397)&amp;('Remplissage - Sit. Init.'!$D$483),('Remplissage - Sit. Init.'!$C$473:$C$1088)&amp;('Remplissage - Sit. Init.'!$D$473:$D$1088),0),7))&gt;0,0,1)</f>
        <v>1</v>
      </c>
      <c r="I1397" s="27"/>
      <c r="J1397" s="25" t="s">
        <v>148</v>
      </c>
      <c r="K1397" s="28"/>
    </row>
    <row r="1398" spans="1:11" s="25" customFormat="1" outlineLevel="1" x14ac:dyDescent="0.25">
      <c r="A1398" t="s">
        <v>1769</v>
      </c>
      <c r="B1398" s="25" t="s">
        <v>129</v>
      </c>
      <c r="C1398" s="25" t="s">
        <v>149</v>
      </c>
      <c r="E1398" s="25" t="str">
        <f t="shared" ref="E1398" si="1552">_xlfn.CONCAT("FretFluv",LEFT(B1398,3),RIGHT(B1390,2),"DistAn")</f>
        <v>FretFluvCat41DistAn</v>
      </c>
      <c r="F1398" s="25" t="s">
        <v>17</v>
      </c>
      <c r="G1398" s="25" cm="1">
        <f t="array" ref="G1398">IF((INDEX('Remplissage - Sit. Init.'!$C$473:$I$1088,MATCH((B1398)&amp;('Remplissage - Sit. Init.'!$D$483),('Remplissage - Sit. Init.'!$C$473:$C$1088)&amp;('Remplissage - Sit. Init.'!$D$473:$D$1088),0),7))&gt;0,0,1)</f>
        <v>1</v>
      </c>
      <c r="I1398" s="27"/>
      <c r="J1398" s="25" t="s">
        <v>88</v>
      </c>
    </row>
    <row r="1399" spans="1:11" s="25" customFormat="1" outlineLevel="1" x14ac:dyDescent="0.25">
      <c r="A1399" t="s">
        <v>1769</v>
      </c>
      <c r="B1399" s="25" t="s">
        <v>129</v>
      </c>
      <c r="C1399" s="25" t="s">
        <v>150</v>
      </c>
      <c r="E1399" s="25" t="str">
        <f t="shared" ref="E1399" si="1553">_xlfn.CONCAT("FretFluv",LEFT(B1399,3),RIGHT(B1390,2),"TauxChargeMoy")</f>
        <v>FretFluvCat41TauxChargeMoy</v>
      </c>
      <c r="F1399" s="25" t="s">
        <v>17</v>
      </c>
      <c r="G1399" s="25" cm="1">
        <f t="array" ref="G1399">IF((INDEX('Remplissage - Sit. Init.'!$C$473:$I$1088,MATCH((B1399)&amp;('Remplissage - Sit. Init.'!$D$483),('Remplissage - Sit. Init.'!$C$473:$C$1088)&amp;('Remplissage - Sit. Init.'!$D$473:$D$1088),0),7))&gt;0,0,1)</f>
        <v>1</v>
      </c>
      <c r="I1399" s="27"/>
      <c r="J1399" s="25" t="s">
        <v>70</v>
      </c>
    </row>
    <row r="1400" spans="1:11" s="25" customFormat="1" outlineLevel="1" x14ac:dyDescent="0.25">
      <c r="A1400" t="s">
        <v>1769</v>
      </c>
      <c r="B1400" s="25" t="s">
        <v>129</v>
      </c>
      <c r="C1400" s="26" t="s">
        <v>526</v>
      </c>
      <c r="E1400" s="25" t="str">
        <f t="shared" ref="E1400" si="1554">_xlfn.CONCAT("FretFluv",LEFT(B1400,3),RIGHT(B1390,2),"NbBarges")</f>
        <v>FretFluvCat41NbBarges</v>
      </c>
      <c r="F1400" s="25" t="s">
        <v>17</v>
      </c>
      <c r="G1400" s="25" cm="1">
        <f t="array" ref="G1400">IF((INDEX('Remplissage - Sit. Init.'!$C$473:$I$1088,MATCH((B1400)&amp;('Remplissage - Sit. Init.'!$D$483),('Remplissage - Sit. Init.'!$C$473:$C$1088)&amp;('Remplissage - Sit. Init.'!$D$473:$D$1088),0),7))&gt;0,0,1)</f>
        <v>1</v>
      </c>
      <c r="H1400" s="29"/>
      <c r="I1400" s="27"/>
      <c r="J1400" s="25" t="s">
        <v>151</v>
      </c>
    </row>
    <row r="1401" spans="1:11" s="25" customFormat="1" outlineLevel="1" x14ac:dyDescent="0.25">
      <c r="A1401" t="s">
        <v>1769</v>
      </c>
      <c r="B1401" s="25" t="s">
        <v>130</v>
      </c>
      <c r="C1401" s="25" t="s">
        <v>135</v>
      </c>
      <c r="E1401" s="25" t="str">
        <f t="shared" ref="E1401" si="1555">_xlfn.CONCAT("FretFluv",LEFT(B1401,3),RIGHT(B1401,2),"Nom")</f>
        <v>FretFluvCat42Nom</v>
      </c>
      <c r="F1401" s="26" t="s">
        <v>20</v>
      </c>
      <c r="G1401" s="25" cm="1">
        <f t="array" ref="G1401">IF((INDEX('Remplissage - Sit. Init.'!$C$473:$I$1088,MATCH((B1401)&amp;('Remplissage - Sit. Init.'!$D$483),('Remplissage - Sit. Init.'!$C$473:$C$1088)&amp;('Remplissage - Sit. Init.'!$D$473:$D$1088),0),7))&gt;0,0,1)</f>
        <v>1</v>
      </c>
      <c r="H1401" s="28"/>
      <c r="I1401" s="27" t="str">
        <f>VLOOKUP(B1401,'Parcs types'!$B$65:$AA$120,2,FALSE)</f>
        <v>Automoteurs &gt;3000 tonnes H2 , ICE</v>
      </c>
      <c r="K1401" s="25" t="str">
        <f>I1401</f>
        <v>Automoteurs &gt;3000 tonnes H2 , ICE</v>
      </c>
    </row>
    <row r="1402" spans="1:11" s="25" customFormat="1" outlineLevel="1" x14ac:dyDescent="0.25">
      <c r="A1402" t="s">
        <v>1769</v>
      </c>
      <c r="B1402" s="25" t="s">
        <v>130</v>
      </c>
      <c r="C1402" s="25" t="s">
        <v>136</v>
      </c>
      <c r="E1402" s="25" t="str">
        <f t="shared" ref="E1402" si="1556">_xlfn.CONCAT("FretFluv",LEFT(B1402,3),RIGHT(B1401,2),"Type")</f>
        <v>FretFluvCat42Type</v>
      </c>
      <c r="F1402" s="25" t="s">
        <v>20</v>
      </c>
      <c r="G1402" s="25" cm="1">
        <f t="array" ref="G1402">IF((INDEX('Remplissage - Sit. Init.'!$C$473:$I$1088,MATCH((B1402)&amp;('Remplissage - Sit. Init.'!$D$483),('Remplissage - Sit. Init.'!$C$473:$C$1088)&amp;('Remplissage - Sit. Init.'!$D$473:$D$1088),0),7))&gt;0,0,1)</f>
        <v>1</v>
      </c>
      <c r="H1402" s="28"/>
      <c r="I1402" s="27" t="str">
        <f>VLOOKUP(B1402,'Parcs types'!$B$65:$AA$120,3,FALSE)</f>
        <v>Automoteurs</v>
      </c>
      <c r="K1402" s="25" t="str">
        <f t="shared" ref="K1402:K1404" si="1557">I1402</f>
        <v>Automoteurs</v>
      </c>
    </row>
    <row r="1403" spans="1:11" s="25" customFormat="1" outlineLevel="1" x14ac:dyDescent="0.25">
      <c r="A1403" t="s">
        <v>1769</v>
      </c>
      <c r="B1403" s="25" t="s">
        <v>130</v>
      </c>
      <c r="C1403" s="26" t="s">
        <v>137</v>
      </c>
      <c r="E1403" s="25" t="str">
        <f t="shared" ref="E1403" si="1558">_xlfn.CONCAT("FretFluv",LEFT(B1403,3),RIGHT(B1401,2),"Cap")</f>
        <v>FretFluvCat42Cap</v>
      </c>
      <c r="F1403" s="26" t="s">
        <v>36</v>
      </c>
      <c r="G1403" s="25" cm="1">
        <f t="array" ref="G1403">IF((INDEX('Remplissage - Sit. Init.'!$C$473:$I$1088,MATCH((B1403)&amp;('Remplissage - Sit. Init.'!$D$483),('Remplissage - Sit. Init.'!$C$473:$C$1088)&amp;('Remplissage - Sit. Init.'!$D$473:$D$1088),0),7))&gt;0,0,1)</f>
        <v>1</v>
      </c>
      <c r="H1403" s="28"/>
      <c r="I1403" s="27" t="str">
        <f>VLOOKUP(B1403,'Parcs types'!$B$65:$AA$120,4,FALSE)</f>
        <v>&gt;3000 tonnes</v>
      </c>
      <c r="J1403" s="25" t="s">
        <v>524</v>
      </c>
      <c r="K1403" s="25" t="str">
        <f t="shared" si="1557"/>
        <v>&gt;3000 tonnes</v>
      </c>
    </row>
    <row r="1404" spans="1:11" s="25" customFormat="1" outlineLevel="1" x14ac:dyDescent="0.25">
      <c r="A1404" t="s">
        <v>1769</v>
      </c>
      <c r="B1404" s="25" t="s">
        <v>130</v>
      </c>
      <c r="C1404" s="26" t="s">
        <v>525</v>
      </c>
      <c r="E1404" s="25" t="str">
        <f t="shared" ref="E1404" si="1559">_xlfn.CONCAT("FretFluv",LEFT(B1404,3),RIGHT(B1401,2),"Tech")</f>
        <v>FretFluvCat42Tech</v>
      </c>
      <c r="F1404" s="26" t="s">
        <v>20</v>
      </c>
      <c r="G1404" s="25" cm="1">
        <f t="array" ref="G1404">IF((INDEX('Remplissage - Sit. Init.'!$C$473:$I$1088,MATCH((B1404)&amp;('Remplissage - Sit. Init.'!$D$483),('Remplissage - Sit. Init.'!$C$473:$C$1088)&amp;('Remplissage - Sit. Init.'!$D$473:$D$1088),0),7))&gt;0,0,1)</f>
        <v>1</v>
      </c>
      <c r="H1404" s="28"/>
      <c r="I1404" s="27" t="str">
        <f>VLOOKUP(B1404,'Parcs types'!$B$65:$AA$120,5,FALSE)</f>
        <v>H2 , ICE</v>
      </c>
      <c r="K1404" s="25" t="str">
        <f t="shared" si="1557"/>
        <v>H2 , ICE</v>
      </c>
    </row>
    <row r="1405" spans="1:11" s="25" customFormat="1" outlineLevel="1" x14ac:dyDescent="0.25">
      <c r="A1405" t="s">
        <v>1769</v>
      </c>
      <c r="B1405" s="25" t="s">
        <v>130</v>
      </c>
      <c r="C1405" s="25" t="s">
        <v>140</v>
      </c>
      <c r="E1405" s="25" t="str">
        <f t="shared" ref="E1405" si="1560">_xlfn.CONCAT("FretFluv",LEFT(B1405,3),RIGHT(B1401,2),"Request")</f>
        <v>FretFluvCat42Request</v>
      </c>
      <c r="F1405" s="26" t="s">
        <v>20</v>
      </c>
      <c r="G1405" s="25" cm="1">
        <f t="array" ref="G1405">IF((INDEX('Remplissage - Sit. Init.'!$C$473:$I$1088,MATCH((B1405)&amp;('Remplissage - Sit. Init.'!$D$483),('Remplissage - Sit. Init.'!$C$473:$C$1088)&amp;('Remplissage - Sit. Init.'!$D$473:$D$1088),0),7))&gt;0,0,1)</f>
        <v>1</v>
      </c>
      <c r="I1405" s="27" t="s">
        <v>142</v>
      </c>
      <c r="K1405" s="28"/>
    </row>
    <row r="1406" spans="1:11" s="25" customFormat="1" outlineLevel="1" x14ac:dyDescent="0.25">
      <c r="A1406" t="s">
        <v>1769</v>
      </c>
      <c r="B1406" s="25" t="s">
        <v>130</v>
      </c>
      <c r="C1406" s="25" t="s">
        <v>144</v>
      </c>
      <c r="E1406" s="25" t="str">
        <f t="shared" ref="E1406" si="1561">_xlfn.CONCAT("FretFluv",LEFT(B1406,3),RIGHT(B1401,2),"NbTraj")</f>
        <v>FretFluvCat42NbTraj</v>
      </c>
      <c r="F1406" s="25" t="s">
        <v>17</v>
      </c>
      <c r="G1406" s="25" cm="1">
        <f t="array" ref="G1406">IF((INDEX('Remplissage - Sit. Init.'!$C$473:$I$1088,MATCH((B1406)&amp;('Remplissage - Sit. Init.'!$D$483),('Remplissage - Sit. Init.'!$C$473:$C$1088)&amp;('Remplissage - Sit. Init.'!$D$473:$D$1088),0),7))&gt;0,0,1)</f>
        <v>1</v>
      </c>
      <c r="H1406" s="28"/>
      <c r="I1406" s="27"/>
      <c r="J1406" s="25" t="s">
        <v>145</v>
      </c>
      <c r="K1406" s="28"/>
    </row>
    <row r="1407" spans="1:11" s="25" customFormat="1" outlineLevel="1" x14ac:dyDescent="0.25">
      <c r="A1407" t="s">
        <v>1769</v>
      </c>
      <c r="B1407" s="25" t="s">
        <v>130</v>
      </c>
      <c r="C1407" s="25" t="s">
        <v>146</v>
      </c>
      <c r="E1407" s="25" t="str">
        <f t="shared" ref="E1407" si="1562">_xlfn.CONCAT("FretFluv",LEFT(B1407,3),RIGHT(B1401,2),"DistMoy")</f>
        <v>FretFluvCat42DistMoy</v>
      </c>
      <c r="F1407" s="25" t="s">
        <v>17</v>
      </c>
      <c r="G1407" s="25" cm="1">
        <f t="array" ref="G1407">IF((INDEX('Remplissage - Sit. Init.'!$C$473:$I$1088,MATCH((B1407)&amp;('Remplissage - Sit. Init.'!$D$483),('Remplissage - Sit. Init.'!$C$473:$C$1088)&amp;('Remplissage - Sit. Init.'!$D$473:$D$1088),0),7))&gt;0,0,1)</f>
        <v>1</v>
      </c>
      <c r="H1407" s="28"/>
      <c r="I1407" s="27"/>
      <c r="J1407" s="25" t="s">
        <v>88</v>
      </c>
      <c r="K1407" s="28"/>
    </row>
    <row r="1408" spans="1:11" s="25" customFormat="1" outlineLevel="1" x14ac:dyDescent="0.25">
      <c r="A1408" t="s">
        <v>1769</v>
      </c>
      <c r="B1408" s="25" t="s">
        <v>130</v>
      </c>
      <c r="C1408" s="25" t="s">
        <v>147</v>
      </c>
      <c r="E1408" s="25" t="str">
        <f t="shared" ref="E1408" si="1563">_xlfn.CONCAT("FretFluv",LEFT(B1408,3),RIGHT(B1401,2),"EmportMoy")</f>
        <v>FretFluvCat42EmportMoy</v>
      </c>
      <c r="F1408" s="25" t="s">
        <v>17</v>
      </c>
      <c r="G1408" s="25" cm="1">
        <f t="array" ref="G1408">IF((INDEX('Remplissage - Sit. Init.'!$C$473:$I$1088,MATCH((B1408)&amp;('Remplissage - Sit. Init.'!$D$483),('Remplissage - Sit. Init.'!$C$473:$C$1088)&amp;('Remplissage - Sit. Init.'!$D$473:$D$1088),0),7))&gt;0,0,1)</f>
        <v>1</v>
      </c>
      <c r="H1408" s="28"/>
      <c r="I1408" s="27"/>
      <c r="J1408" s="25" t="s">
        <v>148</v>
      </c>
      <c r="K1408" s="28"/>
    </row>
    <row r="1409" spans="1:11" s="25" customFormat="1" outlineLevel="1" x14ac:dyDescent="0.25">
      <c r="A1409" t="s">
        <v>1769</v>
      </c>
      <c r="B1409" s="25" t="s">
        <v>130</v>
      </c>
      <c r="C1409" s="25" t="s">
        <v>149</v>
      </c>
      <c r="E1409" s="25" t="str">
        <f t="shared" ref="E1409" si="1564">_xlfn.CONCAT("FretFluv",LEFT(B1409,3),RIGHT(B1401,2),"DistAn")</f>
        <v>FretFluvCat42DistAn</v>
      </c>
      <c r="F1409" s="25" t="s">
        <v>17</v>
      </c>
      <c r="G1409" s="25" cm="1">
        <f t="array" ref="G1409">IF((INDEX('Remplissage - Sit. Init.'!$C$473:$I$1088,MATCH((B1409)&amp;('Remplissage - Sit. Init.'!$D$483),('Remplissage - Sit. Init.'!$C$473:$C$1088)&amp;('Remplissage - Sit. Init.'!$D$473:$D$1088),0),7))&gt;0,0,1)</f>
        <v>1</v>
      </c>
      <c r="H1409" s="28"/>
      <c r="I1409" s="27"/>
      <c r="J1409" s="25" t="s">
        <v>88</v>
      </c>
      <c r="K1409" s="28"/>
    </row>
    <row r="1410" spans="1:11" s="25" customFormat="1" outlineLevel="1" x14ac:dyDescent="0.25">
      <c r="A1410" t="s">
        <v>1769</v>
      </c>
      <c r="B1410" s="25" t="s">
        <v>130</v>
      </c>
      <c r="C1410" s="25" t="s">
        <v>150</v>
      </c>
      <c r="E1410" s="25" t="str">
        <f t="shared" ref="E1410" si="1565">_xlfn.CONCAT("FretFluv",LEFT(B1410,3),RIGHT(B1401,2),"TauxChargeMoy")</f>
        <v>FretFluvCat42TauxChargeMoy</v>
      </c>
      <c r="F1410" s="25" t="s">
        <v>17</v>
      </c>
      <c r="G1410" s="25" cm="1">
        <f t="array" ref="G1410">IF((INDEX('Remplissage - Sit. Init.'!$C$473:$I$1088,MATCH((B1410)&amp;('Remplissage - Sit. Init.'!$D$483),('Remplissage - Sit. Init.'!$C$473:$C$1088)&amp;('Remplissage - Sit. Init.'!$D$473:$D$1088),0),7))&gt;0,0,1)</f>
        <v>1</v>
      </c>
      <c r="H1410" s="28"/>
      <c r="I1410" s="27"/>
      <c r="J1410" s="25" t="s">
        <v>70</v>
      </c>
      <c r="K1410" s="28"/>
    </row>
    <row r="1411" spans="1:11" s="25" customFormat="1" outlineLevel="1" x14ac:dyDescent="0.25">
      <c r="A1411" t="s">
        <v>1769</v>
      </c>
      <c r="B1411" s="25" t="s">
        <v>130</v>
      </c>
      <c r="C1411" s="26" t="s">
        <v>526</v>
      </c>
      <c r="E1411" s="25" t="str">
        <f t="shared" ref="E1411" si="1566">_xlfn.CONCAT("FretFluv",LEFT(B1411,3),RIGHT(B1401,2),"NbBarges")</f>
        <v>FretFluvCat42NbBarges</v>
      </c>
      <c r="F1411" s="25" t="s">
        <v>17</v>
      </c>
      <c r="G1411" s="25" cm="1">
        <f t="array" ref="G1411">IF((INDEX('Remplissage - Sit. Init.'!$C$473:$I$1088,MATCH((B1411)&amp;('Remplissage - Sit. Init.'!$D$483),('Remplissage - Sit. Init.'!$C$473:$C$1088)&amp;('Remplissage - Sit. Init.'!$D$473:$D$1088),0),7))&gt;0,0,1)</f>
        <v>1</v>
      </c>
      <c r="H1411" s="28"/>
      <c r="I1411" s="27"/>
      <c r="J1411" s="25" t="s">
        <v>151</v>
      </c>
      <c r="K1411" s="28"/>
    </row>
    <row r="1412" spans="1:11" s="25" customFormat="1" outlineLevel="1" x14ac:dyDescent="0.25">
      <c r="A1412" t="s">
        <v>1769</v>
      </c>
      <c r="B1412" s="25" t="s">
        <v>131</v>
      </c>
      <c r="C1412" s="25" t="s">
        <v>135</v>
      </c>
      <c r="E1412" s="25" t="str">
        <f t="shared" ref="E1412" si="1567">_xlfn.CONCAT("FretFluv",LEFT(B1412,3),RIGHT(B1412,2),"Nom")</f>
        <v>FretFluvCat43Nom</v>
      </c>
      <c r="F1412" s="26" t="s">
        <v>20</v>
      </c>
      <c r="G1412" s="25" cm="1">
        <f t="array" ref="G1412">IF((INDEX('Remplissage - Sit. Init.'!$C$473:$I$1088,MATCH((B1412)&amp;('Remplissage - Sit. Init.'!$D$483),('Remplissage - Sit. Init.'!$C$473:$C$1088)&amp;('Remplissage - Sit. Init.'!$D$473:$D$1088),0),7))&gt;0,0,1)</f>
        <v>1</v>
      </c>
      <c r="H1412" s="28"/>
      <c r="I1412" s="27" t="str">
        <f>VLOOKUP(B1412,'Parcs types'!$B$65:$AA$120,2,FALSE)</f>
        <v>Pousseurs &lt;880 kW CCNR 2 ou inférieur, diesel</v>
      </c>
      <c r="K1412" s="25" t="str">
        <f>I1412</f>
        <v>Pousseurs &lt;880 kW CCNR 2 ou inférieur, diesel</v>
      </c>
    </row>
    <row r="1413" spans="1:11" s="25" customFormat="1" outlineLevel="1" x14ac:dyDescent="0.25">
      <c r="A1413" t="s">
        <v>1769</v>
      </c>
      <c r="B1413" s="25" t="s">
        <v>131</v>
      </c>
      <c r="C1413" s="25" t="s">
        <v>136</v>
      </c>
      <c r="E1413" s="25" t="str">
        <f t="shared" ref="E1413" si="1568">_xlfn.CONCAT("FretFluv",LEFT(B1413,3),RIGHT(B1412,2),"Type")</f>
        <v>FretFluvCat43Type</v>
      </c>
      <c r="F1413" s="25" t="s">
        <v>20</v>
      </c>
      <c r="G1413" s="25" cm="1">
        <f t="array" ref="G1413">IF((INDEX('Remplissage - Sit. Init.'!$C$473:$I$1088,MATCH((B1413)&amp;('Remplissage - Sit. Init.'!$D$483),('Remplissage - Sit. Init.'!$C$473:$C$1088)&amp;('Remplissage - Sit. Init.'!$D$473:$D$1088),0),7))&gt;0,0,1)</f>
        <v>1</v>
      </c>
      <c r="H1413" s="28"/>
      <c r="I1413" s="27" t="str">
        <f>VLOOKUP(B1413,'Parcs types'!$B$65:$AA$120,3,FALSE)</f>
        <v>Pousseurs</v>
      </c>
      <c r="K1413" s="25" t="str">
        <f t="shared" ref="K1413:K1415" si="1569">I1413</f>
        <v>Pousseurs</v>
      </c>
    </row>
    <row r="1414" spans="1:11" s="25" customFormat="1" outlineLevel="1" x14ac:dyDescent="0.25">
      <c r="A1414" t="s">
        <v>1769</v>
      </c>
      <c r="B1414" s="25" t="s">
        <v>131</v>
      </c>
      <c r="C1414" s="26" t="s">
        <v>137</v>
      </c>
      <c r="E1414" s="25" t="str">
        <f t="shared" ref="E1414" si="1570">_xlfn.CONCAT("FretFluv",LEFT(B1414,3),RIGHT(B1412,2),"Cap")</f>
        <v>FretFluvCat43Cap</v>
      </c>
      <c r="F1414" s="26" t="s">
        <v>36</v>
      </c>
      <c r="G1414" s="25" cm="1">
        <f t="array" ref="G1414">IF((INDEX('Remplissage - Sit. Init.'!$C$473:$I$1088,MATCH((B1414)&amp;('Remplissage - Sit. Init.'!$D$483),('Remplissage - Sit. Init.'!$C$473:$C$1088)&amp;('Remplissage - Sit. Init.'!$D$473:$D$1088),0),7))&gt;0,0,1)</f>
        <v>1</v>
      </c>
      <c r="H1414" s="28"/>
      <c r="I1414" s="27" t="str">
        <f>VLOOKUP(B1414,'Parcs types'!$B$65:$AA$120,4,FALSE)</f>
        <v>&lt;880 kW</v>
      </c>
      <c r="J1414" s="25" t="s">
        <v>524</v>
      </c>
      <c r="K1414" s="25" t="str">
        <f t="shared" si="1569"/>
        <v>&lt;880 kW</v>
      </c>
    </row>
    <row r="1415" spans="1:11" s="25" customFormat="1" outlineLevel="1" x14ac:dyDescent="0.25">
      <c r="A1415" t="s">
        <v>1769</v>
      </c>
      <c r="B1415" s="25" t="s">
        <v>131</v>
      </c>
      <c r="C1415" s="26" t="s">
        <v>525</v>
      </c>
      <c r="E1415" s="25" t="str">
        <f t="shared" ref="E1415" si="1571">_xlfn.CONCAT("FretFluv",LEFT(B1415,3),RIGHT(B1412,2),"Tech")</f>
        <v>FretFluvCat43Tech</v>
      </c>
      <c r="F1415" s="26" t="s">
        <v>20</v>
      </c>
      <c r="G1415" s="25" cm="1">
        <f t="array" ref="G1415">IF((INDEX('Remplissage - Sit. Init.'!$C$473:$I$1088,MATCH((B1415)&amp;('Remplissage - Sit. Init.'!$D$483),('Remplissage - Sit. Init.'!$C$473:$C$1088)&amp;('Remplissage - Sit. Init.'!$D$473:$D$1088),0),7))&gt;0,0,1)</f>
        <v>1</v>
      </c>
      <c r="H1415" s="28"/>
      <c r="I1415" s="27" t="str">
        <f>VLOOKUP(B1415,'Parcs types'!$B$65:$AA$120,5,FALSE)</f>
        <v>CCNR 2 ou inférieur, diesel</v>
      </c>
      <c r="K1415" s="25" t="str">
        <f t="shared" si="1569"/>
        <v>CCNR 2 ou inférieur, diesel</v>
      </c>
    </row>
    <row r="1416" spans="1:11" s="25" customFormat="1" outlineLevel="1" x14ac:dyDescent="0.25">
      <c r="A1416" t="s">
        <v>1769</v>
      </c>
      <c r="B1416" s="25" t="s">
        <v>131</v>
      </c>
      <c r="C1416" s="25" t="s">
        <v>140</v>
      </c>
      <c r="E1416" s="25" t="str">
        <f t="shared" ref="E1416" si="1572">_xlfn.CONCAT("FretFluv",LEFT(B1416,3),RIGHT(B1412,2),"Request")</f>
        <v>FretFluvCat43Request</v>
      </c>
      <c r="F1416" s="26" t="s">
        <v>20</v>
      </c>
      <c r="G1416" s="25" cm="1">
        <f t="array" ref="G1416">IF((INDEX('Remplissage - Sit. Init.'!$C$473:$I$1088,MATCH((B1416)&amp;('Remplissage - Sit. Init.'!$D$483),('Remplissage - Sit. Init.'!$C$473:$C$1088)&amp;('Remplissage - Sit. Init.'!$D$473:$D$1088),0),7))&gt;0,0,1)</f>
        <v>1</v>
      </c>
      <c r="I1416" s="27" t="s">
        <v>142</v>
      </c>
      <c r="K1416" s="28"/>
    </row>
    <row r="1417" spans="1:11" s="25" customFormat="1" outlineLevel="1" x14ac:dyDescent="0.25">
      <c r="A1417" t="s">
        <v>1769</v>
      </c>
      <c r="B1417" s="25" t="s">
        <v>131</v>
      </c>
      <c r="C1417" s="25" t="s">
        <v>144</v>
      </c>
      <c r="E1417" s="25" t="str">
        <f t="shared" ref="E1417" si="1573">_xlfn.CONCAT("FretFluv",LEFT(B1417,3),RIGHT(B1412,2),"NbTraj")</f>
        <v>FretFluvCat43NbTraj</v>
      </c>
      <c r="F1417" s="25" t="s">
        <v>17</v>
      </c>
      <c r="G1417" s="25" cm="1">
        <f t="array" ref="G1417">IF((INDEX('Remplissage - Sit. Init.'!$C$473:$I$1088,MATCH((B1417)&amp;('Remplissage - Sit. Init.'!$D$483),('Remplissage - Sit. Init.'!$C$473:$C$1088)&amp;('Remplissage - Sit. Init.'!$D$473:$D$1088),0),7))&gt;0,0,1)</f>
        <v>1</v>
      </c>
      <c r="H1417" s="28"/>
      <c r="I1417" s="27"/>
      <c r="J1417" s="25" t="s">
        <v>145</v>
      </c>
      <c r="K1417" s="28"/>
    </row>
    <row r="1418" spans="1:11" s="25" customFormat="1" outlineLevel="1" x14ac:dyDescent="0.25">
      <c r="A1418" t="s">
        <v>1769</v>
      </c>
      <c r="B1418" s="25" t="s">
        <v>131</v>
      </c>
      <c r="C1418" s="25" t="s">
        <v>146</v>
      </c>
      <c r="E1418" s="25" t="str">
        <f t="shared" ref="E1418" si="1574">_xlfn.CONCAT("FretFluv",LEFT(B1418,3),RIGHT(B1412,2),"DistMoy")</f>
        <v>FretFluvCat43DistMoy</v>
      </c>
      <c r="F1418" s="25" t="s">
        <v>17</v>
      </c>
      <c r="G1418" s="25" cm="1">
        <f t="array" ref="G1418">IF((INDEX('Remplissage - Sit. Init.'!$C$473:$I$1088,MATCH((B1418)&amp;('Remplissage - Sit. Init.'!$D$483),('Remplissage - Sit. Init.'!$C$473:$C$1088)&amp;('Remplissage - Sit. Init.'!$D$473:$D$1088),0),7))&gt;0,0,1)</f>
        <v>1</v>
      </c>
      <c r="H1418" s="28"/>
      <c r="I1418" s="27"/>
      <c r="J1418" s="25" t="s">
        <v>88</v>
      </c>
      <c r="K1418" s="28"/>
    </row>
    <row r="1419" spans="1:11" s="25" customFormat="1" outlineLevel="1" x14ac:dyDescent="0.25">
      <c r="A1419" t="s">
        <v>1769</v>
      </c>
      <c r="B1419" s="25" t="s">
        <v>131</v>
      </c>
      <c r="C1419" s="25" t="s">
        <v>147</v>
      </c>
      <c r="E1419" s="25" t="str">
        <f t="shared" ref="E1419" si="1575">_xlfn.CONCAT("FretFluv",LEFT(B1419,3),RIGHT(B1412,2),"EmportMoy")</f>
        <v>FretFluvCat43EmportMoy</v>
      </c>
      <c r="F1419" s="25" t="s">
        <v>17</v>
      </c>
      <c r="G1419" s="25" cm="1">
        <f t="array" ref="G1419">IF((INDEX('Remplissage - Sit. Init.'!$C$473:$I$1088,MATCH((B1419)&amp;('Remplissage - Sit. Init.'!$D$483),('Remplissage - Sit. Init.'!$C$473:$C$1088)&amp;('Remplissage - Sit. Init.'!$D$473:$D$1088),0),7))&gt;0,0,1)</f>
        <v>1</v>
      </c>
      <c r="H1419" s="28"/>
      <c r="I1419" s="27"/>
      <c r="J1419" s="25" t="s">
        <v>148</v>
      </c>
      <c r="K1419" s="28"/>
    </row>
    <row r="1420" spans="1:11" s="25" customFormat="1" outlineLevel="1" x14ac:dyDescent="0.25">
      <c r="A1420" t="s">
        <v>1769</v>
      </c>
      <c r="B1420" s="25" t="s">
        <v>131</v>
      </c>
      <c r="C1420" s="25" t="s">
        <v>149</v>
      </c>
      <c r="E1420" s="25" t="str">
        <f t="shared" ref="E1420" si="1576">_xlfn.CONCAT("FretFluv",LEFT(B1420,3),RIGHT(B1412,2),"DistAn")</f>
        <v>FretFluvCat43DistAn</v>
      </c>
      <c r="F1420" s="25" t="s">
        <v>17</v>
      </c>
      <c r="G1420" s="25" cm="1">
        <f t="array" ref="G1420">IF((INDEX('Remplissage - Sit. Init.'!$C$473:$I$1088,MATCH((B1420)&amp;('Remplissage - Sit. Init.'!$D$483),('Remplissage - Sit. Init.'!$C$473:$C$1088)&amp;('Remplissage - Sit. Init.'!$D$473:$D$1088),0),7))&gt;0,0,1)</f>
        <v>1</v>
      </c>
      <c r="H1420" s="28"/>
      <c r="I1420" s="27"/>
      <c r="J1420" s="25" t="s">
        <v>88</v>
      </c>
    </row>
    <row r="1421" spans="1:11" s="25" customFormat="1" outlineLevel="1" x14ac:dyDescent="0.25">
      <c r="A1421" t="s">
        <v>1769</v>
      </c>
      <c r="B1421" s="25" t="s">
        <v>131</v>
      </c>
      <c r="C1421" s="25" t="s">
        <v>150</v>
      </c>
      <c r="E1421" s="25" t="str">
        <f t="shared" ref="E1421" si="1577">_xlfn.CONCAT("FretFluv",LEFT(B1421,3),RIGHT(B1412,2),"TauxChargeMoy")</f>
        <v>FretFluvCat43TauxChargeMoy</v>
      </c>
      <c r="F1421" s="25" t="s">
        <v>17</v>
      </c>
      <c r="G1421" s="25" cm="1">
        <f t="array" ref="G1421">IF((INDEX('Remplissage - Sit. Init.'!$C$473:$I$1088,MATCH((B1421)&amp;('Remplissage - Sit. Init.'!$D$483),('Remplissage - Sit. Init.'!$C$473:$C$1088)&amp;('Remplissage - Sit. Init.'!$D$473:$D$1088),0),7))&gt;0,0,1)</f>
        <v>1</v>
      </c>
      <c r="H1421" s="28"/>
      <c r="I1421" s="27"/>
      <c r="J1421" s="25" t="s">
        <v>70</v>
      </c>
    </row>
    <row r="1422" spans="1:11" s="25" customFormat="1" outlineLevel="1" x14ac:dyDescent="0.25">
      <c r="A1422" t="s">
        <v>1769</v>
      </c>
      <c r="B1422" s="25" t="s">
        <v>131</v>
      </c>
      <c r="C1422" s="26" t="s">
        <v>526</v>
      </c>
      <c r="E1422" s="25" t="str">
        <f t="shared" ref="E1422" si="1578">_xlfn.CONCAT("FretFluv",LEFT(B1422,3),RIGHT(B1412,2),"NbBarges")</f>
        <v>FretFluvCat43NbBarges</v>
      </c>
      <c r="F1422" s="25" t="s">
        <v>17</v>
      </c>
      <c r="G1422" s="25" cm="1">
        <f t="array" ref="G1422">IF((INDEX('Remplissage - Sit. Init.'!$C$473:$I$1088,MATCH((B1422)&amp;('Remplissage - Sit. Init.'!$D$483),('Remplissage - Sit. Init.'!$C$473:$C$1088)&amp;('Remplissage - Sit. Init.'!$D$473:$D$1088),0),7))&gt;0,0,1)</f>
        <v>1</v>
      </c>
      <c r="H1422" s="28"/>
      <c r="I1422" s="27"/>
      <c r="J1422" s="25" t="s">
        <v>151</v>
      </c>
    </row>
    <row r="1423" spans="1:11" s="25" customFormat="1" outlineLevel="1" x14ac:dyDescent="0.25">
      <c r="A1423" t="s">
        <v>1769</v>
      </c>
      <c r="B1423" s="25" t="s">
        <v>132</v>
      </c>
      <c r="C1423" s="25" t="s">
        <v>135</v>
      </c>
      <c r="E1423" s="25" t="str">
        <f t="shared" ref="E1423" si="1579">_xlfn.CONCAT("FretFluv",LEFT(B1423,3),RIGHT(B1423,2),"Nom")</f>
        <v>FretFluvCat44Nom</v>
      </c>
      <c r="F1423" s="26" t="s">
        <v>20</v>
      </c>
      <c r="G1423" s="25" cm="1">
        <f t="array" ref="G1423">IF((INDEX('Remplissage - Sit. Init.'!$C$473:$I$1088,MATCH((B1423)&amp;('Remplissage - Sit. Init.'!$D$483),('Remplissage - Sit. Init.'!$C$473:$C$1088)&amp;('Remplissage - Sit. Init.'!$D$473:$D$1088),0),7))&gt;0,0,1)</f>
        <v>1</v>
      </c>
      <c r="H1423" s="28"/>
      <c r="I1423" s="27" t="str">
        <f>VLOOKUP(B1423,'Parcs types'!$B$65:$AA$120,2,FALSE)</f>
        <v>Pousseurs &lt;880 kW CCNR 2 + SCR, diesel</v>
      </c>
      <c r="K1423" s="25" t="str">
        <f>I1423</f>
        <v>Pousseurs &lt;880 kW CCNR 2 + SCR, diesel</v>
      </c>
    </row>
    <row r="1424" spans="1:11" s="25" customFormat="1" outlineLevel="1" x14ac:dyDescent="0.25">
      <c r="A1424" t="s">
        <v>1769</v>
      </c>
      <c r="B1424" s="25" t="s">
        <v>132</v>
      </c>
      <c r="C1424" s="25" t="s">
        <v>136</v>
      </c>
      <c r="E1424" s="25" t="str">
        <f t="shared" ref="E1424" si="1580">_xlfn.CONCAT("FretFluv",LEFT(B1424,3),RIGHT(B1423,2),"Type")</f>
        <v>FretFluvCat44Type</v>
      </c>
      <c r="F1424" s="25" t="s">
        <v>20</v>
      </c>
      <c r="G1424" s="25" cm="1">
        <f t="array" ref="G1424">IF((INDEX('Remplissage - Sit. Init.'!$C$473:$I$1088,MATCH((B1424)&amp;('Remplissage - Sit. Init.'!$D$483),('Remplissage - Sit. Init.'!$C$473:$C$1088)&amp;('Remplissage - Sit. Init.'!$D$473:$D$1088),0),7))&gt;0,0,1)</f>
        <v>1</v>
      </c>
      <c r="H1424" s="28"/>
      <c r="I1424" s="27" t="str">
        <f>VLOOKUP(B1424,'Parcs types'!$B$65:$AA$120,3,FALSE)</f>
        <v>Pousseurs</v>
      </c>
      <c r="K1424" s="25" t="str">
        <f t="shared" ref="K1424:K1426" si="1581">I1424</f>
        <v>Pousseurs</v>
      </c>
    </row>
    <row r="1425" spans="1:11" s="25" customFormat="1" outlineLevel="1" x14ac:dyDescent="0.25">
      <c r="A1425" t="s">
        <v>1769</v>
      </c>
      <c r="B1425" s="25" t="s">
        <v>132</v>
      </c>
      <c r="C1425" s="26" t="s">
        <v>137</v>
      </c>
      <c r="E1425" s="25" t="str">
        <f t="shared" ref="E1425" si="1582">_xlfn.CONCAT("FretFluv",LEFT(B1425,3),RIGHT(B1423,2),"Cap")</f>
        <v>FretFluvCat44Cap</v>
      </c>
      <c r="F1425" s="26" t="s">
        <v>36</v>
      </c>
      <c r="G1425" s="25" cm="1">
        <f t="array" ref="G1425">IF((INDEX('Remplissage - Sit. Init.'!$C$473:$I$1088,MATCH((B1425)&amp;('Remplissage - Sit. Init.'!$D$483),('Remplissage - Sit. Init.'!$C$473:$C$1088)&amp;('Remplissage - Sit. Init.'!$D$473:$D$1088),0),7))&gt;0,0,1)</f>
        <v>1</v>
      </c>
      <c r="H1425" s="28"/>
      <c r="I1425" s="27" t="str">
        <f>VLOOKUP(B1425,'Parcs types'!$B$65:$AA$120,4,FALSE)</f>
        <v>&lt;880 kW</v>
      </c>
      <c r="J1425" s="25" t="s">
        <v>524</v>
      </c>
      <c r="K1425" s="25" t="str">
        <f t="shared" si="1581"/>
        <v>&lt;880 kW</v>
      </c>
    </row>
    <row r="1426" spans="1:11" s="25" customFormat="1" outlineLevel="1" x14ac:dyDescent="0.25">
      <c r="A1426" t="s">
        <v>1769</v>
      </c>
      <c r="B1426" s="25" t="s">
        <v>132</v>
      </c>
      <c r="C1426" s="26" t="s">
        <v>525</v>
      </c>
      <c r="E1426" s="25" t="str">
        <f t="shared" ref="E1426" si="1583">_xlfn.CONCAT("FretFluv",LEFT(B1426,3),RIGHT(B1423,2),"Tech")</f>
        <v>FretFluvCat44Tech</v>
      </c>
      <c r="F1426" s="26" t="s">
        <v>20</v>
      </c>
      <c r="G1426" s="25" cm="1">
        <f t="array" ref="G1426">IF((INDEX('Remplissage - Sit. Init.'!$C$473:$I$1088,MATCH((B1426)&amp;('Remplissage - Sit. Init.'!$D$483),('Remplissage - Sit. Init.'!$C$473:$C$1088)&amp;('Remplissage - Sit. Init.'!$D$473:$D$1088),0),7))&gt;0,0,1)</f>
        <v>1</v>
      </c>
      <c r="H1426" s="28"/>
      <c r="I1426" s="27" t="str">
        <f>VLOOKUP(B1426,'Parcs types'!$B$65:$AA$120,5,FALSE)</f>
        <v>CCNR 2 + SCR, diesel</v>
      </c>
      <c r="K1426" s="25" t="str">
        <f t="shared" si="1581"/>
        <v>CCNR 2 + SCR, diesel</v>
      </c>
    </row>
    <row r="1427" spans="1:11" s="25" customFormat="1" outlineLevel="1" x14ac:dyDescent="0.25">
      <c r="A1427" t="s">
        <v>1769</v>
      </c>
      <c r="B1427" s="25" t="s">
        <v>132</v>
      </c>
      <c r="C1427" s="25" t="s">
        <v>140</v>
      </c>
      <c r="E1427" s="25" t="str">
        <f t="shared" ref="E1427" si="1584">_xlfn.CONCAT("FretFluv",LEFT(B1427,3),RIGHT(B1423,2),"Request")</f>
        <v>FretFluvCat44Request</v>
      </c>
      <c r="F1427" s="26" t="s">
        <v>20</v>
      </c>
      <c r="G1427" s="25" cm="1">
        <f t="array" ref="G1427">IF((INDEX('Remplissage - Sit. Init.'!$C$473:$I$1088,MATCH((B1427)&amp;('Remplissage - Sit. Init.'!$D$483),('Remplissage - Sit. Init.'!$C$473:$C$1088)&amp;('Remplissage - Sit. Init.'!$D$473:$D$1088),0),7))&gt;0,0,1)</f>
        <v>1</v>
      </c>
      <c r="I1427" s="27" t="s">
        <v>142</v>
      </c>
      <c r="K1427" s="28"/>
    </row>
    <row r="1428" spans="1:11" s="25" customFormat="1" outlineLevel="1" x14ac:dyDescent="0.25">
      <c r="A1428" t="s">
        <v>1769</v>
      </c>
      <c r="B1428" s="25" t="s">
        <v>132</v>
      </c>
      <c r="C1428" s="25" t="s">
        <v>144</v>
      </c>
      <c r="E1428" s="25" t="str">
        <f t="shared" ref="E1428" si="1585">_xlfn.CONCAT("FretFluv",LEFT(B1428,3),RIGHT(B1423,2),"NbTraj")</f>
        <v>FretFluvCat44NbTraj</v>
      </c>
      <c r="F1428" s="25" t="s">
        <v>17</v>
      </c>
      <c r="G1428" s="25" cm="1">
        <f t="array" ref="G1428">IF((INDEX('Remplissage - Sit. Init.'!$C$473:$I$1088,MATCH((B1428)&amp;('Remplissage - Sit. Init.'!$D$483),('Remplissage - Sit. Init.'!$C$473:$C$1088)&amp;('Remplissage - Sit. Init.'!$D$473:$D$1088),0),7))&gt;0,0,1)</f>
        <v>1</v>
      </c>
      <c r="H1428" s="28"/>
      <c r="I1428" s="27"/>
      <c r="J1428" s="25" t="s">
        <v>145</v>
      </c>
      <c r="K1428" s="28"/>
    </row>
    <row r="1429" spans="1:11" s="25" customFormat="1" outlineLevel="1" x14ac:dyDescent="0.25">
      <c r="A1429" t="s">
        <v>1769</v>
      </c>
      <c r="B1429" s="25" t="s">
        <v>132</v>
      </c>
      <c r="C1429" s="25" t="s">
        <v>146</v>
      </c>
      <c r="E1429" s="25" t="str">
        <f t="shared" ref="E1429" si="1586">_xlfn.CONCAT("FretFluv",LEFT(B1429,3),RIGHT(B1423,2),"DistMoy")</f>
        <v>FretFluvCat44DistMoy</v>
      </c>
      <c r="F1429" s="25" t="s">
        <v>17</v>
      </c>
      <c r="G1429" s="25" cm="1">
        <f t="array" ref="G1429">IF((INDEX('Remplissage - Sit. Init.'!$C$473:$I$1088,MATCH((B1429)&amp;('Remplissage - Sit. Init.'!$D$483),('Remplissage - Sit. Init.'!$C$473:$C$1088)&amp;('Remplissage - Sit. Init.'!$D$473:$D$1088),0),7))&gt;0,0,1)</f>
        <v>1</v>
      </c>
      <c r="H1429" s="28"/>
      <c r="I1429" s="27"/>
      <c r="J1429" s="25" t="s">
        <v>88</v>
      </c>
      <c r="K1429" s="28"/>
    </row>
    <row r="1430" spans="1:11" s="25" customFormat="1" outlineLevel="1" x14ac:dyDescent="0.25">
      <c r="A1430" t="s">
        <v>1769</v>
      </c>
      <c r="B1430" s="25" t="s">
        <v>132</v>
      </c>
      <c r="C1430" s="25" t="s">
        <v>147</v>
      </c>
      <c r="E1430" s="25" t="str">
        <f t="shared" ref="E1430" si="1587">_xlfn.CONCAT("FretFluv",LEFT(B1430,3),RIGHT(B1423,2),"EmportMoy")</f>
        <v>FretFluvCat44EmportMoy</v>
      </c>
      <c r="F1430" s="25" t="s">
        <v>17</v>
      </c>
      <c r="G1430" s="25" cm="1">
        <f t="array" ref="G1430">IF((INDEX('Remplissage - Sit. Init.'!$C$473:$I$1088,MATCH((B1430)&amp;('Remplissage - Sit. Init.'!$D$483),('Remplissage - Sit. Init.'!$C$473:$C$1088)&amp;('Remplissage - Sit. Init.'!$D$473:$D$1088),0),7))&gt;0,0,1)</f>
        <v>1</v>
      </c>
      <c r="H1430" s="28"/>
      <c r="I1430" s="27"/>
      <c r="J1430" s="25" t="s">
        <v>148</v>
      </c>
      <c r="K1430" s="28"/>
    </row>
    <row r="1431" spans="1:11" s="25" customFormat="1" outlineLevel="1" x14ac:dyDescent="0.25">
      <c r="A1431" t="s">
        <v>1769</v>
      </c>
      <c r="B1431" s="25" t="s">
        <v>132</v>
      </c>
      <c r="C1431" s="25" t="s">
        <v>149</v>
      </c>
      <c r="E1431" s="25" t="str">
        <f t="shared" ref="E1431" si="1588">_xlfn.CONCAT("FretFluv",LEFT(B1431,3),RIGHT(B1423,2),"DistAn")</f>
        <v>FretFluvCat44DistAn</v>
      </c>
      <c r="F1431" s="25" t="s">
        <v>17</v>
      </c>
      <c r="G1431" s="25" cm="1">
        <f t="array" ref="G1431">IF((INDEX('Remplissage - Sit. Init.'!$C$473:$I$1088,MATCH((B1431)&amp;('Remplissage - Sit. Init.'!$D$483),('Remplissage - Sit. Init.'!$C$473:$C$1088)&amp;('Remplissage - Sit. Init.'!$D$473:$D$1088),0),7))&gt;0,0,1)</f>
        <v>1</v>
      </c>
      <c r="H1431" s="28"/>
      <c r="I1431" s="27"/>
      <c r="J1431" s="25" t="s">
        <v>88</v>
      </c>
      <c r="K1431" s="28"/>
    </row>
    <row r="1432" spans="1:11" s="25" customFormat="1" outlineLevel="1" x14ac:dyDescent="0.25">
      <c r="A1432" t="s">
        <v>1769</v>
      </c>
      <c r="B1432" s="25" t="s">
        <v>132</v>
      </c>
      <c r="C1432" s="25" t="s">
        <v>150</v>
      </c>
      <c r="E1432" s="25" t="str">
        <f t="shared" ref="E1432" si="1589">_xlfn.CONCAT("FretFluv",LEFT(B1432,3),RIGHT(B1423,2),"TauxChargeMoy")</f>
        <v>FretFluvCat44TauxChargeMoy</v>
      </c>
      <c r="F1432" s="25" t="s">
        <v>17</v>
      </c>
      <c r="G1432" s="25" cm="1">
        <f t="array" ref="G1432">IF((INDEX('Remplissage - Sit. Init.'!$C$473:$I$1088,MATCH((B1432)&amp;('Remplissage - Sit. Init.'!$D$483),('Remplissage - Sit. Init.'!$C$473:$C$1088)&amp;('Remplissage - Sit. Init.'!$D$473:$D$1088),0),7))&gt;0,0,1)</f>
        <v>1</v>
      </c>
      <c r="H1432" s="28"/>
      <c r="I1432" s="27"/>
      <c r="J1432" s="25" t="s">
        <v>70</v>
      </c>
      <c r="K1432" s="28"/>
    </row>
    <row r="1433" spans="1:11" s="25" customFormat="1" outlineLevel="1" x14ac:dyDescent="0.25">
      <c r="A1433" t="s">
        <v>1769</v>
      </c>
      <c r="B1433" s="25" t="s">
        <v>132</v>
      </c>
      <c r="C1433" s="26" t="s">
        <v>526</v>
      </c>
      <c r="E1433" s="25" t="str">
        <f t="shared" ref="E1433" si="1590">_xlfn.CONCAT("FretFluv",LEFT(B1433,3),RIGHT(B1423,2),"NbBarges")</f>
        <v>FretFluvCat44NbBarges</v>
      </c>
      <c r="F1433" s="25" t="s">
        <v>17</v>
      </c>
      <c r="G1433" s="25" cm="1">
        <f t="array" ref="G1433">IF((INDEX('Remplissage - Sit. Init.'!$C$473:$I$1088,MATCH((B1433)&amp;('Remplissage - Sit. Init.'!$D$483),('Remplissage - Sit. Init.'!$C$473:$C$1088)&amp;('Remplissage - Sit. Init.'!$D$473:$D$1088),0),7))&gt;0,0,1)</f>
        <v>1</v>
      </c>
      <c r="H1433" s="28"/>
      <c r="I1433" s="27"/>
      <c r="J1433" s="25" t="s">
        <v>151</v>
      </c>
      <c r="K1433" s="28"/>
    </row>
    <row r="1434" spans="1:11" s="25" customFormat="1" outlineLevel="1" x14ac:dyDescent="0.25">
      <c r="A1434" t="s">
        <v>1769</v>
      </c>
      <c r="B1434" s="25" t="s">
        <v>133</v>
      </c>
      <c r="C1434" s="25" t="s">
        <v>135</v>
      </c>
      <c r="E1434" s="25" t="str">
        <f t="shared" ref="E1434" si="1591">_xlfn.CONCAT("FretFluv",LEFT(B1434,3),RIGHT(B1434,2),"Nom")</f>
        <v>FretFluvCat45Nom</v>
      </c>
      <c r="F1434" s="26" t="s">
        <v>20</v>
      </c>
      <c r="G1434" s="25" cm="1">
        <f t="array" ref="G1434">IF((INDEX('Remplissage - Sit. Init.'!$C$473:$I$1088,MATCH((B1434)&amp;('Remplissage - Sit. Init.'!$D$483),('Remplissage - Sit. Init.'!$C$473:$C$1088)&amp;('Remplissage - Sit. Init.'!$D$473:$D$1088),0),7))&gt;0,0,1)</f>
        <v>1</v>
      </c>
      <c r="H1434" s="28"/>
      <c r="I1434" s="27" t="str">
        <f>VLOOKUP(B1434,'Parcs types'!$B$65:$AA$120,2,FALSE)</f>
        <v>Pousseurs &lt;880 kW Phase V, diesel</v>
      </c>
      <c r="K1434" s="25" t="str">
        <f>I1434</f>
        <v>Pousseurs &lt;880 kW Phase V, diesel</v>
      </c>
    </row>
    <row r="1435" spans="1:11" s="25" customFormat="1" outlineLevel="1" x14ac:dyDescent="0.25">
      <c r="A1435" t="s">
        <v>1769</v>
      </c>
      <c r="B1435" s="25" t="s">
        <v>133</v>
      </c>
      <c r="C1435" s="25" t="s">
        <v>136</v>
      </c>
      <c r="E1435" s="25" t="str">
        <f t="shared" ref="E1435" si="1592">_xlfn.CONCAT("FretFluv",LEFT(B1435,3),RIGHT(B1434,2),"Type")</f>
        <v>FretFluvCat45Type</v>
      </c>
      <c r="F1435" s="25" t="s">
        <v>20</v>
      </c>
      <c r="G1435" s="25" cm="1">
        <f t="array" ref="G1435">IF((INDEX('Remplissage - Sit. Init.'!$C$473:$I$1088,MATCH((B1435)&amp;('Remplissage - Sit. Init.'!$D$483),('Remplissage - Sit. Init.'!$C$473:$C$1088)&amp;('Remplissage - Sit. Init.'!$D$473:$D$1088),0),7))&gt;0,0,1)</f>
        <v>1</v>
      </c>
      <c r="H1435" s="28"/>
      <c r="I1435" s="27" t="str">
        <f>VLOOKUP(B1435,'Parcs types'!$B$65:$AA$120,3,FALSE)</f>
        <v>Pousseurs</v>
      </c>
      <c r="K1435" s="25" t="str">
        <f t="shared" ref="K1435:K1437" si="1593">I1435</f>
        <v>Pousseurs</v>
      </c>
    </row>
    <row r="1436" spans="1:11" s="25" customFormat="1" outlineLevel="1" x14ac:dyDescent="0.25">
      <c r="A1436" t="s">
        <v>1769</v>
      </c>
      <c r="B1436" s="25" t="s">
        <v>133</v>
      </c>
      <c r="C1436" s="26" t="s">
        <v>137</v>
      </c>
      <c r="E1436" s="25" t="str">
        <f t="shared" ref="E1436" si="1594">_xlfn.CONCAT("FretFluv",LEFT(B1436,3),RIGHT(B1434,2),"Cap")</f>
        <v>FretFluvCat45Cap</v>
      </c>
      <c r="F1436" s="26" t="s">
        <v>36</v>
      </c>
      <c r="G1436" s="25" cm="1">
        <f t="array" ref="G1436">IF((INDEX('Remplissage - Sit. Init.'!$C$473:$I$1088,MATCH((B1436)&amp;('Remplissage - Sit. Init.'!$D$483),('Remplissage - Sit. Init.'!$C$473:$C$1088)&amp;('Remplissage - Sit. Init.'!$D$473:$D$1088),0),7))&gt;0,0,1)</f>
        <v>1</v>
      </c>
      <c r="H1436" s="28"/>
      <c r="I1436" s="27" t="str">
        <f>VLOOKUP(B1436,'Parcs types'!$B$65:$AA$120,4,FALSE)</f>
        <v>&lt;880 kW</v>
      </c>
      <c r="J1436" s="25" t="s">
        <v>524</v>
      </c>
      <c r="K1436" s="25" t="str">
        <f t="shared" si="1593"/>
        <v>&lt;880 kW</v>
      </c>
    </row>
    <row r="1437" spans="1:11" s="25" customFormat="1" outlineLevel="1" x14ac:dyDescent="0.25">
      <c r="A1437" t="s">
        <v>1769</v>
      </c>
      <c r="B1437" s="25" t="s">
        <v>133</v>
      </c>
      <c r="C1437" s="26" t="s">
        <v>525</v>
      </c>
      <c r="E1437" s="25" t="str">
        <f t="shared" ref="E1437" si="1595">_xlfn.CONCAT("FretFluv",LEFT(B1437,3),RIGHT(B1434,2),"Tech")</f>
        <v>FretFluvCat45Tech</v>
      </c>
      <c r="F1437" s="26" t="s">
        <v>20</v>
      </c>
      <c r="G1437" s="25" cm="1">
        <f t="array" ref="G1437">IF((INDEX('Remplissage - Sit. Init.'!$C$473:$I$1088,MATCH((B1437)&amp;('Remplissage - Sit. Init.'!$D$483),('Remplissage - Sit. Init.'!$C$473:$C$1088)&amp;('Remplissage - Sit. Init.'!$D$473:$D$1088),0),7))&gt;0,0,1)</f>
        <v>1</v>
      </c>
      <c r="H1437" s="28"/>
      <c r="I1437" s="27" t="str">
        <f>VLOOKUP(B1437,'Parcs types'!$B$65:$AA$120,5,FALSE)</f>
        <v>Phase V, diesel</v>
      </c>
      <c r="K1437" s="25" t="str">
        <f t="shared" si="1593"/>
        <v>Phase V, diesel</v>
      </c>
    </row>
    <row r="1438" spans="1:11" s="25" customFormat="1" outlineLevel="1" x14ac:dyDescent="0.25">
      <c r="A1438" t="s">
        <v>1769</v>
      </c>
      <c r="B1438" s="25" t="s">
        <v>133</v>
      </c>
      <c r="C1438" s="25" t="s">
        <v>140</v>
      </c>
      <c r="E1438" s="25" t="str">
        <f t="shared" ref="E1438" si="1596">_xlfn.CONCAT("FretFluv",LEFT(B1438,3),RIGHT(B1434,2),"Request")</f>
        <v>FretFluvCat45Request</v>
      </c>
      <c r="F1438" s="26" t="s">
        <v>20</v>
      </c>
      <c r="G1438" s="25" cm="1">
        <f t="array" ref="G1438">IF((INDEX('Remplissage - Sit. Init.'!$C$473:$I$1088,MATCH((B1438)&amp;('Remplissage - Sit. Init.'!$D$483),('Remplissage - Sit. Init.'!$C$473:$C$1088)&amp;('Remplissage - Sit. Init.'!$D$473:$D$1088),0),7))&gt;0,0,1)</f>
        <v>1</v>
      </c>
      <c r="I1438" s="27" t="s">
        <v>142</v>
      </c>
      <c r="K1438" s="28"/>
    </row>
    <row r="1439" spans="1:11" s="25" customFormat="1" outlineLevel="1" x14ac:dyDescent="0.25">
      <c r="A1439" t="s">
        <v>1769</v>
      </c>
      <c r="B1439" s="25" t="s">
        <v>133</v>
      </c>
      <c r="C1439" s="25" t="s">
        <v>144</v>
      </c>
      <c r="E1439" s="25" t="str">
        <f t="shared" ref="E1439" si="1597">_xlfn.CONCAT("FretFluv",LEFT(B1439,3),RIGHT(B1434,2),"NbTraj")</f>
        <v>FretFluvCat45NbTraj</v>
      </c>
      <c r="F1439" s="25" t="s">
        <v>17</v>
      </c>
      <c r="G1439" s="25" cm="1">
        <f t="array" ref="G1439">IF((INDEX('Remplissage - Sit. Init.'!$C$473:$I$1088,MATCH((B1439)&amp;('Remplissage - Sit. Init.'!$D$483),('Remplissage - Sit. Init.'!$C$473:$C$1088)&amp;('Remplissage - Sit. Init.'!$D$473:$D$1088),0),7))&gt;0,0,1)</f>
        <v>1</v>
      </c>
      <c r="H1439" s="28"/>
      <c r="I1439" s="27"/>
      <c r="J1439" s="25" t="s">
        <v>145</v>
      </c>
      <c r="K1439" s="28"/>
    </row>
    <row r="1440" spans="1:11" s="25" customFormat="1" outlineLevel="1" x14ac:dyDescent="0.25">
      <c r="A1440" t="s">
        <v>1769</v>
      </c>
      <c r="B1440" s="25" t="s">
        <v>133</v>
      </c>
      <c r="C1440" s="25" t="s">
        <v>146</v>
      </c>
      <c r="E1440" s="25" t="str">
        <f t="shared" ref="E1440" si="1598">_xlfn.CONCAT("FretFluv",LEFT(B1440,3),RIGHT(B1434,2),"DistMoy")</f>
        <v>FretFluvCat45DistMoy</v>
      </c>
      <c r="F1440" s="25" t="s">
        <v>17</v>
      </c>
      <c r="G1440" s="25" cm="1">
        <f t="array" ref="G1440">IF((INDEX('Remplissage - Sit. Init.'!$C$473:$I$1088,MATCH((B1440)&amp;('Remplissage - Sit. Init.'!$D$483),('Remplissage - Sit. Init.'!$C$473:$C$1088)&amp;('Remplissage - Sit. Init.'!$D$473:$D$1088),0),7))&gt;0,0,1)</f>
        <v>1</v>
      </c>
      <c r="H1440" s="28"/>
      <c r="I1440" s="27"/>
      <c r="J1440" s="25" t="s">
        <v>88</v>
      </c>
      <c r="K1440" s="28"/>
    </row>
    <row r="1441" spans="1:11" s="25" customFormat="1" outlineLevel="1" x14ac:dyDescent="0.25">
      <c r="A1441" t="s">
        <v>1769</v>
      </c>
      <c r="B1441" s="25" t="s">
        <v>133</v>
      </c>
      <c r="C1441" s="25" t="s">
        <v>147</v>
      </c>
      <c r="E1441" s="25" t="str">
        <f t="shared" ref="E1441" si="1599">_xlfn.CONCAT("FretFluv",LEFT(B1441,3),RIGHT(B1434,2),"EmportMoy")</f>
        <v>FretFluvCat45EmportMoy</v>
      </c>
      <c r="F1441" s="25" t="s">
        <v>17</v>
      </c>
      <c r="G1441" s="25" cm="1">
        <f t="array" ref="G1441">IF((INDEX('Remplissage - Sit. Init.'!$C$473:$I$1088,MATCH((B1441)&amp;('Remplissage - Sit. Init.'!$D$483),('Remplissage - Sit. Init.'!$C$473:$C$1088)&amp;('Remplissage - Sit. Init.'!$D$473:$D$1088),0),7))&gt;0,0,1)</f>
        <v>1</v>
      </c>
      <c r="H1441" s="28"/>
      <c r="I1441" s="27"/>
      <c r="J1441" s="25" t="s">
        <v>148</v>
      </c>
      <c r="K1441" s="28"/>
    </row>
    <row r="1442" spans="1:11" s="25" customFormat="1" outlineLevel="1" x14ac:dyDescent="0.25">
      <c r="A1442" t="s">
        <v>1769</v>
      </c>
      <c r="B1442" s="25" t="s">
        <v>133</v>
      </c>
      <c r="C1442" s="25" t="s">
        <v>149</v>
      </c>
      <c r="E1442" s="25" t="str">
        <f t="shared" ref="E1442" si="1600">_xlfn.CONCAT("FretFluv",LEFT(B1442,3),RIGHT(B1434,2),"DistAn")</f>
        <v>FretFluvCat45DistAn</v>
      </c>
      <c r="F1442" s="25" t="s">
        <v>17</v>
      </c>
      <c r="G1442" s="25" cm="1">
        <f t="array" ref="G1442">IF((INDEX('Remplissage - Sit. Init.'!$C$473:$I$1088,MATCH((B1442)&amp;('Remplissage - Sit. Init.'!$D$483),('Remplissage - Sit. Init.'!$C$473:$C$1088)&amp;('Remplissage - Sit. Init.'!$D$473:$D$1088),0),7))&gt;0,0,1)</f>
        <v>1</v>
      </c>
      <c r="H1442" s="28"/>
      <c r="I1442" s="27"/>
      <c r="J1442" s="25" t="s">
        <v>88</v>
      </c>
    </row>
    <row r="1443" spans="1:11" s="25" customFormat="1" outlineLevel="1" x14ac:dyDescent="0.25">
      <c r="A1443" t="s">
        <v>1769</v>
      </c>
      <c r="B1443" s="25" t="s">
        <v>133</v>
      </c>
      <c r="C1443" s="25" t="s">
        <v>150</v>
      </c>
      <c r="E1443" s="25" t="str">
        <f t="shared" ref="E1443" si="1601">_xlfn.CONCAT("FretFluv",LEFT(B1443,3),RIGHT(B1434,2),"TauxChargeMoy")</f>
        <v>FretFluvCat45TauxChargeMoy</v>
      </c>
      <c r="F1443" s="25" t="s">
        <v>17</v>
      </c>
      <c r="G1443" s="25" cm="1">
        <f t="array" ref="G1443">IF((INDEX('Remplissage - Sit. Init.'!$C$473:$I$1088,MATCH((B1443)&amp;('Remplissage - Sit. Init.'!$D$483),('Remplissage - Sit. Init.'!$C$473:$C$1088)&amp;('Remplissage - Sit. Init.'!$D$473:$D$1088),0),7))&gt;0,0,1)</f>
        <v>1</v>
      </c>
      <c r="H1443" s="28"/>
      <c r="I1443" s="27"/>
      <c r="J1443" s="25" t="s">
        <v>70</v>
      </c>
    </row>
    <row r="1444" spans="1:11" s="25" customFormat="1" outlineLevel="1" x14ac:dyDescent="0.25">
      <c r="A1444" t="s">
        <v>1769</v>
      </c>
      <c r="B1444" s="25" t="s">
        <v>133</v>
      </c>
      <c r="C1444" s="26" t="s">
        <v>526</v>
      </c>
      <c r="E1444" s="25" t="str">
        <f t="shared" ref="E1444" si="1602">_xlfn.CONCAT("FretFluv",LEFT(B1444,3),RIGHT(B1434,2),"NbBarges")</f>
        <v>FretFluvCat45NbBarges</v>
      </c>
      <c r="F1444" s="25" t="s">
        <v>17</v>
      </c>
      <c r="G1444" s="25" cm="1">
        <f t="array" ref="G1444">IF((INDEX('Remplissage - Sit. Init.'!$C$473:$I$1088,MATCH((B1444)&amp;('Remplissage - Sit. Init.'!$D$483),('Remplissage - Sit. Init.'!$C$473:$C$1088)&amp;('Remplissage - Sit. Init.'!$D$473:$D$1088),0),7))&gt;0,0,1)</f>
        <v>1</v>
      </c>
      <c r="H1444" s="28"/>
      <c r="I1444" s="27"/>
      <c r="J1444" s="25" t="s">
        <v>151</v>
      </c>
    </row>
    <row r="1445" spans="1:11" s="25" customFormat="1" outlineLevel="1" x14ac:dyDescent="0.25">
      <c r="A1445" t="s">
        <v>1769</v>
      </c>
      <c r="B1445" s="25" t="s">
        <v>1085</v>
      </c>
      <c r="C1445" s="25" t="s">
        <v>135</v>
      </c>
      <c r="E1445" s="25" t="str">
        <f t="shared" ref="E1445" si="1603">_xlfn.CONCAT("FretFluv",LEFT(B1445,3),RIGHT(B1445,2),"Nom")</f>
        <v>FretFluvCat46Nom</v>
      </c>
      <c r="F1445" s="26" t="s">
        <v>20</v>
      </c>
      <c r="G1445" s="25" cm="1">
        <f t="array" ref="G1445">IF((INDEX('Remplissage - Sit. Init.'!$C$473:$I$1088,MATCH((B1445)&amp;('Remplissage - Sit. Init.'!$D$483),('Remplissage - Sit. Init.'!$C$473:$C$1088)&amp;('Remplissage - Sit. Init.'!$D$473:$D$1088),0),7))&gt;0,0,1)</f>
        <v>1</v>
      </c>
      <c r="H1445" s="28"/>
      <c r="I1445" s="27" t="str">
        <f>VLOOKUP(B1445,'Parcs types'!$B$65:$AA$120,2,FALSE)</f>
        <v>Pousseurs &lt;880 kW Phase V, HVO</v>
      </c>
      <c r="K1445" s="25" t="str">
        <f>I1445</f>
        <v>Pousseurs &lt;880 kW Phase V, HVO</v>
      </c>
    </row>
    <row r="1446" spans="1:11" s="25" customFormat="1" outlineLevel="1" x14ac:dyDescent="0.25">
      <c r="A1446" t="s">
        <v>1769</v>
      </c>
      <c r="B1446" s="25" t="s">
        <v>1085</v>
      </c>
      <c r="C1446" s="25" t="s">
        <v>136</v>
      </c>
      <c r="E1446" s="25" t="str">
        <f t="shared" ref="E1446" si="1604">_xlfn.CONCAT("FretFluv",LEFT(B1446,3),RIGHT(B1445,2),"Type")</f>
        <v>FretFluvCat46Type</v>
      </c>
      <c r="F1446" s="25" t="s">
        <v>20</v>
      </c>
      <c r="G1446" s="25" cm="1">
        <f t="array" ref="G1446">IF((INDEX('Remplissage - Sit. Init.'!$C$473:$I$1088,MATCH((B1446)&amp;('Remplissage - Sit. Init.'!$D$483),('Remplissage - Sit. Init.'!$C$473:$C$1088)&amp;('Remplissage - Sit. Init.'!$D$473:$D$1088),0),7))&gt;0,0,1)</f>
        <v>1</v>
      </c>
      <c r="H1446" s="28"/>
      <c r="I1446" s="27" t="str">
        <f>VLOOKUP(B1446,'Parcs types'!$B$65:$AA$120,3,FALSE)</f>
        <v>Pousseurs</v>
      </c>
      <c r="K1446" s="25" t="str">
        <f t="shared" ref="K1446:K1448" si="1605">I1446</f>
        <v>Pousseurs</v>
      </c>
    </row>
    <row r="1447" spans="1:11" s="25" customFormat="1" outlineLevel="1" x14ac:dyDescent="0.25">
      <c r="A1447" t="s">
        <v>1769</v>
      </c>
      <c r="B1447" s="25" t="s">
        <v>1085</v>
      </c>
      <c r="C1447" s="26" t="s">
        <v>137</v>
      </c>
      <c r="E1447" s="25" t="str">
        <f t="shared" ref="E1447" si="1606">_xlfn.CONCAT("FretFluv",LEFT(B1447,3),RIGHT(B1445,2),"Cap")</f>
        <v>FretFluvCat46Cap</v>
      </c>
      <c r="F1447" s="26" t="s">
        <v>36</v>
      </c>
      <c r="G1447" s="25" cm="1">
        <f t="array" ref="G1447">IF((INDEX('Remplissage - Sit. Init.'!$C$473:$I$1088,MATCH((B1447)&amp;('Remplissage - Sit. Init.'!$D$483),('Remplissage - Sit. Init.'!$C$473:$C$1088)&amp;('Remplissage - Sit. Init.'!$D$473:$D$1088),0),7))&gt;0,0,1)</f>
        <v>1</v>
      </c>
      <c r="H1447" s="28"/>
      <c r="I1447" s="27" t="str">
        <f>VLOOKUP(B1447,'Parcs types'!$B$65:$AA$120,4,FALSE)</f>
        <v>&lt;880 kW</v>
      </c>
      <c r="J1447" s="25" t="s">
        <v>524</v>
      </c>
      <c r="K1447" s="25" t="str">
        <f t="shared" si="1605"/>
        <v>&lt;880 kW</v>
      </c>
    </row>
    <row r="1448" spans="1:11" s="25" customFormat="1" outlineLevel="1" x14ac:dyDescent="0.25">
      <c r="A1448" t="s">
        <v>1769</v>
      </c>
      <c r="B1448" s="25" t="s">
        <v>1085</v>
      </c>
      <c r="C1448" s="26" t="s">
        <v>525</v>
      </c>
      <c r="E1448" s="25" t="str">
        <f t="shared" ref="E1448" si="1607">_xlfn.CONCAT("FretFluv",LEFT(B1448,3),RIGHT(B1445,2),"Tech")</f>
        <v>FretFluvCat46Tech</v>
      </c>
      <c r="F1448" s="26" t="s">
        <v>20</v>
      </c>
      <c r="G1448" s="25" cm="1">
        <f t="array" ref="G1448">IF((INDEX('Remplissage - Sit. Init.'!$C$473:$I$1088,MATCH((B1448)&amp;('Remplissage - Sit. Init.'!$D$483),('Remplissage - Sit. Init.'!$C$473:$C$1088)&amp;('Remplissage - Sit. Init.'!$D$473:$D$1088),0),7))&gt;0,0,1)</f>
        <v>1</v>
      </c>
      <c r="H1448" s="28"/>
      <c r="I1448" s="27" t="str">
        <f>VLOOKUP(B1448,'Parcs types'!$B$65:$AA$120,5,FALSE)</f>
        <v>Phase V, HVO</v>
      </c>
      <c r="K1448" s="25" t="str">
        <f t="shared" si="1605"/>
        <v>Phase V, HVO</v>
      </c>
    </row>
    <row r="1449" spans="1:11" s="25" customFormat="1" outlineLevel="1" x14ac:dyDescent="0.25">
      <c r="A1449" t="s">
        <v>1769</v>
      </c>
      <c r="B1449" s="25" t="s">
        <v>1085</v>
      </c>
      <c r="C1449" s="25" t="s">
        <v>140</v>
      </c>
      <c r="E1449" s="25" t="str">
        <f t="shared" ref="E1449" si="1608">_xlfn.CONCAT("FretFluv",LEFT(B1449,3),RIGHT(B1445,2),"Request")</f>
        <v>FretFluvCat46Request</v>
      </c>
      <c r="F1449" s="26" t="s">
        <v>20</v>
      </c>
      <c r="G1449" s="25" cm="1">
        <f t="array" ref="G1449">IF((INDEX('Remplissage - Sit. Init.'!$C$473:$I$1088,MATCH((B1449)&amp;('Remplissage - Sit. Init.'!$D$483),('Remplissage - Sit. Init.'!$C$473:$C$1088)&amp;('Remplissage - Sit. Init.'!$D$473:$D$1088),0),7))&gt;0,0,1)</f>
        <v>1</v>
      </c>
      <c r="I1449" s="27" t="s">
        <v>142</v>
      </c>
      <c r="K1449" s="28"/>
    </row>
    <row r="1450" spans="1:11" s="25" customFormat="1" outlineLevel="1" x14ac:dyDescent="0.25">
      <c r="A1450" t="s">
        <v>1769</v>
      </c>
      <c r="B1450" s="25" t="s">
        <v>1085</v>
      </c>
      <c r="C1450" s="25" t="s">
        <v>144</v>
      </c>
      <c r="E1450" s="25" t="str">
        <f t="shared" ref="E1450" si="1609">_xlfn.CONCAT("FretFluv",LEFT(B1450,3),RIGHT(B1445,2),"NbTraj")</f>
        <v>FretFluvCat46NbTraj</v>
      </c>
      <c r="F1450" s="25" t="s">
        <v>17</v>
      </c>
      <c r="G1450" s="25" cm="1">
        <f t="array" ref="G1450">IF((INDEX('Remplissage - Sit. Init.'!$C$473:$I$1088,MATCH((B1450)&amp;('Remplissage - Sit. Init.'!$D$483),('Remplissage - Sit. Init.'!$C$473:$C$1088)&amp;('Remplissage - Sit. Init.'!$D$473:$D$1088),0),7))&gt;0,0,1)</f>
        <v>1</v>
      </c>
      <c r="H1450" s="28"/>
      <c r="I1450" s="27"/>
      <c r="J1450" s="25" t="s">
        <v>145</v>
      </c>
      <c r="K1450" s="28"/>
    </row>
    <row r="1451" spans="1:11" s="25" customFormat="1" outlineLevel="1" x14ac:dyDescent="0.25">
      <c r="A1451" t="s">
        <v>1769</v>
      </c>
      <c r="B1451" s="25" t="s">
        <v>1085</v>
      </c>
      <c r="C1451" s="25" t="s">
        <v>146</v>
      </c>
      <c r="E1451" s="25" t="str">
        <f t="shared" ref="E1451" si="1610">_xlfn.CONCAT("FretFluv",LEFT(B1451,3),RIGHT(B1445,2),"DistMoy")</f>
        <v>FretFluvCat46DistMoy</v>
      </c>
      <c r="F1451" s="25" t="s">
        <v>17</v>
      </c>
      <c r="G1451" s="25" cm="1">
        <f t="array" ref="G1451">IF((INDEX('Remplissage - Sit. Init.'!$C$473:$I$1088,MATCH((B1451)&amp;('Remplissage - Sit. Init.'!$D$483),('Remplissage - Sit. Init.'!$C$473:$C$1088)&amp;('Remplissage - Sit. Init.'!$D$473:$D$1088),0),7))&gt;0,0,1)</f>
        <v>1</v>
      </c>
      <c r="H1451" s="28"/>
      <c r="I1451" s="27"/>
      <c r="J1451" s="25" t="s">
        <v>88</v>
      </c>
      <c r="K1451" s="28"/>
    </row>
    <row r="1452" spans="1:11" s="25" customFormat="1" outlineLevel="1" x14ac:dyDescent="0.25">
      <c r="A1452" t="s">
        <v>1769</v>
      </c>
      <c r="B1452" s="25" t="s">
        <v>1085</v>
      </c>
      <c r="C1452" s="25" t="s">
        <v>147</v>
      </c>
      <c r="E1452" s="25" t="str">
        <f t="shared" ref="E1452" si="1611">_xlfn.CONCAT("FretFluv",LEFT(B1452,3),RIGHT(B1445,2),"EmportMoy")</f>
        <v>FretFluvCat46EmportMoy</v>
      </c>
      <c r="F1452" s="25" t="s">
        <v>17</v>
      </c>
      <c r="G1452" s="25" cm="1">
        <f t="array" ref="G1452">IF((INDEX('Remplissage - Sit. Init.'!$C$473:$I$1088,MATCH((B1452)&amp;('Remplissage - Sit. Init.'!$D$483),('Remplissage - Sit. Init.'!$C$473:$C$1088)&amp;('Remplissage - Sit. Init.'!$D$473:$D$1088),0),7))&gt;0,0,1)</f>
        <v>1</v>
      </c>
      <c r="H1452" s="28"/>
      <c r="I1452" s="27"/>
      <c r="J1452" s="25" t="s">
        <v>148</v>
      </c>
      <c r="K1452" s="28"/>
    </row>
    <row r="1453" spans="1:11" s="25" customFormat="1" outlineLevel="1" x14ac:dyDescent="0.25">
      <c r="A1453" t="s">
        <v>1769</v>
      </c>
      <c r="B1453" s="25" t="s">
        <v>1085</v>
      </c>
      <c r="C1453" s="25" t="s">
        <v>149</v>
      </c>
      <c r="E1453" s="25" t="str">
        <f t="shared" ref="E1453" si="1612">_xlfn.CONCAT("FretFluv",LEFT(B1453,3),RIGHT(B1445,2),"DistAn")</f>
        <v>FretFluvCat46DistAn</v>
      </c>
      <c r="F1453" s="25" t="s">
        <v>17</v>
      </c>
      <c r="G1453" s="25" cm="1">
        <f t="array" ref="G1453">IF((INDEX('Remplissage - Sit. Init.'!$C$473:$I$1088,MATCH((B1453)&amp;('Remplissage - Sit. Init.'!$D$483),('Remplissage - Sit. Init.'!$C$473:$C$1088)&amp;('Remplissage - Sit. Init.'!$D$473:$D$1088),0),7))&gt;0,0,1)</f>
        <v>1</v>
      </c>
      <c r="H1453" s="28"/>
      <c r="I1453" s="27"/>
      <c r="J1453" s="25" t="s">
        <v>88</v>
      </c>
      <c r="K1453" s="28"/>
    </row>
    <row r="1454" spans="1:11" s="25" customFormat="1" outlineLevel="1" x14ac:dyDescent="0.25">
      <c r="A1454" t="s">
        <v>1769</v>
      </c>
      <c r="B1454" s="25" t="s">
        <v>1085</v>
      </c>
      <c r="C1454" s="25" t="s">
        <v>150</v>
      </c>
      <c r="E1454" s="25" t="str">
        <f t="shared" ref="E1454" si="1613">_xlfn.CONCAT("FretFluv",LEFT(B1454,3),RIGHT(B1445,2),"TauxChargeMoy")</f>
        <v>FretFluvCat46TauxChargeMoy</v>
      </c>
      <c r="F1454" s="25" t="s">
        <v>17</v>
      </c>
      <c r="G1454" s="25" cm="1">
        <f t="array" ref="G1454">IF((INDEX('Remplissage - Sit. Init.'!$C$473:$I$1088,MATCH((B1454)&amp;('Remplissage - Sit. Init.'!$D$483),('Remplissage - Sit. Init.'!$C$473:$C$1088)&amp;('Remplissage - Sit. Init.'!$D$473:$D$1088),0),7))&gt;0,0,1)</f>
        <v>1</v>
      </c>
      <c r="H1454" s="28"/>
      <c r="I1454" s="27"/>
      <c r="J1454" s="25" t="s">
        <v>70</v>
      </c>
      <c r="K1454" s="28"/>
    </row>
    <row r="1455" spans="1:11" s="25" customFormat="1" outlineLevel="1" x14ac:dyDescent="0.25">
      <c r="A1455" t="s">
        <v>1769</v>
      </c>
      <c r="B1455" s="25" t="s">
        <v>1085</v>
      </c>
      <c r="C1455" s="26" t="s">
        <v>526</v>
      </c>
      <c r="E1455" s="25" t="str">
        <f t="shared" ref="E1455" si="1614">_xlfn.CONCAT("FretFluv",LEFT(B1455,3),RIGHT(B1445,2),"NbBarges")</f>
        <v>FretFluvCat46NbBarges</v>
      </c>
      <c r="F1455" s="25" t="s">
        <v>17</v>
      </c>
      <c r="G1455" s="25" cm="1">
        <f t="array" ref="G1455">IF((INDEX('Remplissage - Sit. Init.'!$C$473:$I$1088,MATCH((B1455)&amp;('Remplissage - Sit. Init.'!$D$483),('Remplissage - Sit. Init.'!$C$473:$C$1088)&amp;('Remplissage - Sit. Init.'!$D$473:$D$1088),0),7))&gt;0,0,1)</f>
        <v>1</v>
      </c>
      <c r="H1455" s="28"/>
      <c r="I1455" s="27"/>
      <c r="J1455" s="25" t="s">
        <v>151</v>
      </c>
      <c r="K1455" s="28"/>
    </row>
    <row r="1456" spans="1:11" s="25" customFormat="1" outlineLevel="1" x14ac:dyDescent="0.25">
      <c r="A1456" t="s">
        <v>1769</v>
      </c>
      <c r="B1456" s="25" t="s">
        <v>1098</v>
      </c>
      <c r="C1456" s="25" t="s">
        <v>135</v>
      </c>
      <c r="E1456" s="25" t="str">
        <f t="shared" ref="E1456" si="1615">_xlfn.CONCAT("FretFluv",LEFT(B1456,3),RIGHT(B1456,2),"Nom")</f>
        <v>FretFluvCat47Nom</v>
      </c>
      <c r="F1456" s="26" t="s">
        <v>20</v>
      </c>
      <c r="G1456" s="25" cm="1">
        <f t="array" ref="G1456">IF((INDEX('Remplissage - Sit. Init.'!$C$473:$I$1088,MATCH((B1456)&amp;('Remplissage - Sit. Init.'!$D$483),('Remplissage - Sit. Init.'!$C$473:$C$1088)&amp;('Remplissage - Sit. Init.'!$D$473:$D$1088),0),7))&gt;0,0,1)</f>
        <v>1</v>
      </c>
      <c r="H1456" s="28"/>
      <c r="I1456" s="27" t="str">
        <f>VLOOKUP(B1456,'Parcs types'!$B$65:$AA$120,2,FALSE)</f>
        <v>Pousseurs &lt;880 kW Batterie</v>
      </c>
      <c r="K1456" s="25" t="str">
        <f>I1456</f>
        <v>Pousseurs &lt;880 kW Batterie</v>
      </c>
    </row>
    <row r="1457" spans="1:11" s="25" customFormat="1" outlineLevel="1" x14ac:dyDescent="0.25">
      <c r="A1457" t="s">
        <v>1769</v>
      </c>
      <c r="B1457" s="25" t="s">
        <v>1098</v>
      </c>
      <c r="C1457" s="25" t="s">
        <v>136</v>
      </c>
      <c r="E1457" s="25" t="str">
        <f t="shared" ref="E1457" si="1616">_xlfn.CONCAT("FretFluv",LEFT(B1457,3),RIGHT(B1456,2),"Type")</f>
        <v>FretFluvCat47Type</v>
      </c>
      <c r="F1457" s="25" t="s">
        <v>20</v>
      </c>
      <c r="G1457" s="25" cm="1">
        <f t="array" ref="G1457">IF((INDEX('Remplissage - Sit. Init.'!$C$473:$I$1088,MATCH((B1457)&amp;('Remplissage - Sit. Init.'!$D$483),('Remplissage - Sit. Init.'!$C$473:$C$1088)&amp;('Remplissage - Sit. Init.'!$D$473:$D$1088),0),7))&gt;0,0,1)</f>
        <v>1</v>
      </c>
      <c r="H1457" s="28"/>
      <c r="I1457" s="27" t="str">
        <f>VLOOKUP(B1457,'Parcs types'!$B$65:$AA$120,3,FALSE)</f>
        <v>Pousseurs</v>
      </c>
      <c r="K1457" s="25" t="str">
        <f t="shared" ref="K1457:K1459" si="1617">I1457</f>
        <v>Pousseurs</v>
      </c>
    </row>
    <row r="1458" spans="1:11" s="25" customFormat="1" outlineLevel="1" x14ac:dyDescent="0.25">
      <c r="A1458" t="s">
        <v>1769</v>
      </c>
      <c r="B1458" s="25" t="s">
        <v>1098</v>
      </c>
      <c r="C1458" s="26" t="s">
        <v>137</v>
      </c>
      <c r="E1458" s="25" t="str">
        <f t="shared" ref="E1458" si="1618">_xlfn.CONCAT("FretFluv",LEFT(B1458,3),RIGHT(B1456,2),"Cap")</f>
        <v>FretFluvCat47Cap</v>
      </c>
      <c r="F1458" s="26" t="s">
        <v>36</v>
      </c>
      <c r="G1458" s="25" cm="1">
        <f t="array" ref="G1458">IF((INDEX('Remplissage - Sit. Init.'!$C$473:$I$1088,MATCH((B1458)&amp;('Remplissage - Sit. Init.'!$D$483),('Remplissage - Sit. Init.'!$C$473:$C$1088)&amp;('Remplissage - Sit. Init.'!$D$473:$D$1088),0),7))&gt;0,0,1)</f>
        <v>1</v>
      </c>
      <c r="H1458" s="28"/>
      <c r="I1458" s="27" t="str">
        <f>VLOOKUP(B1458,'Parcs types'!$B$65:$AA$120,4,FALSE)</f>
        <v>&lt;880 kW</v>
      </c>
      <c r="J1458" s="25" t="s">
        <v>524</v>
      </c>
      <c r="K1458" s="25" t="str">
        <f t="shared" si="1617"/>
        <v>&lt;880 kW</v>
      </c>
    </row>
    <row r="1459" spans="1:11" s="25" customFormat="1" outlineLevel="1" x14ac:dyDescent="0.25">
      <c r="A1459" t="s">
        <v>1769</v>
      </c>
      <c r="B1459" s="25" t="s">
        <v>1098</v>
      </c>
      <c r="C1459" s="26" t="s">
        <v>525</v>
      </c>
      <c r="E1459" s="25" t="str">
        <f t="shared" ref="E1459" si="1619">_xlfn.CONCAT("FretFluv",LEFT(B1459,3),RIGHT(B1456,2),"Tech")</f>
        <v>FretFluvCat47Tech</v>
      </c>
      <c r="F1459" s="26" t="s">
        <v>20</v>
      </c>
      <c r="G1459" s="25" cm="1">
        <f t="array" ref="G1459">IF((INDEX('Remplissage - Sit. Init.'!$C$473:$I$1088,MATCH((B1459)&amp;('Remplissage - Sit. Init.'!$D$483),('Remplissage - Sit. Init.'!$C$473:$C$1088)&amp;('Remplissage - Sit. Init.'!$D$473:$D$1088),0),7))&gt;0,0,1)</f>
        <v>1</v>
      </c>
      <c r="H1459" s="28"/>
      <c r="I1459" s="27" t="str">
        <f>VLOOKUP(B1459,'Parcs types'!$B$65:$AA$120,5,FALSE)</f>
        <v>Batterie</v>
      </c>
      <c r="K1459" s="25" t="str">
        <f t="shared" si="1617"/>
        <v>Batterie</v>
      </c>
    </row>
    <row r="1460" spans="1:11" s="25" customFormat="1" outlineLevel="1" x14ac:dyDescent="0.25">
      <c r="A1460" t="s">
        <v>1769</v>
      </c>
      <c r="B1460" s="25" t="s">
        <v>1098</v>
      </c>
      <c r="C1460" s="25" t="s">
        <v>140</v>
      </c>
      <c r="E1460" s="25" t="str">
        <f t="shared" ref="E1460" si="1620">_xlfn.CONCAT("FretFluv",LEFT(B1460,3),RIGHT(B1456,2),"Request")</f>
        <v>FretFluvCat47Request</v>
      </c>
      <c r="F1460" s="26" t="s">
        <v>20</v>
      </c>
      <c r="G1460" s="25" cm="1">
        <f t="array" ref="G1460">IF((INDEX('Remplissage - Sit. Init.'!$C$473:$I$1088,MATCH((B1460)&amp;('Remplissage - Sit. Init.'!$D$483),('Remplissage - Sit. Init.'!$C$473:$C$1088)&amp;('Remplissage - Sit. Init.'!$D$473:$D$1088),0),7))&gt;0,0,1)</f>
        <v>1</v>
      </c>
      <c r="I1460" s="27" t="s">
        <v>142</v>
      </c>
      <c r="K1460" s="28"/>
    </row>
    <row r="1461" spans="1:11" s="25" customFormat="1" outlineLevel="1" x14ac:dyDescent="0.25">
      <c r="A1461" t="s">
        <v>1769</v>
      </c>
      <c r="B1461" s="25" t="s">
        <v>1098</v>
      </c>
      <c r="C1461" s="25" t="s">
        <v>144</v>
      </c>
      <c r="E1461" s="25" t="str">
        <f t="shared" ref="E1461" si="1621">_xlfn.CONCAT("FretFluv",LEFT(B1461,3),RIGHT(B1456,2),"NbTraj")</f>
        <v>FretFluvCat47NbTraj</v>
      </c>
      <c r="F1461" s="25" t="s">
        <v>17</v>
      </c>
      <c r="G1461" s="25" cm="1">
        <f t="array" ref="G1461">IF((INDEX('Remplissage - Sit. Init.'!$C$473:$I$1088,MATCH((B1461)&amp;('Remplissage - Sit. Init.'!$D$483),('Remplissage - Sit. Init.'!$C$473:$C$1088)&amp;('Remplissage - Sit. Init.'!$D$473:$D$1088),0),7))&gt;0,0,1)</f>
        <v>1</v>
      </c>
      <c r="H1461" s="28"/>
      <c r="I1461" s="27"/>
      <c r="J1461" s="25" t="s">
        <v>145</v>
      </c>
      <c r="K1461" s="28"/>
    </row>
    <row r="1462" spans="1:11" s="25" customFormat="1" outlineLevel="1" x14ac:dyDescent="0.25">
      <c r="A1462" t="s">
        <v>1769</v>
      </c>
      <c r="B1462" s="25" t="s">
        <v>1098</v>
      </c>
      <c r="C1462" s="25" t="s">
        <v>146</v>
      </c>
      <c r="E1462" s="25" t="str">
        <f t="shared" ref="E1462" si="1622">_xlfn.CONCAT("FretFluv",LEFT(B1462,3),RIGHT(B1456,2),"DistMoy")</f>
        <v>FretFluvCat47DistMoy</v>
      </c>
      <c r="F1462" s="25" t="s">
        <v>17</v>
      </c>
      <c r="G1462" s="25" cm="1">
        <f t="array" ref="G1462">IF((INDEX('Remplissage - Sit. Init.'!$C$473:$I$1088,MATCH((B1462)&amp;('Remplissage - Sit. Init.'!$D$483),('Remplissage - Sit. Init.'!$C$473:$C$1088)&amp;('Remplissage - Sit. Init.'!$D$473:$D$1088),0),7))&gt;0,0,1)</f>
        <v>1</v>
      </c>
      <c r="I1462" s="27"/>
      <c r="J1462" s="25" t="s">
        <v>88</v>
      </c>
      <c r="K1462" s="28"/>
    </row>
    <row r="1463" spans="1:11" s="25" customFormat="1" outlineLevel="1" x14ac:dyDescent="0.25">
      <c r="A1463" t="s">
        <v>1769</v>
      </c>
      <c r="B1463" s="25" t="s">
        <v>1098</v>
      </c>
      <c r="C1463" s="25" t="s">
        <v>147</v>
      </c>
      <c r="E1463" s="25" t="str">
        <f t="shared" ref="E1463" si="1623">_xlfn.CONCAT("FretFluv",LEFT(B1463,3),RIGHT(B1456,2),"EmportMoy")</f>
        <v>FretFluvCat47EmportMoy</v>
      </c>
      <c r="F1463" s="25" t="s">
        <v>17</v>
      </c>
      <c r="G1463" s="25" cm="1">
        <f t="array" ref="G1463">IF((INDEX('Remplissage - Sit. Init.'!$C$473:$I$1088,MATCH((B1463)&amp;('Remplissage - Sit. Init.'!$D$483),('Remplissage - Sit. Init.'!$C$473:$C$1088)&amp;('Remplissage - Sit. Init.'!$D$473:$D$1088),0),7))&gt;0,0,1)</f>
        <v>1</v>
      </c>
      <c r="I1463" s="27"/>
      <c r="J1463" s="25" t="s">
        <v>148</v>
      </c>
      <c r="K1463" s="28"/>
    </row>
    <row r="1464" spans="1:11" s="25" customFormat="1" outlineLevel="1" x14ac:dyDescent="0.25">
      <c r="A1464" t="s">
        <v>1769</v>
      </c>
      <c r="B1464" s="25" t="s">
        <v>1098</v>
      </c>
      <c r="C1464" s="25" t="s">
        <v>149</v>
      </c>
      <c r="E1464" s="25" t="str">
        <f t="shared" ref="E1464" si="1624">_xlfn.CONCAT("FretFluv",LEFT(B1464,3),RIGHT(B1456,2),"DistAn")</f>
        <v>FretFluvCat47DistAn</v>
      </c>
      <c r="F1464" s="25" t="s">
        <v>17</v>
      </c>
      <c r="G1464" s="25" cm="1">
        <f t="array" ref="G1464">IF((INDEX('Remplissage - Sit. Init.'!$C$473:$I$1088,MATCH((B1464)&amp;('Remplissage - Sit. Init.'!$D$483),('Remplissage - Sit. Init.'!$C$473:$C$1088)&amp;('Remplissage - Sit. Init.'!$D$473:$D$1088),0),7))&gt;0,0,1)</f>
        <v>1</v>
      </c>
      <c r="I1464" s="27"/>
      <c r="J1464" s="25" t="s">
        <v>88</v>
      </c>
    </row>
    <row r="1465" spans="1:11" s="25" customFormat="1" outlineLevel="1" x14ac:dyDescent="0.25">
      <c r="A1465" t="s">
        <v>1769</v>
      </c>
      <c r="B1465" s="25" t="s">
        <v>1098</v>
      </c>
      <c r="C1465" s="25" t="s">
        <v>150</v>
      </c>
      <c r="E1465" s="25" t="str">
        <f t="shared" ref="E1465" si="1625">_xlfn.CONCAT("FretFluv",LEFT(B1465,3),RIGHT(B1456,2),"TauxChargeMoy")</f>
        <v>FretFluvCat47TauxChargeMoy</v>
      </c>
      <c r="F1465" s="25" t="s">
        <v>17</v>
      </c>
      <c r="G1465" s="25" cm="1">
        <f t="array" ref="G1465">IF((INDEX('Remplissage - Sit. Init.'!$C$473:$I$1088,MATCH((B1465)&amp;('Remplissage - Sit. Init.'!$D$483),('Remplissage - Sit. Init.'!$C$473:$C$1088)&amp;('Remplissage - Sit. Init.'!$D$473:$D$1088),0),7))&gt;0,0,1)</f>
        <v>1</v>
      </c>
      <c r="I1465" s="27"/>
      <c r="J1465" s="25" t="s">
        <v>70</v>
      </c>
    </row>
    <row r="1466" spans="1:11" s="25" customFormat="1" outlineLevel="1" x14ac:dyDescent="0.25">
      <c r="A1466" t="s">
        <v>1769</v>
      </c>
      <c r="B1466" s="25" t="s">
        <v>1098</v>
      </c>
      <c r="C1466" s="26" t="s">
        <v>526</v>
      </c>
      <c r="E1466" s="25" t="str">
        <f t="shared" ref="E1466" si="1626">_xlfn.CONCAT("FretFluv",LEFT(B1466,3),RIGHT(B1456,2),"NbBarges")</f>
        <v>FretFluvCat47NbBarges</v>
      </c>
      <c r="F1466" s="25" t="s">
        <v>17</v>
      </c>
      <c r="G1466" s="25" cm="1">
        <f t="array" ref="G1466">IF((INDEX('Remplissage - Sit. Init.'!$C$473:$I$1088,MATCH((B1466)&amp;('Remplissage - Sit. Init.'!$D$483),('Remplissage - Sit. Init.'!$C$473:$C$1088)&amp;('Remplissage - Sit. Init.'!$D$473:$D$1088),0),7))&gt;0,0,1)</f>
        <v>1</v>
      </c>
      <c r="I1466" s="27"/>
      <c r="J1466" s="25" t="s">
        <v>151</v>
      </c>
    </row>
    <row r="1467" spans="1:11" s="25" customFormat="1" outlineLevel="1" x14ac:dyDescent="0.25">
      <c r="A1467" t="s">
        <v>1769</v>
      </c>
      <c r="B1467" s="25" t="s">
        <v>1111</v>
      </c>
      <c r="C1467" s="25" t="s">
        <v>135</v>
      </c>
      <c r="E1467" s="25" t="str">
        <f t="shared" ref="E1467" si="1627">_xlfn.CONCAT("FretFluv",LEFT(B1467,3),RIGHT(B1467,2),"Nom")</f>
        <v>FretFluvCat48Nom</v>
      </c>
      <c r="F1467" s="26" t="s">
        <v>20</v>
      </c>
      <c r="G1467" s="25" cm="1">
        <f t="array" ref="G1467">IF((INDEX('Remplissage - Sit. Init.'!$C$473:$I$1088,MATCH((B1467)&amp;('Remplissage - Sit. Init.'!$D$483),('Remplissage - Sit. Init.'!$C$473:$C$1088)&amp;('Remplissage - Sit. Init.'!$D$473:$D$1088),0),7))&gt;0,0,1)</f>
        <v>1</v>
      </c>
      <c r="I1467" s="27" t="str">
        <f>VLOOKUP(B1467,'Parcs types'!$B$65:$AA$120,2,FALSE)</f>
        <v>Pousseurs &lt;880 kW H2 , PAC</v>
      </c>
      <c r="K1467" s="25" t="str">
        <f>I1467</f>
        <v>Pousseurs &lt;880 kW H2 , PAC</v>
      </c>
    </row>
    <row r="1468" spans="1:11" s="25" customFormat="1" outlineLevel="1" x14ac:dyDescent="0.25">
      <c r="A1468" t="s">
        <v>1769</v>
      </c>
      <c r="B1468" s="25" t="s">
        <v>1111</v>
      </c>
      <c r="C1468" s="25" t="s">
        <v>136</v>
      </c>
      <c r="E1468" s="25" t="str">
        <f t="shared" ref="E1468" si="1628">_xlfn.CONCAT("FretFluv",LEFT(B1468,3),RIGHT(B1467,2),"Type")</f>
        <v>FretFluvCat48Type</v>
      </c>
      <c r="F1468" s="25" t="s">
        <v>20</v>
      </c>
      <c r="G1468" s="25" cm="1">
        <f t="array" ref="G1468">IF((INDEX('Remplissage - Sit. Init.'!$C$473:$I$1088,MATCH((B1468)&amp;('Remplissage - Sit. Init.'!$D$483),('Remplissage - Sit. Init.'!$C$473:$C$1088)&amp;('Remplissage - Sit. Init.'!$D$473:$D$1088),0),7))&gt;0,0,1)</f>
        <v>1</v>
      </c>
      <c r="I1468" s="27" t="str">
        <f>VLOOKUP(B1468,'Parcs types'!$B$65:$AA$120,3,FALSE)</f>
        <v>Pousseurs</v>
      </c>
      <c r="K1468" s="25" t="str">
        <f t="shared" ref="K1468:K1470" si="1629">I1468</f>
        <v>Pousseurs</v>
      </c>
    </row>
    <row r="1469" spans="1:11" s="25" customFormat="1" outlineLevel="1" x14ac:dyDescent="0.25">
      <c r="A1469" t="s">
        <v>1769</v>
      </c>
      <c r="B1469" s="25" t="s">
        <v>1111</v>
      </c>
      <c r="C1469" s="26" t="s">
        <v>137</v>
      </c>
      <c r="E1469" s="25" t="str">
        <f t="shared" ref="E1469" si="1630">_xlfn.CONCAT("FretFluv",LEFT(B1469,3),RIGHT(B1467,2),"Cap")</f>
        <v>FretFluvCat48Cap</v>
      </c>
      <c r="F1469" s="26" t="s">
        <v>36</v>
      </c>
      <c r="G1469" s="25" cm="1">
        <f t="array" ref="G1469">IF((INDEX('Remplissage - Sit. Init.'!$C$473:$I$1088,MATCH((B1469)&amp;('Remplissage - Sit. Init.'!$D$483),('Remplissage - Sit. Init.'!$C$473:$C$1088)&amp;('Remplissage - Sit. Init.'!$D$473:$D$1088),0),7))&gt;0,0,1)</f>
        <v>1</v>
      </c>
      <c r="I1469" s="27" t="str">
        <f>VLOOKUP(B1469,'Parcs types'!$B$65:$AA$120,4,FALSE)</f>
        <v>&lt;880 kW</v>
      </c>
      <c r="J1469" s="25" t="s">
        <v>524</v>
      </c>
      <c r="K1469" s="25" t="str">
        <f t="shared" si="1629"/>
        <v>&lt;880 kW</v>
      </c>
    </row>
    <row r="1470" spans="1:11" s="25" customFormat="1" outlineLevel="1" x14ac:dyDescent="0.25">
      <c r="A1470" t="s">
        <v>1769</v>
      </c>
      <c r="B1470" s="25" t="s">
        <v>1111</v>
      </c>
      <c r="C1470" s="26" t="s">
        <v>525</v>
      </c>
      <c r="E1470" s="25" t="str">
        <f t="shared" ref="E1470" si="1631">_xlfn.CONCAT("FretFluv",LEFT(B1470,3),RIGHT(B1467,2),"Tech")</f>
        <v>FretFluvCat48Tech</v>
      </c>
      <c r="F1470" s="26" t="s">
        <v>20</v>
      </c>
      <c r="G1470" s="25" cm="1">
        <f t="array" ref="G1470">IF((INDEX('Remplissage - Sit. Init.'!$C$473:$I$1088,MATCH((B1470)&amp;('Remplissage - Sit. Init.'!$D$483),('Remplissage - Sit. Init.'!$C$473:$C$1088)&amp;('Remplissage - Sit. Init.'!$D$473:$D$1088),0),7))&gt;0,0,1)</f>
        <v>1</v>
      </c>
      <c r="I1470" s="27" t="str">
        <f>VLOOKUP(B1470,'Parcs types'!$B$65:$AA$120,5,FALSE)</f>
        <v>H2 , PAC</v>
      </c>
      <c r="K1470" s="25" t="str">
        <f t="shared" si="1629"/>
        <v>H2 , PAC</v>
      </c>
    </row>
    <row r="1471" spans="1:11" s="25" customFormat="1" outlineLevel="1" x14ac:dyDescent="0.25">
      <c r="A1471" t="s">
        <v>1769</v>
      </c>
      <c r="B1471" s="25" t="s">
        <v>1111</v>
      </c>
      <c r="C1471" s="25" t="s">
        <v>140</v>
      </c>
      <c r="E1471" s="25" t="str">
        <f t="shared" ref="E1471" si="1632">_xlfn.CONCAT("FretFluv",LEFT(B1471,3),RIGHT(B1467,2),"Request")</f>
        <v>FretFluvCat48Request</v>
      </c>
      <c r="F1471" s="26" t="s">
        <v>20</v>
      </c>
      <c r="G1471" s="25" cm="1">
        <f t="array" ref="G1471">IF((INDEX('Remplissage - Sit. Init.'!$C$473:$I$1088,MATCH((B1471)&amp;('Remplissage - Sit. Init.'!$D$483),('Remplissage - Sit. Init.'!$C$473:$C$1088)&amp;('Remplissage - Sit. Init.'!$D$473:$D$1088),0),7))&gt;0,0,1)</f>
        <v>1</v>
      </c>
      <c r="I1471" s="27" t="s">
        <v>142</v>
      </c>
      <c r="K1471" s="30"/>
    </row>
    <row r="1472" spans="1:11" s="25" customFormat="1" outlineLevel="1" x14ac:dyDescent="0.25">
      <c r="A1472" t="s">
        <v>1769</v>
      </c>
      <c r="B1472" s="25" t="s">
        <v>1111</v>
      </c>
      <c r="C1472" s="25" t="s">
        <v>144</v>
      </c>
      <c r="E1472" s="25" t="str">
        <f t="shared" ref="E1472" si="1633">_xlfn.CONCAT("FretFluv",LEFT(B1472,3),RIGHT(B1467,2),"NbTraj")</f>
        <v>FretFluvCat48NbTraj</v>
      </c>
      <c r="F1472" s="25" t="s">
        <v>17</v>
      </c>
      <c r="G1472" s="25" cm="1">
        <f t="array" ref="G1472">IF((INDEX('Remplissage - Sit. Init.'!$C$473:$I$1088,MATCH((B1472)&amp;('Remplissage - Sit. Init.'!$D$483),('Remplissage - Sit. Init.'!$C$473:$C$1088)&amp;('Remplissage - Sit. Init.'!$D$473:$D$1088),0),7))&gt;0,0,1)</f>
        <v>1</v>
      </c>
      <c r="H1472" s="28"/>
      <c r="I1472" s="27"/>
      <c r="J1472" s="25" t="s">
        <v>145</v>
      </c>
      <c r="K1472" s="28"/>
    </row>
    <row r="1473" spans="1:11" s="25" customFormat="1" outlineLevel="1" x14ac:dyDescent="0.25">
      <c r="A1473" t="s">
        <v>1769</v>
      </c>
      <c r="B1473" s="25" t="s">
        <v>1111</v>
      </c>
      <c r="C1473" s="25" t="s">
        <v>146</v>
      </c>
      <c r="E1473" s="25" t="str">
        <f t="shared" ref="E1473" si="1634">_xlfn.CONCAT("FretFluv",LEFT(B1473,3),RIGHT(B1467,2),"DistMoy")</f>
        <v>FretFluvCat48DistMoy</v>
      </c>
      <c r="F1473" s="25" t="s">
        <v>17</v>
      </c>
      <c r="G1473" s="25" cm="1">
        <f t="array" ref="G1473">IF((INDEX('Remplissage - Sit. Init.'!$C$473:$I$1088,MATCH((B1473)&amp;('Remplissage - Sit. Init.'!$D$483),('Remplissage - Sit. Init.'!$C$473:$C$1088)&amp;('Remplissage - Sit. Init.'!$D$473:$D$1088),0),7))&gt;0,0,1)</f>
        <v>1</v>
      </c>
      <c r="I1473" s="27"/>
      <c r="J1473" s="25" t="s">
        <v>88</v>
      </c>
    </row>
    <row r="1474" spans="1:11" s="25" customFormat="1" outlineLevel="1" x14ac:dyDescent="0.25">
      <c r="A1474" t="s">
        <v>1769</v>
      </c>
      <c r="B1474" s="25" t="s">
        <v>1111</v>
      </c>
      <c r="C1474" s="25" t="s">
        <v>147</v>
      </c>
      <c r="E1474" s="25" t="str">
        <f t="shared" ref="E1474" si="1635">_xlfn.CONCAT("FretFluv",LEFT(B1474,3),RIGHT(B1467,2),"EmportMoy")</f>
        <v>FretFluvCat48EmportMoy</v>
      </c>
      <c r="F1474" s="25" t="s">
        <v>17</v>
      </c>
      <c r="G1474" s="25" cm="1">
        <f t="array" ref="G1474">IF((INDEX('Remplissage - Sit. Init.'!$C$473:$I$1088,MATCH((B1474)&amp;('Remplissage - Sit. Init.'!$D$483),('Remplissage - Sit. Init.'!$C$473:$C$1088)&amp;('Remplissage - Sit. Init.'!$D$473:$D$1088),0),7))&gt;0,0,1)</f>
        <v>1</v>
      </c>
      <c r="I1474" s="27"/>
      <c r="J1474" s="25" t="s">
        <v>148</v>
      </c>
    </row>
    <row r="1475" spans="1:11" s="25" customFormat="1" outlineLevel="1" x14ac:dyDescent="0.25">
      <c r="A1475" t="s">
        <v>1769</v>
      </c>
      <c r="B1475" s="25" t="s">
        <v>1111</v>
      </c>
      <c r="C1475" s="25" t="s">
        <v>149</v>
      </c>
      <c r="E1475" s="25" t="str">
        <f t="shared" ref="E1475" si="1636">_xlfn.CONCAT("FretFluv",LEFT(B1475,3),RIGHT(B1467,2),"DistAn")</f>
        <v>FretFluvCat48DistAn</v>
      </c>
      <c r="F1475" s="25" t="s">
        <v>17</v>
      </c>
      <c r="G1475" s="25" cm="1">
        <f t="array" ref="G1475">IF((INDEX('Remplissage - Sit. Init.'!$C$473:$I$1088,MATCH((B1475)&amp;('Remplissage - Sit. Init.'!$D$483),('Remplissage - Sit. Init.'!$C$473:$C$1088)&amp;('Remplissage - Sit. Init.'!$D$473:$D$1088),0),7))&gt;0,0,1)</f>
        <v>1</v>
      </c>
      <c r="I1475" s="27"/>
      <c r="J1475" s="25" t="s">
        <v>88</v>
      </c>
    </row>
    <row r="1476" spans="1:11" s="25" customFormat="1" outlineLevel="1" x14ac:dyDescent="0.25">
      <c r="A1476" t="s">
        <v>1769</v>
      </c>
      <c r="B1476" s="25" t="s">
        <v>1111</v>
      </c>
      <c r="C1476" s="25" t="s">
        <v>150</v>
      </c>
      <c r="E1476" s="25" t="str">
        <f t="shared" ref="E1476" si="1637">_xlfn.CONCAT("FretFluv",LEFT(B1476,3),RIGHT(B1467,2),"TauxChargeMoy")</f>
        <v>FretFluvCat48TauxChargeMoy</v>
      </c>
      <c r="F1476" s="25" t="s">
        <v>17</v>
      </c>
      <c r="G1476" s="25" cm="1">
        <f t="array" ref="G1476">IF((INDEX('Remplissage - Sit. Init.'!$C$473:$I$1088,MATCH((B1476)&amp;('Remplissage - Sit. Init.'!$D$483),('Remplissage - Sit. Init.'!$C$473:$C$1088)&amp;('Remplissage - Sit. Init.'!$D$473:$D$1088),0),7))&gt;0,0,1)</f>
        <v>1</v>
      </c>
      <c r="I1476" s="27"/>
      <c r="J1476" s="25" t="s">
        <v>70</v>
      </c>
    </row>
    <row r="1477" spans="1:11" s="25" customFormat="1" outlineLevel="1" x14ac:dyDescent="0.25">
      <c r="A1477" t="s">
        <v>1769</v>
      </c>
      <c r="B1477" s="25" t="s">
        <v>1111</v>
      </c>
      <c r="C1477" s="26" t="s">
        <v>526</v>
      </c>
      <c r="E1477" s="25" t="str">
        <f t="shared" ref="E1477" si="1638">_xlfn.CONCAT("FretFluv",LEFT(B1477,3),RIGHT(B1467,2),"NbBarges")</f>
        <v>FretFluvCat48NbBarges</v>
      </c>
      <c r="F1477" s="25" t="s">
        <v>17</v>
      </c>
      <c r="G1477" s="25" cm="1">
        <f t="array" ref="G1477">IF((INDEX('Remplissage - Sit. Init.'!$C$473:$I$1088,MATCH((B1477)&amp;('Remplissage - Sit. Init.'!$D$483),('Remplissage - Sit. Init.'!$C$473:$C$1088)&amp;('Remplissage - Sit. Init.'!$D$473:$D$1088),0),7))&gt;0,0,1)</f>
        <v>1</v>
      </c>
      <c r="I1477" s="27"/>
      <c r="J1477" s="25" t="s">
        <v>151</v>
      </c>
    </row>
    <row r="1478" spans="1:11" s="25" customFormat="1" outlineLevel="1" x14ac:dyDescent="0.25">
      <c r="A1478" t="s">
        <v>1769</v>
      </c>
      <c r="B1478" s="25" t="s">
        <v>1124</v>
      </c>
      <c r="C1478" s="25" t="s">
        <v>135</v>
      </c>
      <c r="E1478" s="25" t="str">
        <f t="shared" ref="E1478" si="1639">_xlfn.CONCAT("FretFluv",LEFT(B1478,3),RIGHT(B1478,2),"Nom")</f>
        <v>FretFluvCat49Nom</v>
      </c>
      <c r="F1478" s="26" t="s">
        <v>20</v>
      </c>
      <c r="G1478" s="25" cm="1">
        <f t="array" ref="G1478">IF((INDEX('Remplissage - Sit. Init.'!$C$473:$I$1088,MATCH((B1478)&amp;('Remplissage - Sit. Init.'!$D$483),('Remplissage - Sit. Init.'!$C$473:$C$1088)&amp;('Remplissage - Sit. Init.'!$D$473:$D$1088),0),7))&gt;0,0,1)</f>
        <v>1</v>
      </c>
      <c r="I1478" s="27" t="str">
        <f>VLOOKUP(B1478,'Parcs types'!$B$65:$AA$120,2,FALSE)</f>
        <v>Pousseurs &lt;880 kW H2 , ICE</v>
      </c>
      <c r="K1478" s="25" t="str">
        <f>I1478</f>
        <v>Pousseurs &lt;880 kW H2 , ICE</v>
      </c>
    </row>
    <row r="1479" spans="1:11" s="25" customFormat="1" outlineLevel="1" x14ac:dyDescent="0.25">
      <c r="A1479" t="s">
        <v>1769</v>
      </c>
      <c r="B1479" s="25" t="s">
        <v>1124</v>
      </c>
      <c r="C1479" s="25" t="s">
        <v>136</v>
      </c>
      <c r="E1479" s="25" t="str">
        <f t="shared" ref="E1479" si="1640">_xlfn.CONCAT("FretFluv",LEFT(B1479,3),RIGHT(B1478,2),"Type")</f>
        <v>FretFluvCat49Type</v>
      </c>
      <c r="F1479" s="25" t="s">
        <v>20</v>
      </c>
      <c r="G1479" s="25" cm="1">
        <f t="array" ref="G1479">IF((INDEX('Remplissage - Sit. Init.'!$C$473:$I$1088,MATCH((B1479)&amp;('Remplissage - Sit. Init.'!$D$483),('Remplissage - Sit. Init.'!$C$473:$C$1088)&amp;('Remplissage - Sit. Init.'!$D$473:$D$1088),0),7))&gt;0,0,1)</f>
        <v>1</v>
      </c>
      <c r="I1479" s="27" t="str">
        <f>VLOOKUP(B1479,'Parcs types'!$B$65:$AA$120,3,FALSE)</f>
        <v>Pousseurs</v>
      </c>
      <c r="K1479" s="25" t="str">
        <f t="shared" ref="K1479:K1481" si="1641">I1479</f>
        <v>Pousseurs</v>
      </c>
    </row>
    <row r="1480" spans="1:11" s="25" customFormat="1" outlineLevel="1" x14ac:dyDescent="0.25">
      <c r="A1480" t="s">
        <v>1769</v>
      </c>
      <c r="B1480" s="25" t="s">
        <v>1124</v>
      </c>
      <c r="C1480" s="26" t="s">
        <v>137</v>
      </c>
      <c r="E1480" s="25" t="str">
        <f t="shared" ref="E1480" si="1642">_xlfn.CONCAT("FretFluv",LEFT(B1480,3),RIGHT(B1478,2),"Cap")</f>
        <v>FretFluvCat49Cap</v>
      </c>
      <c r="F1480" s="26" t="s">
        <v>36</v>
      </c>
      <c r="G1480" s="25" cm="1">
        <f t="array" ref="G1480">IF((INDEX('Remplissage - Sit. Init.'!$C$473:$I$1088,MATCH((B1480)&amp;('Remplissage - Sit. Init.'!$D$483),('Remplissage - Sit. Init.'!$C$473:$C$1088)&amp;('Remplissage - Sit. Init.'!$D$473:$D$1088),0),7))&gt;0,0,1)</f>
        <v>1</v>
      </c>
      <c r="I1480" s="27" t="str">
        <f>VLOOKUP(B1480,'Parcs types'!$B$65:$AA$120,4,FALSE)</f>
        <v>&lt;880 kW</v>
      </c>
      <c r="J1480" s="25" t="s">
        <v>524</v>
      </c>
      <c r="K1480" s="25" t="str">
        <f t="shared" si="1641"/>
        <v>&lt;880 kW</v>
      </c>
    </row>
    <row r="1481" spans="1:11" s="25" customFormat="1" outlineLevel="1" x14ac:dyDescent="0.25">
      <c r="A1481" t="s">
        <v>1769</v>
      </c>
      <c r="B1481" s="25" t="s">
        <v>1124</v>
      </c>
      <c r="C1481" s="26" t="s">
        <v>525</v>
      </c>
      <c r="E1481" s="25" t="str">
        <f t="shared" ref="E1481" si="1643">_xlfn.CONCAT("FretFluv",LEFT(B1481,3),RIGHT(B1478,2),"Tech")</f>
        <v>FretFluvCat49Tech</v>
      </c>
      <c r="F1481" s="26" t="s">
        <v>20</v>
      </c>
      <c r="G1481" s="25" cm="1">
        <f t="array" ref="G1481">IF((INDEX('Remplissage - Sit. Init.'!$C$473:$I$1088,MATCH((B1481)&amp;('Remplissage - Sit. Init.'!$D$483),('Remplissage - Sit. Init.'!$C$473:$C$1088)&amp;('Remplissage - Sit. Init.'!$D$473:$D$1088),0),7))&gt;0,0,1)</f>
        <v>1</v>
      </c>
      <c r="I1481" s="27" t="str">
        <f>VLOOKUP(B1481,'Parcs types'!$B$65:$AA$120,5,FALSE)</f>
        <v>H2 , ICE</v>
      </c>
      <c r="K1481" s="25" t="str">
        <f t="shared" si="1641"/>
        <v>H2 , ICE</v>
      </c>
    </row>
    <row r="1482" spans="1:11" s="25" customFormat="1" outlineLevel="1" x14ac:dyDescent="0.25">
      <c r="A1482" t="s">
        <v>1769</v>
      </c>
      <c r="B1482" s="25" t="s">
        <v>1124</v>
      </c>
      <c r="C1482" s="25" t="s">
        <v>140</v>
      </c>
      <c r="E1482" s="25" t="str">
        <f t="shared" ref="E1482" si="1644">_xlfn.CONCAT("FretFluv",LEFT(B1482,3),RIGHT(B1478,2),"Request")</f>
        <v>FretFluvCat49Request</v>
      </c>
      <c r="F1482" s="26" t="s">
        <v>20</v>
      </c>
      <c r="G1482" s="25" cm="1">
        <f t="array" ref="G1482">IF((INDEX('Remplissage - Sit. Init.'!$C$473:$I$1088,MATCH((B1482)&amp;('Remplissage - Sit. Init.'!$D$483),('Remplissage - Sit. Init.'!$C$473:$C$1088)&amp;('Remplissage - Sit. Init.'!$D$473:$D$1088),0),7))&gt;0,0,1)</f>
        <v>1</v>
      </c>
      <c r="I1482" s="27" t="s">
        <v>142</v>
      </c>
      <c r="K1482" s="28"/>
    </row>
    <row r="1483" spans="1:11" s="25" customFormat="1" outlineLevel="1" x14ac:dyDescent="0.25">
      <c r="A1483" t="s">
        <v>1769</v>
      </c>
      <c r="B1483" s="25" t="s">
        <v>1124</v>
      </c>
      <c r="C1483" s="25" t="s">
        <v>144</v>
      </c>
      <c r="E1483" s="25" t="str">
        <f t="shared" ref="E1483" si="1645">_xlfn.CONCAT("FretFluv",LEFT(B1483,3),RIGHT(B1478,2),"NbTraj")</f>
        <v>FretFluvCat49NbTraj</v>
      </c>
      <c r="F1483" s="25" t="s">
        <v>17</v>
      </c>
      <c r="G1483" s="25" cm="1">
        <f t="array" ref="G1483">IF((INDEX('Remplissage - Sit. Init.'!$C$473:$I$1088,MATCH((B1483)&amp;('Remplissage - Sit. Init.'!$D$483),('Remplissage - Sit. Init.'!$C$473:$C$1088)&amp;('Remplissage - Sit. Init.'!$D$473:$D$1088),0),7))&gt;0,0,1)</f>
        <v>1</v>
      </c>
      <c r="H1483" s="28"/>
      <c r="I1483" s="27"/>
      <c r="J1483" s="25" t="s">
        <v>145</v>
      </c>
      <c r="K1483" s="28"/>
    </row>
    <row r="1484" spans="1:11" s="25" customFormat="1" outlineLevel="1" x14ac:dyDescent="0.25">
      <c r="A1484" t="s">
        <v>1769</v>
      </c>
      <c r="B1484" s="25" t="s">
        <v>1124</v>
      </c>
      <c r="C1484" s="25" t="s">
        <v>146</v>
      </c>
      <c r="E1484" s="25" t="str">
        <f t="shared" ref="E1484" si="1646">_xlfn.CONCAT("FretFluv",LEFT(B1484,3),RIGHT(B1478,2),"DistMoy")</f>
        <v>FretFluvCat49DistMoy</v>
      </c>
      <c r="F1484" s="25" t="s">
        <v>17</v>
      </c>
      <c r="G1484" s="25" cm="1">
        <f t="array" ref="G1484">IF((INDEX('Remplissage - Sit. Init.'!$C$473:$I$1088,MATCH((B1484)&amp;('Remplissage - Sit. Init.'!$D$483),('Remplissage - Sit. Init.'!$C$473:$C$1088)&amp;('Remplissage - Sit. Init.'!$D$473:$D$1088),0),7))&gt;0,0,1)</f>
        <v>1</v>
      </c>
      <c r="I1484" s="27"/>
      <c r="J1484" s="25" t="s">
        <v>88</v>
      </c>
      <c r="K1484" s="28"/>
    </row>
    <row r="1485" spans="1:11" s="25" customFormat="1" outlineLevel="1" x14ac:dyDescent="0.25">
      <c r="A1485" t="s">
        <v>1769</v>
      </c>
      <c r="B1485" s="25" t="s">
        <v>1124</v>
      </c>
      <c r="C1485" s="25" t="s">
        <v>147</v>
      </c>
      <c r="E1485" s="25" t="str">
        <f t="shared" ref="E1485" si="1647">_xlfn.CONCAT("FretFluv",LEFT(B1485,3),RIGHT(B1478,2),"EmportMoy")</f>
        <v>FretFluvCat49EmportMoy</v>
      </c>
      <c r="F1485" s="25" t="s">
        <v>17</v>
      </c>
      <c r="G1485" s="25" cm="1">
        <f t="array" ref="G1485">IF((INDEX('Remplissage - Sit. Init.'!$C$473:$I$1088,MATCH((B1485)&amp;('Remplissage - Sit. Init.'!$D$483),('Remplissage - Sit. Init.'!$C$473:$C$1088)&amp;('Remplissage - Sit. Init.'!$D$473:$D$1088),0),7))&gt;0,0,1)</f>
        <v>1</v>
      </c>
      <c r="I1485" s="27"/>
      <c r="J1485" s="25" t="s">
        <v>148</v>
      </c>
      <c r="K1485" s="28"/>
    </row>
    <row r="1486" spans="1:11" s="25" customFormat="1" outlineLevel="1" x14ac:dyDescent="0.25">
      <c r="A1486" t="s">
        <v>1769</v>
      </c>
      <c r="B1486" s="25" t="s">
        <v>1124</v>
      </c>
      <c r="C1486" s="25" t="s">
        <v>149</v>
      </c>
      <c r="E1486" s="25" t="str">
        <f t="shared" ref="E1486" si="1648">_xlfn.CONCAT("FretFluv",LEFT(B1486,3),RIGHT(B1478,2),"DistAn")</f>
        <v>FretFluvCat49DistAn</v>
      </c>
      <c r="F1486" s="25" t="s">
        <v>17</v>
      </c>
      <c r="G1486" s="25" cm="1">
        <f t="array" ref="G1486">IF((INDEX('Remplissage - Sit. Init.'!$C$473:$I$1088,MATCH((B1486)&amp;('Remplissage - Sit. Init.'!$D$483),('Remplissage - Sit. Init.'!$C$473:$C$1088)&amp;('Remplissage - Sit. Init.'!$D$473:$D$1088),0),7))&gt;0,0,1)</f>
        <v>1</v>
      </c>
      <c r="I1486" s="27"/>
      <c r="J1486" s="25" t="s">
        <v>88</v>
      </c>
    </row>
    <row r="1487" spans="1:11" s="25" customFormat="1" outlineLevel="1" x14ac:dyDescent="0.25">
      <c r="A1487" t="s">
        <v>1769</v>
      </c>
      <c r="B1487" s="25" t="s">
        <v>1124</v>
      </c>
      <c r="C1487" s="25" t="s">
        <v>150</v>
      </c>
      <c r="E1487" s="25" t="str">
        <f t="shared" ref="E1487" si="1649">_xlfn.CONCAT("FretFluv",LEFT(B1487,3),RIGHT(B1478,2),"TauxChargeMoy")</f>
        <v>FretFluvCat49TauxChargeMoy</v>
      </c>
      <c r="F1487" s="25" t="s">
        <v>17</v>
      </c>
      <c r="G1487" s="25" cm="1">
        <f t="array" ref="G1487">IF((INDEX('Remplissage - Sit. Init.'!$C$473:$I$1088,MATCH((B1487)&amp;('Remplissage - Sit. Init.'!$D$483),('Remplissage - Sit. Init.'!$C$473:$C$1088)&amp;('Remplissage - Sit. Init.'!$D$473:$D$1088),0),7))&gt;0,0,1)</f>
        <v>1</v>
      </c>
      <c r="I1487" s="27"/>
      <c r="J1487" s="25" t="s">
        <v>70</v>
      </c>
    </row>
    <row r="1488" spans="1:11" s="25" customFormat="1" outlineLevel="1" x14ac:dyDescent="0.25">
      <c r="A1488" t="s">
        <v>1769</v>
      </c>
      <c r="B1488" s="25" t="s">
        <v>1124</v>
      </c>
      <c r="C1488" s="26" t="s">
        <v>526</v>
      </c>
      <c r="E1488" s="25" t="str">
        <f t="shared" ref="E1488" si="1650">_xlfn.CONCAT("FretFluv",LEFT(B1488,3),RIGHT(B1478,2),"NbBarges")</f>
        <v>FretFluvCat49NbBarges</v>
      </c>
      <c r="F1488" s="25" t="s">
        <v>17</v>
      </c>
      <c r="G1488" s="25" cm="1">
        <f t="array" ref="G1488">IF((INDEX('Remplissage - Sit. Init.'!$C$473:$I$1088,MATCH((B1488)&amp;('Remplissage - Sit. Init.'!$D$483),('Remplissage - Sit. Init.'!$C$473:$C$1088)&amp;('Remplissage - Sit. Init.'!$D$473:$D$1088),0),7))&gt;0,0,1)</f>
        <v>1</v>
      </c>
      <c r="I1488" s="27"/>
      <c r="J1488" s="25" t="s">
        <v>151</v>
      </c>
    </row>
    <row r="1489" spans="1:11" s="25" customFormat="1" outlineLevel="1" x14ac:dyDescent="0.25">
      <c r="A1489" t="s">
        <v>1769</v>
      </c>
      <c r="B1489" s="25" t="s">
        <v>1137</v>
      </c>
      <c r="C1489" s="25" t="s">
        <v>135</v>
      </c>
      <c r="E1489" s="25" t="str">
        <f t="shared" ref="E1489" si="1651">_xlfn.CONCAT("FretFluv",LEFT(B1489,3),RIGHT(B1489,2),"Nom")</f>
        <v>FretFluvCat50Nom</v>
      </c>
      <c r="F1489" s="26" t="s">
        <v>20</v>
      </c>
      <c r="G1489" s="25" cm="1">
        <f t="array" ref="G1489">IF((INDEX('Remplissage - Sit. Init.'!$C$473:$I$1088,MATCH((B1489)&amp;('Remplissage - Sit. Init.'!$D$483),('Remplissage - Sit. Init.'!$C$473:$C$1088)&amp;('Remplissage - Sit. Init.'!$D$473:$D$1088),0),7))&gt;0,0,1)</f>
        <v>1</v>
      </c>
      <c r="I1489" s="27" t="str">
        <f>VLOOKUP(B1489,'Parcs types'!$B$65:$AA$120,2,FALSE)</f>
        <v>Pousseurs &gt;880 kW CCNR 2 ou inférieur, diesel</v>
      </c>
      <c r="K1489" s="25" t="str">
        <f>I1489</f>
        <v>Pousseurs &gt;880 kW CCNR 2 ou inférieur, diesel</v>
      </c>
    </row>
    <row r="1490" spans="1:11" s="25" customFormat="1" outlineLevel="1" x14ac:dyDescent="0.25">
      <c r="A1490" t="s">
        <v>1769</v>
      </c>
      <c r="B1490" s="25" t="s">
        <v>1137</v>
      </c>
      <c r="C1490" s="25" t="s">
        <v>136</v>
      </c>
      <c r="E1490" s="25" t="str">
        <f t="shared" ref="E1490" si="1652">_xlfn.CONCAT("FretFluv",LEFT(B1490,3),RIGHT(B1489,2),"Type")</f>
        <v>FretFluvCat50Type</v>
      </c>
      <c r="F1490" s="25" t="s">
        <v>20</v>
      </c>
      <c r="G1490" s="25" cm="1">
        <f t="array" ref="G1490">IF((INDEX('Remplissage - Sit. Init.'!$C$473:$I$1088,MATCH((B1490)&amp;('Remplissage - Sit. Init.'!$D$483),('Remplissage - Sit. Init.'!$C$473:$C$1088)&amp;('Remplissage - Sit. Init.'!$D$473:$D$1088),0),7))&gt;0,0,1)</f>
        <v>1</v>
      </c>
      <c r="I1490" s="27" t="str">
        <f>VLOOKUP(B1490,'Parcs types'!$B$65:$AA$120,3,FALSE)</f>
        <v>Pousseurs</v>
      </c>
      <c r="K1490" s="25" t="str">
        <f t="shared" ref="K1490:K1492" si="1653">I1490</f>
        <v>Pousseurs</v>
      </c>
    </row>
    <row r="1491" spans="1:11" s="25" customFormat="1" outlineLevel="1" x14ac:dyDescent="0.25">
      <c r="A1491" t="s">
        <v>1769</v>
      </c>
      <c r="B1491" s="25" t="s">
        <v>1137</v>
      </c>
      <c r="C1491" s="26" t="s">
        <v>137</v>
      </c>
      <c r="E1491" s="25" t="str">
        <f t="shared" ref="E1491" si="1654">_xlfn.CONCAT("FretFluv",LEFT(B1491,3),RIGHT(B1489,2),"Cap")</f>
        <v>FretFluvCat50Cap</v>
      </c>
      <c r="F1491" s="26" t="s">
        <v>36</v>
      </c>
      <c r="G1491" s="25" cm="1">
        <f t="array" ref="G1491">IF((INDEX('Remplissage - Sit. Init.'!$C$473:$I$1088,MATCH((B1491)&amp;('Remplissage - Sit. Init.'!$D$483),('Remplissage - Sit. Init.'!$C$473:$C$1088)&amp;('Remplissage - Sit. Init.'!$D$473:$D$1088),0),7))&gt;0,0,1)</f>
        <v>1</v>
      </c>
      <c r="I1491" s="27" t="str">
        <f>VLOOKUP(B1491,'Parcs types'!$B$65:$AA$120,4,FALSE)</f>
        <v>&gt;880 kW</v>
      </c>
      <c r="J1491" s="25" t="s">
        <v>524</v>
      </c>
      <c r="K1491" s="25" t="str">
        <f t="shared" si="1653"/>
        <v>&gt;880 kW</v>
      </c>
    </row>
    <row r="1492" spans="1:11" s="25" customFormat="1" outlineLevel="1" x14ac:dyDescent="0.25">
      <c r="A1492" t="s">
        <v>1769</v>
      </c>
      <c r="B1492" s="25" t="s">
        <v>1137</v>
      </c>
      <c r="C1492" s="26" t="s">
        <v>525</v>
      </c>
      <c r="E1492" s="25" t="str">
        <f t="shared" ref="E1492" si="1655">_xlfn.CONCAT("FretFluv",LEFT(B1492,3),RIGHT(B1489,2),"Tech")</f>
        <v>FretFluvCat50Tech</v>
      </c>
      <c r="F1492" s="26" t="s">
        <v>20</v>
      </c>
      <c r="G1492" s="25" cm="1">
        <f t="array" ref="G1492">IF((INDEX('Remplissage - Sit. Init.'!$C$473:$I$1088,MATCH((B1492)&amp;('Remplissage - Sit. Init.'!$D$483),('Remplissage - Sit. Init.'!$C$473:$C$1088)&amp;('Remplissage - Sit. Init.'!$D$473:$D$1088),0),7))&gt;0,0,1)</f>
        <v>1</v>
      </c>
      <c r="I1492" s="27" t="str">
        <f>VLOOKUP(B1492,'Parcs types'!$B$65:$AA$120,5,FALSE)</f>
        <v>CCNR 2 ou inférieur, diesel</v>
      </c>
      <c r="K1492" s="25" t="str">
        <f t="shared" si="1653"/>
        <v>CCNR 2 ou inférieur, diesel</v>
      </c>
    </row>
    <row r="1493" spans="1:11" s="25" customFormat="1" outlineLevel="1" x14ac:dyDescent="0.25">
      <c r="A1493" t="s">
        <v>1769</v>
      </c>
      <c r="B1493" s="25" t="s">
        <v>1137</v>
      </c>
      <c r="C1493" s="25" t="s">
        <v>140</v>
      </c>
      <c r="E1493" s="25" t="str">
        <f t="shared" ref="E1493" si="1656">_xlfn.CONCAT("FretFluv",LEFT(B1493,3),RIGHT(B1489,2),"Request")</f>
        <v>FretFluvCat50Request</v>
      </c>
      <c r="F1493" s="26" t="s">
        <v>20</v>
      </c>
      <c r="G1493" s="25" cm="1">
        <f t="array" ref="G1493">IF((INDEX('Remplissage - Sit. Init.'!$C$473:$I$1088,MATCH((B1493)&amp;('Remplissage - Sit. Init.'!$D$483),('Remplissage - Sit. Init.'!$C$473:$C$1088)&amp;('Remplissage - Sit. Init.'!$D$473:$D$1088),0),7))&gt;0,0,1)</f>
        <v>1</v>
      </c>
      <c r="I1493" s="27" t="s">
        <v>142</v>
      </c>
      <c r="K1493" s="30"/>
    </row>
    <row r="1494" spans="1:11" s="25" customFormat="1" outlineLevel="1" x14ac:dyDescent="0.25">
      <c r="A1494" t="s">
        <v>1769</v>
      </c>
      <c r="B1494" s="25" t="s">
        <v>1137</v>
      </c>
      <c r="C1494" s="25" t="s">
        <v>144</v>
      </c>
      <c r="E1494" s="25" t="str">
        <f t="shared" ref="E1494" si="1657">_xlfn.CONCAT("FretFluv",LEFT(B1494,3),RIGHT(B1489,2),"NbTraj")</f>
        <v>FretFluvCat50NbTraj</v>
      </c>
      <c r="F1494" s="25" t="s">
        <v>17</v>
      </c>
      <c r="G1494" s="25" cm="1">
        <f t="array" ref="G1494">IF((INDEX('Remplissage - Sit. Init.'!$C$473:$I$1088,MATCH((B1494)&amp;('Remplissage - Sit. Init.'!$D$483),('Remplissage - Sit. Init.'!$C$473:$C$1088)&amp;('Remplissage - Sit. Init.'!$D$473:$D$1088),0),7))&gt;0,0,1)</f>
        <v>1</v>
      </c>
      <c r="H1494" s="28"/>
      <c r="I1494" s="27"/>
      <c r="J1494" s="25" t="s">
        <v>145</v>
      </c>
      <c r="K1494" s="28"/>
    </row>
    <row r="1495" spans="1:11" s="25" customFormat="1" outlineLevel="1" x14ac:dyDescent="0.25">
      <c r="A1495" t="s">
        <v>1769</v>
      </c>
      <c r="B1495" s="25" t="s">
        <v>1137</v>
      </c>
      <c r="C1495" s="25" t="s">
        <v>146</v>
      </c>
      <c r="E1495" s="25" t="str">
        <f t="shared" ref="E1495" si="1658">_xlfn.CONCAT("FretFluv",LEFT(B1495,3),RIGHT(B1489,2),"DistMoy")</f>
        <v>FretFluvCat50DistMoy</v>
      </c>
      <c r="F1495" s="25" t="s">
        <v>17</v>
      </c>
      <c r="G1495" s="25" cm="1">
        <f t="array" ref="G1495">IF((INDEX('Remplissage - Sit. Init.'!$C$473:$I$1088,MATCH((B1495)&amp;('Remplissage - Sit. Init.'!$D$483),('Remplissage - Sit. Init.'!$C$473:$C$1088)&amp;('Remplissage - Sit. Init.'!$D$473:$D$1088),0),7))&gt;0,0,1)</f>
        <v>1</v>
      </c>
      <c r="H1495" s="28"/>
      <c r="I1495" s="27"/>
      <c r="J1495" s="25" t="s">
        <v>88</v>
      </c>
      <c r="K1495" s="28"/>
    </row>
    <row r="1496" spans="1:11" s="25" customFormat="1" outlineLevel="1" x14ac:dyDescent="0.25">
      <c r="A1496" t="s">
        <v>1769</v>
      </c>
      <c r="B1496" s="25" t="s">
        <v>1137</v>
      </c>
      <c r="C1496" s="25" t="s">
        <v>147</v>
      </c>
      <c r="E1496" s="25" t="str">
        <f t="shared" ref="E1496" si="1659">_xlfn.CONCAT("FretFluv",LEFT(B1496,3),RIGHT(B1489,2),"EmportMoy")</f>
        <v>FretFluvCat50EmportMoy</v>
      </c>
      <c r="F1496" s="25" t="s">
        <v>17</v>
      </c>
      <c r="G1496" s="25" cm="1">
        <f t="array" ref="G1496">IF((INDEX('Remplissage - Sit. Init.'!$C$473:$I$1088,MATCH((B1496)&amp;('Remplissage - Sit. Init.'!$D$483),('Remplissage - Sit. Init.'!$C$473:$C$1088)&amp;('Remplissage - Sit. Init.'!$D$473:$D$1088),0),7))&gt;0,0,1)</f>
        <v>1</v>
      </c>
      <c r="H1496" s="28"/>
      <c r="I1496" s="27"/>
      <c r="J1496" s="25" t="s">
        <v>148</v>
      </c>
      <c r="K1496" s="28"/>
    </row>
    <row r="1497" spans="1:11" s="25" customFormat="1" outlineLevel="1" x14ac:dyDescent="0.25">
      <c r="A1497" t="s">
        <v>1769</v>
      </c>
      <c r="B1497" s="25" t="s">
        <v>1137</v>
      </c>
      <c r="C1497" s="25" t="s">
        <v>149</v>
      </c>
      <c r="E1497" s="25" t="str">
        <f t="shared" ref="E1497" si="1660">_xlfn.CONCAT("FretFluv",LEFT(B1497,3),RIGHT(B1489,2),"DistAn")</f>
        <v>FretFluvCat50DistAn</v>
      </c>
      <c r="F1497" s="25" t="s">
        <v>17</v>
      </c>
      <c r="G1497" s="25" cm="1">
        <f t="array" ref="G1497">IF((INDEX('Remplissage - Sit. Init.'!$C$473:$I$1088,MATCH((B1497)&amp;('Remplissage - Sit. Init.'!$D$483),('Remplissage - Sit. Init.'!$C$473:$C$1088)&amp;('Remplissage - Sit. Init.'!$D$473:$D$1088),0),7))&gt;0,0,1)</f>
        <v>1</v>
      </c>
      <c r="H1497" s="28"/>
      <c r="I1497" s="27"/>
      <c r="J1497" s="25" t="s">
        <v>88</v>
      </c>
      <c r="K1497" s="28"/>
    </row>
    <row r="1498" spans="1:11" s="25" customFormat="1" outlineLevel="1" x14ac:dyDescent="0.25">
      <c r="A1498" t="s">
        <v>1769</v>
      </c>
      <c r="B1498" s="25" t="s">
        <v>1137</v>
      </c>
      <c r="C1498" s="25" t="s">
        <v>150</v>
      </c>
      <c r="E1498" s="25" t="str">
        <f t="shared" ref="E1498" si="1661">_xlfn.CONCAT("FretFluv",LEFT(B1498,3),RIGHT(B1489,2),"TauxChargeMoy")</f>
        <v>FretFluvCat50TauxChargeMoy</v>
      </c>
      <c r="F1498" s="25" t="s">
        <v>17</v>
      </c>
      <c r="G1498" s="25" cm="1">
        <f t="array" ref="G1498">IF((INDEX('Remplissage - Sit. Init.'!$C$473:$I$1088,MATCH((B1498)&amp;('Remplissage - Sit. Init.'!$D$483),('Remplissage - Sit. Init.'!$C$473:$C$1088)&amp;('Remplissage - Sit. Init.'!$D$473:$D$1088),0),7))&gt;0,0,1)</f>
        <v>1</v>
      </c>
      <c r="H1498" s="28"/>
      <c r="I1498" s="27"/>
      <c r="J1498" s="25" t="s">
        <v>70</v>
      </c>
      <c r="K1498" s="28"/>
    </row>
    <row r="1499" spans="1:11" s="25" customFormat="1" outlineLevel="1" x14ac:dyDescent="0.25">
      <c r="A1499" t="s">
        <v>1769</v>
      </c>
      <c r="B1499" s="25" t="s">
        <v>1137</v>
      </c>
      <c r="C1499" s="26" t="s">
        <v>526</v>
      </c>
      <c r="E1499" s="25" t="str">
        <f t="shared" ref="E1499" si="1662">_xlfn.CONCAT("FretFluv",LEFT(B1499,3),RIGHT(B1489,2),"NbBarges")</f>
        <v>FretFluvCat50NbBarges</v>
      </c>
      <c r="F1499" s="25" t="s">
        <v>17</v>
      </c>
      <c r="G1499" s="25" cm="1">
        <f t="array" ref="G1499">IF((INDEX('Remplissage - Sit. Init.'!$C$473:$I$1088,MATCH((B1499)&amp;('Remplissage - Sit. Init.'!$D$483),('Remplissage - Sit. Init.'!$C$473:$C$1088)&amp;('Remplissage - Sit. Init.'!$D$473:$D$1088),0),7))&gt;0,0,1)</f>
        <v>1</v>
      </c>
      <c r="H1499" s="28"/>
      <c r="I1499" s="27"/>
      <c r="J1499" s="25" t="s">
        <v>151</v>
      </c>
      <c r="K1499" s="28"/>
    </row>
    <row r="1500" spans="1:11" s="25" customFormat="1" outlineLevel="1" x14ac:dyDescent="0.25">
      <c r="A1500" t="s">
        <v>1769</v>
      </c>
      <c r="B1500" s="25" t="s">
        <v>1151</v>
      </c>
      <c r="C1500" s="25" t="s">
        <v>135</v>
      </c>
      <c r="E1500" s="25" t="str">
        <f t="shared" ref="E1500" si="1663">_xlfn.CONCAT("FretFluv",LEFT(B1500,3),RIGHT(B1500,2),"Nom")</f>
        <v>FretFluvCat51Nom</v>
      </c>
      <c r="F1500" s="26" t="s">
        <v>20</v>
      </c>
      <c r="G1500" s="25" cm="1">
        <f t="array" ref="G1500">IF((INDEX('Remplissage - Sit. Init.'!$C$473:$I$1088,MATCH((B1500)&amp;('Remplissage - Sit. Init.'!$D$483),('Remplissage - Sit. Init.'!$C$473:$C$1088)&amp;('Remplissage - Sit. Init.'!$D$473:$D$1088),0),7))&gt;0,0,1)</f>
        <v>1</v>
      </c>
      <c r="H1500" s="28"/>
      <c r="I1500" s="27" t="str">
        <f>VLOOKUP(B1500,'Parcs types'!$B$65:$AA$120,2,FALSE)</f>
        <v>Pousseurs &gt;880 kW CCNR 2 + SCR, diesel</v>
      </c>
      <c r="K1500" s="25" t="str">
        <f>I1500</f>
        <v>Pousseurs &gt;880 kW CCNR 2 + SCR, diesel</v>
      </c>
    </row>
    <row r="1501" spans="1:11" s="25" customFormat="1" outlineLevel="1" x14ac:dyDescent="0.25">
      <c r="A1501" t="s">
        <v>1769</v>
      </c>
      <c r="B1501" s="25" t="s">
        <v>1151</v>
      </c>
      <c r="C1501" s="25" t="s">
        <v>136</v>
      </c>
      <c r="E1501" s="25" t="str">
        <f t="shared" ref="E1501" si="1664">_xlfn.CONCAT("FretFluv",LEFT(B1501,3),RIGHT(B1500,2),"Type")</f>
        <v>FretFluvCat51Type</v>
      </c>
      <c r="F1501" s="25" t="s">
        <v>20</v>
      </c>
      <c r="G1501" s="25" cm="1">
        <f t="array" ref="G1501">IF((INDEX('Remplissage - Sit. Init.'!$C$473:$I$1088,MATCH((B1501)&amp;('Remplissage - Sit. Init.'!$D$483),('Remplissage - Sit. Init.'!$C$473:$C$1088)&amp;('Remplissage - Sit. Init.'!$D$473:$D$1088),0),7))&gt;0,0,1)</f>
        <v>1</v>
      </c>
      <c r="H1501" s="28"/>
      <c r="I1501" s="27" t="str">
        <f>VLOOKUP(B1501,'Parcs types'!$B$65:$AA$120,3,FALSE)</f>
        <v>Pousseurs</v>
      </c>
      <c r="K1501" s="25" t="str">
        <f t="shared" ref="K1501:K1503" si="1665">I1501</f>
        <v>Pousseurs</v>
      </c>
    </row>
    <row r="1502" spans="1:11" s="25" customFormat="1" outlineLevel="1" x14ac:dyDescent="0.25">
      <c r="A1502" t="s">
        <v>1769</v>
      </c>
      <c r="B1502" s="25" t="s">
        <v>1151</v>
      </c>
      <c r="C1502" s="26" t="s">
        <v>137</v>
      </c>
      <c r="E1502" s="25" t="str">
        <f t="shared" ref="E1502" si="1666">_xlfn.CONCAT("FretFluv",LEFT(B1502,3),RIGHT(B1500,2),"Cap")</f>
        <v>FretFluvCat51Cap</v>
      </c>
      <c r="F1502" s="26" t="s">
        <v>36</v>
      </c>
      <c r="G1502" s="25" cm="1">
        <f t="array" ref="G1502">IF((INDEX('Remplissage - Sit. Init.'!$C$473:$I$1088,MATCH((B1502)&amp;('Remplissage - Sit. Init.'!$D$483),('Remplissage - Sit. Init.'!$C$473:$C$1088)&amp;('Remplissage - Sit. Init.'!$D$473:$D$1088),0),7))&gt;0,0,1)</f>
        <v>1</v>
      </c>
      <c r="H1502" s="28"/>
      <c r="I1502" s="27" t="str">
        <f>VLOOKUP(B1502,'Parcs types'!$B$65:$AA$120,4,FALSE)</f>
        <v>&gt;880 kW</v>
      </c>
      <c r="J1502" s="25" t="s">
        <v>524</v>
      </c>
      <c r="K1502" s="25" t="str">
        <f t="shared" si="1665"/>
        <v>&gt;880 kW</v>
      </c>
    </row>
    <row r="1503" spans="1:11" s="25" customFormat="1" outlineLevel="1" x14ac:dyDescent="0.25">
      <c r="A1503" t="s">
        <v>1769</v>
      </c>
      <c r="B1503" s="25" t="s">
        <v>1151</v>
      </c>
      <c r="C1503" s="26" t="s">
        <v>525</v>
      </c>
      <c r="E1503" s="25" t="str">
        <f t="shared" ref="E1503" si="1667">_xlfn.CONCAT("FretFluv",LEFT(B1503,3),RIGHT(B1500,2),"Tech")</f>
        <v>FretFluvCat51Tech</v>
      </c>
      <c r="F1503" s="26" t="s">
        <v>20</v>
      </c>
      <c r="G1503" s="25" cm="1">
        <f t="array" ref="G1503">IF((INDEX('Remplissage - Sit. Init.'!$C$473:$I$1088,MATCH((B1503)&amp;('Remplissage - Sit. Init.'!$D$483),('Remplissage - Sit. Init.'!$C$473:$C$1088)&amp;('Remplissage - Sit. Init.'!$D$473:$D$1088),0),7))&gt;0,0,1)</f>
        <v>1</v>
      </c>
      <c r="H1503" s="28"/>
      <c r="I1503" s="27" t="str">
        <f>VLOOKUP(B1503,'Parcs types'!$B$65:$AA$120,5,FALSE)</f>
        <v>CCNR 2 + SCR, diesel</v>
      </c>
      <c r="K1503" s="25" t="str">
        <f t="shared" si="1665"/>
        <v>CCNR 2 + SCR, diesel</v>
      </c>
    </row>
    <row r="1504" spans="1:11" s="25" customFormat="1" outlineLevel="1" x14ac:dyDescent="0.25">
      <c r="A1504" t="s">
        <v>1769</v>
      </c>
      <c r="B1504" s="25" t="s">
        <v>1151</v>
      </c>
      <c r="C1504" s="25" t="s">
        <v>140</v>
      </c>
      <c r="E1504" s="25" t="str">
        <f t="shared" ref="E1504" si="1668">_xlfn.CONCAT("FretFluv",LEFT(B1504,3),RIGHT(B1500,2),"Request")</f>
        <v>FretFluvCat51Request</v>
      </c>
      <c r="F1504" s="26" t="s">
        <v>20</v>
      </c>
      <c r="G1504" s="25" cm="1">
        <f t="array" ref="G1504">IF((INDEX('Remplissage - Sit. Init.'!$C$473:$I$1088,MATCH((B1504)&amp;('Remplissage - Sit. Init.'!$D$483),('Remplissage - Sit. Init.'!$C$473:$C$1088)&amp;('Remplissage - Sit. Init.'!$D$473:$D$1088),0),7))&gt;0,0,1)</f>
        <v>1</v>
      </c>
      <c r="I1504" s="27" t="s">
        <v>142</v>
      </c>
      <c r="K1504" s="28"/>
    </row>
    <row r="1505" spans="1:11" s="25" customFormat="1" outlineLevel="1" x14ac:dyDescent="0.25">
      <c r="A1505" t="s">
        <v>1769</v>
      </c>
      <c r="B1505" s="25" t="s">
        <v>1151</v>
      </c>
      <c r="C1505" s="25" t="s">
        <v>144</v>
      </c>
      <c r="E1505" s="25" t="str">
        <f t="shared" ref="E1505" si="1669">_xlfn.CONCAT("FretFluv",LEFT(B1505,3),RIGHT(B1500,2),"NbTraj")</f>
        <v>FretFluvCat51NbTraj</v>
      </c>
      <c r="F1505" s="25" t="s">
        <v>17</v>
      </c>
      <c r="G1505" s="25" cm="1">
        <f t="array" ref="G1505">IF((INDEX('Remplissage - Sit. Init.'!$C$473:$I$1088,MATCH((B1505)&amp;('Remplissage - Sit. Init.'!$D$483),('Remplissage - Sit. Init.'!$C$473:$C$1088)&amp;('Remplissage - Sit. Init.'!$D$473:$D$1088),0),7))&gt;0,0,1)</f>
        <v>1</v>
      </c>
      <c r="H1505" s="28"/>
      <c r="I1505" s="27"/>
      <c r="J1505" s="25" t="s">
        <v>145</v>
      </c>
      <c r="K1505" s="28"/>
    </row>
    <row r="1506" spans="1:11" s="25" customFormat="1" outlineLevel="1" x14ac:dyDescent="0.25">
      <c r="A1506" t="s">
        <v>1769</v>
      </c>
      <c r="B1506" s="25" t="s">
        <v>1151</v>
      </c>
      <c r="C1506" s="25" t="s">
        <v>146</v>
      </c>
      <c r="E1506" s="25" t="str">
        <f t="shared" ref="E1506" si="1670">_xlfn.CONCAT("FretFluv",LEFT(B1506,3),RIGHT(B1500,2),"DistMoy")</f>
        <v>FretFluvCat51DistMoy</v>
      </c>
      <c r="F1506" s="25" t="s">
        <v>17</v>
      </c>
      <c r="G1506" s="25" cm="1">
        <f t="array" ref="G1506">IF((INDEX('Remplissage - Sit. Init.'!$C$473:$I$1088,MATCH((B1506)&amp;('Remplissage - Sit. Init.'!$D$483),('Remplissage - Sit. Init.'!$C$473:$C$1088)&amp;('Remplissage - Sit. Init.'!$D$473:$D$1088),0),7))&gt;0,0,1)</f>
        <v>1</v>
      </c>
      <c r="H1506" s="28"/>
      <c r="I1506" s="27"/>
      <c r="J1506" s="25" t="s">
        <v>88</v>
      </c>
      <c r="K1506" s="28"/>
    </row>
    <row r="1507" spans="1:11" s="25" customFormat="1" outlineLevel="1" x14ac:dyDescent="0.25">
      <c r="A1507" t="s">
        <v>1769</v>
      </c>
      <c r="B1507" s="25" t="s">
        <v>1151</v>
      </c>
      <c r="C1507" s="25" t="s">
        <v>147</v>
      </c>
      <c r="E1507" s="25" t="str">
        <f t="shared" ref="E1507" si="1671">_xlfn.CONCAT("FretFluv",LEFT(B1507,3),RIGHT(B1500,2),"EmportMoy")</f>
        <v>FretFluvCat51EmportMoy</v>
      </c>
      <c r="F1507" s="25" t="s">
        <v>17</v>
      </c>
      <c r="G1507" s="25" cm="1">
        <f t="array" ref="G1507">IF((INDEX('Remplissage - Sit. Init.'!$C$473:$I$1088,MATCH((B1507)&amp;('Remplissage - Sit. Init.'!$D$483),('Remplissage - Sit. Init.'!$C$473:$C$1088)&amp;('Remplissage - Sit. Init.'!$D$473:$D$1088),0),7))&gt;0,0,1)</f>
        <v>1</v>
      </c>
      <c r="H1507" s="28"/>
      <c r="I1507" s="27"/>
      <c r="J1507" s="25" t="s">
        <v>148</v>
      </c>
      <c r="K1507" s="28"/>
    </row>
    <row r="1508" spans="1:11" s="25" customFormat="1" outlineLevel="1" x14ac:dyDescent="0.25">
      <c r="A1508" t="s">
        <v>1769</v>
      </c>
      <c r="B1508" s="25" t="s">
        <v>1151</v>
      </c>
      <c r="C1508" s="25" t="s">
        <v>149</v>
      </c>
      <c r="E1508" s="25" t="str">
        <f t="shared" ref="E1508" si="1672">_xlfn.CONCAT("FretFluv",LEFT(B1508,3),RIGHT(B1500,2),"DistAn")</f>
        <v>FretFluvCat51DistAn</v>
      </c>
      <c r="F1508" s="25" t="s">
        <v>17</v>
      </c>
      <c r="G1508" s="25" cm="1">
        <f t="array" ref="G1508">IF((INDEX('Remplissage - Sit. Init.'!$C$473:$I$1088,MATCH((B1508)&amp;('Remplissage - Sit. Init.'!$D$483),('Remplissage - Sit. Init.'!$C$473:$C$1088)&amp;('Remplissage - Sit. Init.'!$D$473:$D$1088),0),7))&gt;0,0,1)</f>
        <v>1</v>
      </c>
      <c r="H1508" s="28"/>
      <c r="I1508" s="27"/>
      <c r="J1508" s="25" t="s">
        <v>88</v>
      </c>
    </row>
    <row r="1509" spans="1:11" s="25" customFormat="1" outlineLevel="1" x14ac:dyDescent="0.25">
      <c r="A1509" t="s">
        <v>1769</v>
      </c>
      <c r="B1509" s="25" t="s">
        <v>1151</v>
      </c>
      <c r="C1509" s="25" t="s">
        <v>150</v>
      </c>
      <c r="E1509" s="25" t="str">
        <f t="shared" ref="E1509" si="1673">_xlfn.CONCAT("FretFluv",LEFT(B1509,3),RIGHT(B1500,2),"TauxChargeMoy")</f>
        <v>FretFluvCat51TauxChargeMoy</v>
      </c>
      <c r="F1509" s="25" t="s">
        <v>17</v>
      </c>
      <c r="G1509" s="25" cm="1">
        <f t="array" ref="G1509">IF((INDEX('Remplissage - Sit. Init.'!$C$473:$I$1088,MATCH((B1509)&amp;('Remplissage - Sit. Init.'!$D$483),('Remplissage - Sit. Init.'!$C$473:$C$1088)&amp;('Remplissage - Sit. Init.'!$D$473:$D$1088),0),7))&gt;0,0,1)</f>
        <v>1</v>
      </c>
      <c r="H1509" s="28"/>
      <c r="I1509" s="27"/>
      <c r="J1509" s="25" t="s">
        <v>70</v>
      </c>
    </row>
    <row r="1510" spans="1:11" s="25" customFormat="1" outlineLevel="1" x14ac:dyDescent="0.25">
      <c r="A1510" t="s">
        <v>1769</v>
      </c>
      <c r="B1510" s="25" t="s">
        <v>1151</v>
      </c>
      <c r="C1510" s="26" t="s">
        <v>526</v>
      </c>
      <c r="E1510" s="25" t="str">
        <f t="shared" ref="E1510" si="1674">_xlfn.CONCAT("FretFluv",LEFT(B1510,3),RIGHT(B1500,2),"NbBarges")</f>
        <v>FretFluvCat51NbBarges</v>
      </c>
      <c r="F1510" s="25" t="s">
        <v>17</v>
      </c>
      <c r="G1510" s="25" cm="1">
        <f t="array" ref="G1510">IF((INDEX('Remplissage - Sit. Init.'!$C$473:$I$1088,MATCH((B1510)&amp;('Remplissage - Sit. Init.'!$D$483),('Remplissage - Sit. Init.'!$C$473:$C$1088)&amp;('Remplissage - Sit. Init.'!$D$473:$D$1088),0),7))&gt;0,0,1)</f>
        <v>1</v>
      </c>
      <c r="H1510" s="28"/>
      <c r="I1510" s="27"/>
      <c r="J1510" s="25" t="s">
        <v>151</v>
      </c>
    </row>
    <row r="1511" spans="1:11" s="25" customFormat="1" outlineLevel="1" x14ac:dyDescent="0.25">
      <c r="A1511" t="s">
        <v>1769</v>
      </c>
      <c r="B1511" s="25" t="s">
        <v>1164</v>
      </c>
      <c r="C1511" s="25" t="s">
        <v>135</v>
      </c>
      <c r="E1511" s="25" t="str">
        <f t="shared" ref="E1511" si="1675">_xlfn.CONCAT("FretFluv",LEFT(B1511,3),RIGHT(B1511,2),"Nom")</f>
        <v>FretFluvCat52Nom</v>
      </c>
      <c r="F1511" s="26" t="s">
        <v>20</v>
      </c>
      <c r="G1511" s="25" cm="1">
        <f t="array" ref="G1511">IF((INDEX('Remplissage - Sit. Init.'!$C$473:$I$1088,MATCH((B1511)&amp;('Remplissage - Sit. Init.'!$D$483),('Remplissage - Sit. Init.'!$C$473:$C$1088)&amp;('Remplissage - Sit. Init.'!$D$473:$D$1088),0),7))&gt;0,0,1)</f>
        <v>1</v>
      </c>
      <c r="H1511" s="28"/>
      <c r="I1511" s="27" t="str">
        <f>VLOOKUP(B1511,'Parcs types'!$B$65:$AA$120,2,FALSE)</f>
        <v>Pousseurs &gt;880 kW Phase V, diesel</v>
      </c>
      <c r="K1511" s="25" t="str">
        <f>I1511</f>
        <v>Pousseurs &gt;880 kW Phase V, diesel</v>
      </c>
    </row>
    <row r="1512" spans="1:11" s="25" customFormat="1" outlineLevel="1" x14ac:dyDescent="0.25">
      <c r="A1512" t="s">
        <v>1769</v>
      </c>
      <c r="B1512" s="25" t="s">
        <v>1164</v>
      </c>
      <c r="C1512" s="25" t="s">
        <v>136</v>
      </c>
      <c r="E1512" s="25" t="str">
        <f t="shared" ref="E1512" si="1676">_xlfn.CONCAT("FretFluv",LEFT(B1512,3),RIGHT(B1511,2),"Type")</f>
        <v>FretFluvCat52Type</v>
      </c>
      <c r="F1512" s="25" t="s">
        <v>20</v>
      </c>
      <c r="G1512" s="25" cm="1">
        <f t="array" ref="G1512">IF((INDEX('Remplissage - Sit. Init.'!$C$473:$I$1088,MATCH((B1512)&amp;('Remplissage - Sit. Init.'!$D$483),('Remplissage - Sit. Init.'!$C$473:$C$1088)&amp;('Remplissage - Sit. Init.'!$D$473:$D$1088),0),7))&gt;0,0,1)</f>
        <v>1</v>
      </c>
      <c r="H1512" s="28"/>
      <c r="I1512" s="27" t="str">
        <f>VLOOKUP(B1512,'Parcs types'!$B$65:$AA$120,3,FALSE)</f>
        <v>Pousseurs</v>
      </c>
      <c r="K1512" s="25" t="str">
        <f t="shared" ref="K1512:K1514" si="1677">I1512</f>
        <v>Pousseurs</v>
      </c>
    </row>
    <row r="1513" spans="1:11" s="25" customFormat="1" outlineLevel="1" x14ac:dyDescent="0.25">
      <c r="A1513" t="s">
        <v>1769</v>
      </c>
      <c r="B1513" s="25" t="s">
        <v>1164</v>
      </c>
      <c r="C1513" s="26" t="s">
        <v>137</v>
      </c>
      <c r="E1513" s="25" t="str">
        <f t="shared" ref="E1513" si="1678">_xlfn.CONCAT("FretFluv",LEFT(B1513,3),RIGHT(B1511,2),"Cap")</f>
        <v>FretFluvCat52Cap</v>
      </c>
      <c r="F1513" s="26" t="s">
        <v>36</v>
      </c>
      <c r="G1513" s="25" cm="1">
        <f t="array" ref="G1513">IF((INDEX('Remplissage - Sit. Init.'!$C$473:$I$1088,MATCH((B1513)&amp;('Remplissage - Sit. Init.'!$D$483),('Remplissage - Sit. Init.'!$C$473:$C$1088)&amp;('Remplissage - Sit. Init.'!$D$473:$D$1088),0),7))&gt;0,0,1)</f>
        <v>1</v>
      </c>
      <c r="H1513" s="28"/>
      <c r="I1513" s="27" t="str">
        <f>VLOOKUP(B1513,'Parcs types'!$B$65:$AA$120,4,FALSE)</f>
        <v>&gt;880 kW</v>
      </c>
      <c r="J1513" s="25" t="s">
        <v>524</v>
      </c>
      <c r="K1513" s="25" t="str">
        <f t="shared" si="1677"/>
        <v>&gt;880 kW</v>
      </c>
    </row>
    <row r="1514" spans="1:11" s="25" customFormat="1" outlineLevel="1" x14ac:dyDescent="0.25">
      <c r="A1514" t="s">
        <v>1769</v>
      </c>
      <c r="B1514" s="25" t="s">
        <v>1164</v>
      </c>
      <c r="C1514" s="26" t="s">
        <v>525</v>
      </c>
      <c r="E1514" s="25" t="str">
        <f t="shared" ref="E1514" si="1679">_xlfn.CONCAT("FretFluv",LEFT(B1514,3),RIGHT(B1511,2),"Tech")</f>
        <v>FretFluvCat52Tech</v>
      </c>
      <c r="F1514" s="26" t="s">
        <v>20</v>
      </c>
      <c r="G1514" s="25" cm="1">
        <f t="array" ref="G1514">IF((INDEX('Remplissage - Sit. Init.'!$C$473:$I$1088,MATCH((B1514)&amp;('Remplissage - Sit. Init.'!$D$483),('Remplissage - Sit. Init.'!$C$473:$C$1088)&amp;('Remplissage - Sit. Init.'!$D$473:$D$1088),0),7))&gt;0,0,1)</f>
        <v>1</v>
      </c>
      <c r="H1514" s="28"/>
      <c r="I1514" s="27" t="str">
        <f>VLOOKUP(B1514,'Parcs types'!$B$65:$AA$120,5,FALSE)</f>
        <v>Phase V, diesel</v>
      </c>
      <c r="K1514" s="25" t="str">
        <f t="shared" si="1677"/>
        <v>Phase V, diesel</v>
      </c>
    </row>
    <row r="1515" spans="1:11" s="25" customFormat="1" outlineLevel="1" x14ac:dyDescent="0.25">
      <c r="A1515" t="s">
        <v>1769</v>
      </c>
      <c r="B1515" s="25" t="s">
        <v>1164</v>
      </c>
      <c r="C1515" s="25" t="s">
        <v>140</v>
      </c>
      <c r="E1515" s="25" t="str">
        <f t="shared" ref="E1515" si="1680">_xlfn.CONCAT("FretFluv",LEFT(B1515,3),RIGHT(B1511,2),"Request")</f>
        <v>FretFluvCat52Request</v>
      </c>
      <c r="F1515" s="26" t="s">
        <v>20</v>
      </c>
      <c r="G1515" s="25" cm="1">
        <f t="array" ref="G1515">IF((INDEX('Remplissage - Sit. Init.'!$C$473:$I$1088,MATCH((B1515)&amp;('Remplissage - Sit. Init.'!$D$483),('Remplissage - Sit. Init.'!$C$473:$C$1088)&amp;('Remplissage - Sit. Init.'!$D$473:$D$1088),0),7))&gt;0,0,1)</f>
        <v>1</v>
      </c>
      <c r="I1515" s="27" t="s">
        <v>142</v>
      </c>
      <c r="K1515" s="28"/>
    </row>
    <row r="1516" spans="1:11" s="25" customFormat="1" outlineLevel="1" x14ac:dyDescent="0.25">
      <c r="A1516" t="s">
        <v>1769</v>
      </c>
      <c r="B1516" s="25" t="s">
        <v>1164</v>
      </c>
      <c r="C1516" s="25" t="s">
        <v>144</v>
      </c>
      <c r="E1516" s="25" t="str">
        <f t="shared" ref="E1516" si="1681">_xlfn.CONCAT("FretFluv",LEFT(B1516,3),RIGHT(B1511,2),"NbTraj")</f>
        <v>FretFluvCat52NbTraj</v>
      </c>
      <c r="F1516" s="25" t="s">
        <v>17</v>
      </c>
      <c r="G1516" s="25" cm="1">
        <f t="array" ref="G1516">IF((INDEX('Remplissage - Sit. Init.'!$C$473:$I$1088,MATCH((B1516)&amp;('Remplissage - Sit. Init.'!$D$483),('Remplissage - Sit. Init.'!$C$473:$C$1088)&amp;('Remplissage - Sit. Init.'!$D$473:$D$1088),0),7))&gt;0,0,1)</f>
        <v>1</v>
      </c>
      <c r="H1516" s="28"/>
      <c r="I1516" s="27"/>
      <c r="J1516" s="25" t="s">
        <v>145</v>
      </c>
      <c r="K1516" s="28"/>
    </row>
    <row r="1517" spans="1:11" s="25" customFormat="1" outlineLevel="1" x14ac:dyDescent="0.25">
      <c r="A1517" t="s">
        <v>1769</v>
      </c>
      <c r="B1517" s="25" t="s">
        <v>1164</v>
      </c>
      <c r="C1517" s="25" t="s">
        <v>146</v>
      </c>
      <c r="E1517" s="25" t="str">
        <f t="shared" ref="E1517" si="1682">_xlfn.CONCAT("FretFluv",LEFT(B1517,3),RIGHT(B1511,2),"DistMoy")</f>
        <v>FretFluvCat52DistMoy</v>
      </c>
      <c r="F1517" s="25" t="s">
        <v>17</v>
      </c>
      <c r="G1517" s="25" cm="1">
        <f t="array" ref="G1517">IF((INDEX('Remplissage - Sit. Init.'!$C$473:$I$1088,MATCH((B1517)&amp;('Remplissage - Sit. Init.'!$D$483),('Remplissage - Sit. Init.'!$C$473:$C$1088)&amp;('Remplissage - Sit. Init.'!$D$473:$D$1088),0),7))&gt;0,0,1)</f>
        <v>1</v>
      </c>
      <c r="H1517" s="28"/>
      <c r="I1517" s="27"/>
      <c r="J1517" s="25" t="s">
        <v>88</v>
      </c>
      <c r="K1517" s="28"/>
    </row>
    <row r="1518" spans="1:11" s="25" customFormat="1" outlineLevel="1" x14ac:dyDescent="0.25">
      <c r="A1518" t="s">
        <v>1769</v>
      </c>
      <c r="B1518" s="25" t="s">
        <v>1164</v>
      </c>
      <c r="C1518" s="25" t="s">
        <v>147</v>
      </c>
      <c r="E1518" s="25" t="str">
        <f t="shared" ref="E1518" si="1683">_xlfn.CONCAT("FretFluv",LEFT(B1518,3),RIGHT(B1511,2),"EmportMoy")</f>
        <v>FretFluvCat52EmportMoy</v>
      </c>
      <c r="F1518" s="25" t="s">
        <v>17</v>
      </c>
      <c r="G1518" s="25" cm="1">
        <f t="array" ref="G1518">IF((INDEX('Remplissage - Sit. Init.'!$C$473:$I$1088,MATCH((B1518)&amp;('Remplissage - Sit. Init.'!$D$483),('Remplissage - Sit. Init.'!$C$473:$C$1088)&amp;('Remplissage - Sit. Init.'!$D$473:$D$1088),0),7))&gt;0,0,1)</f>
        <v>1</v>
      </c>
      <c r="H1518" s="28"/>
      <c r="I1518" s="27"/>
      <c r="J1518" s="25" t="s">
        <v>148</v>
      </c>
      <c r="K1518" s="28"/>
    </row>
    <row r="1519" spans="1:11" s="25" customFormat="1" outlineLevel="1" x14ac:dyDescent="0.25">
      <c r="A1519" t="s">
        <v>1769</v>
      </c>
      <c r="B1519" s="25" t="s">
        <v>1164</v>
      </c>
      <c r="C1519" s="25" t="s">
        <v>149</v>
      </c>
      <c r="E1519" s="25" t="str">
        <f t="shared" ref="E1519" si="1684">_xlfn.CONCAT("FretFluv",LEFT(B1519,3),RIGHT(B1511,2),"DistAn")</f>
        <v>FretFluvCat52DistAn</v>
      </c>
      <c r="F1519" s="25" t="s">
        <v>17</v>
      </c>
      <c r="G1519" s="25" cm="1">
        <f t="array" ref="G1519">IF((INDEX('Remplissage - Sit. Init.'!$C$473:$I$1088,MATCH((B1519)&amp;('Remplissage - Sit. Init.'!$D$483),('Remplissage - Sit. Init.'!$C$473:$C$1088)&amp;('Remplissage - Sit. Init.'!$D$473:$D$1088),0),7))&gt;0,0,1)</f>
        <v>1</v>
      </c>
      <c r="H1519" s="28"/>
      <c r="I1519" s="27"/>
      <c r="J1519" s="25" t="s">
        <v>88</v>
      </c>
      <c r="K1519" s="28"/>
    </row>
    <row r="1520" spans="1:11" s="25" customFormat="1" outlineLevel="1" x14ac:dyDescent="0.25">
      <c r="A1520" t="s">
        <v>1769</v>
      </c>
      <c r="B1520" s="25" t="s">
        <v>1164</v>
      </c>
      <c r="C1520" s="25" t="s">
        <v>150</v>
      </c>
      <c r="E1520" s="25" t="str">
        <f t="shared" ref="E1520" si="1685">_xlfn.CONCAT("FretFluv",LEFT(B1520,3),RIGHT(B1511,2),"TauxChargeMoy")</f>
        <v>FretFluvCat52TauxChargeMoy</v>
      </c>
      <c r="F1520" s="25" t="s">
        <v>17</v>
      </c>
      <c r="G1520" s="25" cm="1">
        <f t="array" ref="G1520">IF((INDEX('Remplissage - Sit. Init.'!$C$473:$I$1088,MATCH((B1520)&amp;('Remplissage - Sit. Init.'!$D$483),('Remplissage - Sit. Init.'!$C$473:$C$1088)&amp;('Remplissage - Sit. Init.'!$D$473:$D$1088),0),7))&gt;0,0,1)</f>
        <v>1</v>
      </c>
      <c r="H1520" s="28"/>
      <c r="I1520" s="27"/>
      <c r="J1520" s="25" t="s">
        <v>70</v>
      </c>
      <c r="K1520" s="28"/>
    </row>
    <row r="1521" spans="1:11" s="25" customFormat="1" outlineLevel="1" x14ac:dyDescent="0.25">
      <c r="A1521" t="s">
        <v>1769</v>
      </c>
      <c r="B1521" s="25" t="s">
        <v>1164</v>
      </c>
      <c r="C1521" s="26" t="s">
        <v>526</v>
      </c>
      <c r="E1521" s="25" t="str">
        <f t="shared" ref="E1521" si="1686">_xlfn.CONCAT("FretFluv",LEFT(B1521,3),RIGHT(B1511,2),"NbBarges")</f>
        <v>FretFluvCat52NbBarges</v>
      </c>
      <c r="F1521" s="25" t="s">
        <v>17</v>
      </c>
      <c r="G1521" s="25" cm="1">
        <f t="array" ref="G1521">IF((INDEX('Remplissage - Sit. Init.'!$C$473:$I$1088,MATCH((B1521)&amp;('Remplissage - Sit. Init.'!$D$483),('Remplissage - Sit. Init.'!$C$473:$C$1088)&amp;('Remplissage - Sit. Init.'!$D$473:$D$1088),0),7))&gt;0,0,1)</f>
        <v>1</v>
      </c>
      <c r="H1521" s="28"/>
      <c r="I1521" s="27"/>
      <c r="J1521" s="25" t="s">
        <v>151</v>
      </c>
      <c r="K1521" s="28"/>
    </row>
    <row r="1522" spans="1:11" s="25" customFormat="1" outlineLevel="1" x14ac:dyDescent="0.25">
      <c r="A1522" t="s">
        <v>1769</v>
      </c>
      <c r="B1522" s="25" t="s">
        <v>1177</v>
      </c>
      <c r="C1522" s="25" t="s">
        <v>135</v>
      </c>
      <c r="E1522" s="25" t="str">
        <f t="shared" ref="E1522" si="1687">_xlfn.CONCAT("FretFluv",LEFT(B1522,3),RIGHT(B1522,2),"Nom")</f>
        <v>FretFluvCat53Nom</v>
      </c>
      <c r="F1522" s="26" t="s">
        <v>20</v>
      </c>
      <c r="G1522" s="25" cm="1">
        <f t="array" ref="G1522">IF((INDEX('Remplissage - Sit. Init.'!$C$473:$I$1088,MATCH((B1522)&amp;('Remplissage - Sit. Init.'!$D$483),('Remplissage - Sit. Init.'!$C$473:$C$1088)&amp;('Remplissage - Sit. Init.'!$D$473:$D$1088),0),7))&gt;0,0,1)</f>
        <v>1</v>
      </c>
      <c r="H1522" s="28"/>
      <c r="I1522" s="27" t="str">
        <f>VLOOKUP(B1522,'Parcs types'!$B$65:$AA$120,2,FALSE)</f>
        <v>Pousseurs &gt;880 kW Phase V, HVO</v>
      </c>
      <c r="K1522" s="25" t="str">
        <f>I1522</f>
        <v>Pousseurs &gt;880 kW Phase V, HVO</v>
      </c>
    </row>
    <row r="1523" spans="1:11" s="25" customFormat="1" outlineLevel="1" x14ac:dyDescent="0.25">
      <c r="A1523" t="s">
        <v>1769</v>
      </c>
      <c r="B1523" s="25" t="s">
        <v>1177</v>
      </c>
      <c r="C1523" s="25" t="s">
        <v>136</v>
      </c>
      <c r="E1523" s="25" t="str">
        <f t="shared" ref="E1523" si="1688">_xlfn.CONCAT("FretFluv",LEFT(B1523,3),RIGHT(B1522,2),"Type")</f>
        <v>FretFluvCat53Type</v>
      </c>
      <c r="F1523" s="25" t="s">
        <v>20</v>
      </c>
      <c r="G1523" s="25" cm="1">
        <f t="array" ref="G1523">IF((INDEX('Remplissage - Sit. Init.'!$C$473:$I$1088,MATCH((B1523)&amp;('Remplissage - Sit. Init.'!$D$483),('Remplissage - Sit. Init.'!$C$473:$C$1088)&amp;('Remplissage - Sit. Init.'!$D$473:$D$1088),0),7))&gt;0,0,1)</f>
        <v>1</v>
      </c>
      <c r="H1523" s="28"/>
      <c r="I1523" s="27" t="str">
        <f>VLOOKUP(B1523,'Parcs types'!$B$65:$AA$120,3,FALSE)</f>
        <v>Pousseurs</v>
      </c>
      <c r="K1523" s="25" t="str">
        <f t="shared" ref="K1523:K1525" si="1689">I1523</f>
        <v>Pousseurs</v>
      </c>
    </row>
    <row r="1524" spans="1:11" s="25" customFormat="1" outlineLevel="1" x14ac:dyDescent="0.25">
      <c r="A1524" t="s">
        <v>1769</v>
      </c>
      <c r="B1524" s="25" t="s">
        <v>1177</v>
      </c>
      <c r="C1524" s="26" t="s">
        <v>137</v>
      </c>
      <c r="E1524" s="25" t="str">
        <f t="shared" ref="E1524" si="1690">_xlfn.CONCAT("FretFluv",LEFT(B1524,3),RIGHT(B1522,2),"Cap")</f>
        <v>FretFluvCat53Cap</v>
      </c>
      <c r="F1524" s="26" t="s">
        <v>36</v>
      </c>
      <c r="G1524" s="25" cm="1">
        <f t="array" ref="G1524">IF((INDEX('Remplissage - Sit. Init.'!$C$473:$I$1088,MATCH((B1524)&amp;('Remplissage - Sit. Init.'!$D$483),('Remplissage - Sit. Init.'!$C$473:$C$1088)&amp;('Remplissage - Sit. Init.'!$D$473:$D$1088),0),7))&gt;0,0,1)</f>
        <v>1</v>
      </c>
      <c r="H1524" s="28"/>
      <c r="I1524" s="27" t="str">
        <f>VLOOKUP(B1524,'Parcs types'!$B$65:$AA$120,4,FALSE)</f>
        <v>&gt;880 kW</v>
      </c>
      <c r="J1524" s="25" t="s">
        <v>524</v>
      </c>
      <c r="K1524" s="25" t="str">
        <f t="shared" si="1689"/>
        <v>&gt;880 kW</v>
      </c>
    </row>
    <row r="1525" spans="1:11" s="25" customFormat="1" outlineLevel="1" x14ac:dyDescent="0.25">
      <c r="A1525" t="s">
        <v>1769</v>
      </c>
      <c r="B1525" s="25" t="s">
        <v>1177</v>
      </c>
      <c r="C1525" s="26" t="s">
        <v>525</v>
      </c>
      <c r="E1525" s="25" t="str">
        <f t="shared" ref="E1525" si="1691">_xlfn.CONCAT("FretFluv",LEFT(B1525,3),RIGHT(B1522,2),"Tech")</f>
        <v>FretFluvCat53Tech</v>
      </c>
      <c r="F1525" s="26" t="s">
        <v>20</v>
      </c>
      <c r="G1525" s="25" cm="1">
        <f t="array" ref="G1525">IF((INDEX('Remplissage - Sit. Init.'!$C$473:$I$1088,MATCH((B1525)&amp;('Remplissage - Sit. Init.'!$D$483),('Remplissage - Sit. Init.'!$C$473:$C$1088)&amp;('Remplissage - Sit. Init.'!$D$473:$D$1088),0),7))&gt;0,0,1)</f>
        <v>1</v>
      </c>
      <c r="H1525" s="28"/>
      <c r="I1525" s="27" t="str">
        <f>VLOOKUP(B1525,'Parcs types'!$B$65:$AA$120,5,FALSE)</f>
        <v>Phase V, HVO</v>
      </c>
      <c r="K1525" s="25" t="str">
        <f t="shared" si="1689"/>
        <v>Phase V, HVO</v>
      </c>
    </row>
    <row r="1526" spans="1:11" s="25" customFormat="1" outlineLevel="1" x14ac:dyDescent="0.25">
      <c r="A1526" t="s">
        <v>1769</v>
      </c>
      <c r="B1526" s="25" t="s">
        <v>1177</v>
      </c>
      <c r="C1526" s="25" t="s">
        <v>140</v>
      </c>
      <c r="E1526" s="25" t="str">
        <f t="shared" ref="E1526" si="1692">_xlfn.CONCAT("FretFluv",LEFT(B1526,3),RIGHT(B1522,2),"Request")</f>
        <v>FretFluvCat53Request</v>
      </c>
      <c r="F1526" s="26" t="s">
        <v>20</v>
      </c>
      <c r="G1526" s="25" cm="1">
        <f t="array" ref="G1526">IF((INDEX('Remplissage - Sit. Init.'!$C$473:$I$1088,MATCH((B1526)&amp;('Remplissage - Sit. Init.'!$D$483),('Remplissage - Sit. Init.'!$C$473:$C$1088)&amp;('Remplissage - Sit. Init.'!$D$473:$D$1088),0),7))&gt;0,0,1)</f>
        <v>1</v>
      </c>
      <c r="I1526" s="27" t="s">
        <v>142</v>
      </c>
      <c r="K1526" s="28"/>
    </row>
    <row r="1527" spans="1:11" s="25" customFormat="1" outlineLevel="1" x14ac:dyDescent="0.25">
      <c r="A1527" t="s">
        <v>1769</v>
      </c>
      <c r="B1527" s="25" t="s">
        <v>1177</v>
      </c>
      <c r="C1527" s="25" t="s">
        <v>144</v>
      </c>
      <c r="E1527" s="25" t="str">
        <f t="shared" ref="E1527" si="1693">_xlfn.CONCAT("FretFluv",LEFT(B1527,3),RIGHT(B1522,2),"NbTraj")</f>
        <v>FretFluvCat53NbTraj</v>
      </c>
      <c r="F1527" s="25" t="s">
        <v>17</v>
      </c>
      <c r="G1527" s="25" cm="1">
        <f t="array" ref="G1527">IF((INDEX('Remplissage - Sit. Init.'!$C$473:$I$1088,MATCH((B1527)&amp;('Remplissage - Sit. Init.'!$D$483),('Remplissage - Sit. Init.'!$C$473:$C$1088)&amp;('Remplissage - Sit. Init.'!$D$473:$D$1088),0),7))&gt;0,0,1)</f>
        <v>1</v>
      </c>
      <c r="H1527" s="28"/>
      <c r="I1527" s="27"/>
      <c r="J1527" s="25" t="s">
        <v>145</v>
      </c>
      <c r="K1527" s="28"/>
    </row>
    <row r="1528" spans="1:11" s="25" customFormat="1" outlineLevel="1" x14ac:dyDescent="0.25">
      <c r="A1528" t="s">
        <v>1769</v>
      </c>
      <c r="B1528" s="25" t="s">
        <v>1177</v>
      </c>
      <c r="C1528" s="25" t="s">
        <v>146</v>
      </c>
      <c r="E1528" s="25" t="str">
        <f t="shared" ref="E1528" si="1694">_xlfn.CONCAT("FretFluv",LEFT(B1528,3),RIGHT(B1522,2),"DistMoy")</f>
        <v>FretFluvCat53DistMoy</v>
      </c>
      <c r="F1528" s="25" t="s">
        <v>17</v>
      </c>
      <c r="G1528" s="25" cm="1">
        <f t="array" ref="G1528">IF((INDEX('Remplissage - Sit. Init.'!$C$473:$I$1088,MATCH((B1528)&amp;('Remplissage - Sit. Init.'!$D$483),('Remplissage - Sit. Init.'!$C$473:$C$1088)&amp;('Remplissage - Sit. Init.'!$D$473:$D$1088),0),7))&gt;0,0,1)</f>
        <v>1</v>
      </c>
      <c r="H1528" s="28"/>
      <c r="I1528" s="27"/>
      <c r="J1528" s="25" t="s">
        <v>88</v>
      </c>
      <c r="K1528" s="28"/>
    </row>
    <row r="1529" spans="1:11" s="25" customFormat="1" outlineLevel="1" x14ac:dyDescent="0.25">
      <c r="A1529" t="s">
        <v>1769</v>
      </c>
      <c r="B1529" s="25" t="s">
        <v>1177</v>
      </c>
      <c r="C1529" s="25" t="s">
        <v>147</v>
      </c>
      <c r="E1529" s="25" t="str">
        <f t="shared" ref="E1529" si="1695">_xlfn.CONCAT("FretFluv",LEFT(B1529,3),RIGHT(B1522,2),"EmportMoy")</f>
        <v>FretFluvCat53EmportMoy</v>
      </c>
      <c r="F1529" s="25" t="s">
        <v>17</v>
      </c>
      <c r="G1529" s="25" cm="1">
        <f t="array" ref="G1529">IF((INDEX('Remplissage - Sit. Init.'!$C$473:$I$1088,MATCH((B1529)&amp;('Remplissage - Sit. Init.'!$D$483),('Remplissage - Sit. Init.'!$C$473:$C$1088)&amp;('Remplissage - Sit. Init.'!$D$473:$D$1088),0),7))&gt;0,0,1)</f>
        <v>1</v>
      </c>
      <c r="H1529" s="28"/>
      <c r="I1529" s="27"/>
      <c r="J1529" s="25" t="s">
        <v>148</v>
      </c>
      <c r="K1529" s="28"/>
    </row>
    <row r="1530" spans="1:11" s="25" customFormat="1" outlineLevel="1" x14ac:dyDescent="0.25">
      <c r="A1530" t="s">
        <v>1769</v>
      </c>
      <c r="B1530" s="25" t="s">
        <v>1177</v>
      </c>
      <c r="C1530" s="25" t="s">
        <v>149</v>
      </c>
      <c r="E1530" s="25" t="str">
        <f t="shared" ref="E1530" si="1696">_xlfn.CONCAT("FretFluv",LEFT(B1530,3),RIGHT(B1522,2),"DistAn")</f>
        <v>FretFluvCat53DistAn</v>
      </c>
      <c r="F1530" s="25" t="s">
        <v>17</v>
      </c>
      <c r="G1530" s="25" cm="1">
        <f t="array" ref="G1530">IF((INDEX('Remplissage - Sit. Init.'!$C$473:$I$1088,MATCH((B1530)&amp;('Remplissage - Sit. Init.'!$D$483),('Remplissage - Sit. Init.'!$C$473:$C$1088)&amp;('Remplissage - Sit. Init.'!$D$473:$D$1088),0),7))&gt;0,0,1)</f>
        <v>1</v>
      </c>
      <c r="H1530" s="28"/>
      <c r="I1530" s="27"/>
      <c r="J1530" s="25" t="s">
        <v>88</v>
      </c>
    </row>
    <row r="1531" spans="1:11" s="25" customFormat="1" outlineLevel="1" x14ac:dyDescent="0.25">
      <c r="A1531" t="s">
        <v>1769</v>
      </c>
      <c r="B1531" s="25" t="s">
        <v>1177</v>
      </c>
      <c r="C1531" s="25" t="s">
        <v>150</v>
      </c>
      <c r="E1531" s="25" t="str">
        <f t="shared" ref="E1531" si="1697">_xlfn.CONCAT("FretFluv",LEFT(B1531,3),RIGHT(B1522,2),"TauxChargeMoy")</f>
        <v>FretFluvCat53TauxChargeMoy</v>
      </c>
      <c r="F1531" s="25" t="s">
        <v>17</v>
      </c>
      <c r="G1531" s="25" cm="1">
        <f t="array" ref="G1531">IF((INDEX('Remplissage - Sit. Init.'!$C$473:$I$1088,MATCH((B1531)&amp;('Remplissage - Sit. Init.'!$D$483),('Remplissage - Sit. Init.'!$C$473:$C$1088)&amp;('Remplissage - Sit. Init.'!$D$473:$D$1088),0),7))&gt;0,0,1)</f>
        <v>1</v>
      </c>
      <c r="H1531" s="28"/>
      <c r="I1531" s="27"/>
      <c r="J1531" s="25" t="s">
        <v>70</v>
      </c>
    </row>
    <row r="1532" spans="1:11" s="25" customFormat="1" outlineLevel="1" x14ac:dyDescent="0.25">
      <c r="A1532" t="s">
        <v>1769</v>
      </c>
      <c r="B1532" s="25" t="s">
        <v>1177</v>
      </c>
      <c r="C1532" s="26" t="s">
        <v>526</v>
      </c>
      <c r="E1532" s="25" t="str">
        <f t="shared" ref="E1532" si="1698">_xlfn.CONCAT("FretFluv",LEFT(B1532,3),RIGHT(B1522,2),"NbBarges")</f>
        <v>FretFluvCat53NbBarges</v>
      </c>
      <c r="F1532" s="25" t="s">
        <v>17</v>
      </c>
      <c r="G1532" s="25" cm="1">
        <f t="array" ref="G1532">IF((INDEX('Remplissage - Sit. Init.'!$C$473:$I$1088,MATCH((B1532)&amp;('Remplissage - Sit. Init.'!$D$483),('Remplissage - Sit. Init.'!$C$473:$C$1088)&amp;('Remplissage - Sit. Init.'!$D$473:$D$1088),0),7))&gt;0,0,1)</f>
        <v>1</v>
      </c>
      <c r="H1532" s="28"/>
      <c r="I1532" s="27"/>
      <c r="J1532" s="25" t="s">
        <v>151</v>
      </c>
    </row>
    <row r="1533" spans="1:11" s="25" customFormat="1" outlineLevel="1" x14ac:dyDescent="0.25">
      <c r="A1533" t="s">
        <v>1769</v>
      </c>
      <c r="B1533" s="25" t="s">
        <v>1190</v>
      </c>
      <c r="C1533" s="25" t="s">
        <v>135</v>
      </c>
      <c r="E1533" s="25" t="str">
        <f t="shared" ref="E1533" si="1699">_xlfn.CONCAT("FretFluv",LEFT(B1533,3),RIGHT(B1533,2),"Nom")</f>
        <v>FretFluvCat54Nom</v>
      </c>
      <c r="F1533" s="26" t="s">
        <v>20</v>
      </c>
      <c r="G1533" s="25" cm="1">
        <f t="array" ref="G1533">IF((INDEX('Remplissage - Sit. Init.'!$C$473:$I$1088,MATCH((B1533)&amp;('Remplissage - Sit. Init.'!$D$483),('Remplissage - Sit. Init.'!$C$473:$C$1088)&amp;('Remplissage - Sit. Init.'!$D$473:$D$1088),0),7))&gt;0,0,1)</f>
        <v>1</v>
      </c>
      <c r="H1533" s="28"/>
      <c r="I1533" s="27" t="str">
        <f>VLOOKUP(B1533,'Parcs types'!$B$65:$AA$120,2,FALSE)</f>
        <v>Pousseurs &gt;880 kW Batterie</v>
      </c>
      <c r="K1533" s="25" t="str">
        <f>I1533</f>
        <v>Pousseurs &gt;880 kW Batterie</v>
      </c>
    </row>
    <row r="1534" spans="1:11" s="25" customFormat="1" outlineLevel="1" x14ac:dyDescent="0.25">
      <c r="A1534" t="s">
        <v>1769</v>
      </c>
      <c r="B1534" s="25" t="s">
        <v>1190</v>
      </c>
      <c r="C1534" s="25" t="s">
        <v>136</v>
      </c>
      <c r="E1534" s="25" t="str">
        <f t="shared" ref="E1534" si="1700">_xlfn.CONCAT("FretFluv",LEFT(B1534,3),RIGHT(B1533,2),"Type")</f>
        <v>FretFluvCat54Type</v>
      </c>
      <c r="F1534" s="25" t="s">
        <v>20</v>
      </c>
      <c r="G1534" s="25" cm="1">
        <f t="array" ref="G1534">IF((INDEX('Remplissage - Sit. Init.'!$C$473:$I$1088,MATCH((B1534)&amp;('Remplissage - Sit. Init.'!$D$483),('Remplissage - Sit. Init.'!$C$473:$C$1088)&amp;('Remplissage - Sit. Init.'!$D$473:$D$1088),0),7))&gt;0,0,1)</f>
        <v>1</v>
      </c>
      <c r="H1534" s="28"/>
      <c r="I1534" s="27" t="str">
        <f>VLOOKUP(B1534,'Parcs types'!$B$65:$AA$120,3,FALSE)</f>
        <v>Pousseurs</v>
      </c>
      <c r="K1534" s="25" t="str">
        <f t="shared" ref="K1534:K1536" si="1701">I1534</f>
        <v>Pousseurs</v>
      </c>
    </row>
    <row r="1535" spans="1:11" s="25" customFormat="1" outlineLevel="1" x14ac:dyDescent="0.25">
      <c r="A1535" t="s">
        <v>1769</v>
      </c>
      <c r="B1535" s="25" t="s">
        <v>1190</v>
      </c>
      <c r="C1535" s="26" t="s">
        <v>137</v>
      </c>
      <c r="E1535" s="25" t="str">
        <f t="shared" ref="E1535" si="1702">_xlfn.CONCAT("FretFluv",LEFT(B1535,3),RIGHT(B1533,2),"Cap")</f>
        <v>FretFluvCat54Cap</v>
      </c>
      <c r="F1535" s="26" t="s">
        <v>36</v>
      </c>
      <c r="G1535" s="25" cm="1">
        <f t="array" ref="G1535">IF((INDEX('Remplissage - Sit. Init.'!$C$473:$I$1088,MATCH((B1535)&amp;('Remplissage - Sit. Init.'!$D$483),('Remplissage - Sit. Init.'!$C$473:$C$1088)&amp;('Remplissage - Sit. Init.'!$D$473:$D$1088),0),7))&gt;0,0,1)</f>
        <v>1</v>
      </c>
      <c r="H1535" s="28"/>
      <c r="I1535" s="27" t="str">
        <f>VLOOKUP(B1535,'Parcs types'!$B$65:$AA$120,4,FALSE)</f>
        <v>&gt;880 kW</v>
      </c>
      <c r="J1535" s="25" t="s">
        <v>524</v>
      </c>
      <c r="K1535" s="25" t="str">
        <f t="shared" si="1701"/>
        <v>&gt;880 kW</v>
      </c>
    </row>
    <row r="1536" spans="1:11" s="25" customFormat="1" outlineLevel="1" x14ac:dyDescent="0.25">
      <c r="A1536" t="s">
        <v>1769</v>
      </c>
      <c r="B1536" s="25" t="s">
        <v>1190</v>
      </c>
      <c r="C1536" s="26" t="s">
        <v>525</v>
      </c>
      <c r="E1536" s="25" t="str">
        <f t="shared" ref="E1536" si="1703">_xlfn.CONCAT("FretFluv",LEFT(B1536,3),RIGHT(B1533,2),"Tech")</f>
        <v>FretFluvCat54Tech</v>
      </c>
      <c r="F1536" s="26" t="s">
        <v>20</v>
      </c>
      <c r="G1536" s="25" cm="1">
        <f t="array" ref="G1536">IF((INDEX('Remplissage - Sit. Init.'!$C$473:$I$1088,MATCH((B1536)&amp;('Remplissage - Sit. Init.'!$D$483),('Remplissage - Sit. Init.'!$C$473:$C$1088)&amp;('Remplissage - Sit. Init.'!$D$473:$D$1088),0),7))&gt;0,0,1)</f>
        <v>1</v>
      </c>
      <c r="H1536" s="28"/>
      <c r="I1536" s="27" t="str">
        <f>VLOOKUP(B1536,'Parcs types'!$B$65:$AA$120,5,FALSE)</f>
        <v>Batterie</v>
      </c>
      <c r="K1536" s="25" t="str">
        <f t="shared" si="1701"/>
        <v>Batterie</v>
      </c>
    </row>
    <row r="1537" spans="1:11" s="25" customFormat="1" outlineLevel="1" x14ac:dyDescent="0.25">
      <c r="A1537" t="s">
        <v>1769</v>
      </c>
      <c r="B1537" s="25" t="s">
        <v>1190</v>
      </c>
      <c r="C1537" s="25" t="s">
        <v>140</v>
      </c>
      <c r="E1537" s="25" t="str">
        <f t="shared" ref="E1537" si="1704">_xlfn.CONCAT("FretFluv",LEFT(B1537,3),RIGHT(B1533,2),"Request")</f>
        <v>FretFluvCat54Request</v>
      </c>
      <c r="F1537" s="26" t="s">
        <v>20</v>
      </c>
      <c r="G1537" s="25" cm="1">
        <f t="array" ref="G1537">IF((INDEX('Remplissage - Sit. Init.'!$C$473:$I$1088,MATCH((B1537)&amp;('Remplissage - Sit. Init.'!$D$483),('Remplissage - Sit. Init.'!$C$473:$C$1088)&amp;('Remplissage - Sit. Init.'!$D$473:$D$1088),0),7))&gt;0,0,1)</f>
        <v>1</v>
      </c>
      <c r="I1537" s="27" t="s">
        <v>142</v>
      </c>
      <c r="K1537" s="28"/>
    </row>
    <row r="1538" spans="1:11" s="25" customFormat="1" outlineLevel="1" x14ac:dyDescent="0.25">
      <c r="A1538" t="s">
        <v>1769</v>
      </c>
      <c r="B1538" s="25" t="s">
        <v>1190</v>
      </c>
      <c r="C1538" s="25" t="s">
        <v>144</v>
      </c>
      <c r="E1538" s="25" t="str">
        <f t="shared" ref="E1538" si="1705">_xlfn.CONCAT("FretFluv",LEFT(B1538,3),RIGHT(B1533,2),"NbTraj")</f>
        <v>FretFluvCat54NbTraj</v>
      </c>
      <c r="F1538" s="25" t="s">
        <v>17</v>
      </c>
      <c r="G1538" s="25" cm="1">
        <f t="array" ref="G1538">IF((INDEX('Remplissage - Sit. Init.'!$C$473:$I$1088,MATCH((B1538)&amp;('Remplissage - Sit. Init.'!$D$483),('Remplissage - Sit. Init.'!$C$473:$C$1088)&amp;('Remplissage - Sit. Init.'!$D$473:$D$1088),0),7))&gt;0,0,1)</f>
        <v>1</v>
      </c>
      <c r="H1538" s="28"/>
      <c r="I1538" s="27"/>
      <c r="J1538" s="25" t="s">
        <v>145</v>
      </c>
      <c r="K1538" s="28"/>
    </row>
    <row r="1539" spans="1:11" s="25" customFormat="1" outlineLevel="1" x14ac:dyDescent="0.25">
      <c r="A1539" t="s">
        <v>1769</v>
      </c>
      <c r="B1539" s="25" t="s">
        <v>1190</v>
      </c>
      <c r="C1539" s="25" t="s">
        <v>146</v>
      </c>
      <c r="E1539" s="25" t="str">
        <f t="shared" ref="E1539" si="1706">_xlfn.CONCAT("FretFluv",LEFT(B1539,3),RIGHT(B1533,2),"DistMoy")</f>
        <v>FretFluvCat54DistMoy</v>
      </c>
      <c r="F1539" s="25" t="s">
        <v>17</v>
      </c>
      <c r="G1539" s="25" cm="1">
        <f t="array" ref="G1539">IF((INDEX('Remplissage - Sit. Init.'!$C$473:$I$1088,MATCH((B1539)&amp;('Remplissage - Sit. Init.'!$D$483),('Remplissage - Sit. Init.'!$C$473:$C$1088)&amp;('Remplissage - Sit. Init.'!$D$473:$D$1088),0),7))&gt;0,0,1)</f>
        <v>1</v>
      </c>
      <c r="H1539" s="28"/>
      <c r="I1539" s="27"/>
      <c r="J1539" s="25" t="s">
        <v>88</v>
      </c>
      <c r="K1539" s="28"/>
    </row>
    <row r="1540" spans="1:11" s="25" customFormat="1" outlineLevel="1" x14ac:dyDescent="0.25">
      <c r="A1540" t="s">
        <v>1769</v>
      </c>
      <c r="B1540" s="25" t="s">
        <v>1190</v>
      </c>
      <c r="C1540" s="25" t="s">
        <v>147</v>
      </c>
      <c r="E1540" s="25" t="str">
        <f t="shared" ref="E1540" si="1707">_xlfn.CONCAT("FretFluv",LEFT(B1540,3),RIGHT(B1533,2),"EmportMoy")</f>
        <v>FretFluvCat54EmportMoy</v>
      </c>
      <c r="F1540" s="25" t="s">
        <v>17</v>
      </c>
      <c r="G1540" s="25" cm="1">
        <f t="array" ref="G1540">IF((INDEX('Remplissage - Sit. Init.'!$C$473:$I$1088,MATCH((B1540)&amp;('Remplissage - Sit. Init.'!$D$483),('Remplissage - Sit. Init.'!$C$473:$C$1088)&amp;('Remplissage - Sit. Init.'!$D$473:$D$1088),0),7))&gt;0,0,1)</f>
        <v>1</v>
      </c>
      <c r="H1540" s="28"/>
      <c r="I1540" s="27"/>
      <c r="J1540" s="25" t="s">
        <v>148</v>
      </c>
      <c r="K1540" s="28"/>
    </row>
    <row r="1541" spans="1:11" s="25" customFormat="1" outlineLevel="1" x14ac:dyDescent="0.25">
      <c r="A1541" t="s">
        <v>1769</v>
      </c>
      <c r="B1541" s="25" t="s">
        <v>1190</v>
      </c>
      <c r="C1541" s="25" t="s">
        <v>149</v>
      </c>
      <c r="E1541" s="25" t="str">
        <f t="shared" ref="E1541" si="1708">_xlfn.CONCAT("FretFluv",LEFT(B1541,3),RIGHT(B1533,2),"DistAn")</f>
        <v>FretFluvCat54DistAn</v>
      </c>
      <c r="F1541" s="25" t="s">
        <v>17</v>
      </c>
      <c r="G1541" s="25" cm="1">
        <f t="array" ref="G1541">IF((INDEX('Remplissage - Sit. Init.'!$C$473:$I$1088,MATCH((B1541)&amp;('Remplissage - Sit. Init.'!$D$483),('Remplissage - Sit. Init.'!$C$473:$C$1088)&amp;('Remplissage - Sit. Init.'!$D$473:$D$1088),0),7))&gt;0,0,1)</f>
        <v>1</v>
      </c>
      <c r="H1541" s="28"/>
      <c r="I1541" s="27"/>
      <c r="J1541" s="25" t="s">
        <v>88</v>
      </c>
      <c r="K1541" s="28"/>
    </row>
    <row r="1542" spans="1:11" s="25" customFormat="1" outlineLevel="1" x14ac:dyDescent="0.25">
      <c r="A1542" t="s">
        <v>1769</v>
      </c>
      <c r="B1542" s="25" t="s">
        <v>1190</v>
      </c>
      <c r="C1542" s="25" t="s">
        <v>150</v>
      </c>
      <c r="E1542" s="25" t="str">
        <f t="shared" ref="E1542" si="1709">_xlfn.CONCAT("FretFluv",LEFT(B1542,3),RIGHT(B1533,2),"TauxChargeMoy")</f>
        <v>FretFluvCat54TauxChargeMoy</v>
      </c>
      <c r="F1542" s="25" t="s">
        <v>17</v>
      </c>
      <c r="G1542" s="25" cm="1">
        <f t="array" ref="G1542">IF((INDEX('Remplissage - Sit. Init.'!$C$473:$I$1088,MATCH((B1542)&amp;('Remplissage - Sit. Init.'!$D$483),('Remplissage - Sit. Init.'!$C$473:$C$1088)&amp;('Remplissage - Sit. Init.'!$D$473:$D$1088),0),7))&gt;0,0,1)</f>
        <v>1</v>
      </c>
      <c r="H1542" s="28"/>
      <c r="I1542" s="27"/>
      <c r="J1542" s="25" t="s">
        <v>70</v>
      </c>
      <c r="K1542" s="28"/>
    </row>
    <row r="1543" spans="1:11" s="25" customFormat="1" outlineLevel="1" x14ac:dyDescent="0.25">
      <c r="A1543" t="s">
        <v>1769</v>
      </c>
      <c r="B1543" s="25" t="s">
        <v>1190</v>
      </c>
      <c r="C1543" s="26" t="s">
        <v>526</v>
      </c>
      <c r="E1543" s="25" t="str">
        <f t="shared" ref="E1543" si="1710">_xlfn.CONCAT("FretFluv",LEFT(B1543,3),RIGHT(B1533,2),"NbBarges")</f>
        <v>FretFluvCat54NbBarges</v>
      </c>
      <c r="F1543" s="25" t="s">
        <v>17</v>
      </c>
      <c r="G1543" s="25" cm="1">
        <f t="array" ref="G1543">IF((INDEX('Remplissage - Sit. Init.'!$C$473:$I$1088,MATCH((B1543)&amp;('Remplissage - Sit. Init.'!$D$483),('Remplissage - Sit. Init.'!$C$473:$C$1088)&amp;('Remplissage - Sit. Init.'!$D$473:$D$1088),0),7))&gt;0,0,1)</f>
        <v>1</v>
      </c>
      <c r="H1543" s="28"/>
      <c r="I1543" s="27"/>
      <c r="J1543" s="25" t="s">
        <v>151</v>
      </c>
      <c r="K1543" s="28"/>
    </row>
    <row r="1544" spans="1:11" s="25" customFormat="1" outlineLevel="1" x14ac:dyDescent="0.25">
      <c r="A1544" t="s">
        <v>1769</v>
      </c>
      <c r="B1544" s="25" t="s">
        <v>1203</v>
      </c>
      <c r="C1544" s="25" t="s">
        <v>135</v>
      </c>
      <c r="E1544" s="25" t="str">
        <f t="shared" ref="E1544" si="1711">_xlfn.CONCAT("FretFluv",LEFT(B1544,3),RIGHT(B1544,2),"Nom")</f>
        <v>FretFluvCat55Nom</v>
      </c>
      <c r="F1544" s="26" t="s">
        <v>20</v>
      </c>
      <c r="G1544" s="25" cm="1">
        <f t="array" ref="G1544">IF((INDEX('Remplissage - Sit. Init.'!$C$473:$I$1088,MATCH((B1544)&amp;('Remplissage - Sit. Init.'!$D$483),('Remplissage - Sit. Init.'!$C$473:$C$1088)&amp;('Remplissage - Sit. Init.'!$D$473:$D$1088),0),7))&gt;0,0,1)</f>
        <v>1</v>
      </c>
      <c r="H1544" s="28"/>
      <c r="I1544" s="27" t="str">
        <f>VLOOKUP(B1544,'Parcs types'!$B$65:$AA$120,2,FALSE)</f>
        <v>Pousseurs &gt;880 kW H2 , PAC</v>
      </c>
      <c r="K1544" s="25" t="str">
        <f>I1544</f>
        <v>Pousseurs &gt;880 kW H2 , PAC</v>
      </c>
    </row>
    <row r="1545" spans="1:11" s="25" customFormat="1" outlineLevel="1" x14ac:dyDescent="0.25">
      <c r="A1545" t="s">
        <v>1769</v>
      </c>
      <c r="B1545" s="25" t="s">
        <v>1203</v>
      </c>
      <c r="C1545" s="25" t="s">
        <v>136</v>
      </c>
      <c r="E1545" s="25" t="str">
        <f t="shared" ref="E1545" si="1712">_xlfn.CONCAT("FretFluv",LEFT(B1545,3),RIGHT(B1544,2),"Type")</f>
        <v>FretFluvCat55Type</v>
      </c>
      <c r="F1545" s="25" t="s">
        <v>20</v>
      </c>
      <c r="G1545" s="25" cm="1">
        <f t="array" ref="G1545">IF((INDEX('Remplissage - Sit. Init.'!$C$473:$I$1088,MATCH((B1545)&amp;('Remplissage - Sit. Init.'!$D$483),('Remplissage - Sit. Init.'!$C$473:$C$1088)&amp;('Remplissage - Sit. Init.'!$D$473:$D$1088),0),7))&gt;0,0,1)</f>
        <v>1</v>
      </c>
      <c r="H1545" s="28"/>
      <c r="I1545" s="27" t="str">
        <f>VLOOKUP(B1545,'Parcs types'!$B$65:$AA$120,3,FALSE)</f>
        <v>Pousseurs</v>
      </c>
      <c r="K1545" s="25" t="str">
        <f t="shared" ref="K1545:K1547" si="1713">I1545</f>
        <v>Pousseurs</v>
      </c>
    </row>
    <row r="1546" spans="1:11" s="25" customFormat="1" outlineLevel="1" x14ac:dyDescent="0.25">
      <c r="A1546" t="s">
        <v>1769</v>
      </c>
      <c r="B1546" s="25" t="s">
        <v>1203</v>
      </c>
      <c r="C1546" s="26" t="s">
        <v>137</v>
      </c>
      <c r="E1546" s="25" t="str">
        <f t="shared" ref="E1546" si="1714">_xlfn.CONCAT("FretFluv",LEFT(B1546,3),RIGHT(B1544,2),"Cap")</f>
        <v>FretFluvCat55Cap</v>
      </c>
      <c r="F1546" s="26" t="s">
        <v>36</v>
      </c>
      <c r="G1546" s="25" cm="1">
        <f t="array" ref="G1546">IF((INDEX('Remplissage - Sit. Init.'!$C$473:$I$1088,MATCH((B1546)&amp;('Remplissage - Sit. Init.'!$D$483),('Remplissage - Sit. Init.'!$C$473:$C$1088)&amp;('Remplissage - Sit. Init.'!$D$473:$D$1088),0),7))&gt;0,0,1)</f>
        <v>1</v>
      </c>
      <c r="H1546" s="28"/>
      <c r="I1546" s="27" t="str">
        <f>VLOOKUP(B1546,'Parcs types'!$B$65:$AA$120,4,FALSE)</f>
        <v>&gt;880 kW</v>
      </c>
      <c r="J1546" s="25" t="s">
        <v>524</v>
      </c>
      <c r="K1546" s="25" t="str">
        <f t="shared" si="1713"/>
        <v>&gt;880 kW</v>
      </c>
    </row>
    <row r="1547" spans="1:11" s="25" customFormat="1" outlineLevel="1" x14ac:dyDescent="0.25">
      <c r="A1547" t="s">
        <v>1769</v>
      </c>
      <c r="B1547" s="25" t="s">
        <v>1203</v>
      </c>
      <c r="C1547" s="26" t="s">
        <v>525</v>
      </c>
      <c r="E1547" s="25" t="str">
        <f t="shared" ref="E1547" si="1715">_xlfn.CONCAT("FretFluv",LEFT(B1547,3),RIGHT(B1544,2),"Tech")</f>
        <v>FretFluvCat55Tech</v>
      </c>
      <c r="F1547" s="26" t="s">
        <v>20</v>
      </c>
      <c r="G1547" s="25" cm="1">
        <f t="array" ref="G1547">IF((INDEX('Remplissage - Sit. Init.'!$C$473:$I$1088,MATCH((B1547)&amp;('Remplissage - Sit. Init.'!$D$483),('Remplissage - Sit. Init.'!$C$473:$C$1088)&amp;('Remplissage - Sit. Init.'!$D$473:$D$1088),0),7))&gt;0,0,1)</f>
        <v>1</v>
      </c>
      <c r="H1547" s="28"/>
      <c r="I1547" s="27" t="str">
        <f>VLOOKUP(B1547,'Parcs types'!$B$65:$AA$120,5,FALSE)</f>
        <v>H2 , PAC</v>
      </c>
      <c r="K1547" s="25" t="str">
        <f t="shared" si="1713"/>
        <v>H2 , PAC</v>
      </c>
    </row>
    <row r="1548" spans="1:11" s="25" customFormat="1" outlineLevel="1" x14ac:dyDescent="0.25">
      <c r="A1548" t="s">
        <v>1769</v>
      </c>
      <c r="B1548" s="25" t="s">
        <v>1203</v>
      </c>
      <c r="C1548" s="25" t="s">
        <v>140</v>
      </c>
      <c r="E1548" s="25" t="str">
        <f t="shared" ref="E1548" si="1716">_xlfn.CONCAT("FretFluv",LEFT(B1548,3),RIGHT(B1544,2),"Request")</f>
        <v>FretFluvCat55Request</v>
      </c>
      <c r="F1548" s="26" t="s">
        <v>20</v>
      </c>
      <c r="G1548" s="25" cm="1">
        <f t="array" ref="G1548">IF((INDEX('Remplissage - Sit. Init.'!$C$473:$I$1088,MATCH((B1548)&amp;('Remplissage - Sit. Init.'!$D$483),('Remplissage - Sit. Init.'!$C$473:$C$1088)&amp;('Remplissage - Sit. Init.'!$D$473:$D$1088),0),7))&gt;0,0,1)</f>
        <v>1</v>
      </c>
      <c r="I1548" s="27" t="s">
        <v>142</v>
      </c>
      <c r="K1548" s="28"/>
    </row>
    <row r="1549" spans="1:11" s="25" customFormat="1" outlineLevel="1" x14ac:dyDescent="0.25">
      <c r="A1549" t="s">
        <v>1769</v>
      </c>
      <c r="B1549" s="25" t="s">
        <v>1203</v>
      </c>
      <c r="C1549" s="25" t="s">
        <v>144</v>
      </c>
      <c r="E1549" s="25" t="str">
        <f t="shared" ref="E1549" si="1717">_xlfn.CONCAT("FretFluv",LEFT(B1549,3),RIGHT(B1544,2),"NbTraj")</f>
        <v>FretFluvCat55NbTraj</v>
      </c>
      <c r="F1549" s="25" t="s">
        <v>17</v>
      </c>
      <c r="G1549" s="25" cm="1">
        <f t="array" ref="G1549">IF((INDEX('Remplissage - Sit. Init.'!$C$473:$I$1088,MATCH((B1549)&amp;('Remplissage - Sit. Init.'!$D$483),('Remplissage - Sit. Init.'!$C$473:$C$1088)&amp;('Remplissage - Sit. Init.'!$D$473:$D$1088),0),7))&gt;0,0,1)</f>
        <v>1</v>
      </c>
      <c r="H1549" s="28"/>
      <c r="I1549" s="27"/>
      <c r="J1549" s="25" t="s">
        <v>145</v>
      </c>
      <c r="K1549" s="28"/>
    </row>
    <row r="1550" spans="1:11" s="25" customFormat="1" outlineLevel="1" x14ac:dyDescent="0.25">
      <c r="A1550" t="s">
        <v>1769</v>
      </c>
      <c r="B1550" s="25" t="s">
        <v>1203</v>
      </c>
      <c r="C1550" s="25" t="s">
        <v>146</v>
      </c>
      <c r="E1550" s="25" t="str">
        <f t="shared" ref="E1550" si="1718">_xlfn.CONCAT("FretFluv",LEFT(B1550,3),RIGHT(B1544,2),"DistMoy")</f>
        <v>FretFluvCat55DistMoy</v>
      </c>
      <c r="F1550" s="25" t="s">
        <v>17</v>
      </c>
      <c r="G1550" s="25" cm="1">
        <f t="array" ref="G1550">IF((INDEX('Remplissage - Sit. Init.'!$C$473:$I$1088,MATCH((B1550)&amp;('Remplissage - Sit. Init.'!$D$483),('Remplissage - Sit. Init.'!$C$473:$C$1088)&amp;('Remplissage - Sit. Init.'!$D$473:$D$1088),0),7))&gt;0,0,1)</f>
        <v>1</v>
      </c>
      <c r="H1550" s="28"/>
      <c r="I1550" s="27"/>
      <c r="J1550" s="25" t="s">
        <v>88</v>
      </c>
      <c r="K1550" s="28"/>
    </row>
    <row r="1551" spans="1:11" s="25" customFormat="1" outlineLevel="1" x14ac:dyDescent="0.25">
      <c r="A1551" t="s">
        <v>1769</v>
      </c>
      <c r="B1551" s="25" t="s">
        <v>1203</v>
      </c>
      <c r="C1551" s="25" t="s">
        <v>147</v>
      </c>
      <c r="E1551" s="25" t="str">
        <f t="shared" ref="E1551" si="1719">_xlfn.CONCAT("FretFluv",LEFT(B1551,3),RIGHT(B1544,2),"EmportMoy")</f>
        <v>FretFluvCat55EmportMoy</v>
      </c>
      <c r="F1551" s="25" t="s">
        <v>17</v>
      </c>
      <c r="G1551" s="25" cm="1">
        <f t="array" ref="G1551">IF((INDEX('Remplissage - Sit. Init.'!$C$473:$I$1088,MATCH((B1551)&amp;('Remplissage - Sit. Init.'!$D$483),('Remplissage - Sit. Init.'!$C$473:$C$1088)&amp;('Remplissage - Sit. Init.'!$D$473:$D$1088),0),7))&gt;0,0,1)</f>
        <v>1</v>
      </c>
      <c r="H1551" s="28"/>
      <c r="I1551" s="27"/>
      <c r="J1551" s="25" t="s">
        <v>148</v>
      </c>
      <c r="K1551" s="28"/>
    </row>
    <row r="1552" spans="1:11" s="25" customFormat="1" outlineLevel="1" x14ac:dyDescent="0.25">
      <c r="A1552" t="s">
        <v>1769</v>
      </c>
      <c r="B1552" s="25" t="s">
        <v>1203</v>
      </c>
      <c r="C1552" s="25" t="s">
        <v>149</v>
      </c>
      <c r="E1552" s="25" t="str">
        <f t="shared" ref="E1552" si="1720">_xlfn.CONCAT("FretFluv",LEFT(B1552,3),RIGHT(B1544,2),"DistAn")</f>
        <v>FretFluvCat55DistAn</v>
      </c>
      <c r="F1552" s="25" t="s">
        <v>17</v>
      </c>
      <c r="G1552" s="25" cm="1">
        <f t="array" ref="G1552">IF((INDEX('Remplissage - Sit. Init.'!$C$473:$I$1088,MATCH((B1552)&amp;('Remplissage - Sit. Init.'!$D$483),('Remplissage - Sit. Init.'!$C$473:$C$1088)&amp;('Remplissage - Sit. Init.'!$D$473:$D$1088),0),7))&gt;0,0,1)</f>
        <v>1</v>
      </c>
      <c r="H1552" s="28"/>
      <c r="I1552" s="27"/>
      <c r="J1552" s="25" t="s">
        <v>88</v>
      </c>
    </row>
    <row r="1553" spans="1:15" s="25" customFormat="1" outlineLevel="1" x14ac:dyDescent="0.25">
      <c r="A1553" t="s">
        <v>1769</v>
      </c>
      <c r="B1553" s="25" t="s">
        <v>1203</v>
      </c>
      <c r="C1553" s="25" t="s">
        <v>150</v>
      </c>
      <c r="E1553" s="25" t="str">
        <f t="shared" ref="E1553" si="1721">_xlfn.CONCAT("FretFluv",LEFT(B1553,3),RIGHT(B1544,2),"TauxChargeMoy")</f>
        <v>FretFluvCat55TauxChargeMoy</v>
      </c>
      <c r="F1553" s="25" t="s">
        <v>17</v>
      </c>
      <c r="G1553" s="25" cm="1">
        <f t="array" ref="G1553">IF((INDEX('Remplissage - Sit. Init.'!$C$473:$I$1088,MATCH((B1553)&amp;('Remplissage - Sit. Init.'!$D$483),('Remplissage - Sit. Init.'!$C$473:$C$1088)&amp;('Remplissage - Sit. Init.'!$D$473:$D$1088),0),7))&gt;0,0,1)</f>
        <v>1</v>
      </c>
      <c r="H1553" s="28"/>
      <c r="I1553" s="27"/>
      <c r="J1553" s="25" t="s">
        <v>70</v>
      </c>
    </row>
    <row r="1554" spans="1:15" s="25" customFormat="1" outlineLevel="1" x14ac:dyDescent="0.25">
      <c r="A1554" t="s">
        <v>1769</v>
      </c>
      <c r="B1554" s="25" t="s">
        <v>1203</v>
      </c>
      <c r="C1554" s="26" t="s">
        <v>526</v>
      </c>
      <c r="E1554" s="25" t="str">
        <f t="shared" ref="E1554" si="1722">_xlfn.CONCAT("FretFluv",LEFT(B1554,3),RIGHT(B1544,2),"NbBarges")</f>
        <v>FretFluvCat55NbBarges</v>
      </c>
      <c r="F1554" s="25" t="s">
        <v>17</v>
      </c>
      <c r="G1554" s="25" cm="1">
        <f t="array" ref="G1554">IF((INDEX('Remplissage - Sit. Init.'!$C$473:$I$1088,MATCH((B1554)&amp;('Remplissage - Sit. Init.'!$D$483),('Remplissage - Sit. Init.'!$C$473:$C$1088)&amp;('Remplissage - Sit. Init.'!$D$473:$D$1088),0),7))&gt;0,0,1)</f>
        <v>1</v>
      </c>
      <c r="H1554" s="28"/>
      <c r="I1554" s="27"/>
      <c r="J1554" s="25" t="s">
        <v>151</v>
      </c>
    </row>
    <row r="1555" spans="1:15" s="25" customFormat="1" outlineLevel="1" x14ac:dyDescent="0.25">
      <c r="A1555" t="s">
        <v>1769</v>
      </c>
      <c r="B1555" s="25" t="s">
        <v>1216</v>
      </c>
      <c r="C1555" s="25" t="s">
        <v>135</v>
      </c>
      <c r="E1555" s="25" t="str">
        <f t="shared" ref="E1555" si="1723">_xlfn.CONCAT("FretFluv",LEFT(B1555,3),RIGHT(B1555,2),"Nom")</f>
        <v>FretFluvCat56Nom</v>
      </c>
      <c r="F1555" s="26" t="s">
        <v>20</v>
      </c>
      <c r="G1555" s="25" cm="1">
        <f t="array" ref="G1555">IF((INDEX('Remplissage - Sit. Init.'!$C$473:$I$1088,MATCH((B1555)&amp;('Remplissage - Sit. Init.'!$D$483),('Remplissage - Sit. Init.'!$C$473:$C$1088)&amp;('Remplissage - Sit. Init.'!$D$473:$D$1088),0),7))&gt;0,0,1)</f>
        <v>1</v>
      </c>
      <c r="H1555" s="28"/>
      <c r="I1555" s="27" t="str">
        <f>VLOOKUP(B1555,'Parcs types'!$B$65:$AA$120,2,FALSE)</f>
        <v>Pousseurs &gt;880 kW H2 , ICE</v>
      </c>
      <c r="K1555" s="25" t="str">
        <f>I1555</f>
        <v>Pousseurs &gt;880 kW H2 , ICE</v>
      </c>
    </row>
    <row r="1556" spans="1:15" s="25" customFormat="1" outlineLevel="1" x14ac:dyDescent="0.25">
      <c r="A1556" t="s">
        <v>1769</v>
      </c>
      <c r="B1556" s="25" t="s">
        <v>1216</v>
      </c>
      <c r="C1556" s="25" t="s">
        <v>136</v>
      </c>
      <c r="E1556" s="25" t="str">
        <f t="shared" ref="E1556" si="1724">_xlfn.CONCAT("FretFluv",LEFT(B1556,3),RIGHT(B1555,2),"Type")</f>
        <v>FretFluvCat56Type</v>
      </c>
      <c r="F1556" s="25" t="s">
        <v>20</v>
      </c>
      <c r="G1556" s="25" cm="1">
        <f t="array" ref="G1556">IF((INDEX('Remplissage - Sit. Init.'!$C$473:$I$1088,MATCH((B1556)&amp;('Remplissage - Sit. Init.'!$D$483),('Remplissage - Sit. Init.'!$C$473:$C$1088)&amp;('Remplissage - Sit. Init.'!$D$473:$D$1088),0),7))&gt;0,0,1)</f>
        <v>1</v>
      </c>
      <c r="H1556" s="28"/>
      <c r="I1556" s="27" t="str">
        <f>VLOOKUP(B1556,'Parcs types'!$B$65:$AA$120,3,FALSE)</f>
        <v>Pousseurs</v>
      </c>
      <c r="K1556" s="25" t="str">
        <f t="shared" ref="K1556:K1558" si="1725">I1556</f>
        <v>Pousseurs</v>
      </c>
    </row>
    <row r="1557" spans="1:15" s="25" customFormat="1" outlineLevel="1" x14ac:dyDescent="0.25">
      <c r="A1557" t="s">
        <v>1769</v>
      </c>
      <c r="B1557" s="25" t="s">
        <v>1216</v>
      </c>
      <c r="C1557" s="26" t="s">
        <v>137</v>
      </c>
      <c r="E1557" s="25" t="str">
        <f t="shared" ref="E1557" si="1726">_xlfn.CONCAT("FretFluv",LEFT(B1557,3),RIGHT(B1555,2),"Cap")</f>
        <v>FretFluvCat56Cap</v>
      </c>
      <c r="F1557" s="26" t="s">
        <v>36</v>
      </c>
      <c r="G1557" s="25" cm="1">
        <f t="array" ref="G1557">IF((INDEX('Remplissage - Sit. Init.'!$C$473:$I$1088,MATCH((B1557)&amp;('Remplissage - Sit. Init.'!$D$483),('Remplissage - Sit. Init.'!$C$473:$C$1088)&amp;('Remplissage - Sit. Init.'!$D$473:$D$1088),0),7))&gt;0,0,1)</f>
        <v>1</v>
      </c>
      <c r="H1557" s="28"/>
      <c r="I1557" s="27" t="str">
        <f>VLOOKUP(B1557,'Parcs types'!$B$65:$AA$120,4,FALSE)</f>
        <v>&gt;880 kW</v>
      </c>
      <c r="J1557" s="25" t="s">
        <v>524</v>
      </c>
      <c r="K1557" s="25" t="str">
        <f t="shared" si="1725"/>
        <v>&gt;880 kW</v>
      </c>
    </row>
    <row r="1558" spans="1:15" s="25" customFormat="1" outlineLevel="1" x14ac:dyDescent="0.25">
      <c r="A1558" t="s">
        <v>1769</v>
      </c>
      <c r="B1558" s="25" t="s">
        <v>1216</v>
      </c>
      <c r="C1558" s="26" t="s">
        <v>525</v>
      </c>
      <c r="E1558" s="25" t="str">
        <f t="shared" ref="E1558" si="1727">_xlfn.CONCAT("FretFluv",LEFT(B1558,3),RIGHT(B1555,2),"Tech")</f>
        <v>FretFluvCat56Tech</v>
      </c>
      <c r="F1558" s="26" t="s">
        <v>20</v>
      </c>
      <c r="G1558" s="25" cm="1">
        <f t="array" ref="G1558">IF((INDEX('Remplissage - Sit. Init.'!$C$473:$I$1088,MATCH((B1558)&amp;('Remplissage - Sit. Init.'!$D$483),('Remplissage - Sit. Init.'!$C$473:$C$1088)&amp;('Remplissage - Sit. Init.'!$D$473:$D$1088),0),7))&gt;0,0,1)</f>
        <v>1</v>
      </c>
      <c r="H1558" s="28"/>
      <c r="I1558" s="27" t="str">
        <f>VLOOKUP(B1558,'Parcs types'!$B$65:$AA$120,5,FALSE)</f>
        <v>H2 , ICE</v>
      </c>
      <c r="K1558" s="25" t="str">
        <f t="shared" si="1725"/>
        <v>H2 , ICE</v>
      </c>
    </row>
    <row r="1559" spans="1:15" s="25" customFormat="1" outlineLevel="1" x14ac:dyDescent="0.25">
      <c r="A1559" t="s">
        <v>1769</v>
      </c>
      <c r="B1559" s="25" t="s">
        <v>1216</v>
      </c>
      <c r="C1559" s="25" t="s">
        <v>140</v>
      </c>
      <c r="E1559" s="25" t="str">
        <f t="shared" ref="E1559" si="1728">_xlfn.CONCAT("FretFluv",LEFT(B1559,3),RIGHT(B1555,2),"Request")</f>
        <v>FretFluvCat56Request</v>
      </c>
      <c r="F1559" s="26" t="s">
        <v>20</v>
      </c>
      <c r="G1559" s="25" cm="1">
        <f t="array" ref="G1559">IF((INDEX('Remplissage - Sit. Init.'!$C$473:$I$1088,MATCH((B1559)&amp;('Remplissage - Sit. Init.'!$D$483),('Remplissage - Sit. Init.'!$C$473:$C$1088)&amp;('Remplissage - Sit. Init.'!$D$473:$D$1088),0),7))&gt;0,0,1)</f>
        <v>1</v>
      </c>
      <c r="I1559" s="27" t="s">
        <v>142</v>
      </c>
      <c r="K1559" s="28"/>
    </row>
    <row r="1560" spans="1:15" s="25" customFormat="1" outlineLevel="1" x14ac:dyDescent="0.25">
      <c r="A1560" t="s">
        <v>1769</v>
      </c>
      <c r="B1560" s="25" t="s">
        <v>1216</v>
      </c>
      <c r="C1560" s="25" t="s">
        <v>144</v>
      </c>
      <c r="E1560" s="25" t="str">
        <f t="shared" ref="E1560" si="1729">_xlfn.CONCAT("FretFluv",LEFT(B1560,3),RIGHT(B1555,2),"NbTraj")</f>
        <v>FretFluvCat56NbTraj</v>
      </c>
      <c r="F1560" s="25" t="s">
        <v>17</v>
      </c>
      <c r="G1560" s="25" cm="1">
        <f t="array" ref="G1560">IF((INDEX('Remplissage - Sit. Init.'!$C$473:$I$1088,MATCH((B1560)&amp;('Remplissage - Sit. Init.'!$D$483),('Remplissage - Sit. Init.'!$C$473:$C$1088)&amp;('Remplissage - Sit. Init.'!$D$473:$D$1088),0),7))&gt;0,0,1)</f>
        <v>1</v>
      </c>
      <c r="H1560" s="28"/>
      <c r="I1560" s="27"/>
      <c r="J1560" s="25" t="s">
        <v>145</v>
      </c>
      <c r="K1560" s="28"/>
    </row>
    <row r="1561" spans="1:15" s="25" customFormat="1" outlineLevel="1" x14ac:dyDescent="0.25">
      <c r="A1561" t="s">
        <v>1769</v>
      </c>
      <c r="B1561" s="25" t="s">
        <v>1216</v>
      </c>
      <c r="C1561" s="25" t="s">
        <v>146</v>
      </c>
      <c r="E1561" s="25" t="str">
        <f t="shared" ref="E1561" si="1730">_xlfn.CONCAT("FretFluv",LEFT(B1561,3),RIGHT(B1555,2),"DistMoy")</f>
        <v>FretFluvCat56DistMoy</v>
      </c>
      <c r="F1561" s="25" t="s">
        <v>17</v>
      </c>
      <c r="G1561" s="25" cm="1">
        <f t="array" ref="G1561">IF((INDEX('Remplissage - Sit. Init.'!$C$473:$I$1088,MATCH((B1561)&amp;('Remplissage - Sit. Init.'!$D$483),('Remplissage - Sit. Init.'!$C$473:$C$1088)&amp;('Remplissage - Sit. Init.'!$D$473:$D$1088),0),7))&gt;0,0,1)</f>
        <v>1</v>
      </c>
      <c r="H1561" s="28"/>
      <c r="I1561" s="27"/>
      <c r="J1561" s="25" t="s">
        <v>88</v>
      </c>
      <c r="K1561" s="28"/>
    </row>
    <row r="1562" spans="1:15" s="25" customFormat="1" outlineLevel="1" x14ac:dyDescent="0.25">
      <c r="A1562" t="s">
        <v>1769</v>
      </c>
      <c r="B1562" s="25" t="s">
        <v>1216</v>
      </c>
      <c r="C1562" s="25" t="s">
        <v>147</v>
      </c>
      <c r="E1562" s="25" t="str">
        <f t="shared" ref="E1562" si="1731">_xlfn.CONCAT("FretFluv",LEFT(B1562,3),RIGHT(B1555,2),"EmportMoy")</f>
        <v>FretFluvCat56EmportMoy</v>
      </c>
      <c r="F1562" s="25" t="s">
        <v>17</v>
      </c>
      <c r="G1562" s="25" cm="1">
        <f t="array" ref="G1562">IF((INDEX('Remplissage - Sit. Init.'!$C$473:$I$1088,MATCH((B1562)&amp;('Remplissage - Sit. Init.'!$D$483),('Remplissage - Sit. Init.'!$C$473:$C$1088)&amp;('Remplissage - Sit. Init.'!$D$473:$D$1088),0),7))&gt;0,0,1)</f>
        <v>1</v>
      </c>
      <c r="H1562" s="28"/>
      <c r="I1562" s="27"/>
      <c r="J1562" s="25" t="s">
        <v>148</v>
      </c>
      <c r="K1562" s="28"/>
    </row>
    <row r="1563" spans="1:15" s="25" customFormat="1" outlineLevel="1" x14ac:dyDescent="0.25">
      <c r="A1563" t="s">
        <v>1769</v>
      </c>
      <c r="B1563" s="25" t="s">
        <v>1216</v>
      </c>
      <c r="C1563" s="25" t="s">
        <v>149</v>
      </c>
      <c r="E1563" s="25" t="str">
        <f t="shared" ref="E1563" si="1732">_xlfn.CONCAT("FretFluv",LEFT(B1563,3),RIGHT(B1555,2),"DistAn")</f>
        <v>FretFluvCat56DistAn</v>
      </c>
      <c r="F1563" s="25" t="s">
        <v>17</v>
      </c>
      <c r="G1563" s="25" cm="1">
        <f t="array" ref="G1563">IF((INDEX('Remplissage - Sit. Init.'!$C$473:$I$1088,MATCH((B1563)&amp;('Remplissage - Sit. Init.'!$D$483),('Remplissage - Sit. Init.'!$C$473:$C$1088)&amp;('Remplissage - Sit. Init.'!$D$473:$D$1088),0),7))&gt;0,0,1)</f>
        <v>1</v>
      </c>
      <c r="H1563" s="28"/>
      <c r="I1563" s="27"/>
      <c r="J1563" s="25" t="s">
        <v>88</v>
      </c>
      <c r="K1563" s="28"/>
    </row>
    <row r="1564" spans="1:15" s="25" customFormat="1" outlineLevel="1" x14ac:dyDescent="0.25">
      <c r="A1564" t="s">
        <v>1769</v>
      </c>
      <c r="B1564" s="25" t="s">
        <v>1216</v>
      </c>
      <c r="C1564" s="25" t="s">
        <v>150</v>
      </c>
      <c r="E1564" s="25" t="str">
        <f t="shared" ref="E1564" si="1733">_xlfn.CONCAT("FretFluv",LEFT(B1564,3),RIGHT(B1555,2),"TauxChargeMoy")</f>
        <v>FretFluvCat56TauxChargeMoy</v>
      </c>
      <c r="F1564" s="25" t="s">
        <v>17</v>
      </c>
      <c r="G1564" s="25" cm="1">
        <f t="array" ref="G1564">IF((INDEX('Remplissage - Sit. Init.'!$C$473:$I$1088,MATCH((B1564)&amp;('Remplissage - Sit. Init.'!$D$483),('Remplissage - Sit. Init.'!$C$473:$C$1088)&amp;('Remplissage - Sit. Init.'!$D$473:$D$1088),0),7))&gt;0,0,1)</f>
        <v>1</v>
      </c>
      <c r="H1564" s="28"/>
      <c r="I1564" s="27"/>
      <c r="J1564" s="25" t="s">
        <v>70</v>
      </c>
      <c r="K1564" s="28"/>
    </row>
    <row r="1565" spans="1:15" s="25" customFormat="1" outlineLevel="1" x14ac:dyDescent="0.25">
      <c r="A1565" t="s">
        <v>1769</v>
      </c>
      <c r="B1565" s="25" t="s">
        <v>1216</v>
      </c>
      <c r="C1565" s="26" t="s">
        <v>526</v>
      </c>
      <c r="E1565" s="25" t="str">
        <f t="shared" ref="E1565" si="1734">_xlfn.CONCAT("FretFluv",LEFT(B1565,3),RIGHT(B1555,2),"NbBarges")</f>
        <v>FretFluvCat56NbBarges</v>
      </c>
      <c r="F1565" s="25" t="s">
        <v>17</v>
      </c>
      <c r="G1565" s="25" cm="1">
        <f t="array" ref="G1565">IF((INDEX('Remplissage - Sit. Init.'!$C$473:$I$1088,MATCH((B1565)&amp;('Remplissage - Sit. Init.'!$D$483),('Remplissage - Sit. Init.'!$C$473:$C$1088)&amp;('Remplissage - Sit. Init.'!$D$473:$D$1088),0),7))&gt;0,0,1)</f>
        <v>1</v>
      </c>
      <c r="H1565" s="28"/>
      <c r="I1565" s="27"/>
      <c r="J1565" s="25" t="s">
        <v>151</v>
      </c>
      <c r="K1565" s="28"/>
    </row>
    <row r="1566" spans="1:15" ht="15.6" customHeight="1" x14ac:dyDescent="0.25">
      <c r="A1566" t="s">
        <v>1343</v>
      </c>
      <c r="C1566" t="s">
        <v>1344</v>
      </c>
      <c r="E1566" t="s">
        <v>1345</v>
      </c>
      <c r="F1566" t="s">
        <v>17</v>
      </c>
      <c r="G1566">
        <f>IF(ISNUMBER(SEARCH("Diesel",'Remplissage - Sit. Init.'!$I$433)),1,0)</f>
        <v>0</v>
      </c>
      <c r="H1566" s="36">
        <v>0.2</v>
      </c>
      <c r="J1566" t="s">
        <v>70</v>
      </c>
      <c r="O1566">
        <f t="shared" ref="O1566:O1569" si="1735">ROW(O1566)-1</f>
        <v>1565</v>
      </c>
    </row>
    <row r="1567" spans="1:15" ht="15.6" customHeight="1" collapsed="1" x14ac:dyDescent="0.25">
      <c r="A1567" t="s">
        <v>1346</v>
      </c>
      <c r="C1567" t="s">
        <v>1347</v>
      </c>
      <c r="E1567" t="s">
        <v>1348</v>
      </c>
      <c r="F1567" t="s">
        <v>17</v>
      </c>
      <c r="G1567">
        <v>1</v>
      </c>
      <c r="H1567" s="36">
        <v>0.2</v>
      </c>
      <c r="J1567" t="s">
        <v>70</v>
      </c>
      <c r="O1567">
        <f t="shared" si="1735"/>
        <v>1566</v>
      </c>
    </row>
    <row r="1568" spans="1:15" ht="15.6" customHeight="1" collapsed="1" x14ac:dyDescent="0.25">
      <c r="A1568" t="s">
        <v>1346</v>
      </c>
      <c r="C1568" t="s">
        <v>1349</v>
      </c>
      <c r="E1568" t="s">
        <v>1350</v>
      </c>
      <c r="F1568" t="s">
        <v>17</v>
      </c>
      <c r="G1568">
        <v>1</v>
      </c>
      <c r="H1568" s="36">
        <v>0.1</v>
      </c>
      <c r="J1568" t="s">
        <v>70</v>
      </c>
      <c r="O1568">
        <f t="shared" si="1735"/>
        <v>1567</v>
      </c>
    </row>
    <row r="1569" spans="1:15" ht="15.6" customHeight="1" x14ac:dyDescent="0.25">
      <c r="A1569" t="s">
        <v>183</v>
      </c>
      <c r="C1569" t="s">
        <v>1351</v>
      </c>
      <c r="E1569" t="s">
        <v>1352</v>
      </c>
      <c r="F1569" t="s">
        <v>36</v>
      </c>
      <c r="G1569">
        <f>IF(OR(ISNUMBER(SEARCH("B2",'Remplissage - Sit. Init.'!$I$18)),ISNUMBER(SEARCH("B2",'Remplissage - Sit. Init.'!$I$17))),1,0)</f>
        <v>0</v>
      </c>
      <c r="H1569" s="35">
        <v>3</v>
      </c>
      <c r="I1569" t="s">
        <v>1353</v>
      </c>
      <c r="K1569" s="15" t="s">
        <v>1354</v>
      </c>
      <c r="M1569" t="s">
        <v>188</v>
      </c>
      <c r="O1569">
        <f t="shared" si="1735"/>
        <v>1568</v>
      </c>
    </row>
    <row r="1570" spans="1:15" ht="15.6" customHeight="1" x14ac:dyDescent="0.25">
      <c r="A1570" t="s">
        <v>183</v>
      </c>
      <c r="C1570" t="s">
        <v>1355</v>
      </c>
      <c r="E1570" t="s">
        <v>1356</v>
      </c>
      <c r="F1570" t="s">
        <v>17</v>
      </c>
      <c r="G1570">
        <f>IF($H$1569&gt;0,0,1)</f>
        <v>0</v>
      </c>
      <c r="H1570" s="36">
        <v>0.2</v>
      </c>
      <c r="J1570" t="s">
        <v>70</v>
      </c>
      <c r="K1570" s="37" t="e">
        <v>#REF!</v>
      </c>
      <c r="M1570" t="s">
        <v>188</v>
      </c>
      <c r="O1570">
        <f>ROW(O1570)-1</f>
        <v>1569</v>
      </c>
    </row>
    <row r="1571" spans="1:15" ht="15.6" customHeight="1" x14ac:dyDescent="0.25">
      <c r="A1571" t="s">
        <v>183</v>
      </c>
      <c r="C1571" t="s">
        <v>1357</v>
      </c>
      <c r="E1571" t="s">
        <v>1358</v>
      </c>
      <c r="F1571" t="s">
        <v>17</v>
      </c>
      <c r="G1571">
        <f t="shared" ref="G1571:G1572" si="1736">IF($H$1569&gt;0,0,1)</f>
        <v>0</v>
      </c>
      <c r="H1571">
        <v>10</v>
      </c>
      <c r="J1571" t="s">
        <v>1359</v>
      </c>
      <c r="K1571" s="38" t="e">
        <v>#REF!</v>
      </c>
      <c r="M1571" t="s">
        <v>188</v>
      </c>
      <c r="O1571">
        <f t="shared" ref="O1571:O1697" si="1737">ROW(O1571)-1</f>
        <v>1570</v>
      </c>
    </row>
    <row r="1572" spans="1:15" ht="15.6" customHeight="1" x14ac:dyDescent="0.25">
      <c r="A1572" t="s">
        <v>183</v>
      </c>
      <c r="C1572" t="s">
        <v>1360</v>
      </c>
      <c r="E1572" t="s">
        <v>1361</v>
      </c>
      <c r="F1572" t="s">
        <v>17</v>
      </c>
      <c r="G1572">
        <f t="shared" si="1736"/>
        <v>0</v>
      </c>
      <c r="H1572" s="36">
        <v>-0.1</v>
      </c>
      <c r="J1572" t="s">
        <v>70</v>
      </c>
      <c r="K1572" s="39" t="s">
        <v>1362</v>
      </c>
      <c r="M1572" t="s">
        <v>188</v>
      </c>
      <c r="O1572">
        <f t="shared" si="1737"/>
        <v>1571</v>
      </c>
    </row>
    <row r="1573" spans="1:15" ht="15.6" customHeight="1" x14ac:dyDescent="0.25">
      <c r="A1573" t="s">
        <v>208</v>
      </c>
      <c r="C1573" t="s">
        <v>1363</v>
      </c>
      <c r="E1573" t="s">
        <v>1364</v>
      </c>
      <c r="F1573" t="s">
        <v>36</v>
      </c>
      <c r="G1573">
        <f>IF(OR(ISNUMBER(SEARCH("B2",'Remplissage - Sit. Init.'!$I$18)),ISNUMBER(SEARCH("B2",'Remplissage - Sit. Init.'!$I$17))),1,0)</f>
        <v>0</v>
      </c>
      <c r="H1573" s="36"/>
      <c r="I1573" t="s">
        <v>1353</v>
      </c>
      <c r="M1573" t="s">
        <v>212</v>
      </c>
      <c r="O1573">
        <f t="shared" si="1737"/>
        <v>1572</v>
      </c>
    </row>
    <row r="1574" spans="1:15" ht="15.6" customHeight="1" x14ac:dyDescent="0.25">
      <c r="A1574" t="s">
        <v>208</v>
      </c>
      <c r="C1574" t="s">
        <v>1365</v>
      </c>
      <c r="E1574" t="s">
        <v>210</v>
      </c>
      <c r="F1574" t="s">
        <v>17</v>
      </c>
      <c r="G1574">
        <f>IF(OR(ISNUMBER(SEARCH("B3",#REF!)),ISNUMBER(SEARCH("B3",#REF!))),1,0)</f>
        <v>0</v>
      </c>
      <c r="H1574" s="32">
        <v>10</v>
      </c>
      <c r="J1574" t="s">
        <v>211</v>
      </c>
      <c r="K1574">
        <v>15</v>
      </c>
      <c r="M1574" t="s">
        <v>212</v>
      </c>
    </row>
    <row r="1575" spans="1:15" ht="15.6" customHeight="1" x14ac:dyDescent="0.25">
      <c r="A1575" s="32" t="s">
        <v>208</v>
      </c>
      <c r="C1575" s="32" t="s">
        <v>455</v>
      </c>
      <c r="E1575" t="s">
        <v>454</v>
      </c>
      <c r="F1575" t="s">
        <v>60</v>
      </c>
      <c r="G1575">
        <f>IF(ISNUMBER(SEARCH("B3",'Remplissage - Sit. Init.'!$I$18)),1,0)</f>
        <v>1</v>
      </c>
      <c r="H1575" s="32" t="s">
        <v>453</v>
      </c>
      <c r="I1575" t="s">
        <v>452</v>
      </c>
      <c r="M1575" s="32" t="s">
        <v>212</v>
      </c>
    </row>
    <row r="1576" spans="1:15" ht="15.6" customHeight="1" x14ac:dyDescent="0.25">
      <c r="A1576" t="s">
        <v>208</v>
      </c>
      <c r="C1576" t="s">
        <v>1366</v>
      </c>
      <c r="E1576" t="s">
        <v>1367</v>
      </c>
      <c r="F1576" t="s">
        <v>60</v>
      </c>
      <c r="G1576">
        <f>IF(ISNUMBER(SEARCH("B3",'Remplissage - Sit. Init.'!$I$18)),1,0)</f>
        <v>1</v>
      </c>
      <c r="H1576" t="s">
        <v>451</v>
      </c>
      <c r="I1576" t="s">
        <v>1368</v>
      </c>
      <c r="M1576" t="s">
        <v>212</v>
      </c>
      <c r="O1576">
        <f t="shared" si="1737"/>
        <v>1575</v>
      </c>
    </row>
    <row r="1577" spans="1:15" ht="15.6" customHeight="1" x14ac:dyDescent="0.25">
      <c r="A1577" t="s">
        <v>208</v>
      </c>
      <c r="C1577" t="s">
        <v>213</v>
      </c>
      <c r="E1577" t="s">
        <v>214</v>
      </c>
      <c r="F1577" t="s">
        <v>17</v>
      </c>
      <c r="G1577">
        <f>IF(OR(ISNUMBER(SEARCH("B3",#REF!)),ISNUMBER(SEARCH("B3",#REF!))),1,0)</f>
        <v>0</v>
      </c>
      <c r="H1577" s="40">
        <v>0.6</v>
      </c>
      <c r="J1577" t="s">
        <v>70</v>
      </c>
      <c r="K1577" s="7">
        <v>0.5</v>
      </c>
      <c r="M1577" t="s">
        <v>212</v>
      </c>
    </row>
    <row r="1578" spans="1:15" x14ac:dyDescent="0.25">
      <c r="A1578" t="s">
        <v>215</v>
      </c>
      <c r="C1578" t="s">
        <v>1369</v>
      </c>
      <c r="E1578" t="s">
        <v>1370</v>
      </c>
      <c r="F1578" t="s">
        <v>36</v>
      </c>
      <c r="G1578">
        <f>IF(OR(ISNUMBER(SEARCH("B2",'Remplissage - Sit. Init.'!$I$18)),ISNUMBER(SEARCH("B2",'Remplissage - Sit. Init.'!$I$17))),1,0)</f>
        <v>0</v>
      </c>
      <c r="H1578" s="36"/>
      <c r="I1578" t="s">
        <v>1353</v>
      </c>
      <c r="K1578">
        <v>1</v>
      </c>
      <c r="M1578" t="s">
        <v>220</v>
      </c>
      <c r="O1578">
        <f t="shared" si="1737"/>
        <v>1577</v>
      </c>
    </row>
    <row r="1579" spans="1:15" x14ac:dyDescent="0.25">
      <c r="A1579" t="s">
        <v>215</v>
      </c>
      <c r="C1579" t="s">
        <v>1371</v>
      </c>
      <c r="E1579" t="s">
        <v>1372</v>
      </c>
      <c r="F1579" t="s">
        <v>17</v>
      </c>
      <c r="G1579">
        <f>IF(OR(ISNUMBER(SEARCH("B4",'Remplissage - Sit. Init.'!$I$18)),ISNUMBER(SEARCH("B4",'Remplissage - Sit. Init.'!$I$17))),1,0)</f>
        <v>1</v>
      </c>
      <c r="H1579" s="36">
        <v>0.1</v>
      </c>
      <c r="J1579" t="s">
        <v>70</v>
      </c>
      <c r="K1579" s="7">
        <v>0.1</v>
      </c>
      <c r="M1579" t="s">
        <v>220</v>
      </c>
      <c r="O1579">
        <f t="shared" si="1737"/>
        <v>1578</v>
      </c>
    </row>
    <row r="1580" spans="1:15" x14ac:dyDescent="0.25">
      <c r="A1580" t="s">
        <v>440</v>
      </c>
      <c r="C1580" t="s">
        <v>1373</v>
      </c>
      <c r="E1580" t="s">
        <v>1374</v>
      </c>
      <c r="F1580" t="s">
        <v>36</v>
      </c>
      <c r="G1580">
        <f>IF(OR(ISNUMBER(SEARCH("B2",'Remplissage - Sit. Init.'!$I$18)),ISNUMBER(SEARCH("B2",'Remplissage - Sit. Init.'!$I$17))),1,0)</f>
        <v>0</v>
      </c>
      <c r="H1580" s="36"/>
      <c r="I1580" t="s">
        <v>1353</v>
      </c>
      <c r="K1580">
        <v>1</v>
      </c>
      <c r="M1580" t="s">
        <v>220</v>
      </c>
      <c r="O1580">
        <f t="shared" si="1737"/>
        <v>1579</v>
      </c>
    </row>
    <row r="1581" spans="1:15" x14ac:dyDescent="0.25">
      <c r="A1581" t="s">
        <v>440</v>
      </c>
      <c r="C1581" t="s">
        <v>1375</v>
      </c>
      <c r="E1581" t="s">
        <v>1376</v>
      </c>
      <c r="F1581" t="s">
        <v>17</v>
      </c>
      <c r="G1581">
        <f>IF(OR(ISNUMBER(SEARCH("C3",'Remplissage - Sit. Init.'!$I$18)),ISNUMBER(SEARCH("C3",'Remplissage - Sit. Init.'!$I$17))),1,0)</f>
        <v>1</v>
      </c>
      <c r="H1581" s="36">
        <v>0.1</v>
      </c>
      <c r="J1581" t="s">
        <v>70</v>
      </c>
      <c r="K1581" s="36">
        <v>0.1</v>
      </c>
      <c r="L1581" t="s">
        <v>139</v>
      </c>
      <c r="M1581" t="s">
        <v>269</v>
      </c>
      <c r="O1581">
        <f t="shared" si="1737"/>
        <v>1580</v>
      </c>
    </row>
    <row r="1582" spans="1:15" x14ac:dyDescent="0.25">
      <c r="A1582" t="s">
        <v>440</v>
      </c>
      <c r="B1582" t="s">
        <v>1377</v>
      </c>
      <c r="C1582" t="s">
        <v>450</v>
      </c>
      <c r="E1582" t="s">
        <v>449</v>
      </c>
      <c r="F1582" t="s">
        <v>17</v>
      </c>
      <c r="G1582">
        <f>IF(OR(ISNUMBER(SEARCH("C3",'Remplissage - Sit. Init.'!$I$18)),ISNUMBER(SEARCH("C3",'Remplissage - Sit. Init.'!$I$17))),1,0)</f>
        <v>1</v>
      </c>
      <c r="H1582" s="36">
        <v>0.7</v>
      </c>
      <c r="J1582" t="s">
        <v>70</v>
      </c>
      <c r="K1582" s="36">
        <v>0.7</v>
      </c>
      <c r="M1582" t="s">
        <v>269</v>
      </c>
      <c r="O1582">
        <f t="shared" si="1737"/>
        <v>1581</v>
      </c>
    </row>
    <row r="1583" spans="1:15" x14ac:dyDescent="0.25">
      <c r="A1583" t="s">
        <v>440</v>
      </c>
      <c r="B1583" t="s">
        <v>1377</v>
      </c>
      <c r="C1583" t="s">
        <v>448</v>
      </c>
      <c r="E1583" t="s">
        <v>447</v>
      </c>
      <c r="F1583" t="s">
        <v>17</v>
      </c>
      <c r="G1583">
        <f>IF(OR(ISNUMBER(SEARCH("C3",'Remplissage - Sit. Init.'!$I$18)),ISNUMBER(SEARCH("C3",'Remplissage - Sit. Init.'!$I$17))),1,0)</f>
        <v>1</v>
      </c>
      <c r="H1583" s="36">
        <v>0</v>
      </c>
      <c r="J1583" t="s">
        <v>70</v>
      </c>
      <c r="K1583" s="36">
        <v>0</v>
      </c>
      <c r="M1583" t="s">
        <v>269</v>
      </c>
      <c r="O1583">
        <f t="shared" si="1737"/>
        <v>1582</v>
      </c>
    </row>
    <row r="1584" spans="1:15" x14ac:dyDescent="0.25">
      <c r="A1584" t="s">
        <v>440</v>
      </c>
      <c r="B1584" t="s">
        <v>1377</v>
      </c>
      <c r="C1584" t="s">
        <v>446</v>
      </c>
      <c r="E1584" t="s">
        <v>445</v>
      </c>
      <c r="F1584" t="s">
        <v>17</v>
      </c>
      <c r="G1584">
        <f>IF(OR(ISNUMBER(SEARCH("C3",'Remplissage - Sit. Init.'!$I$18)),ISNUMBER(SEARCH("C3",'Remplissage - Sit. Init.'!$I$17))),1,0)</f>
        <v>1</v>
      </c>
      <c r="H1584" s="36">
        <v>0</v>
      </c>
      <c r="J1584" t="s">
        <v>70</v>
      </c>
      <c r="K1584" s="36">
        <v>0</v>
      </c>
      <c r="M1584" t="s">
        <v>269</v>
      </c>
      <c r="O1584">
        <f t="shared" si="1737"/>
        <v>1583</v>
      </c>
    </row>
    <row r="1585" spans="1:15" x14ac:dyDescent="0.25">
      <c r="A1585" t="s">
        <v>440</v>
      </c>
      <c r="B1585" t="s">
        <v>1377</v>
      </c>
      <c r="C1585" t="s">
        <v>163</v>
      </c>
      <c r="E1585" t="s">
        <v>444</v>
      </c>
      <c r="F1585" t="s">
        <v>17</v>
      </c>
      <c r="G1585">
        <f>IF(OR(ISNUMBER(SEARCH("C3",'Remplissage - Sit. Init.'!$I$18)),ISNUMBER(SEARCH("C3",'Remplissage - Sit. Init.'!$I$17))),1,0)</f>
        <v>1</v>
      </c>
      <c r="H1585" s="36">
        <v>0.3</v>
      </c>
      <c r="J1585" t="s">
        <v>70</v>
      </c>
      <c r="K1585" s="36">
        <v>0.3</v>
      </c>
      <c r="M1585" t="s">
        <v>269</v>
      </c>
      <c r="O1585">
        <f t="shared" si="1737"/>
        <v>1584</v>
      </c>
    </row>
    <row r="1586" spans="1:15" x14ac:dyDescent="0.25">
      <c r="A1586" t="s">
        <v>440</v>
      </c>
      <c r="C1586" t="s">
        <v>443</v>
      </c>
      <c r="E1586" t="s">
        <v>442</v>
      </c>
      <c r="F1586" t="s">
        <v>17</v>
      </c>
      <c r="G1586">
        <f>IF(OR(ISNUMBER(SEARCH("C3",'Remplissage - Sit. Init.'!$I$18)),ISNUMBER(SEARCH("C3",'Remplissage - Sit. Init.'!$I$17))),1,0)</f>
        <v>1</v>
      </c>
      <c r="H1586" s="32" t="s">
        <v>54</v>
      </c>
      <c r="I1586" s="32" t="s">
        <v>55</v>
      </c>
      <c r="K1586" t="s">
        <v>199</v>
      </c>
      <c r="M1586" t="s">
        <v>269</v>
      </c>
      <c r="O1586">
        <f t="shared" si="1737"/>
        <v>1585</v>
      </c>
    </row>
    <row r="1587" spans="1:15" x14ac:dyDescent="0.25">
      <c r="A1587" t="s">
        <v>440</v>
      </c>
      <c r="C1587" t="s">
        <v>1378</v>
      </c>
      <c r="E1587" t="s">
        <v>441</v>
      </c>
      <c r="F1587" t="s">
        <v>17</v>
      </c>
      <c r="G1587">
        <f>IF(OR(ISNUMBER(SEARCH("C3",'Remplissage - Sit. Init.'!$I$18)),ISNUMBER(SEARCH("C3",'Remplissage - Sit. Init.'!$I$17))),1,0)</f>
        <v>1</v>
      </c>
      <c r="H1587">
        <v>2000</v>
      </c>
      <c r="J1587" t="s">
        <v>226</v>
      </c>
      <c r="K1587">
        <v>500</v>
      </c>
      <c r="M1587" t="s">
        <v>269</v>
      </c>
      <c r="O1587">
        <f t="shared" si="1737"/>
        <v>1586</v>
      </c>
    </row>
    <row r="1588" spans="1:15" x14ac:dyDescent="0.25">
      <c r="A1588" t="s">
        <v>440</v>
      </c>
      <c r="C1588" t="s">
        <v>439</v>
      </c>
      <c r="E1588" t="s">
        <v>438</v>
      </c>
      <c r="F1588" t="s">
        <v>20</v>
      </c>
      <c r="G1588">
        <f>IF(OR(ISNUMBER(SEARCH("C3",'Remplissage - Sit. Init.'!$I$18)),ISNUMBER(SEARCH("C3",'Remplissage - Sit. Init.'!$I$17))),1,0)</f>
        <v>1</v>
      </c>
      <c r="H1588" t="s">
        <v>437</v>
      </c>
      <c r="I1588" t="s">
        <v>436</v>
      </c>
      <c r="K1588" t="s">
        <v>435</v>
      </c>
      <c r="M1588" t="s">
        <v>269</v>
      </c>
      <c r="O1588">
        <f t="shared" si="1737"/>
        <v>1587</v>
      </c>
    </row>
    <row r="1589" spans="1:15" x14ac:dyDescent="0.25">
      <c r="A1589" t="s">
        <v>284</v>
      </c>
      <c r="C1589" t="s">
        <v>1379</v>
      </c>
      <c r="E1589" t="s">
        <v>1380</v>
      </c>
      <c r="F1589" t="s">
        <v>36</v>
      </c>
      <c r="G1589">
        <f>IF(OR(ISNUMBER(SEARCH("B2",'Remplissage - Sit. Init.'!$I$18)),ISNUMBER(SEARCH("B2",'Remplissage - Sit. Init.'!$I$17))),1,0)</f>
        <v>0</v>
      </c>
      <c r="H1589" s="36"/>
      <c r="I1589" t="s">
        <v>1353</v>
      </c>
      <c r="M1589" t="s">
        <v>220</v>
      </c>
      <c r="O1589">
        <f t="shared" si="1737"/>
        <v>1588</v>
      </c>
    </row>
    <row r="1590" spans="1:15" x14ac:dyDescent="0.25">
      <c r="A1590" t="s">
        <v>284</v>
      </c>
      <c r="B1590" t="s">
        <v>434</v>
      </c>
      <c r="C1590" t="s">
        <v>1381</v>
      </c>
      <c r="D1590" t="s">
        <v>1382</v>
      </c>
      <c r="E1590" t="str">
        <f t="shared" ref="E1590:E1591" si="1738">_xlfn.CONCAT("LivrNuitObj",B1590)</f>
        <v>LivrNuitObjGénéralités</v>
      </c>
      <c r="F1590" t="s">
        <v>36</v>
      </c>
      <c r="G1590">
        <f>IF(ISNUMBER(SEARCH("C4",#REF!)),1,0)</f>
        <v>0</v>
      </c>
      <c r="H1590" t="s">
        <v>291</v>
      </c>
      <c r="I1590" t="s">
        <v>243</v>
      </c>
      <c r="M1590" t="s">
        <v>288</v>
      </c>
      <c r="O1590">
        <f t="shared" si="1737"/>
        <v>1589</v>
      </c>
    </row>
    <row r="1591" spans="1:15" x14ac:dyDescent="0.25">
      <c r="A1591" t="s">
        <v>284</v>
      </c>
      <c r="B1591" t="s">
        <v>1383</v>
      </c>
      <c r="C1591" t="s">
        <v>1384</v>
      </c>
      <c r="E1591" t="str">
        <f t="shared" si="1738"/>
        <v>LivrNuitObjTous véhicules</v>
      </c>
      <c r="F1591" t="s">
        <v>17</v>
      </c>
      <c r="G1591">
        <f>IF(ISNUMBER(SEARCH("Proposer un ordre de grandeur commun à toutes les catégories de véhicules",$H$1590)),1,0)</f>
        <v>0</v>
      </c>
      <c r="H1591" s="36">
        <v>0.2</v>
      </c>
      <c r="J1591" t="s">
        <v>70</v>
      </c>
      <c r="M1591" t="s">
        <v>288</v>
      </c>
      <c r="O1591">
        <f t="shared" si="1737"/>
        <v>1590</v>
      </c>
    </row>
    <row r="1592" spans="1:15" x14ac:dyDescent="0.25">
      <c r="A1592" t="s">
        <v>284</v>
      </c>
      <c r="B1592">
        <f>'Remplissage - Sit. Init.'!$I$23</f>
        <v>0</v>
      </c>
      <c r="C1592" t="s">
        <v>1385</v>
      </c>
      <c r="E1592" t="str">
        <f>_xlfn.CONCAT("LivrNuitObj",RIGHT(C1592,1))</f>
        <v>LivrNuitObj1</v>
      </c>
      <c r="F1592" t="s">
        <v>17</v>
      </c>
      <c r="G1592">
        <f>(IF(ISNUMBER(SEARCH('Remplissage - Sit. Init.'!$I$33,'Remplissage - Sit. Init.'!$I$1238)),1,0))*(IF(ISNUMBER(SEARCH("Par catégorie de véhicule",$H$1590)),1,0))</f>
        <v>0</v>
      </c>
      <c r="H1592" s="36">
        <v>1</v>
      </c>
      <c r="J1592" t="s">
        <v>70</v>
      </c>
      <c r="M1592" t="s">
        <v>288</v>
      </c>
      <c r="O1592">
        <f t="shared" si="1737"/>
        <v>1591</v>
      </c>
    </row>
    <row r="1593" spans="1:15" x14ac:dyDescent="0.25">
      <c r="A1593" t="s">
        <v>284</v>
      </c>
      <c r="B1593">
        <f>'Remplissage - Sit. Init.'!$I$23</f>
        <v>0</v>
      </c>
      <c r="C1593" t="s">
        <v>1386</v>
      </c>
      <c r="E1593" t="str">
        <f>_xlfn.CONCAT("LivrNuitCat",RIGHT(C1593,1))</f>
        <v>LivrNuitCat1</v>
      </c>
      <c r="F1593" t="s">
        <v>36</v>
      </c>
      <c r="G1593">
        <f>(IF(ISNUMBER(SEARCH('Remplissage - Sit. Init.'!$I$23,'Remplissage - Sit. Init.'!$I$1238)),1,0))*(IF(ISNUMBER(SEARCH("Par catégorie de véhicule",$H$1590)),1,0))</f>
        <v>0</v>
      </c>
      <c r="H1593" t="s">
        <v>1387</v>
      </c>
      <c r="I1593"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593" t="s">
        <v>288</v>
      </c>
      <c r="O1593">
        <f t="shared" si="1737"/>
        <v>1592</v>
      </c>
    </row>
    <row r="1594" spans="1:15" outlineLevel="1" x14ac:dyDescent="0.25">
      <c r="A1594" t="s">
        <v>284</v>
      </c>
      <c r="B1594">
        <f>'Remplissage - Sit. Init.'!$I$33</f>
        <v>0</v>
      </c>
      <c r="C1594" t="s">
        <v>1388</v>
      </c>
      <c r="E1594" t="str">
        <f>_xlfn.CONCAT("LivrNuitObj",RIGHT(C1594,1))</f>
        <v>LivrNuitObj2</v>
      </c>
      <c r="F1594" t="s">
        <v>17</v>
      </c>
      <c r="G1594">
        <f>(IF(ISNUMBER(SEARCH('Remplissage - Sit. Init.'!$I$33,'Remplissage - Sit. Init.'!$I$1238)),1,0))*(IF(ISNUMBER(SEARCH("Par catégorie de véhicule",$H$1590)),1,0))</f>
        <v>0</v>
      </c>
      <c r="H1594" s="36"/>
      <c r="J1594" t="s">
        <v>70</v>
      </c>
      <c r="M1594" t="s">
        <v>288</v>
      </c>
      <c r="O1594">
        <f t="shared" si="1737"/>
        <v>1593</v>
      </c>
    </row>
    <row r="1595" spans="1:15" outlineLevel="1" x14ac:dyDescent="0.25">
      <c r="A1595" t="s">
        <v>284</v>
      </c>
      <c r="B1595">
        <f>'Remplissage - Sit. Init.'!$I$33</f>
        <v>0</v>
      </c>
      <c r="C1595" t="s">
        <v>1389</v>
      </c>
      <c r="E1595" t="str">
        <f>_xlfn.CONCAT("LivrNuitCat",RIGHT(C1595,1))</f>
        <v>LivrNuitCat2</v>
      </c>
      <c r="F1595" t="s">
        <v>36</v>
      </c>
      <c r="G1595">
        <f>(IF(ISNUMBER(SEARCH('Remplissage - Sit. Init.'!$I$33,'Remplissage - Sit. Init.'!$I$1238)),1,0))*(IF(ISNUMBER(SEARCH("Par catégorie de véhicule",$H$1590)),1,0))</f>
        <v>0</v>
      </c>
      <c r="I1595"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595" t="s">
        <v>288</v>
      </c>
      <c r="O1595">
        <f t="shared" si="1737"/>
        <v>1594</v>
      </c>
    </row>
    <row r="1596" spans="1:15" outlineLevel="1" x14ac:dyDescent="0.25">
      <c r="A1596" t="s">
        <v>284</v>
      </c>
      <c r="B1596">
        <f>'Remplissage - Sit. Init.'!$I$43</f>
        <v>0</v>
      </c>
      <c r="C1596" t="s">
        <v>1390</v>
      </c>
      <c r="E1596" t="str">
        <f>_xlfn.CONCAT("LivrNuitObj",RIGHT(C1596,1))</f>
        <v>LivrNuitObj3</v>
      </c>
      <c r="F1596" t="s">
        <v>17</v>
      </c>
      <c r="G1596">
        <f>(IF(ISNUMBER(SEARCH('Remplissage - Sit. Init.'!$I$43,'Remplissage - Sit. Init.'!$I$1238)),1,0))*(IF(ISNUMBER(SEARCH("Par catégorie de véhicule",$H$1590)),1,0))</f>
        <v>0</v>
      </c>
      <c r="H1596" s="36">
        <v>0.3</v>
      </c>
      <c r="J1596" t="s">
        <v>70</v>
      </c>
      <c r="M1596" t="s">
        <v>288</v>
      </c>
      <c r="O1596">
        <f t="shared" si="1737"/>
        <v>1595</v>
      </c>
    </row>
    <row r="1597" spans="1:15" outlineLevel="1" x14ac:dyDescent="0.25">
      <c r="A1597" t="s">
        <v>284</v>
      </c>
      <c r="B1597">
        <f>'Remplissage - Sit. Init.'!$I$43</f>
        <v>0</v>
      </c>
      <c r="C1597" t="s">
        <v>1391</v>
      </c>
      <c r="E1597" t="str">
        <f>_xlfn.CONCAT("LivrNuitCat",RIGHT(C1597,1))</f>
        <v>LivrNuitCat3</v>
      </c>
      <c r="F1597" t="s">
        <v>36</v>
      </c>
      <c r="G1597">
        <f>(IF(ISNUMBER(SEARCH('Remplissage - Sit. Init.'!$I$43,'Remplissage - Sit. Init.'!$I$1238)),1,0))*(IF(ISNUMBER(SEARCH("Par catégorie de véhicule",$H$1590)),1,0))</f>
        <v>0</v>
      </c>
      <c r="H1597" t="s">
        <v>433</v>
      </c>
      <c r="I1597"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597" t="s">
        <v>288</v>
      </c>
      <c r="O1597">
        <f t="shared" si="1737"/>
        <v>1596</v>
      </c>
    </row>
    <row r="1598" spans="1:15" outlineLevel="1" x14ac:dyDescent="0.25">
      <c r="A1598" t="s">
        <v>284</v>
      </c>
      <c r="B1598">
        <f>'Remplissage - Sit. Init.'!$I$53</f>
        <v>0</v>
      </c>
      <c r="C1598" t="s">
        <v>1392</v>
      </c>
      <c r="E1598" t="str">
        <f>_xlfn.CONCAT("LivrNuitObj",RIGHT(C1598,1))</f>
        <v>LivrNuitObj4</v>
      </c>
      <c r="F1598" t="s">
        <v>17</v>
      </c>
      <c r="G1598">
        <f>(IF(ISNUMBER(SEARCH('Remplissage - Sit. Init.'!$I$53,'Remplissage - Sit. Init.'!$I$1238)),1,0))*(IF(ISNUMBER(SEARCH("Par catégorie de véhicule",$H$1590)),1,0))</f>
        <v>0</v>
      </c>
      <c r="H1598" s="36"/>
      <c r="J1598" t="s">
        <v>70</v>
      </c>
      <c r="M1598" t="s">
        <v>288</v>
      </c>
      <c r="O1598">
        <f t="shared" si="1737"/>
        <v>1597</v>
      </c>
    </row>
    <row r="1599" spans="1:15" outlineLevel="1" x14ac:dyDescent="0.25">
      <c r="A1599" t="s">
        <v>284</v>
      </c>
      <c r="B1599">
        <f>'Remplissage - Sit. Init.'!$I$53</f>
        <v>0</v>
      </c>
      <c r="C1599" t="s">
        <v>1393</v>
      </c>
      <c r="E1599" t="str">
        <f>_xlfn.CONCAT("LivrNuitCat",RIGHT(C1599,1))</f>
        <v>LivrNuitCat4</v>
      </c>
      <c r="F1599" t="s">
        <v>36</v>
      </c>
      <c r="G1599">
        <f>(IF(ISNUMBER(SEARCH('Remplissage - Sit. Init.'!$I$53,'Remplissage - Sit. Init.'!$I$1238)),1,0))*(IF(ISNUMBER(SEARCH("Par catégorie de véhicule",$H$1590)),1,0))</f>
        <v>0</v>
      </c>
      <c r="I1599"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599" t="s">
        <v>288</v>
      </c>
      <c r="O1599">
        <f t="shared" si="1737"/>
        <v>1598</v>
      </c>
    </row>
    <row r="1600" spans="1:15" outlineLevel="1" x14ac:dyDescent="0.25">
      <c r="A1600" t="s">
        <v>284</v>
      </c>
      <c r="B1600">
        <f>'Remplissage - Sit. Init.'!$I$63</f>
        <v>0</v>
      </c>
      <c r="C1600" t="s">
        <v>1394</v>
      </c>
      <c r="E1600" t="str">
        <f>_xlfn.CONCAT("LivrNuitObj",RIGHT(C1600,1))</f>
        <v>LivrNuitObj5</v>
      </c>
      <c r="F1600" t="s">
        <v>17</v>
      </c>
      <c r="G1600">
        <f>(IF(ISNUMBER(SEARCH('Remplissage - Sit. Init.'!$I$63,'Remplissage - Sit. Init.'!$I$1238)),1,0))*(IF(ISNUMBER(SEARCH("Par catégorie de véhicule",$H$1590)),1,0))</f>
        <v>0</v>
      </c>
      <c r="H1600" s="36"/>
      <c r="J1600" t="s">
        <v>70</v>
      </c>
      <c r="M1600" t="s">
        <v>288</v>
      </c>
      <c r="O1600">
        <f t="shared" si="1737"/>
        <v>1599</v>
      </c>
    </row>
    <row r="1601" spans="1:15" outlineLevel="1" x14ac:dyDescent="0.25">
      <c r="A1601" t="s">
        <v>284</v>
      </c>
      <c r="B1601">
        <f>'Remplissage - Sit. Init.'!$I$63</f>
        <v>0</v>
      </c>
      <c r="C1601" t="s">
        <v>1395</v>
      </c>
      <c r="E1601" t="str">
        <f>_xlfn.CONCAT("LivrNuitCat",RIGHT(C1601,1))</f>
        <v>LivrNuitCat5</v>
      </c>
      <c r="F1601" t="s">
        <v>36</v>
      </c>
      <c r="G1601">
        <f>(IF(ISNUMBER(SEARCH('Remplissage - Sit. Init.'!$I$63,'Remplissage - Sit. Init.'!$I$1238)),1,0))*(IF(ISNUMBER(SEARCH("Par catégorie de véhicule",$H$1590)),1,0))</f>
        <v>0</v>
      </c>
      <c r="I1601"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01" t="s">
        <v>288</v>
      </c>
      <c r="O1601">
        <f t="shared" si="1737"/>
        <v>1600</v>
      </c>
    </row>
    <row r="1602" spans="1:15" outlineLevel="1" x14ac:dyDescent="0.25">
      <c r="A1602" t="s">
        <v>284</v>
      </c>
      <c r="B1602">
        <f>'Remplissage - Sit. Init.'!$I$73</f>
        <v>0</v>
      </c>
      <c r="C1602" t="s">
        <v>1396</v>
      </c>
      <c r="E1602" t="str">
        <f>_xlfn.CONCAT("LivrNuitObj",RIGHT(C1602,1))</f>
        <v>LivrNuitObj6</v>
      </c>
      <c r="F1602" t="s">
        <v>17</v>
      </c>
      <c r="G1602">
        <f>(IF(ISNUMBER(SEARCH('Remplissage - Sit. Init.'!$I$73,'Remplissage - Sit. Init.'!$I$1238)),1,0))*(IF(ISNUMBER(SEARCH("Par catégorie de véhicule",$H$1590)),1,0))</f>
        <v>0</v>
      </c>
      <c r="H1602" s="36"/>
      <c r="J1602" t="s">
        <v>70</v>
      </c>
      <c r="M1602" t="s">
        <v>288</v>
      </c>
      <c r="O1602">
        <f t="shared" si="1737"/>
        <v>1601</v>
      </c>
    </row>
    <row r="1603" spans="1:15" outlineLevel="1" x14ac:dyDescent="0.25">
      <c r="A1603" t="s">
        <v>284</v>
      </c>
      <c r="B1603">
        <f>'Remplissage - Sit. Init.'!$I$73</f>
        <v>0</v>
      </c>
      <c r="C1603" t="s">
        <v>1397</v>
      </c>
      <c r="E1603" t="str">
        <f>_xlfn.CONCAT("LivrNuitCat",RIGHT(C1603,1))</f>
        <v>LivrNuitCat6</v>
      </c>
      <c r="F1603" t="s">
        <v>36</v>
      </c>
      <c r="G1603">
        <f>(IF(ISNUMBER(SEARCH('Remplissage - Sit. Init.'!$I$73,'Remplissage - Sit. Init.'!$I$1238)),1,0))*(IF(ISNUMBER(SEARCH("Par catégorie de véhicule",$H$1590)),1,0))</f>
        <v>0</v>
      </c>
      <c r="I1603"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03" t="s">
        <v>288</v>
      </c>
      <c r="O1603">
        <f t="shared" si="1737"/>
        <v>1602</v>
      </c>
    </row>
    <row r="1604" spans="1:15" outlineLevel="1" x14ac:dyDescent="0.25">
      <c r="A1604" t="s">
        <v>284</v>
      </c>
      <c r="B1604">
        <f>'Remplissage - Sit. Init.'!$I$83</f>
        <v>0</v>
      </c>
      <c r="C1604" t="s">
        <v>1398</v>
      </c>
      <c r="E1604" t="str">
        <f>_xlfn.CONCAT("LivrNuitObj",RIGHT(C1604,1))</f>
        <v>LivrNuitObj7</v>
      </c>
      <c r="F1604" t="s">
        <v>17</v>
      </c>
      <c r="G1604">
        <f>(IF(ISNUMBER(SEARCH('Remplissage - Sit. Init.'!$I$83,'Remplissage - Sit. Init.'!$I$1238)),1,0))*(IF(ISNUMBER(SEARCH("Par catégorie de véhicule",$H$1590)),1,0))</f>
        <v>0</v>
      </c>
      <c r="H1604" s="36"/>
      <c r="J1604" t="s">
        <v>70</v>
      </c>
      <c r="M1604" t="s">
        <v>288</v>
      </c>
      <c r="O1604">
        <f t="shared" si="1737"/>
        <v>1603</v>
      </c>
    </row>
    <row r="1605" spans="1:15" outlineLevel="1" x14ac:dyDescent="0.25">
      <c r="A1605" t="s">
        <v>284</v>
      </c>
      <c r="B1605">
        <f>'Remplissage - Sit. Init.'!$I$83</f>
        <v>0</v>
      </c>
      <c r="C1605" t="s">
        <v>1399</v>
      </c>
      <c r="E1605" t="str">
        <f>_xlfn.CONCAT("LivrNuitCat",RIGHT(C1605,1))</f>
        <v>LivrNuitCat7</v>
      </c>
      <c r="F1605" t="s">
        <v>36</v>
      </c>
      <c r="G1605">
        <f>(IF(ISNUMBER(SEARCH('Remplissage - Sit. Init.'!$I$83,'Remplissage - Sit. Init.'!$I$1238)),1,0))*(IF(ISNUMBER(SEARCH("Par catégorie de véhicule",$H$1590)),1,0))</f>
        <v>0</v>
      </c>
      <c r="I1605"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05" t="s">
        <v>288</v>
      </c>
      <c r="O1605">
        <f t="shared" si="1737"/>
        <v>1604</v>
      </c>
    </row>
    <row r="1606" spans="1:15" outlineLevel="1" x14ac:dyDescent="0.25">
      <c r="A1606" t="s">
        <v>284</v>
      </c>
      <c r="B1606">
        <f>'Remplissage - Sit. Init.'!$I$93</f>
        <v>0</v>
      </c>
      <c r="C1606" t="s">
        <v>1400</v>
      </c>
      <c r="E1606" t="str">
        <f>_xlfn.CONCAT("LivrNuitObj",RIGHT(C1606,1))</f>
        <v>LivrNuitObj8</v>
      </c>
      <c r="F1606" t="s">
        <v>17</v>
      </c>
      <c r="G1606">
        <f>(IF(ISNUMBER(SEARCH('Remplissage - Sit. Init.'!$I$93,'Remplissage - Sit. Init.'!$I$1238)),1,0))*(IF(ISNUMBER(SEARCH("Par catégorie de véhicule",$H$1590)),1,0))</f>
        <v>0</v>
      </c>
      <c r="H1606" s="36"/>
      <c r="J1606" t="s">
        <v>70</v>
      </c>
      <c r="M1606" t="s">
        <v>288</v>
      </c>
      <c r="O1606">
        <f t="shared" si="1737"/>
        <v>1605</v>
      </c>
    </row>
    <row r="1607" spans="1:15" outlineLevel="1" x14ac:dyDescent="0.25">
      <c r="A1607" t="s">
        <v>284</v>
      </c>
      <c r="B1607">
        <f>'Remplissage - Sit. Init.'!$I$93</f>
        <v>0</v>
      </c>
      <c r="C1607" t="s">
        <v>1401</v>
      </c>
      <c r="E1607" t="str">
        <f>_xlfn.CONCAT("LivrNuitCat",RIGHT(C1607,1))</f>
        <v>LivrNuitCat8</v>
      </c>
      <c r="F1607" t="s">
        <v>36</v>
      </c>
      <c r="G1607">
        <f>(IF(ISNUMBER(SEARCH('Remplissage - Sit. Init.'!$I$93,'Remplissage - Sit. Init.'!$I$1238)),1,0))*(IF(ISNUMBER(SEARCH("Par catégorie de véhicule",$H$1590)),1,0))</f>
        <v>0</v>
      </c>
      <c r="I1607"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07" t="s">
        <v>288</v>
      </c>
      <c r="O1607">
        <f t="shared" si="1737"/>
        <v>1606</v>
      </c>
    </row>
    <row r="1608" spans="1:15" outlineLevel="1" x14ac:dyDescent="0.25">
      <c r="A1608" t="s">
        <v>284</v>
      </c>
      <c r="B1608">
        <f>'Remplissage - Sit. Init.'!$I$103</f>
        <v>0</v>
      </c>
      <c r="C1608" t="s">
        <v>1402</v>
      </c>
      <c r="E1608" t="str">
        <f>_xlfn.CONCAT("LivrNuitObj",RIGHT(C1608,1))</f>
        <v>LivrNuitObj9</v>
      </c>
      <c r="F1608" t="s">
        <v>17</v>
      </c>
      <c r="G1608">
        <f>(IF(ISNUMBER(SEARCH('Remplissage - Sit. Init.'!$I$103,'Remplissage - Sit. Init.'!$I$1238)),1,0))*(IF(ISNUMBER(SEARCH("Par catégorie de véhicule",$H$1590)),1,0))</f>
        <v>0</v>
      </c>
      <c r="H1608" s="36"/>
      <c r="J1608" t="s">
        <v>70</v>
      </c>
      <c r="M1608" t="s">
        <v>288</v>
      </c>
      <c r="O1608">
        <f t="shared" si="1737"/>
        <v>1607</v>
      </c>
    </row>
    <row r="1609" spans="1:15" outlineLevel="1" x14ac:dyDescent="0.25">
      <c r="A1609" t="s">
        <v>284</v>
      </c>
      <c r="B1609">
        <f>'Remplissage - Sit. Init.'!$I$103</f>
        <v>0</v>
      </c>
      <c r="C1609" t="s">
        <v>1403</v>
      </c>
      <c r="E1609" t="str">
        <f>_xlfn.CONCAT("LivrNuitCat",RIGHT(C1609,1))</f>
        <v>LivrNuitCat9</v>
      </c>
      <c r="F1609" t="s">
        <v>36</v>
      </c>
      <c r="G1609">
        <f>(IF(ISNUMBER(SEARCH('Remplissage - Sit. Init.'!$I$103,'Remplissage - Sit. Init.'!$I$1238)),1,0))*(IF(ISNUMBER(SEARCH("Par catégorie de véhicule",$H$1590)),1,0))</f>
        <v>0</v>
      </c>
      <c r="I1609"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09" t="s">
        <v>288</v>
      </c>
      <c r="O1609">
        <f t="shared" si="1737"/>
        <v>1608</v>
      </c>
    </row>
    <row r="1610" spans="1:15" outlineLevel="1" x14ac:dyDescent="0.25">
      <c r="A1610" t="s">
        <v>284</v>
      </c>
      <c r="B1610">
        <f>'Remplissage - Sit. Init.'!$I$113</f>
        <v>0</v>
      </c>
      <c r="C1610" t="s">
        <v>1404</v>
      </c>
      <c r="E1610" t="str">
        <f>_xlfn.CONCAT("LivrNuitObj",RIGHT(C1610,2))</f>
        <v>LivrNuitObj10</v>
      </c>
      <c r="F1610" t="s">
        <v>17</v>
      </c>
      <c r="G1610">
        <f>(IF(ISNUMBER(SEARCH('Remplissage - Sit. Init.'!$I$113,'Remplissage - Sit. Init.'!$I$1238)),1,0))*(IF(ISNUMBER(SEARCH("Par catégorie de véhicule",$H$1590)),1,0))</f>
        <v>0</v>
      </c>
      <c r="H1610" s="36"/>
      <c r="J1610" t="s">
        <v>70</v>
      </c>
      <c r="M1610" t="s">
        <v>288</v>
      </c>
      <c r="O1610">
        <f t="shared" si="1737"/>
        <v>1609</v>
      </c>
    </row>
    <row r="1611" spans="1:15" outlineLevel="1" x14ac:dyDescent="0.25">
      <c r="A1611" t="s">
        <v>284</v>
      </c>
      <c r="B1611">
        <f>'Remplissage - Sit. Init.'!$I$113</f>
        <v>0</v>
      </c>
      <c r="C1611" t="s">
        <v>1405</v>
      </c>
      <c r="E1611" t="str">
        <f>_xlfn.CONCAT("LivrNuitCat",RIGHT(C1611,2))</f>
        <v>LivrNuitCat10</v>
      </c>
      <c r="F1611" t="s">
        <v>36</v>
      </c>
      <c r="G1611">
        <f>(IF(ISNUMBER(SEARCH('Remplissage - Sit. Init.'!$I$113,'Remplissage - Sit. Init.'!$I$1238)),1,0))*(IF(ISNUMBER(SEARCH("Par catégorie de véhicule",$H$1590)),1,0))</f>
        <v>0</v>
      </c>
      <c r="I1611"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11" t="s">
        <v>288</v>
      </c>
      <c r="O1611">
        <f t="shared" si="1737"/>
        <v>1610</v>
      </c>
    </row>
    <row r="1612" spans="1:15" outlineLevel="1" x14ac:dyDescent="0.25">
      <c r="A1612" t="s">
        <v>284</v>
      </c>
      <c r="B1612">
        <f>'Remplissage - Sit. Init.'!$I$113</f>
        <v>0</v>
      </c>
      <c r="C1612" t="s">
        <v>1430</v>
      </c>
      <c r="E1612" t="str">
        <f>_xlfn.CONCAT("LivrNuitObj",RIGHT(C1612,2))</f>
        <v>LivrNuitObj11</v>
      </c>
      <c r="F1612" t="s">
        <v>17</v>
      </c>
      <c r="G1612">
        <f>(IF(ISNUMBER(SEARCH('Remplissage - Sit. Init.'!$I$113,'Remplissage - Sit. Init.'!$I$1238)),1,0))*(IF(ISNUMBER(SEARCH("Par catégorie de véhicule",$H$1590)),1,0))</f>
        <v>0</v>
      </c>
      <c r="H1612" s="36"/>
      <c r="J1612" t="s">
        <v>70</v>
      </c>
      <c r="M1612" t="s">
        <v>288</v>
      </c>
      <c r="O1612">
        <f t="shared" si="1737"/>
        <v>1611</v>
      </c>
    </row>
    <row r="1613" spans="1:15" outlineLevel="1" x14ac:dyDescent="0.25">
      <c r="A1613" t="s">
        <v>284</v>
      </c>
      <c r="B1613">
        <f>'Remplissage - Sit. Init.'!$I$113</f>
        <v>0</v>
      </c>
      <c r="C1613" t="s">
        <v>1431</v>
      </c>
      <c r="E1613" t="str">
        <f>_xlfn.CONCAT("LivrNuitCat",RIGHT(C1613,2))</f>
        <v>LivrNuitCat11</v>
      </c>
      <c r="F1613" t="s">
        <v>36</v>
      </c>
      <c r="G1613">
        <f>(IF(ISNUMBER(SEARCH('Remplissage - Sit. Init.'!$I$113,'Remplissage - Sit. Init.'!$I$1238)),1,0))*(IF(ISNUMBER(SEARCH("Par catégorie de véhicule",$H$1590)),1,0))</f>
        <v>0</v>
      </c>
      <c r="I1613"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13" t="s">
        <v>288</v>
      </c>
      <c r="O1613">
        <f t="shared" si="1737"/>
        <v>1612</v>
      </c>
    </row>
    <row r="1614" spans="1:15" outlineLevel="1" x14ac:dyDescent="0.25">
      <c r="A1614" t="s">
        <v>284</v>
      </c>
      <c r="B1614">
        <f>'Remplissage - Sit. Init.'!$I$113</f>
        <v>0</v>
      </c>
      <c r="C1614" t="str">
        <f>_xlfn.CONCAT("Objectif de passage en horaire décalé "&amp;O1614)</f>
        <v>Objectif de passage en horaire décalé 12</v>
      </c>
      <c r="E1614" t="str">
        <f>_xlfn.CONCAT("LivrNuitObj",RIGHT(C1614,2))</f>
        <v>LivrNuitObj12</v>
      </c>
      <c r="F1614" t="s">
        <v>17</v>
      </c>
      <c r="G1614">
        <f>(IF(ISNUMBER(SEARCH('Remplissage - Sit. Init.'!$I$113,'Remplissage - Sit. Init.'!$I$1238)),1,0))*(IF(ISNUMBER(SEARCH("Par catégorie de véhicule",$H$1590)),1,0))</f>
        <v>0</v>
      </c>
      <c r="H1614" s="36"/>
      <c r="J1614" t="s">
        <v>70</v>
      </c>
      <c r="M1614" t="s">
        <v>288</v>
      </c>
      <c r="O1614">
        <v>12</v>
      </c>
    </row>
    <row r="1615" spans="1:15" outlineLevel="1" x14ac:dyDescent="0.25">
      <c r="A1615" t="s">
        <v>284</v>
      </c>
      <c r="B1615">
        <f>'Remplissage - Sit. Init.'!$I$113</f>
        <v>0</v>
      </c>
      <c r="C1615" t="str">
        <f>_xlfn.CONCAT("Nouvelle catégorie de véhicule si changement "&amp;O1615)</f>
        <v>Nouvelle catégorie de véhicule si changement 12</v>
      </c>
      <c r="E1615" t="str">
        <f>_xlfn.CONCAT("LivrNuitCat",RIGHT(C1615,2))</f>
        <v>LivrNuitCat12</v>
      </c>
      <c r="F1615" t="s">
        <v>36</v>
      </c>
      <c r="G1615">
        <f>(IF(ISNUMBER(SEARCH('Remplissage - Sit. Init.'!$I$113,'Remplissage - Sit. Init.'!$I$1238)),1,0))*(IF(ISNUMBER(SEARCH("Par catégorie de véhicule",$H$1590)),1,0))</f>
        <v>0</v>
      </c>
      <c r="I1615"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15" t="s">
        <v>288</v>
      </c>
      <c r="O1615">
        <f>O1614</f>
        <v>12</v>
      </c>
    </row>
    <row r="1616" spans="1:15" outlineLevel="1" x14ac:dyDescent="0.25">
      <c r="A1616" t="s">
        <v>284</v>
      </c>
      <c r="B1616">
        <f>'Remplissage - Sit. Init.'!$I$113</f>
        <v>0</v>
      </c>
      <c r="C1616" t="str">
        <f t="shared" ref="C1616" si="1739">_xlfn.CONCAT("Objectif de passage en horaire décalé "&amp;O1616)</f>
        <v>Objectif de passage en horaire décalé 13</v>
      </c>
      <c r="E1616" t="str">
        <f t="shared" ref="E1616" si="1740">_xlfn.CONCAT("LivrNuitObj",RIGHT(C1616,2))</f>
        <v>LivrNuitObj13</v>
      </c>
      <c r="F1616" t="s">
        <v>17</v>
      </c>
      <c r="G1616">
        <f>(IF(ISNUMBER(SEARCH('Remplissage - Sit. Init.'!$I$113,'Remplissage - Sit. Init.'!$I$1238)),1,0))*(IF(ISNUMBER(SEARCH("Par catégorie de véhicule",$H$1590)),1,0))</f>
        <v>0</v>
      </c>
      <c r="H1616" s="36"/>
      <c r="J1616" t="s">
        <v>70</v>
      </c>
      <c r="M1616" t="s">
        <v>288</v>
      </c>
      <c r="O1616">
        <f>O1614+1</f>
        <v>13</v>
      </c>
    </row>
    <row r="1617" spans="1:15" outlineLevel="1" x14ac:dyDescent="0.25">
      <c r="A1617" t="s">
        <v>284</v>
      </c>
      <c r="B1617">
        <f>'Remplissage - Sit. Init.'!$I$113</f>
        <v>0</v>
      </c>
      <c r="C1617" t="str">
        <f t="shared" ref="C1617" si="1741">_xlfn.CONCAT("Nouvelle catégorie de véhicule si changement "&amp;O1617)</f>
        <v>Nouvelle catégorie de véhicule si changement 13</v>
      </c>
      <c r="E1617" t="str">
        <f t="shared" ref="E1617" si="1742">_xlfn.CONCAT("LivrNuitCat",RIGHT(C1617,2))</f>
        <v>LivrNuitCat13</v>
      </c>
      <c r="F1617" t="s">
        <v>36</v>
      </c>
      <c r="G1617">
        <f>(IF(ISNUMBER(SEARCH('Remplissage - Sit. Init.'!$I$113,'Remplissage - Sit. Init.'!$I$1238)),1,0))*(IF(ISNUMBER(SEARCH("Par catégorie de véhicule",$H$1590)),1,0))</f>
        <v>0</v>
      </c>
      <c r="I1617"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17" t="s">
        <v>288</v>
      </c>
      <c r="O1617">
        <f>O1616</f>
        <v>13</v>
      </c>
    </row>
    <row r="1618" spans="1:15" outlineLevel="1" x14ac:dyDescent="0.25">
      <c r="A1618" t="s">
        <v>284</v>
      </c>
      <c r="B1618">
        <f>'Remplissage - Sit. Init.'!$I$113</f>
        <v>0</v>
      </c>
      <c r="C1618" t="str">
        <f t="shared" ref="C1618" si="1743">_xlfn.CONCAT("Objectif de passage en horaire décalé "&amp;O1618)</f>
        <v>Objectif de passage en horaire décalé 14</v>
      </c>
      <c r="E1618" t="str">
        <f t="shared" ref="E1618" si="1744">_xlfn.CONCAT("LivrNuitObj",RIGHT(C1618,2))</f>
        <v>LivrNuitObj14</v>
      </c>
      <c r="F1618" t="s">
        <v>17</v>
      </c>
      <c r="G1618">
        <f>(IF(ISNUMBER(SEARCH('Remplissage - Sit. Init.'!$I$113,'Remplissage - Sit. Init.'!$I$1238)),1,0))*(IF(ISNUMBER(SEARCH("Par catégorie de véhicule",$H$1590)),1,0))</f>
        <v>0</v>
      </c>
      <c r="H1618" s="36"/>
      <c r="J1618" t="s">
        <v>70</v>
      </c>
      <c r="M1618" t="s">
        <v>288</v>
      </c>
      <c r="O1618">
        <f>O1616+1</f>
        <v>14</v>
      </c>
    </row>
    <row r="1619" spans="1:15" outlineLevel="1" x14ac:dyDescent="0.25">
      <c r="A1619" t="s">
        <v>284</v>
      </c>
      <c r="B1619">
        <f>'Remplissage - Sit. Init.'!$I$113</f>
        <v>0</v>
      </c>
      <c r="C1619" t="str">
        <f t="shared" ref="C1619" si="1745">_xlfn.CONCAT("Nouvelle catégorie de véhicule si changement "&amp;O1619)</f>
        <v>Nouvelle catégorie de véhicule si changement 14</v>
      </c>
      <c r="E1619" t="str">
        <f t="shared" ref="E1619" si="1746">_xlfn.CONCAT("LivrNuitCat",RIGHT(C1619,2))</f>
        <v>LivrNuitCat14</v>
      </c>
      <c r="F1619" t="s">
        <v>36</v>
      </c>
      <c r="G1619">
        <f>(IF(ISNUMBER(SEARCH('Remplissage - Sit. Init.'!$I$113,'Remplissage - Sit. Init.'!$I$1238)),1,0))*(IF(ISNUMBER(SEARCH("Par catégorie de véhicule",$H$1590)),1,0))</f>
        <v>0</v>
      </c>
      <c r="I1619"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19" t="s">
        <v>288</v>
      </c>
      <c r="O1619">
        <f>O1618</f>
        <v>14</v>
      </c>
    </row>
    <row r="1620" spans="1:15" outlineLevel="1" x14ac:dyDescent="0.25">
      <c r="A1620" t="s">
        <v>284</v>
      </c>
      <c r="B1620">
        <f>'Remplissage - Sit. Init.'!$I$113</f>
        <v>0</v>
      </c>
      <c r="C1620" t="str">
        <f t="shared" ref="C1620" si="1747">_xlfn.CONCAT("Objectif de passage en horaire décalé "&amp;O1620)</f>
        <v>Objectif de passage en horaire décalé 15</v>
      </c>
      <c r="E1620" t="str">
        <f t="shared" ref="E1620" si="1748">_xlfn.CONCAT("LivrNuitObj",RIGHT(C1620,2))</f>
        <v>LivrNuitObj15</v>
      </c>
      <c r="F1620" t="s">
        <v>17</v>
      </c>
      <c r="G1620">
        <f>(IF(ISNUMBER(SEARCH('Remplissage - Sit. Init.'!$I$113,'Remplissage - Sit. Init.'!$I$1238)),1,0))*(IF(ISNUMBER(SEARCH("Par catégorie de véhicule",$H$1590)),1,0))</f>
        <v>0</v>
      </c>
      <c r="H1620" s="36"/>
      <c r="J1620" t="s">
        <v>70</v>
      </c>
      <c r="M1620" t="s">
        <v>288</v>
      </c>
      <c r="O1620">
        <f>O1618+1</f>
        <v>15</v>
      </c>
    </row>
    <row r="1621" spans="1:15" outlineLevel="1" x14ac:dyDescent="0.25">
      <c r="A1621" t="s">
        <v>284</v>
      </c>
      <c r="B1621">
        <f>'Remplissage - Sit. Init.'!$I$113</f>
        <v>0</v>
      </c>
      <c r="C1621" t="str">
        <f t="shared" ref="C1621" si="1749">_xlfn.CONCAT("Nouvelle catégorie de véhicule si changement "&amp;O1621)</f>
        <v>Nouvelle catégorie de véhicule si changement 15</v>
      </c>
      <c r="E1621" t="str">
        <f t="shared" ref="E1621" si="1750">_xlfn.CONCAT("LivrNuitCat",RIGHT(C1621,2))</f>
        <v>LivrNuitCat15</v>
      </c>
      <c r="F1621" t="s">
        <v>36</v>
      </c>
      <c r="G1621">
        <f>(IF(ISNUMBER(SEARCH('Remplissage - Sit. Init.'!$I$113,'Remplissage - Sit. Init.'!$I$1238)),1,0))*(IF(ISNUMBER(SEARCH("Par catégorie de véhicule",$H$1590)),1,0))</f>
        <v>0</v>
      </c>
      <c r="I1621"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21" t="s">
        <v>288</v>
      </c>
      <c r="O1621">
        <f t="shared" ref="O1621" si="1751">O1620</f>
        <v>15</v>
      </c>
    </row>
    <row r="1622" spans="1:15" outlineLevel="1" x14ac:dyDescent="0.25">
      <c r="A1622" t="s">
        <v>284</v>
      </c>
      <c r="B1622">
        <f>'Remplissage - Sit. Init.'!$I$113</f>
        <v>0</v>
      </c>
      <c r="C1622" t="str">
        <f t="shared" ref="C1622" si="1752">_xlfn.CONCAT("Objectif de passage en horaire décalé "&amp;O1622)</f>
        <v>Objectif de passage en horaire décalé 16</v>
      </c>
      <c r="E1622" t="str">
        <f t="shared" ref="E1622" si="1753">_xlfn.CONCAT("LivrNuitObj",RIGHT(C1622,2))</f>
        <v>LivrNuitObj16</v>
      </c>
      <c r="F1622" t="s">
        <v>17</v>
      </c>
      <c r="G1622">
        <f>(IF(ISNUMBER(SEARCH('Remplissage - Sit. Init.'!$I$113,'Remplissage - Sit. Init.'!$I$1238)),1,0))*(IF(ISNUMBER(SEARCH("Par catégorie de véhicule",$H$1590)),1,0))</f>
        <v>0</v>
      </c>
      <c r="H1622" s="36"/>
      <c r="J1622" t="s">
        <v>70</v>
      </c>
      <c r="M1622" t="s">
        <v>288</v>
      </c>
      <c r="O1622">
        <f t="shared" ref="O1622" si="1754">O1620+1</f>
        <v>16</v>
      </c>
    </row>
    <row r="1623" spans="1:15" outlineLevel="1" x14ac:dyDescent="0.25">
      <c r="A1623" t="s">
        <v>284</v>
      </c>
      <c r="B1623">
        <f>'Remplissage - Sit. Init.'!$I$113</f>
        <v>0</v>
      </c>
      <c r="C1623" t="str">
        <f t="shared" ref="C1623" si="1755">_xlfn.CONCAT("Nouvelle catégorie de véhicule si changement "&amp;O1623)</f>
        <v>Nouvelle catégorie de véhicule si changement 16</v>
      </c>
      <c r="E1623" t="str">
        <f t="shared" ref="E1623" si="1756">_xlfn.CONCAT("LivrNuitCat",RIGHT(C1623,2))</f>
        <v>LivrNuitCat16</v>
      </c>
      <c r="F1623" t="s">
        <v>36</v>
      </c>
      <c r="G1623">
        <f>(IF(ISNUMBER(SEARCH('Remplissage - Sit. Init.'!$I$113,'Remplissage - Sit. Init.'!$I$1238)),1,0))*(IF(ISNUMBER(SEARCH("Par catégorie de véhicule",$H$1590)),1,0))</f>
        <v>0</v>
      </c>
      <c r="I1623"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23" t="s">
        <v>288</v>
      </c>
      <c r="O1623">
        <f t="shared" ref="O1623" si="1757">O1622</f>
        <v>16</v>
      </c>
    </row>
    <row r="1624" spans="1:15" outlineLevel="1" x14ac:dyDescent="0.25">
      <c r="A1624" t="s">
        <v>284</v>
      </c>
      <c r="B1624">
        <f>'Remplissage - Sit. Init.'!$I$113</f>
        <v>0</v>
      </c>
      <c r="C1624" t="str">
        <f t="shared" ref="C1624" si="1758">_xlfn.CONCAT("Objectif de passage en horaire décalé "&amp;O1624)</f>
        <v>Objectif de passage en horaire décalé 17</v>
      </c>
      <c r="E1624" t="str">
        <f t="shared" ref="E1624" si="1759">_xlfn.CONCAT("LivrNuitObj",RIGHT(C1624,2))</f>
        <v>LivrNuitObj17</v>
      </c>
      <c r="F1624" t="s">
        <v>17</v>
      </c>
      <c r="G1624">
        <f>(IF(ISNUMBER(SEARCH('Remplissage - Sit. Init.'!$I$113,'Remplissage - Sit. Init.'!$I$1238)),1,0))*(IF(ISNUMBER(SEARCH("Par catégorie de véhicule",$H$1590)),1,0))</f>
        <v>0</v>
      </c>
      <c r="H1624" s="36"/>
      <c r="J1624" t="s">
        <v>70</v>
      </c>
      <c r="M1624" t="s">
        <v>288</v>
      </c>
      <c r="O1624">
        <f t="shared" ref="O1624" si="1760">O1622+1</f>
        <v>17</v>
      </c>
    </row>
    <row r="1625" spans="1:15" outlineLevel="1" x14ac:dyDescent="0.25">
      <c r="A1625" t="s">
        <v>284</v>
      </c>
      <c r="B1625">
        <f>'Remplissage - Sit. Init.'!$I$113</f>
        <v>0</v>
      </c>
      <c r="C1625" t="str">
        <f t="shared" ref="C1625" si="1761">_xlfn.CONCAT("Nouvelle catégorie de véhicule si changement "&amp;O1625)</f>
        <v>Nouvelle catégorie de véhicule si changement 17</v>
      </c>
      <c r="E1625" t="str">
        <f t="shared" ref="E1625" si="1762">_xlfn.CONCAT("LivrNuitCat",RIGHT(C1625,2))</f>
        <v>LivrNuitCat17</v>
      </c>
      <c r="F1625" t="s">
        <v>36</v>
      </c>
      <c r="G1625">
        <f>(IF(ISNUMBER(SEARCH('Remplissage - Sit. Init.'!$I$113,'Remplissage - Sit. Init.'!$I$1238)),1,0))*(IF(ISNUMBER(SEARCH("Par catégorie de véhicule",$H$1590)),1,0))</f>
        <v>0</v>
      </c>
      <c r="I1625"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25" t="s">
        <v>288</v>
      </c>
      <c r="O1625">
        <f t="shared" ref="O1625" si="1763">O1624</f>
        <v>17</v>
      </c>
    </row>
    <row r="1626" spans="1:15" outlineLevel="1" x14ac:dyDescent="0.25">
      <c r="A1626" t="s">
        <v>284</v>
      </c>
      <c r="B1626">
        <f>'Remplissage - Sit. Init.'!$I$113</f>
        <v>0</v>
      </c>
      <c r="C1626" t="str">
        <f t="shared" ref="C1626" si="1764">_xlfn.CONCAT("Objectif de passage en horaire décalé "&amp;O1626)</f>
        <v>Objectif de passage en horaire décalé 18</v>
      </c>
      <c r="E1626" t="str">
        <f t="shared" ref="E1626" si="1765">_xlfn.CONCAT("LivrNuitObj",RIGHT(C1626,2))</f>
        <v>LivrNuitObj18</v>
      </c>
      <c r="F1626" t="s">
        <v>17</v>
      </c>
      <c r="G1626">
        <f>(IF(ISNUMBER(SEARCH('Remplissage - Sit. Init.'!$I$113,'Remplissage - Sit. Init.'!$I$1238)),1,0))*(IF(ISNUMBER(SEARCH("Par catégorie de véhicule",$H$1590)),1,0))</f>
        <v>0</v>
      </c>
      <c r="H1626" s="36"/>
      <c r="J1626" t="s">
        <v>70</v>
      </c>
      <c r="M1626" t="s">
        <v>288</v>
      </c>
      <c r="O1626">
        <f t="shared" ref="O1626" si="1766">O1624+1</f>
        <v>18</v>
      </c>
    </row>
    <row r="1627" spans="1:15" outlineLevel="1" x14ac:dyDescent="0.25">
      <c r="A1627" t="s">
        <v>284</v>
      </c>
      <c r="B1627">
        <f>'Remplissage - Sit. Init.'!$I$113</f>
        <v>0</v>
      </c>
      <c r="C1627" t="str">
        <f t="shared" ref="C1627" si="1767">_xlfn.CONCAT("Nouvelle catégorie de véhicule si changement "&amp;O1627)</f>
        <v>Nouvelle catégorie de véhicule si changement 18</v>
      </c>
      <c r="E1627" t="str">
        <f t="shared" ref="E1627" si="1768">_xlfn.CONCAT("LivrNuitCat",RIGHT(C1627,2))</f>
        <v>LivrNuitCat18</v>
      </c>
      <c r="F1627" t="s">
        <v>36</v>
      </c>
      <c r="G1627">
        <f>(IF(ISNUMBER(SEARCH('Remplissage - Sit. Init.'!$I$113,'Remplissage - Sit. Init.'!$I$1238)),1,0))*(IF(ISNUMBER(SEARCH("Par catégorie de véhicule",$H$1590)),1,0))</f>
        <v>0</v>
      </c>
      <c r="I1627"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27" t="s">
        <v>288</v>
      </c>
      <c r="O1627">
        <f t="shared" ref="O1627" si="1769">O1626</f>
        <v>18</v>
      </c>
    </row>
    <row r="1628" spans="1:15" outlineLevel="1" x14ac:dyDescent="0.25">
      <c r="A1628" t="s">
        <v>284</v>
      </c>
      <c r="B1628">
        <f>'Remplissage - Sit. Init.'!$I$113</f>
        <v>0</v>
      </c>
      <c r="C1628" t="str">
        <f t="shared" ref="C1628" si="1770">_xlfn.CONCAT("Objectif de passage en horaire décalé "&amp;O1628)</f>
        <v>Objectif de passage en horaire décalé 19</v>
      </c>
      <c r="E1628" t="str">
        <f t="shared" ref="E1628" si="1771">_xlfn.CONCAT("LivrNuitObj",RIGHT(C1628,2))</f>
        <v>LivrNuitObj19</v>
      </c>
      <c r="F1628" t="s">
        <v>17</v>
      </c>
      <c r="G1628">
        <f>(IF(ISNUMBER(SEARCH('Remplissage - Sit. Init.'!$I$113,'Remplissage - Sit. Init.'!$I$1238)),1,0))*(IF(ISNUMBER(SEARCH("Par catégorie de véhicule",$H$1590)),1,0))</f>
        <v>0</v>
      </c>
      <c r="H1628" s="36"/>
      <c r="J1628" t="s">
        <v>70</v>
      </c>
      <c r="M1628" t="s">
        <v>288</v>
      </c>
      <c r="O1628">
        <f t="shared" ref="O1628" si="1772">O1626+1</f>
        <v>19</v>
      </c>
    </row>
    <row r="1629" spans="1:15" outlineLevel="1" x14ac:dyDescent="0.25">
      <c r="A1629" t="s">
        <v>284</v>
      </c>
      <c r="B1629">
        <f>'Remplissage - Sit. Init.'!$I$113</f>
        <v>0</v>
      </c>
      <c r="C1629" t="str">
        <f t="shared" ref="C1629" si="1773">_xlfn.CONCAT("Nouvelle catégorie de véhicule si changement "&amp;O1629)</f>
        <v>Nouvelle catégorie de véhicule si changement 19</v>
      </c>
      <c r="E1629" t="str">
        <f t="shared" ref="E1629" si="1774">_xlfn.CONCAT("LivrNuitCat",RIGHT(C1629,2))</f>
        <v>LivrNuitCat19</v>
      </c>
      <c r="F1629" t="s">
        <v>36</v>
      </c>
      <c r="G1629">
        <f>(IF(ISNUMBER(SEARCH('Remplissage - Sit. Init.'!$I$113,'Remplissage - Sit. Init.'!$I$1238)),1,0))*(IF(ISNUMBER(SEARCH("Par catégorie de véhicule",$H$1590)),1,0))</f>
        <v>0</v>
      </c>
      <c r="I1629"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29" t="s">
        <v>288</v>
      </c>
      <c r="O1629">
        <f t="shared" ref="O1629" si="1775">O1628</f>
        <v>19</v>
      </c>
    </row>
    <row r="1630" spans="1:15" outlineLevel="1" x14ac:dyDescent="0.25">
      <c r="A1630" t="s">
        <v>284</v>
      </c>
      <c r="B1630">
        <f>'Remplissage - Sit. Init.'!$I$113</f>
        <v>0</v>
      </c>
      <c r="C1630" t="str">
        <f t="shared" ref="C1630" si="1776">_xlfn.CONCAT("Objectif de passage en horaire décalé "&amp;O1630)</f>
        <v>Objectif de passage en horaire décalé 20</v>
      </c>
      <c r="E1630" t="str">
        <f t="shared" ref="E1630" si="1777">_xlfn.CONCAT("LivrNuitObj",RIGHT(C1630,2))</f>
        <v>LivrNuitObj20</v>
      </c>
      <c r="F1630" t="s">
        <v>17</v>
      </c>
      <c r="G1630">
        <f>(IF(ISNUMBER(SEARCH('Remplissage - Sit. Init.'!$I$113,'Remplissage - Sit. Init.'!$I$1238)),1,0))*(IF(ISNUMBER(SEARCH("Par catégorie de véhicule",$H$1590)),1,0))</f>
        <v>0</v>
      </c>
      <c r="H1630" s="36"/>
      <c r="J1630" t="s">
        <v>70</v>
      </c>
      <c r="M1630" t="s">
        <v>288</v>
      </c>
      <c r="O1630">
        <f t="shared" ref="O1630" si="1778">O1628+1</f>
        <v>20</v>
      </c>
    </row>
    <row r="1631" spans="1:15" outlineLevel="1" x14ac:dyDescent="0.25">
      <c r="A1631" t="s">
        <v>284</v>
      </c>
      <c r="B1631">
        <f>'Remplissage - Sit. Init.'!$I$113</f>
        <v>0</v>
      </c>
      <c r="C1631" t="str">
        <f t="shared" ref="C1631" si="1779">_xlfn.CONCAT("Nouvelle catégorie de véhicule si changement "&amp;O1631)</f>
        <v>Nouvelle catégorie de véhicule si changement 20</v>
      </c>
      <c r="E1631" t="str">
        <f t="shared" ref="E1631" si="1780">_xlfn.CONCAT("LivrNuitCat",RIGHT(C1631,2))</f>
        <v>LivrNuitCat20</v>
      </c>
      <c r="F1631" t="s">
        <v>36</v>
      </c>
      <c r="G1631">
        <f>(IF(ISNUMBER(SEARCH('Remplissage - Sit. Init.'!$I$113,'Remplissage - Sit. Init.'!$I$1238)),1,0))*(IF(ISNUMBER(SEARCH("Par catégorie de véhicule",$H$1590)),1,0))</f>
        <v>0</v>
      </c>
      <c r="I1631"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31" t="s">
        <v>288</v>
      </c>
      <c r="O1631">
        <f t="shared" ref="O1631" si="1781">O1630</f>
        <v>20</v>
      </c>
    </row>
    <row r="1632" spans="1:15" outlineLevel="1" x14ac:dyDescent="0.25">
      <c r="A1632" t="s">
        <v>284</v>
      </c>
      <c r="B1632">
        <f>'Remplissage - Sit. Init.'!$I$113</f>
        <v>0</v>
      </c>
      <c r="C1632" t="str">
        <f t="shared" ref="C1632" si="1782">_xlfn.CONCAT("Objectif de passage en horaire décalé "&amp;O1632)</f>
        <v>Objectif de passage en horaire décalé 21</v>
      </c>
      <c r="E1632" t="str">
        <f t="shared" ref="E1632" si="1783">_xlfn.CONCAT("LivrNuitObj",RIGHT(C1632,2))</f>
        <v>LivrNuitObj21</v>
      </c>
      <c r="F1632" t="s">
        <v>17</v>
      </c>
      <c r="G1632">
        <f>(IF(ISNUMBER(SEARCH('Remplissage - Sit. Init.'!$I$113,'Remplissage - Sit. Init.'!$I$1238)),1,0))*(IF(ISNUMBER(SEARCH("Par catégorie de véhicule",$H$1590)),1,0))</f>
        <v>0</v>
      </c>
      <c r="H1632" s="36"/>
      <c r="J1632" t="s">
        <v>70</v>
      </c>
      <c r="M1632" t="s">
        <v>288</v>
      </c>
      <c r="O1632">
        <f t="shared" ref="O1632" si="1784">O1630+1</f>
        <v>21</v>
      </c>
    </row>
    <row r="1633" spans="1:15" outlineLevel="1" x14ac:dyDescent="0.25">
      <c r="A1633" t="s">
        <v>284</v>
      </c>
      <c r="B1633">
        <f>'Remplissage - Sit. Init.'!$I$113</f>
        <v>0</v>
      </c>
      <c r="C1633" t="str">
        <f t="shared" ref="C1633" si="1785">_xlfn.CONCAT("Nouvelle catégorie de véhicule si changement "&amp;O1633)</f>
        <v>Nouvelle catégorie de véhicule si changement 21</v>
      </c>
      <c r="E1633" t="str">
        <f t="shared" ref="E1633" si="1786">_xlfn.CONCAT("LivrNuitCat",RIGHT(C1633,2))</f>
        <v>LivrNuitCat21</v>
      </c>
      <c r="F1633" t="s">
        <v>36</v>
      </c>
      <c r="G1633">
        <f>(IF(ISNUMBER(SEARCH('Remplissage - Sit. Init.'!$I$113,'Remplissage - Sit. Init.'!$I$1238)),1,0))*(IF(ISNUMBER(SEARCH("Par catégorie de véhicule",$H$1590)),1,0))</f>
        <v>0</v>
      </c>
      <c r="I1633"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33" t="s">
        <v>288</v>
      </c>
      <c r="O1633">
        <f t="shared" ref="O1633" si="1787">O1632</f>
        <v>21</v>
      </c>
    </row>
    <row r="1634" spans="1:15" outlineLevel="1" x14ac:dyDescent="0.25">
      <c r="A1634" t="s">
        <v>284</v>
      </c>
      <c r="B1634">
        <f>'Remplissage - Sit. Init.'!$I$113</f>
        <v>0</v>
      </c>
      <c r="C1634" t="str">
        <f t="shared" ref="C1634" si="1788">_xlfn.CONCAT("Objectif de passage en horaire décalé "&amp;O1634)</f>
        <v>Objectif de passage en horaire décalé 22</v>
      </c>
      <c r="E1634" t="str">
        <f t="shared" ref="E1634" si="1789">_xlfn.CONCAT("LivrNuitObj",RIGHT(C1634,2))</f>
        <v>LivrNuitObj22</v>
      </c>
      <c r="F1634" t="s">
        <v>17</v>
      </c>
      <c r="G1634">
        <f>(IF(ISNUMBER(SEARCH('Remplissage - Sit. Init.'!$I$113,'Remplissage - Sit. Init.'!$I$1238)),1,0))*(IF(ISNUMBER(SEARCH("Par catégorie de véhicule",$H$1590)),1,0))</f>
        <v>0</v>
      </c>
      <c r="H1634" s="36"/>
      <c r="J1634" t="s">
        <v>70</v>
      </c>
      <c r="M1634" t="s">
        <v>288</v>
      </c>
      <c r="O1634">
        <f t="shared" ref="O1634" si="1790">O1632+1</f>
        <v>22</v>
      </c>
    </row>
    <row r="1635" spans="1:15" outlineLevel="1" x14ac:dyDescent="0.25">
      <c r="A1635" t="s">
        <v>284</v>
      </c>
      <c r="B1635">
        <f>'Remplissage - Sit. Init.'!$I$113</f>
        <v>0</v>
      </c>
      <c r="C1635" t="str">
        <f t="shared" ref="C1635" si="1791">_xlfn.CONCAT("Nouvelle catégorie de véhicule si changement "&amp;O1635)</f>
        <v>Nouvelle catégorie de véhicule si changement 22</v>
      </c>
      <c r="E1635" t="str">
        <f t="shared" ref="E1635" si="1792">_xlfn.CONCAT("LivrNuitCat",RIGHT(C1635,2))</f>
        <v>LivrNuitCat22</v>
      </c>
      <c r="F1635" t="s">
        <v>36</v>
      </c>
      <c r="G1635">
        <f>(IF(ISNUMBER(SEARCH('Remplissage - Sit. Init.'!$I$113,'Remplissage - Sit. Init.'!$I$1238)),1,0))*(IF(ISNUMBER(SEARCH("Par catégorie de véhicule",$H$1590)),1,0))</f>
        <v>0</v>
      </c>
      <c r="I1635"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35" t="s">
        <v>288</v>
      </c>
      <c r="O1635">
        <f t="shared" ref="O1635" si="1793">O1634</f>
        <v>22</v>
      </c>
    </row>
    <row r="1636" spans="1:15" outlineLevel="1" x14ac:dyDescent="0.25">
      <c r="A1636" t="s">
        <v>284</v>
      </c>
      <c r="B1636">
        <f>'Remplissage - Sit. Init.'!$I$113</f>
        <v>0</v>
      </c>
      <c r="C1636" t="str">
        <f t="shared" ref="C1636" si="1794">_xlfn.CONCAT("Objectif de passage en horaire décalé "&amp;O1636)</f>
        <v>Objectif de passage en horaire décalé 23</v>
      </c>
      <c r="E1636" t="str">
        <f t="shared" ref="E1636" si="1795">_xlfn.CONCAT("LivrNuitObj",RIGHT(C1636,2))</f>
        <v>LivrNuitObj23</v>
      </c>
      <c r="F1636" t="s">
        <v>17</v>
      </c>
      <c r="G1636">
        <f>(IF(ISNUMBER(SEARCH('Remplissage - Sit. Init.'!$I$113,'Remplissage - Sit. Init.'!$I$1238)),1,0))*(IF(ISNUMBER(SEARCH("Par catégorie de véhicule",$H$1590)),1,0))</f>
        <v>0</v>
      </c>
      <c r="H1636" s="36"/>
      <c r="J1636" t="s">
        <v>70</v>
      </c>
      <c r="M1636" t="s">
        <v>288</v>
      </c>
      <c r="O1636">
        <f t="shared" ref="O1636" si="1796">O1634+1</f>
        <v>23</v>
      </c>
    </row>
    <row r="1637" spans="1:15" outlineLevel="1" x14ac:dyDescent="0.25">
      <c r="A1637" t="s">
        <v>284</v>
      </c>
      <c r="B1637">
        <f>'Remplissage - Sit. Init.'!$I$113</f>
        <v>0</v>
      </c>
      <c r="C1637" t="str">
        <f t="shared" ref="C1637" si="1797">_xlfn.CONCAT("Nouvelle catégorie de véhicule si changement "&amp;O1637)</f>
        <v>Nouvelle catégorie de véhicule si changement 23</v>
      </c>
      <c r="E1637" t="str">
        <f t="shared" ref="E1637" si="1798">_xlfn.CONCAT("LivrNuitCat",RIGHT(C1637,2))</f>
        <v>LivrNuitCat23</v>
      </c>
      <c r="F1637" t="s">
        <v>36</v>
      </c>
      <c r="G1637">
        <f>(IF(ISNUMBER(SEARCH('Remplissage - Sit. Init.'!$I$113,'Remplissage - Sit. Init.'!$I$1238)),1,0))*(IF(ISNUMBER(SEARCH("Par catégorie de véhicule",$H$1590)),1,0))</f>
        <v>0</v>
      </c>
      <c r="I1637"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37" t="s">
        <v>288</v>
      </c>
      <c r="O1637">
        <f t="shared" ref="O1637" si="1799">O1636</f>
        <v>23</v>
      </c>
    </row>
    <row r="1638" spans="1:15" outlineLevel="1" x14ac:dyDescent="0.25">
      <c r="A1638" t="s">
        <v>284</v>
      </c>
      <c r="B1638">
        <f>'Remplissage - Sit. Init.'!$I$113</f>
        <v>0</v>
      </c>
      <c r="C1638" t="str">
        <f t="shared" ref="C1638" si="1800">_xlfn.CONCAT("Objectif de passage en horaire décalé "&amp;O1638)</f>
        <v>Objectif de passage en horaire décalé 24</v>
      </c>
      <c r="E1638" t="str">
        <f t="shared" ref="E1638" si="1801">_xlfn.CONCAT("LivrNuitObj",RIGHT(C1638,2))</f>
        <v>LivrNuitObj24</v>
      </c>
      <c r="F1638" t="s">
        <v>17</v>
      </c>
      <c r="G1638">
        <f>(IF(ISNUMBER(SEARCH('Remplissage - Sit. Init.'!$I$113,'Remplissage - Sit. Init.'!$I$1238)),1,0))*(IF(ISNUMBER(SEARCH("Par catégorie de véhicule",$H$1590)),1,0))</f>
        <v>0</v>
      </c>
      <c r="H1638" s="36"/>
      <c r="J1638" t="s">
        <v>70</v>
      </c>
      <c r="M1638" t="s">
        <v>288</v>
      </c>
      <c r="O1638">
        <f t="shared" ref="O1638" si="1802">O1636+1</f>
        <v>24</v>
      </c>
    </row>
    <row r="1639" spans="1:15" outlineLevel="1" x14ac:dyDescent="0.25">
      <c r="A1639" t="s">
        <v>284</v>
      </c>
      <c r="B1639">
        <f>'Remplissage - Sit. Init.'!$I$113</f>
        <v>0</v>
      </c>
      <c r="C1639" t="str">
        <f t="shared" ref="C1639" si="1803">_xlfn.CONCAT("Nouvelle catégorie de véhicule si changement "&amp;O1639)</f>
        <v>Nouvelle catégorie de véhicule si changement 24</v>
      </c>
      <c r="E1639" t="str">
        <f t="shared" ref="E1639" si="1804">_xlfn.CONCAT("LivrNuitCat",RIGHT(C1639,2))</f>
        <v>LivrNuitCat24</v>
      </c>
      <c r="F1639" t="s">
        <v>36</v>
      </c>
      <c r="G1639">
        <f>(IF(ISNUMBER(SEARCH('Remplissage - Sit. Init.'!$I$113,'Remplissage - Sit. Init.'!$I$1238)),1,0))*(IF(ISNUMBER(SEARCH("Par catégorie de véhicule",$H$1590)),1,0))</f>
        <v>0</v>
      </c>
      <c r="I1639"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39" t="s">
        <v>288</v>
      </c>
      <c r="O1639">
        <f t="shared" ref="O1639" si="1805">O1638</f>
        <v>24</v>
      </c>
    </row>
    <row r="1640" spans="1:15" outlineLevel="1" x14ac:dyDescent="0.25">
      <c r="A1640" t="s">
        <v>284</v>
      </c>
      <c r="B1640">
        <f>'Remplissage - Sit. Init.'!$I$113</f>
        <v>0</v>
      </c>
      <c r="C1640" t="str">
        <f t="shared" ref="C1640" si="1806">_xlfn.CONCAT("Objectif de passage en horaire décalé "&amp;O1640)</f>
        <v>Objectif de passage en horaire décalé 25</v>
      </c>
      <c r="E1640" t="str">
        <f t="shared" ref="E1640" si="1807">_xlfn.CONCAT("LivrNuitObj",RIGHT(C1640,2))</f>
        <v>LivrNuitObj25</v>
      </c>
      <c r="F1640" t="s">
        <v>17</v>
      </c>
      <c r="G1640">
        <f>(IF(ISNUMBER(SEARCH('Remplissage - Sit. Init.'!$I$113,'Remplissage - Sit. Init.'!$I$1238)),1,0))*(IF(ISNUMBER(SEARCH("Par catégorie de véhicule",$H$1590)),1,0))</f>
        <v>0</v>
      </c>
      <c r="H1640" s="36"/>
      <c r="J1640" t="s">
        <v>70</v>
      </c>
      <c r="M1640" t="s">
        <v>288</v>
      </c>
      <c r="O1640">
        <f t="shared" ref="O1640" si="1808">O1638+1</f>
        <v>25</v>
      </c>
    </row>
    <row r="1641" spans="1:15" outlineLevel="1" x14ac:dyDescent="0.25">
      <c r="A1641" t="s">
        <v>284</v>
      </c>
      <c r="B1641">
        <f>'Remplissage - Sit. Init.'!$I$113</f>
        <v>0</v>
      </c>
      <c r="C1641" t="str">
        <f t="shared" ref="C1641" si="1809">_xlfn.CONCAT("Nouvelle catégorie de véhicule si changement "&amp;O1641)</f>
        <v>Nouvelle catégorie de véhicule si changement 25</v>
      </c>
      <c r="E1641" t="str">
        <f t="shared" ref="E1641" si="1810">_xlfn.CONCAT("LivrNuitCat",RIGHT(C1641,2))</f>
        <v>LivrNuitCat25</v>
      </c>
      <c r="F1641" t="s">
        <v>36</v>
      </c>
      <c r="G1641">
        <f>(IF(ISNUMBER(SEARCH('Remplissage - Sit. Init.'!$I$113,'Remplissage - Sit. Init.'!$I$1238)),1,0))*(IF(ISNUMBER(SEARCH("Par catégorie de véhicule",$H$1590)),1,0))</f>
        <v>0</v>
      </c>
      <c r="I1641"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41" t="s">
        <v>288</v>
      </c>
      <c r="O1641">
        <f t="shared" ref="O1641" si="1811">O1640</f>
        <v>25</v>
      </c>
    </row>
    <row r="1642" spans="1:15" outlineLevel="1" x14ac:dyDescent="0.25">
      <c r="A1642" t="s">
        <v>284</v>
      </c>
      <c r="B1642">
        <f>'Remplissage - Sit. Init.'!$I$113</f>
        <v>0</v>
      </c>
      <c r="C1642" t="str">
        <f t="shared" ref="C1642" si="1812">_xlfn.CONCAT("Objectif de passage en horaire décalé "&amp;O1642)</f>
        <v>Objectif de passage en horaire décalé 26</v>
      </c>
      <c r="E1642" t="str">
        <f t="shared" ref="E1642" si="1813">_xlfn.CONCAT("LivrNuitObj",RIGHT(C1642,2))</f>
        <v>LivrNuitObj26</v>
      </c>
      <c r="F1642" t="s">
        <v>17</v>
      </c>
      <c r="G1642">
        <f>(IF(ISNUMBER(SEARCH('Remplissage - Sit. Init.'!$I$113,'Remplissage - Sit. Init.'!$I$1238)),1,0))*(IF(ISNUMBER(SEARCH("Par catégorie de véhicule",$H$1590)),1,0))</f>
        <v>0</v>
      </c>
      <c r="H1642" s="36"/>
      <c r="J1642" t="s">
        <v>70</v>
      </c>
      <c r="M1642" t="s">
        <v>288</v>
      </c>
      <c r="O1642">
        <f t="shared" ref="O1642" si="1814">O1640+1</f>
        <v>26</v>
      </c>
    </row>
    <row r="1643" spans="1:15" outlineLevel="1" x14ac:dyDescent="0.25">
      <c r="A1643" t="s">
        <v>284</v>
      </c>
      <c r="B1643">
        <f>'Remplissage - Sit. Init.'!$I$113</f>
        <v>0</v>
      </c>
      <c r="C1643" t="str">
        <f t="shared" ref="C1643" si="1815">_xlfn.CONCAT("Nouvelle catégorie de véhicule si changement "&amp;O1643)</f>
        <v>Nouvelle catégorie de véhicule si changement 26</v>
      </c>
      <c r="E1643" t="str">
        <f t="shared" ref="E1643" si="1816">_xlfn.CONCAT("LivrNuitCat",RIGHT(C1643,2))</f>
        <v>LivrNuitCat26</v>
      </c>
      <c r="F1643" t="s">
        <v>36</v>
      </c>
      <c r="G1643">
        <f>(IF(ISNUMBER(SEARCH('Remplissage - Sit. Init.'!$I$113,'Remplissage - Sit. Init.'!$I$1238)),1,0))*(IF(ISNUMBER(SEARCH("Par catégorie de véhicule",$H$1590)),1,0))</f>
        <v>0</v>
      </c>
      <c r="I1643"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43" t="s">
        <v>288</v>
      </c>
      <c r="O1643">
        <f t="shared" ref="O1643" si="1817">O1642</f>
        <v>26</v>
      </c>
    </row>
    <row r="1644" spans="1:15" outlineLevel="1" x14ac:dyDescent="0.25">
      <c r="A1644" t="s">
        <v>284</v>
      </c>
      <c r="B1644">
        <f>'Remplissage - Sit. Init.'!$I$113</f>
        <v>0</v>
      </c>
      <c r="C1644" t="str">
        <f t="shared" ref="C1644" si="1818">_xlfn.CONCAT("Objectif de passage en horaire décalé "&amp;O1644)</f>
        <v>Objectif de passage en horaire décalé 27</v>
      </c>
      <c r="E1644" t="str">
        <f t="shared" ref="E1644" si="1819">_xlfn.CONCAT("LivrNuitObj",RIGHT(C1644,2))</f>
        <v>LivrNuitObj27</v>
      </c>
      <c r="F1644" t="s">
        <v>17</v>
      </c>
      <c r="G1644">
        <f>(IF(ISNUMBER(SEARCH('Remplissage - Sit. Init.'!$I$113,'Remplissage - Sit. Init.'!$I$1238)),1,0))*(IF(ISNUMBER(SEARCH("Par catégorie de véhicule",$H$1590)),1,0))</f>
        <v>0</v>
      </c>
      <c r="H1644" s="36"/>
      <c r="J1644" t="s">
        <v>70</v>
      </c>
      <c r="M1644" t="s">
        <v>288</v>
      </c>
      <c r="O1644">
        <f t="shared" ref="O1644" si="1820">O1642+1</f>
        <v>27</v>
      </c>
    </row>
    <row r="1645" spans="1:15" outlineLevel="1" x14ac:dyDescent="0.25">
      <c r="A1645" t="s">
        <v>284</v>
      </c>
      <c r="B1645">
        <f>'Remplissage - Sit. Init.'!$I$113</f>
        <v>0</v>
      </c>
      <c r="C1645" t="str">
        <f t="shared" ref="C1645" si="1821">_xlfn.CONCAT("Nouvelle catégorie de véhicule si changement "&amp;O1645)</f>
        <v>Nouvelle catégorie de véhicule si changement 27</v>
      </c>
      <c r="E1645" t="str">
        <f t="shared" ref="E1645" si="1822">_xlfn.CONCAT("LivrNuitCat",RIGHT(C1645,2))</f>
        <v>LivrNuitCat27</v>
      </c>
      <c r="F1645" t="s">
        <v>36</v>
      </c>
      <c r="G1645">
        <f>(IF(ISNUMBER(SEARCH('Remplissage - Sit. Init.'!$I$113,'Remplissage - Sit. Init.'!$I$1238)),1,0))*(IF(ISNUMBER(SEARCH("Par catégorie de véhicule",$H$1590)),1,0))</f>
        <v>0</v>
      </c>
      <c r="I1645"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45" t="s">
        <v>288</v>
      </c>
      <c r="O1645">
        <f t="shared" ref="O1645" si="1823">O1644</f>
        <v>27</v>
      </c>
    </row>
    <row r="1646" spans="1:15" outlineLevel="1" x14ac:dyDescent="0.25">
      <c r="A1646" t="s">
        <v>284</v>
      </c>
      <c r="B1646">
        <f>'Remplissage - Sit. Init.'!$I$113</f>
        <v>0</v>
      </c>
      <c r="C1646" t="str">
        <f t="shared" ref="C1646" si="1824">_xlfn.CONCAT("Objectif de passage en horaire décalé "&amp;O1646)</f>
        <v>Objectif de passage en horaire décalé 28</v>
      </c>
      <c r="E1646" t="str">
        <f t="shared" ref="E1646" si="1825">_xlfn.CONCAT("LivrNuitObj",RIGHT(C1646,2))</f>
        <v>LivrNuitObj28</v>
      </c>
      <c r="F1646" t="s">
        <v>17</v>
      </c>
      <c r="G1646">
        <f>(IF(ISNUMBER(SEARCH('Remplissage - Sit. Init.'!$I$113,'Remplissage - Sit. Init.'!$I$1238)),1,0))*(IF(ISNUMBER(SEARCH("Par catégorie de véhicule",$H$1590)),1,0))</f>
        <v>0</v>
      </c>
      <c r="H1646" s="36"/>
      <c r="J1646" t="s">
        <v>70</v>
      </c>
      <c r="M1646" t="s">
        <v>288</v>
      </c>
      <c r="O1646">
        <f t="shared" ref="O1646" si="1826">O1644+1</f>
        <v>28</v>
      </c>
    </row>
    <row r="1647" spans="1:15" outlineLevel="1" x14ac:dyDescent="0.25">
      <c r="A1647" t="s">
        <v>284</v>
      </c>
      <c r="B1647">
        <f>'Remplissage - Sit. Init.'!$I$113</f>
        <v>0</v>
      </c>
      <c r="C1647" t="str">
        <f t="shared" ref="C1647" si="1827">_xlfn.CONCAT("Nouvelle catégorie de véhicule si changement "&amp;O1647)</f>
        <v>Nouvelle catégorie de véhicule si changement 28</v>
      </c>
      <c r="E1647" t="str">
        <f t="shared" ref="E1647" si="1828">_xlfn.CONCAT("LivrNuitCat",RIGHT(C1647,2))</f>
        <v>LivrNuitCat28</v>
      </c>
      <c r="F1647" t="s">
        <v>36</v>
      </c>
      <c r="G1647">
        <f>(IF(ISNUMBER(SEARCH('Remplissage - Sit. Init.'!$I$113,'Remplissage - Sit. Init.'!$I$1238)),1,0))*(IF(ISNUMBER(SEARCH("Par catégorie de véhicule",$H$1590)),1,0))</f>
        <v>0</v>
      </c>
      <c r="I1647"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47" t="s">
        <v>288</v>
      </c>
      <c r="O1647">
        <f t="shared" ref="O1647" si="1829">O1646</f>
        <v>28</v>
      </c>
    </row>
    <row r="1648" spans="1:15" outlineLevel="1" x14ac:dyDescent="0.25">
      <c r="A1648" t="s">
        <v>284</v>
      </c>
      <c r="B1648">
        <f>'Remplissage - Sit. Init.'!$I$113</f>
        <v>0</v>
      </c>
      <c r="C1648" t="str">
        <f t="shared" ref="C1648" si="1830">_xlfn.CONCAT("Objectif de passage en horaire décalé "&amp;O1648)</f>
        <v>Objectif de passage en horaire décalé 29</v>
      </c>
      <c r="E1648" t="str">
        <f t="shared" ref="E1648" si="1831">_xlfn.CONCAT("LivrNuitObj",RIGHT(C1648,2))</f>
        <v>LivrNuitObj29</v>
      </c>
      <c r="F1648" t="s">
        <v>17</v>
      </c>
      <c r="G1648">
        <f>(IF(ISNUMBER(SEARCH('Remplissage - Sit. Init.'!$I$113,'Remplissage - Sit. Init.'!$I$1238)),1,0))*(IF(ISNUMBER(SEARCH("Par catégorie de véhicule",$H$1590)),1,0))</f>
        <v>0</v>
      </c>
      <c r="H1648" s="36"/>
      <c r="J1648" t="s">
        <v>70</v>
      </c>
      <c r="M1648" t="s">
        <v>288</v>
      </c>
      <c r="O1648">
        <f t="shared" ref="O1648" si="1832">O1646+1</f>
        <v>29</v>
      </c>
    </row>
    <row r="1649" spans="1:15" outlineLevel="1" x14ac:dyDescent="0.25">
      <c r="A1649" t="s">
        <v>284</v>
      </c>
      <c r="B1649">
        <f>'Remplissage - Sit. Init.'!$I$113</f>
        <v>0</v>
      </c>
      <c r="C1649" t="str">
        <f t="shared" ref="C1649" si="1833">_xlfn.CONCAT("Nouvelle catégorie de véhicule si changement "&amp;O1649)</f>
        <v>Nouvelle catégorie de véhicule si changement 29</v>
      </c>
      <c r="E1649" t="str">
        <f t="shared" ref="E1649" si="1834">_xlfn.CONCAT("LivrNuitCat",RIGHT(C1649,2))</f>
        <v>LivrNuitCat29</v>
      </c>
      <c r="F1649" t="s">
        <v>36</v>
      </c>
      <c r="G1649">
        <f>(IF(ISNUMBER(SEARCH('Remplissage - Sit. Init.'!$I$113,'Remplissage - Sit. Init.'!$I$1238)),1,0))*(IF(ISNUMBER(SEARCH("Par catégorie de véhicule",$H$1590)),1,0))</f>
        <v>0</v>
      </c>
      <c r="I1649"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49" t="s">
        <v>288</v>
      </c>
      <c r="O1649">
        <f t="shared" ref="O1649" si="1835">O1648</f>
        <v>29</v>
      </c>
    </row>
    <row r="1650" spans="1:15" outlineLevel="1" x14ac:dyDescent="0.25">
      <c r="A1650" t="s">
        <v>284</v>
      </c>
      <c r="B1650">
        <f>'Remplissage - Sit. Init.'!$I$113</f>
        <v>0</v>
      </c>
      <c r="C1650" t="str">
        <f t="shared" ref="C1650" si="1836">_xlfn.CONCAT("Objectif de passage en horaire décalé "&amp;O1650)</f>
        <v>Objectif de passage en horaire décalé 30</v>
      </c>
      <c r="E1650" t="str">
        <f t="shared" ref="E1650" si="1837">_xlfn.CONCAT("LivrNuitObj",RIGHT(C1650,2))</f>
        <v>LivrNuitObj30</v>
      </c>
      <c r="F1650" t="s">
        <v>17</v>
      </c>
      <c r="G1650">
        <f>(IF(ISNUMBER(SEARCH('Remplissage - Sit. Init.'!$I$113,'Remplissage - Sit. Init.'!$I$1238)),1,0))*(IF(ISNUMBER(SEARCH("Par catégorie de véhicule",$H$1590)),1,0))</f>
        <v>0</v>
      </c>
      <c r="H1650" s="36"/>
      <c r="J1650" t="s">
        <v>70</v>
      </c>
      <c r="M1650" t="s">
        <v>288</v>
      </c>
      <c r="O1650">
        <f t="shared" ref="O1650" si="1838">O1648+1</f>
        <v>30</v>
      </c>
    </row>
    <row r="1651" spans="1:15" outlineLevel="1" x14ac:dyDescent="0.25">
      <c r="A1651" t="s">
        <v>284</v>
      </c>
      <c r="B1651">
        <f>'Remplissage - Sit. Init.'!$I$113</f>
        <v>0</v>
      </c>
      <c r="C1651" t="str">
        <f t="shared" ref="C1651" si="1839">_xlfn.CONCAT("Nouvelle catégorie de véhicule si changement "&amp;O1651)</f>
        <v>Nouvelle catégorie de véhicule si changement 30</v>
      </c>
      <c r="E1651" t="str">
        <f t="shared" ref="E1651" si="1840">_xlfn.CONCAT("LivrNuitCat",RIGHT(C1651,2))</f>
        <v>LivrNuitCat30</v>
      </c>
      <c r="F1651" t="s">
        <v>36</v>
      </c>
      <c r="G1651">
        <f>(IF(ISNUMBER(SEARCH('Remplissage - Sit. Init.'!$I$113,'Remplissage - Sit. Init.'!$I$1238)),1,0))*(IF(ISNUMBER(SEARCH("Par catégorie de véhicule",$H$1590)),1,0))</f>
        <v>0</v>
      </c>
      <c r="I1651"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51" t="s">
        <v>288</v>
      </c>
      <c r="O1651">
        <f t="shared" ref="O1651" si="1841">O1650</f>
        <v>30</v>
      </c>
    </row>
    <row r="1652" spans="1:15" outlineLevel="1" x14ac:dyDescent="0.25">
      <c r="A1652" t="s">
        <v>284</v>
      </c>
      <c r="B1652">
        <f>'Remplissage - Sit. Init.'!$I$113</f>
        <v>0</v>
      </c>
      <c r="C1652" t="str">
        <f t="shared" ref="C1652" si="1842">_xlfn.CONCAT("Objectif de passage en horaire décalé "&amp;O1652)</f>
        <v>Objectif de passage en horaire décalé 31</v>
      </c>
      <c r="E1652" t="str">
        <f t="shared" ref="E1652" si="1843">_xlfn.CONCAT("LivrNuitObj",RIGHT(C1652,2))</f>
        <v>LivrNuitObj31</v>
      </c>
      <c r="F1652" t="s">
        <v>17</v>
      </c>
      <c r="G1652">
        <f>(IF(ISNUMBER(SEARCH('Remplissage - Sit. Init.'!$I$113,'Remplissage - Sit. Init.'!$I$1238)),1,0))*(IF(ISNUMBER(SEARCH("Par catégorie de véhicule",$H$1590)),1,0))</f>
        <v>0</v>
      </c>
      <c r="H1652" s="36"/>
      <c r="J1652" t="s">
        <v>70</v>
      </c>
      <c r="M1652" t="s">
        <v>288</v>
      </c>
      <c r="O1652">
        <f t="shared" ref="O1652" si="1844">O1650+1</f>
        <v>31</v>
      </c>
    </row>
    <row r="1653" spans="1:15" outlineLevel="1" x14ac:dyDescent="0.25">
      <c r="A1653" t="s">
        <v>284</v>
      </c>
      <c r="B1653">
        <f>'Remplissage - Sit. Init.'!$I$113</f>
        <v>0</v>
      </c>
      <c r="C1653" t="str">
        <f t="shared" ref="C1653" si="1845">_xlfn.CONCAT("Nouvelle catégorie de véhicule si changement "&amp;O1653)</f>
        <v>Nouvelle catégorie de véhicule si changement 31</v>
      </c>
      <c r="E1653" t="str">
        <f t="shared" ref="E1653" si="1846">_xlfn.CONCAT("LivrNuitCat",RIGHT(C1653,2))</f>
        <v>LivrNuitCat31</v>
      </c>
      <c r="F1653" t="s">
        <v>36</v>
      </c>
      <c r="G1653">
        <f>(IF(ISNUMBER(SEARCH('Remplissage - Sit. Init.'!$I$113,'Remplissage - Sit. Init.'!$I$1238)),1,0))*(IF(ISNUMBER(SEARCH("Par catégorie de véhicule",$H$1590)),1,0))</f>
        <v>0</v>
      </c>
      <c r="I1653"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53" t="s">
        <v>288</v>
      </c>
      <c r="O1653">
        <f t="shared" ref="O1653" si="1847">O1652</f>
        <v>31</v>
      </c>
    </row>
    <row r="1654" spans="1:15" outlineLevel="1" x14ac:dyDescent="0.25">
      <c r="A1654" t="s">
        <v>284</v>
      </c>
      <c r="B1654">
        <f>'Remplissage - Sit. Init.'!$I$113</f>
        <v>0</v>
      </c>
      <c r="C1654" t="str">
        <f t="shared" ref="C1654" si="1848">_xlfn.CONCAT("Objectif de passage en horaire décalé "&amp;O1654)</f>
        <v>Objectif de passage en horaire décalé 32</v>
      </c>
      <c r="E1654" t="str">
        <f t="shared" ref="E1654" si="1849">_xlfn.CONCAT("LivrNuitObj",RIGHT(C1654,2))</f>
        <v>LivrNuitObj32</v>
      </c>
      <c r="F1654" t="s">
        <v>17</v>
      </c>
      <c r="G1654">
        <f>(IF(ISNUMBER(SEARCH('Remplissage - Sit. Init.'!$I$113,'Remplissage - Sit. Init.'!$I$1238)),1,0))*(IF(ISNUMBER(SEARCH("Par catégorie de véhicule",$H$1590)),1,0))</f>
        <v>0</v>
      </c>
      <c r="H1654" s="36"/>
      <c r="J1654" t="s">
        <v>70</v>
      </c>
      <c r="M1654" t="s">
        <v>288</v>
      </c>
      <c r="O1654">
        <f t="shared" ref="O1654" si="1850">O1652+1</f>
        <v>32</v>
      </c>
    </row>
    <row r="1655" spans="1:15" outlineLevel="1" x14ac:dyDescent="0.25">
      <c r="A1655" t="s">
        <v>284</v>
      </c>
      <c r="B1655">
        <f>'Remplissage - Sit. Init.'!$I$113</f>
        <v>0</v>
      </c>
      <c r="C1655" t="str">
        <f t="shared" ref="C1655" si="1851">_xlfn.CONCAT("Nouvelle catégorie de véhicule si changement "&amp;O1655)</f>
        <v>Nouvelle catégorie de véhicule si changement 32</v>
      </c>
      <c r="E1655" t="str">
        <f t="shared" ref="E1655" si="1852">_xlfn.CONCAT("LivrNuitCat",RIGHT(C1655,2))</f>
        <v>LivrNuitCat32</v>
      </c>
      <c r="F1655" t="s">
        <v>36</v>
      </c>
      <c r="G1655">
        <f>(IF(ISNUMBER(SEARCH('Remplissage - Sit. Init.'!$I$113,'Remplissage - Sit. Init.'!$I$1238)),1,0))*(IF(ISNUMBER(SEARCH("Par catégorie de véhicule",$H$1590)),1,0))</f>
        <v>0</v>
      </c>
      <c r="I1655"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55" t="s">
        <v>288</v>
      </c>
      <c r="O1655">
        <f t="shared" ref="O1655" si="1853">O1654</f>
        <v>32</v>
      </c>
    </row>
    <row r="1656" spans="1:15" outlineLevel="1" x14ac:dyDescent="0.25">
      <c r="A1656" t="s">
        <v>284</v>
      </c>
      <c r="B1656">
        <f>'Remplissage - Sit. Init.'!$I$113</f>
        <v>0</v>
      </c>
      <c r="C1656" t="str">
        <f t="shared" ref="C1656" si="1854">_xlfn.CONCAT("Objectif de passage en horaire décalé "&amp;O1656)</f>
        <v>Objectif de passage en horaire décalé 33</v>
      </c>
      <c r="E1656" t="str">
        <f t="shared" ref="E1656" si="1855">_xlfn.CONCAT("LivrNuitObj",RIGHT(C1656,2))</f>
        <v>LivrNuitObj33</v>
      </c>
      <c r="F1656" t="s">
        <v>17</v>
      </c>
      <c r="G1656">
        <f>(IF(ISNUMBER(SEARCH('Remplissage - Sit. Init.'!$I$113,'Remplissage - Sit. Init.'!$I$1238)),1,0))*(IF(ISNUMBER(SEARCH("Par catégorie de véhicule",$H$1590)),1,0))</f>
        <v>0</v>
      </c>
      <c r="H1656" s="36"/>
      <c r="J1656" t="s">
        <v>70</v>
      </c>
      <c r="M1656" t="s">
        <v>288</v>
      </c>
      <c r="O1656">
        <f t="shared" ref="O1656" si="1856">O1654+1</f>
        <v>33</v>
      </c>
    </row>
    <row r="1657" spans="1:15" outlineLevel="1" x14ac:dyDescent="0.25">
      <c r="A1657" t="s">
        <v>284</v>
      </c>
      <c r="B1657">
        <f>'Remplissage - Sit. Init.'!$I$113</f>
        <v>0</v>
      </c>
      <c r="C1657" t="str">
        <f t="shared" ref="C1657" si="1857">_xlfn.CONCAT("Nouvelle catégorie de véhicule si changement "&amp;O1657)</f>
        <v>Nouvelle catégorie de véhicule si changement 33</v>
      </c>
      <c r="E1657" t="str">
        <f t="shared" ref="E1657" si="1858">_xlfn.CONCAT("LivrNuitCat",RIGHT(C1657,2))</f>
        <v>LivrNuitCat33</v>
      </c>
      <c r="F1657" t="s">
        <v>36</v>
      </c>
      <c r="G1657">
        <f>(IF(ISNUMBER(SEARCH('Remplissage - Sit. Init.'!$I$113,'Remplissage - Sit. Init.'!$I$1238)),1,0))*(IF(ISNUMBER(SEARCH("Par catégorie de véhicule",$H$1590)),1,0))</f>
        <v>0</v>
      </c>
      <c r="I1657"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57" t="s">
        <v>288</v>
      </c>
      <c r="O1657">
        <f t="shared" ref="O1657" si="1859">O1656</f>
        <v>33</v>
      </c>
    </row>
    <row r="1658" spans="1:15" outlineLevel="1" x14ac:dyDescent="0.25">
      <c r="A1658" t="s">
        <v>284</v>
      </c>
      <c r="B1658">
        <f>'Remplissage - Sit. Init.'!$I$113</f>
        <v>0</v>
      </c>
      <c r="C1658" t="str">
        <f t="shared" ref="C1658" si="1860">_xlfn.CONCAT("Objectif de passage en horaire décalé "&amp;O1658)</f>
        <v>Objectif de passage en horaire décalé 34</v>
      </c>
      <c r="E1658" t="str">
        <f t="shared" ref="E1658" si="1861">_xlfn.CONCAT("LivrNuitObj",RIGHT(C1658,2))</f>
        <v>LivrNuitObj34</v>
      </c>
      <c r="F1658" t="s">
        <v>17</v>
      </c>
      <c r="G1658">
        <f>(IF(ISNUMBER(SEARCH('Remplissage - Sit. Init.'!$I$113,'Remplissage - Sit. Init.'!$I$1238)),1,0))*(IF(ISNUMBER(SEARCH("Par catégorie de véhicule",$H$1590)),1,0))</f>
        <v>0</v>
      </c>
      <c r="H1658" s="36"/>
      <c r="J1658" t="s">
        <v>70</v>
      </c>
      <c r="M1658" t="s">
        <v>288</v>
      </c>
      <c r="O1658">
        <f t="shared" ref="O1658" si="1862">O1656+1</f>
        <v>34</v>
      </c>
    </row>
    <row r="1659" spans="1:15" outlineLevel="1" x14ac:dyDescent="0.25">
      <c r="A1659" t="s">
        <v>284</v>
      </c>
      <c r="B1659">
        <f>'Remplissage - Sit. Init.'!$I$113</f>
        <v>0</v>
      </c>
      <c r="C1659" t="str">
        <f t="shared" ref="C1659" si="1863">_xlfn.CONCAT("Nouvelle catégorie de véhicule si changement "&amp;O1659)</f>
        <v>Nouvelle catégorie de véhicule si changement 34</v>
      </c>
      <c r="E1659" t="str">
        <f t="shared" ref="E1659" si="1864">_xlfn.CONCAT("LivrNuitCat",RIGHT(C1659,2))</f>
        <v>LivrNuitCat34</v>
      </c>
      <c r="F1659" t="s">
        <v>36</v>
      </c>
      <c r="G1659">
        <f>(IF(ISNUMBER(SEARCH('Remplissage - Sit. Init.'!$I$113,'Remplissage - Sit. Init.'!$I$1238)),1,0))*(IF(ISNUMBER(SEARCH("Par catégorie de véhicule",$H$1590)),1,0))</f>
        <v>0</v>
      </c>
      <c r="I1659"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59" t="s">
        <v>288</v>
      </c>
      <c r="O1659">
        <f t="shared" ref="O1659" si="1865">O1658</f>
        <v>34</v>
      </c>
    </row>
    <row r="1660" spans="1:15" outlineLevel="1" x14ac:dyDescent="0.25">
      <c r="A1660" t="s">
        <v>284</v>
      </c>
      <c r="B1660">
        <f>'Remplissage - Sit. Init.'!$I$113</f>
        <v>0</v>
      </c>
      <c r="C1660" t="str">
        <f t="shared" ref="C1660" si="1866">_xlfn.CONCAT("Objectif de passage en horaire décalé "&amp;O1660)</f>
        <v>Objectif de passage en horaire décalé 35</v>
      </c>
      <c r="E1660" t="str">
        <f t="shared" ref="E1660" si="1867">_xlfn.CONCAT("LivrNuitObj",RIGHT(C1660,2))</f>
        <v>LivrNuitObj35</v>
      </c>
      <c r="F1660" t="s">
        <v>17</v>
      </c>
      <c r="G1660">
        <f>(IF(ISNUMBER(SEARCH('Remplissage - Sit. Init.'!$I$113,'Remplissage - Sit. Init.'!$I$1238)),1,0))*(IF(ISNUMBER(SEARCH("Par catégorie de véhicule",$H$1590)),1,0))</f>
        <v>0</v>
      </c>
      <c r="H1660" s="36"/>
      <c r="J1660" t="s">
        <v>70</v>
      </c>
      <c r="M1660" t="s">
        <v>288</v>
      </c>
      <c r="O1660">
        <f t="shared" ref="O1660" si="1868">O1658+1</f>
        <v>35</v>
      </c>
    </row>
    <row r="1661" spans="1:15" outlineLevel="1" x14ac:dyDescent="0.25">
      <c r="A1661" t="s">
        <v>284</v>
      </c>
      <c r="B1661">
        <f>'Remplissage - Sit. Init.'!$I$113</f>
        <v>0</v>
      </c>
      <c r="C1661" t="str">
        <f t="shared" ref="C1661" si="1869">_xlfn.CONCAT("Nouvelle catégorie de véhicule si changement "&amp;O1661)</f>
        <v>Nouvelle catégorie de véhicule si changement 35</v>
      </c>
      <c r="E1661" t="str">
        <f t="shared" ref="E1661" si="1870">_xlfn.CONCAT("LivrNuitCat",RIGHT(C1661,2))</f>
        <v>LivrNuitCat35</v>
      </c>
      <c r="F1661" t="s">
        <v>36</v>
      </c>
      <c r="G1661">
        <f>(IF(ISNUMBER(SEARCH('Remplissage - Sit. Init.'!$I$113,'Remplissage - Sit. Init.'!$I$1238)),1,0))*(IF(ISNUMBER(SEARCH("Par catégorie de véhicule",$H$1590)),1,0))</f>
        <v>0</v>
      </c>
      <c r="I1661"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61" t="s">
        <v>288</v>
      </c>
      <c r="O1661">
        <f t="shared" ref="O1661" si="1871">O1660</f>
        <v>35</v>
      </c>
    </row>
    <row r="1662" spans="1:15" outlineLevel="1" x14ac:dyDescent="0.25">
      <c r="A1662" t="s">
        <v>284</v>
      </c>
      <c r="B1662">
        <f>'Remplissage - Sit. Init.'!$I$113</f>
        <v>0</v>
      </c>
      <c r="C1662" t="str">
        <f t="shared" ref="C1662" si="1872">_xlfn.CONCAT("Objectif de passage en horaire décalé "&amp;O1662)</f>
        <v>Objectif de passage en horaire décalé 36</v>
      </c>
      <c r="E1662" t="str">
        <f t="shared" ref="E1662" si="1873">_xlfn.CONCAT("LivrNuitObj",RIGHT(C1662,2))</f>
        <v>LivrNuitObj36</v>
      </c>
      <c r="F1662" t="s">
        <v>17</v>
      </c>
      <c r="G1662">
        <f>(IF(ISNUMBER(SEARCH('Remplissage - Sit. Init.'!$I$113,'Remplissage - Sit. Init.'!$I$1238)),1,0))*(IF(ISNUMBER(SEARCH("Par catégorie de véhicule",$H$1590)),1,0))</f>
        <v>0</v>
      </c>
      <c r="H1662" s="36"/>
      <c r="J1662" t="s">
        <v>70</v>
      </c>
      <c r="M1662" t="s">
        <v>288</v>
      </c>
      <c r="O1662">
        <f t="shared" ref="O1662" si="1874">O1660+1</f>
        <v>36</v>
      </c>
    </row>
    <row r="1663" spans="1:15" outlineLevel="1" x14ac:dyDescent="0.25">
      <c r="A1663" t="s">
        <v>284</v>
      </c>
      <c r="B1663">
        <f>'Remplissage - Sit. Init.'!$I$113</f>
        <v>0</v>
      </c>
      <c r="C1663" t="str">
        <f t="shared" ref="C1663" si="1875">_xlfn.CONCAT("Nouvelle catégorie de véhicule si changement "&amp;O1663)</f>
        <v>Nouvelle catégorie de véhicule si changement 36</v>
      </c>
      <c r="E1663" t="str">
        <f t="shared" ref="E1663" si="1876">_xlfn.CONCAT("LivrNuitCat",RIGHT(C1663,2))</f>
        <v>LivrNuitCat36</v>
      </c>
      <c r="F1663" t="s">
        <v>36</v>
      </c>
      <c r="G1663">
        <f>(IF(ISNUMBER(SEARCH('Remplissage - Sit. Init.'!$I$113,'Remplissage - Sit. Init.'!$I$1238)),1,0))*(IF(ISNUMBER(SEARCH("Par catégorie de véhicule",$H$1590)),1,0))</f>
        <v>0</v>
      </c>
      <c r="I1663"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63" t="s">
        <v>288</v>
      </c>
      <c r="O1663">
        <f t="shared" ref="O1663" si="1877">O1662</f>
        <v>36</v>
      </c>
    </row>
    <row r="1664" spans="1:15" outlineLevel="1" x14ac:dyDescent="0.25">
      <c r="A1664" t="s">
        <v>284</v>
      </c>
      <c r="B1664">
        <f>'Remplissage - Sit. Init.'!$I$113</f>
        <v>0</v>
      </c>
      <c r="C1664" t="str">
        <f t="shared" ref="C1664" si="1878">_xlfn.CONCAT("Objectif de passage en horaire décalé "&amp;O1664)</f>
        <v>Objectif de passage en horaire décalé 37</v>
      </c>
      <c r="E1664" t="str">
        <f t="shared" ref="E1664" si="1879">_xlfn.CONCAT("LivrNuitObj",RIGHT(C1664,2))</f>
        <v>LivrNuitObj37</v>
      </c>
      <c r="F1664" t="s">
        <v>17</v>
      </c>
      <c r="G1664">
        <f>(IF(ISNUMBER(SEARCH('Remplissage - Sit. Init.'!$I$113,'Remplissage - Sit. Init.'!$I$1238)),1,0))*(IF(ISNUMBER(SEARCH("Par catégorie de véhicule",$H$1590)),1,0))</f>
        <v>0</v>
      </c>
      <c r="H1664" s="36"/>
      <c r="J1664" t="s">
        <v>70</v>
      </c>
      <c r="M1664" t="s">
        <v>288</v>
      </c>
      <c r="O1664">
        <f t="shared" ref="O1664" si="1880">O1662+1</f>
        <v>37</v>
      </c>
    </row>
    <row r="1665" spans="1:15" outlineLevel="1" x14ac:dyDescent="0.25">
      <c r="A1665" t="s">
        <v>284</v>
      </c>
      <c r="B1665">
        <f>'Remplissage - Sit. Init.'!$I$113</f>
        <v>0</v>
      </c>
      <c r="C1665" t="str">
        <f t="shared" ref="C1665" si="1881">_xlfn.CONCAT("Nouvelle catégorie de véhicule si changement "&amp;O1665)</f>
        <v>Nouvelle catégorie de véhicule si changement 37</v>
      </c>
      <c r="E1665" t="str">
        <f t="shared" ref="E1665" si="1882">_xlfn.CONCAT("LivrNuitCat",RIGHT(C1665,2))</f>
        <v>LivrNuitCat37</v>
      </c>
      <c r="F1665" t="s">
        <v>36</v>
      </c>
      <c r="G1665">
        <f>(IF(ISNUMBER(SEARCH('Remplissage - Sit. Init.'!$I$113,'Remplissage - Sit. Init.'!$I$1238)),1,0))*(IF(ISNUMBER(SEARCH("Par catégorie de véhicule",$H$1590)),1,0))</f>
        <v>0</v>
      </c>
      <c r="I1665"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65" t="s">
        <v>288</v>
      </c>
      <c r="O1665">
        <f t="shared" ref="O1665" si="1883">O1664</f>
        <v>37</v>
      </c>
    </row>
    <row r="1666" spans="1:15" outlineLevel="1" x14ac:dyDescent="0.25">
      <c r="A1666" t="s">
        <v>284</v>
      </c>
      <c r="B1666">
        <f>'Remplissage - Sit. Init.'!$I$113</f>
        <v>0</v>
      </c>
      <c r="C1666" t="str">
        <f t="shared" ref="C1666" si="1884">_xlfn.CONCAT("Objectif de passage en horaire décalé "&amp;O1666)</f>
        <v>Objectif de passage en horaire décalé 38</v>
      </c>
      <c r="E1666" t="str">
        <f t="shared" ref="E1666" si="1885">_xlfn.CONCAT("LivrNuitObj",RIGHT(C1666,2))</f>
        <v>LivrNuitObj38</v>
      </c>
      <c r="F1666" t="s">
        <v>17</v>
      </c>
      <c r="G1666">
        <f>(IF(ISNUMBER(SEARCH('Remplissage - Sit. Init.'!$I$113,'Remplissage - Sit. Init.'!$I$1238)),1,0))*(IF(ISNUMBER(SEARCH("Par catégorie de véhicule",$H$1590)),1,0))</f>
        <v>0</v>
      </c>
      <c r="H1666" s="36"/>
      <c r="J1666" t="s">
        <v>70</v>
      </c>
      <c r="M1666" t="s">
        <v>288</v>
      </c>
      <c r="O1666">
        <f t="shared" ref="O1666" si="1886">O1664+1</f>
        <v>38</v>
      </c>
    </row>
    <row r="1667" spans="1:15" outlineLevel="1" x14ac:dyDescent="0.25">
      <c r="A1667" t="s">
        <v>284</v>
      </c>
      <c r="B1667">
        <f>'Remplissage - Sit. Init.'!$I$113</f>
        <v>0</v>
      </c>
      <c r="C1667" t="str">
        <f t="shared" ref="C1667" si="1887">_xlfn.CONCAT("Nouvelle catégorie de véhicule si changement "&amp;O1667)</f>
        <v>Nouvelle catégorie de véhicule si changement 38</v>
      </c>
      <c r="E1667" t="str">
        <f t="shared" ref="E1667" si="1888">_xlfn.CONCAT("LivrNuitCat",RIGHT(C1667,2))</f>
        <v>LivrNuitCat38</v>
      </c>
      <c r="F1667" t="s">
        <v>36</v>
      </c>
      <c r="G1667">
        <f>(IF(ISNUMBER(SEARCH('Remplissage - Sit. Init.'!$I$113,'Remplissage - Sit. Init.'!$I$1238)),1,0))*(IF(ISNUMBER(SEARCH("Par catégorie de véhicule",$H$1590)),1,0))</f>
        <v>0</v>
      </c>
      <c r="I1667"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67" t="s">
        <v>288</v>
      </c>
      <c r="O1667">
        <f t="shared" ref="O1667" si="1889">O1666</f>
        <v>38</v>
      </c>
    </row>
    <row r="1668" spans="1:15" outlineLevel="1" x14ac:dyDescent="0.25">
      <c r="A1668" t="s">
        <v>284</v>
      </c>
      <c r="B1668">
        <f>'Remplissage - Sit. Init.'!$I$113</f>
        <v>0</v>
      </c>
      <c r="C1668" t="str">
        <f t="shared" ref="C1668" si="1890">_xlfn.CONCAT("Objectif de passage en horaire décalé "&amp;O1668)</f>
        <v>Objectif de passage en horaire décalé 39</v>
      </c>
      <c r="E1668" t="str">
        <f t="shared" ref="E1668" si="1891">_xlfn.CONCAT("LivrNuitObj",RIGHT(C1668,2))</f>
        <v>LivrNuitObj39</v>
      </c>
      <c r="F1668" t="s">
        <v>17</v>
      </c>
      <c r="G1668">
        <f>(IF(ISNUMBER(SEARCH('Remplissage - Sit. Init.'!$I$113,'Remplissage - Sit. Init.'!$I$1238)),1,0))*(IF(ISNUMBER(SEARCH("Par catégorie de véhicule",$H$1590)),1,0))</f>
        <v>0</v>
      </c>
      <c r="H1668" s="36"/>
      <c r="J1668" t="s">
        <v>70</v>
      </c>
      <c r="M1668" t="s">
        <v>288</v>
      </c>
      <c r="O1668">
        <f t="shared" ref="O1668" si="1892">O1666+1</f>
        <v>39</v>
      </c>
    </row>
    <row r="1669" spans="1:15" outlineLevel="1" x14ac:dyDescent="0.25">
      <c r="A1669" t="s">
        <v>284</v>
      </c>
      <c r="B1669">
        <f>'Remplissage - Sit. Init.'!$I$113</f>
        <v>0</v>
      </c>
      <c r="C1669" t="str">
        <f t="shared" ref="C1669" si="1893">_xlfn.CONCAT("Nouvelle catégorie de véhicule si changement "&amp;O1669)</f>
        <v>Nouvelle catégorie de véhicule si changement 39</v>
      </c>
      <c r="E1669" t="str">
        <f t="shared" ref="E1669" si="1894">_xlfn.CONCAT("LivrNuitCat",RIGHT(C1669,2))</f>
        <v>LivrNuitCat39</v>
      </c>
      <c r="F1669" t="s">
        <v>36</v>
      </c>
      <c r="G1669">
        <f>(IF(ISNUMBER(SEARCH('Remplissage - Sit. Init.'!$I$113,'Remplissage - Sit. Init.'!$I$1238)),1,0))*(IF(ISNUMBER(SEARCH("Par catégorie de véhicule",$H$1590)),1,0))</f>
        <v>0</v>
      </c>
      <c r="I1669"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69" t="s">
        <v>288</v>
      </c>
      <c r="O1669">
        <f t="shared" ref="O1669" si="1895">O1668</f>
        <v>39</v>
      </c>
    </row>
    <row r="1670" spans="1:15" outlineLevel="1" x14ac:dyDescent="0.25">
      <c r="A1670" t="s">
        <v>284</v>
      </c>
      <c r="B1670">
        <f>'Remplissage - Sit. Init.'!$I$113</f>
        <v>0</v>
      </c>
      <c r="C1670" t="str">
        <f t="shared" ref="C1670" si="1896">_xlfn.CONCAT("Objectif de passage en horaire décalé "&amp;O1670)</f>
        <v>Objectif de passage en horaire décalé 40</v>
      </c>
      <c r="E1670" t="str">
        <f t="shared" ref="E1670" si="1897">_xlfn.CONCAT("LivrNuitObj",RIGHT(C1670,2))</f>
        <v>LivrNuitObj40</v>
      </c>
      <c r="F1670" t="s">
        <v>17</v>
      </c>
      <c r="G1670">
        <f>(IF(ISNUMBER(SEARCH('Remplissage - Sit. Init.'!$I$113,'Remplissage - Sit. Init.'!$I$1238)),1,0))*(IF(ISNUMBER(SEARCH("Par catégorie de véhicule",$H$1590)),1,0))</f>
        <v>0</v>
      </c>
      <c r="H1670" s="36"/>
      <c r="J1670" t="s">
        <v>70</v>
      </c>
      <c r="M1670" t="s">
        <v>288</v>
      </c>
      <c r="O1670">
        <f t="shared" ref="O1670" si="1898">O1668+1</f>
        <v>40</v>
      </c>
    </row>
    <row r="1671" spans="1:15" outlineLevel="1" x14ac:dyDescent="0.25">
      <c r="A1671" t="s">
        <v>284</v>
      </c>
      <c r="B1671">
        <f>'Remplissage - Sit. Init.'!$I$113</f>
        <v>0</v>
      </c>
      <c r="C1671" t="str">
        <f t="shared" ref="C1671" si="1899">_xlfn.CONCAT("Nouvelle catégorie de véhicule si changement "&amp;O1671)</f>
        <v>Nouvelle catégorie de véhicule si changement 40</v>
      </c>
      <c r="E1671" t="str">
        <f t="shared" ref="E1671" si="1900">_xlfn.CONCAT("LivrNuitCat",RIGHT(C1671,2))</f>
        <v>LivrNuitCat40</v>
      </c>
      <c r="F1671" t="s">
        <v>36</v>
      </c>
      <c r="G1671">
        <f>(IF(ISNUMBER(SEARCH('Remplissage - Sit. Init.'!$I$113,'Remplissage - Sit. Init.'!$I$1238)),1,0))*(IF(ISNUMBER(SEARCH("Par catégorie de véhicule",$H$1590)),1,0))</f>
        <v>0</v>
      </c>
      <c r="I1671"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71" t="s">
        <v>288</v>
      </c>
      <c r="O1671">
        <f t="shared" ref="O1671" si="1901">O1670</f>
        <v>40</v>
      </c>
    </row>
    <row r="1672" spans="1:15" outlineLevel="1" x14ac:dyDescent="0.25">
      <c r="A1672" t="s">
        <v>284</v>
      </c>
      <c r="B1672">
        <f>'Remplissage - Sit. Init.'!$I$113</f>
        <v>0</v>
      </c>
      <c r="C1672" t="str">
        <f t="shared" ref="C1672" si="1902">_xlfn.CONCAT("Objectif de passage en horaire décalé "&amp;O1672)</f>
        <v>Objectif de passage en horaire décalé 41</v>
      </c>
      <c r="E1672" t="str">
        <f t="shared" ref="E1672" si="1903">_xlfn.CONCAT("LivrNuitObj",RIGHT(C1672,2))</f>
        <v>LivrNuitObj41</v>
      </c>
      <c r="F1672" t="s">
        <v>17</v>
      </c>
      <c r="G1672">
        <f>(IF(ISNUMBER(SEARCH('Remplissage - Sit. Init.'!$I$113,'Remplissage - Sit. Init.'!$I$1238)),1,0))*(IF(ISNUMBER(SEARCH("Par catégorie de véhicule",$H$1590)),1,0))</f>
        <v>0</v>
      </c>
      <c r="H1672" s="36"/>
      <c r="J1672" t="s">
        <v>70</v>
      </c>
      <c r="M1672" t="s">
        <v>288</v>
      </c>
      <c r="O1672">
        <f t="shared" ref="O1672" si="1904">O1670+1</f>
        <v>41</v>
      </c>
    </row>
    <row r="1673" spans="1:15" outlineLevel="1" x14ac:dyDescent="0.25">
      <c r="A1673" t="s">
        <v>284</v>
      </c>
      <c r="B1673">
        <f>'Remplissage - Sit. Init.'!$I$113</f>
        <v>0</v>
      </c>
      <c r="C1673" t="str">
        <f t="shared" ref="C1673" si="1905">_xlfn.CONCAT("Nouvelle catégorie de véhicule si changement "&amp;O1673)</f>
        <v>Nouvelle catégorie de véhicule si changement 41</v>
      </c>
      <c r="E1673" t="str">
        <f t="shared" ref="E1673" si="1906">_xlfn.CONCAT("LivrNuitCat",RIGHT(C1673,2))</f>
        <v>LivrNuitCat41</v>
      </c>
      <c r="F1673" t="s">
        <v>36</v>
      </c>
      <c r="G1673">
        <f>(IF(ISNUMBER(SEARCH('Remplissage - Sit. Init.'!$I$113,'Remplissage - Sit. Init.'!$I$1238)),1,0))*(IF(ISNUMBER(SEARCH("Par catégorie de véhicule",$H$1590)),1,0))</f>
        <v>0</v>
      </c>
      <c r="I1673"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73" t="s">
        <v>288</v>
      </c>
      <c r="O1673">
        <f t="shared" ref="O1673" si="1907">O1672</f>
        <v>41</v>
      </c>
    </row>
    <row r="1674" spans="1:15" outlineLevel="1" x14ac:dyDescent="0.25">
      <c r="A1674" t="s">
        <v>284</v>
      </c>
      <c r="B1674">
        <f>'Remplissage - Sit. Init.'!$I$113</f>
        <v>0</v>
      </c>
      <c r="C1674" t="str">
        <f t="shared" ref="C1674" si="1908">_xlfn.CONCAT("Objectif de passage en horaire décalé "&amp;O1674)</f>
        <v>Objectif de passage en horaire décalé 42</v>
      </c>
      <c r="E1674" t="str">
        <f t="shared" ref="E1674" si="1909">_xlfn.CONCAT("LivrNuitObj",RIGHT(C1674,2))</f>
        <v>LivrNuitObj42</v>
      </c>
      <c r="F1674" t="s">
        <v>17</v>
      </c>
      <c r="G1674">
        <f>(IF(ISNUMBER(SEARCH('Remplissage - Sit. Init.'!$I$113,'Remplissage - Sit. Init.'!$I$1238)),1,0))*(IF(ISNUMBER(SEARCH("Par catégorie de véhicule",$H$1590)),1,0))</f>
        <v>0</v>
      </c>
      <c r="H1674" s="36"/>
      <c r="J1674" t="s">
        <v>70</v>
      </c>
      <c r="M1674" t="s">
        <v>288</v>
      </c>
      <c r="O1674">
        <f t="shared" ref="O1674" si="1910">O1672+1</f>
        <v>42</v>
      </c>
    </row>
    <row r="1675" spans="1:15" outlineLevel="1" x14ac:dyDescent="0.25">
      <c r="A1675" t="s">
        <v>284</v>
      </c>
      <c r="B1675">
        <f>'Remplissage - Sit. Init.'!$I$113</f>
        <v>0</v>
      </c>
      <c r="C1675" t="str">
        <f t="shared" ref="C1675" si="1911">_xlfn.CONCAT("Nouvelle catégorie de véhicule si changement "&amp;O1675)</f>
        <v>Nouvelle catégorie de véhicule si changement 42</v>
      </c>
      <c r="E1675" t="str">
        <f t="shared" ref="E1675" si="1912">_xlfn.CONCAT("LivrNuitCat",RIGHT(C1675,2))</f>
        <v>LivrNuitCat42</v>
      </c>
      <c r="F1675" t="s">
        <v>36</v>
      </c>
      <c r="G1675">
        <f>(IF(ISNUMBER(SEARCH('Remplissage - Sit. Init.'!$I$113,'Remplissage - Sit. Init.'!$I$1238)),1,0))*(IF(ISNUMBER(SEARCH("Par catégorie de véhicule",$H$1590)),1,0))</f>
        <v>0</v>
      </c>
      <c r="I1675"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75" t="s">
        <v>288</v>
      </c>
      <c r="O1675">
        <f t="shared" ref="O1675" si="1913">O1674</f>
        <v>42</v>
      </c>
    </row>
    <row r="1676" spans="1:15" outlineLevel="1" x14ac:dyDescent="0.25">
      <c r="A1676" t="s">
        <v>284</v>
      </c>
      <c r="B1676">
        <f>'Remplissage - Sit. Init.'!$I$113</f>
        <v>0</v>
      </c>
      <c r="C1676" t="str">
        <f t="shared" ref="C1676" si="1914">_xlfn.CONCAT("Objectif de passage en horaire décalé "&amp;O1676)</f>
        <v>Objectif de passage en horaire décalé 43</v>
      </c>
      <c r="E1676" t="str">
        <f t="shared" ref="E1676" si="1915">_xlfn.CONCAT("LivrNuitObj",RIGHT(C1676,2))</f>
        <v>LivrNuitObj43</v>
      </c>
      <c r="F1676" t="s">
        <v>17</v>
      </c>
      <c r="G1676">
        <f>(IF(ISNUMBER(SEARCH('Remplissage - Sit. Init.'!$I$113,'Remplissage - Sit. Init.'!$I$1238)),1,0))*(IF(ISNUMBER(SEARCH("Par catégorie de véhicule",$H$1590)),1,0))</f>
        <v>0</v>
      </c>
      <c r="H1676" s="36"/>
      <c r="J1676" t="s">
        <v>70</v>
      </c>
      <c r="M1676" t="s">
        <v>288</v>
      </c>
      <c r="O1676">
        <f t="shared" ref="O1676" si="1916">O1674+1</f>
        <v>43</v>
      </c>
    </row>
    <row r="1677" spans="1:15" outlineLevel="1" x14ac:dyDescent="0.25">
      <c r="A1677" t="s">
        <v>284</v>
      </c>
      <c r="B1677">
        <f>'Remplissage - Sit. Init.'!$I$113</f>
        <v>0</v>
      </c>
      <c r="C1677" t="str">
        <f t="shared" ref="C1677" si="1917">_xlfn.CONCAT("Nouvelle catégorie de véhicule si changement "&amp;O1677)</f>
        <v>Nouvelle catégorie de véhicule si changement 43</v>
      </c>
      <c r="E1677" t="str">
        <f t="shared" ref="E1677" si="1918">_xlfn.CONCAT("LivrNuitCat",RIGHT(C1677,2))</f>
        <v>LivrNuitCat43</v>
      </c>
      <c r="F1677" t="s">
        <v>36</v>
      </c>
      <c r="G1677">
        <f>(IF(ISNUMBER(SEARCH('Remplissage - Sit. Init.'!$I$113,'Remplissage - Sit. Init.'!$I$1238)),1,0))*(IF(ISNUMBER(SEARCH("Par catégorie de véhicule",$H$1590)),1,0))</f>
        <v>0</v>
      </c>
      <c r="I1677"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77" t="s">
        <v>288</v>
      </c>
      <c r="O1677">
        <f t="shared" ref="O1677" si="1919">O1676</f>
        <v>43</v>
      </c>
    </row>
    <row r="1678" spans="1:15" outlineLevel="1" x14ac:dyDescent="0.25">
      <c r="A1678" t="s">
        <v>284</v>
      </c>
      <c r="B1678">
        <f>'Remplissage - Sit. Init.'!$I$113</f>
        <v>0</v>
      </c>
      <c r="C1678" t="str">
        <f t="shared" ref="C1678" si="1920">_xlfn.CONCAT("Objectif de passage en horaire décalé "&amp;O1678)</f>
        <v>Objectif de passage en horaire décalé 44</v>
      </c>
      <c r="E1678" t="str">
        <f t="shared" ref="E1678" si="1921">_xlfn.CONCAT("LivrNuitObj",RIGHT(C1678,2))</f>
        <v>LivrNuitObj44</v>
      </c>
      <c r="F1678" t="s">
        <v>17</v>
      </c>
      <c r="G1678">
        <f>(IF(ISNUMBER(SEARCH('Remplissage - Sit. Init.'!$I$113,'Remplissage - Sit. Init.'!$I$1238)),1,0))*(IF(ISNUMBER(SEARCH("Par catégorie de véhicule",$H$1590)),1,0))</f>
        <v>0</v>
      </c>
      <c r="H1678" s="36"/>
      <c r="J1678" t="s">
        <v>70</v>
      </c>
      <c r="M1678" t="s">
        <v>288</v>
      </c>
      <c r="O1678">
        <f t="shared" ref="O1678" si="1922">O1676+1</f>
        <v>44</v>
      </c>
    </row>
    <row r="1679" spans="1:15" outlineLevel="1" x14ac:dyDescent="0.25">
      <c r="A1679" t="s">
        <v>284</v>
      </c>
      <c r="B1679">
        <f>'Remplissage - Sit. Init.'!$I$113</f>
        <v>0</v>
      </c>
      <c r="C1679" t="str">
        <f t="shared" ref="C1679" si="1923">_xlfn.CONCAT("Nouvelle catégorie de véhicule si changement "&amp;O1679)</f>
        <v>Nouvelle catégorie de véhicule si changement 44</v>
      </c>
      <c r="E1679" t="str">
        <f t="shared" ref="E1679" si="1924">_xlfn.CONCAT("LivrNuitCat",RIGHT(C1679,2))</f>
        <v>LivrNuitCat44</v>
      </c>
      <c r="F1679" t="s">
        <v>36</v>
      </c>
      <c r="G1679">
        <f>(IF(ISNUMBER(SEARCH('Remplissage - Sit. Init.'!$I$113,'Remplissage - Sit. Init.'!$I$1238)),1,0))*(IF(ISNUMBER(SEARCH("Par catégorie de véhicule",$H$1590)),1,0))</f>
        <v>0</v>
      </c>
      <c r="I1679"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79" t="s">
        <v>288</v>
      </c>
      <c r="O1679">
        <f t="shared" ref="O1679" si="1925">O1678</f>
        <v>44</v>
      </c>
    </row>
    <row r="1680" spans="1:15" outlineLevel="1" x14ac:dyDescent="0.25">
      <c r="A1680" t="s">
        <v>284</v>
      </c>
      <c r="B1680">
        <f>'Remplissage - Sit. Init.'!$I$113</f>
        <v>0</v>
      </c>
      <c r="C1680" t="str">
        <f t="shared" ref="C1680" si="1926">_xlfn.CONCAT("Objectif de passage en horaire décalé "&amp;O1680)</f>
        <v>Objectif de passage en horaire décalé 45</v>
      </c>
      <c r="E1680" t="str">
        <f t="shared" ref="E1680" si="1927">_xlfn.CONCAT("LivrNuitObj",RIGHT(C1680,2))</f>
        <v>LivrNuitObj45</v>
      </c>
      <c r="F1680" t="s">
        <v>17</v>
      </c>
      <c r="G1680">
        <f>(IF(ISNUMBER(SEARCH('Remplissage - Sit. Init.'!$I$113,'Remplissage - Sit. Init.'!$I$1238)),1,0))*(IF(ISNUMBER(SEARCH("Par catégorie de véhicule",$H$1590)),1,0))</f>
        <v>0</v>
      </c>
      <c r="H1680" s="36"/>
      <c r="J1680" t="s">
        <v>70</v>
      </c>
      <c r="M1680" t="s">
        <v>288</v>
      </c>
      <c r="O1680">
        <f t="shared" ref="O1680" si="1928">O1678+1</f>
        <v>45</v>
      </c>
    </row>
    <row r="1681" spans="1:15" outlineLevel="1" x14ac:dyDescent="0.25">
      <c r="A1681" t="s">
        <v>284</v>
      </c>
      <c r="B1681">
        <f>'Remplissage - Sit. Init.'!$I$113</f>
        <v>0</v>
      </c>
      <c r="C1681" t="str">
        <f t="shared" ref="C1681" si="1929">_xlfn.CONCAT("Nouvelle catégorie de véhicule si changement "&amp;O1681)</f>
        <v>Nouvelle catégorie de véhicule si changement 45</v>
      </c>
      <c r="E1681" t="str">
        <f t="shared" ref="E1681" si="1930">_xlfn.CONCAT("LivrNuitCat",RIGHT(C1681,2))</f>
        <v>LivrNuitCat45</v>
      </c>
      <c r="F1681" t="s">
        <v>36</v>
      </c>
      <c r="G1681">
        <f>(IF(ISNUMBER(SEARCH('Remplissage - Sit. Init.'!$I$113,'Remplissage - Sit. Init.'!$I$1238)),1,0))*(IF(ISNUMBER(SEARCH("Par catégorie de véhicule",$H$1590)),1,0))</f>
        <v>0</v>
      </c>
      <c r="I1681" t="e">
        <f>_xlfn.CONCAT('Remplissage - Sit. Init.'!$I$23,",",'Remplissage - Sit. Init.'!$I$33,",",'Remplissage - Sit. Init.'!$I$43,",",'Remplissage - Sit. Init.'!$I$53,",",'Remplissage - Sit. Init.'!$I$63,",",'Remplissage - Sit. Init.'!$I$73,",",'Remplissage - Sit. Init.'!$I$83,",",'Remplissage - Sit. Init.'!$I$93,",",'Remplissage - Sit. Init.'!$I$103,",",'Remplissage - Sit. Init.'!$I$113,",",'Remplissage - Sit. Prev.'!#REF!,",",'Remplissage - Sit. Prev.'!#REF!,",",'Remplissage - Sit. Prev.'!#REF!,",",'Remplissage - Sit. Prev.'!#REF!,",",'Remplissage - Sit. Prev.'!#REF!,",",'Remplissage - Sit. Prev.'!#REF!,",",'Remplissage - Sit. Prev.'!#REF!,",",'Remplissage - Sit. Prev.'!#REF!,",",'Remplissage - Sit. Prev.'!#REF!,",",'Remplissage - Sit. Prev.'!#REF!)</f>
        <v>#REF!</v>
      </c>
      <c r="M1681" t="s">
        <v>288</v>
      </c>
      <c r="O1681">
        <f t="shared" ref="O1681" si="1931">O1680</f>
        <v>45</v>
      </c>
    </row>
    <row r="1682" spans="1:15" x14ac:dyDescent="0.25">
      <c r="A1682" t="s">
        <v>432</v>
      </c>
      <c r="C1682" t="s">
        <v>1406</v>
      </c>
      <c r="E1682" t="s">
        <v>1407</v>
      </c>
      <c r="F1682" t="s">
        <v>36</v>
      </c>
      <c r="G1682">
        <f>IF(OR(ISNUMBER(SEARCH("B2",'Remplissage - Sit. Init.'!$I$18)),ISNUMBER(SEARCH("B2",'Remplissage - Sit. Init.'!$I$17))),1,0)</f>
        <v>0</v>
      </c>
      <c r="H1682" s="36"/>
      <c r="I1682" t="s">
        <v>1353</v>
      </c>
      <c r="M1682" t="s">
        <v>220</v>
      </c>
      <c r="O1682">
        <f t="shared" si="1737"/>
        <v>1681</v>
      </c>
    </row>
    <row r="1683" spans="1:15" x14ac:dyDescent="0.25">
      <c r="A1683" t="s">
        <v>432</v>
      </c>
      <c r="C1683" t="s">
        <v>1408</v>
      </c>
      <c r="E1683" t="s">
        <v>1409</v>
      </c>
      <c r="F1683" t="s">
        <v>17</v>
      </c>
      <c r="G1683">
        <f>IF(OR(ISNUMBER(SEARCH("C6",'Remplissage - Sit. Init.'!$I$18)),ISNUMBER(SEARCH("C6",'Remplissage - Sit. Init.'!$I$17))),1,0)</f>
        <v>1</v>
      </c>
      <c r="H1683">
        <v>8</v>
      </c>
      <c r="J1683" t="s">
        <v>148</v>
      </c>
      <c r="M1683" t="s">
        <v>431</v>
      </c>
      <c r="O1683">
        <f t="shared" si="1737"/>
        <v>1682</v>
      </c>
    </row>
    <row r="1684" spans="1:15" x14ac:dyDescent="0.25">
      <c r="A1684" t="s">
        <v>432</v>
      </c>
      <c r="C1684" t="s">
        <v>1410</v>
      </c>
      <c r="E1684" t="s">
        <v>1411</v>
      </c>
      <c r="F1684" t="s">
        <v>17</v>
      </c>
      <c r="G1684">
        <f>IF(OR(ISNUMBER(SEARCH("C6",'Remplissage - Sit. Init.'!$I$18)),ISNUMBER(SEARCH("C6",'Remplissage - Sit. Init.'!$I$17))),1,0)</f>
        <v>1</v>
      </c>
      <c r="H1684">
        <v>500</v>
      </c>
      <c r="J1684" t="s">
        <v>148</v>
      </c>
      <c r="M1684" t="s">
        <v>431</v>
      </c>
      <c r="O1684">
        <f t="shared" si="1737"/>
        <v>1683</v>
      </c>
    </row>
    <row r="1685" spans="1:15" x14ac:dyDescent="0.25">
      <c r="A1685" t="s">
        <v>432</v>
      </c>
      <c r="C1685" t="s">
        <v>1412</v>
      </c>
      <c r="E1685" t="s">
        <v>1413</v>
      </c>
      <c r="F1685" t="s">
        <v>17</v>
      </c>
      <c r="G1685">
        <f>IF(OR(ISNUMBER(SEARCH("C6",'Remplissage - Sit. Init.'!$I$18)),ISNUMBER(SEARCH("C6",'Remplissage - Sit. Init.'!$I$17))),1,0)</f>
        <v>1</v>
      </c>
      <c r="H1685">
        <v>500</v>
      </c>
      <c r="J1685" t="s">
        <v>148</v>
      </c>
      <c r="M1685" t="s">
        <v>431</v>
      </c>
      <c r="O1685">
        <f t="shared" si="1737"/>
        <v>1684</v>
      </c>
    </row>
    <row r="1686" spans="1:15" collapsed="1" x14ac:dyDescent="0.25">
      <c r="A1686" t="s">
        <v>300</v>
      </c>
      <c r="C1686" t="s">
        <v>1414</v>
      </c>
      <c r="E1686" t="s">
        <v>1407</v>
      </c>
      <c r="F1686" t="s">
        <v>36</v>
      </c>
      <c r="G1686">
        <f>IF(OR(ISNUMBER(SEARCH("B2",'Remplissage - Sit. Init.'!$I$18)),ISNUMBER(SEARCH("B2",'Remplissage - Sit. Init.'!$I$17))),1,0)</f>
        <v>0</v>
      </c>
      <c r="H1686" s="36"/>
      <c r="I1686" t="s">
        <v>1353</v>
      </c>
      <c r="K1686">
        <v>1</v>
      </c>
      <c r="M1686" t="s">
        <v>220</v>
      </c>
      <c r="O1686">
        <f t="shared" si="1737"/>
        <v>1685</v>
      </c>
    </row>
    <row r="1687" spans="1:15" x14ac:dyDescent="0.25">
      <c r="A1687" t="s">
        <v>300</v>
      </c>
      <c r="B1687" t="s">
        <v>1415</v>
      </c>
      <c r="C1687" t="s">
        <v>1416</v>
      </c>
      <c r="E1687" t="s">
        <v>314</v>
      </c>
      <c r="F1687" t="s">
        <v>36</v>
      </c>
      <c r="G1687">
        <f>IF(OR(ISNUMBER(SEARCH("C7",'Remplissage - Sit. Init.'!$I$18)),ISNUMBER(SEARCH("C7",'Remplissage - Sit. Init.'!$I$17))),1,0)</f>
        <v>1</v>
      </c>
      <c r="H1687" t="s">
        <v>54</v>
      </c>
      <c r="I1687" t="s">
        <v>55</v>
      </c>
      <c r="M1687" t="s">
        <v>303</v>
      </c>
      <c r="O1687">
        <f t="shared" si="1737"/>
        <v>1686</v>
      </c>
    </row>
    <row r="1688" spans="1:15" x14ac:dyDescent="0.25">
      <c r="A1688" t="s">
        <v>300</v>
      </c>
      <c r="B1688" t="s">
        <v>1415</v>
      </c>
      <c r="C1688" t="s">
        <v>304</v>
      </c>
      <c r="E1688" t="s">
        <v>305</v>
      </c>
      <c r="F1688" t="s">
        <v>17</v>
      </c>
      <c r="G1688">
        <f t="shared" ref="G1688:G1690" si="1932">IF(ISNUMBER(SEARCH("Non",$H$1687)),1,0)</f>
        <v>0</v>
      </c>
      <c r="H1688">
        <v>2</v>
      </c>
      <c r="J1688" t="s">
        <v>306</v>
      </c>
      <c r="K1688">
        <v>3</v>
      </c>
      <c r="M1688" t="s">
        <v>303</v>
      </c>
      <c r="O1688">
        <f t="shared" si="1737"/>
        <v>1687</v>
      </c>
    </row>
    <row r="1689" spans="1:15" x14ac:dyDescent="0.25">
      <c r="A1689" t="s">
        <v>300</v>
      </c>
      <c r="B1689" t="s">
        <v>1415</v>
      </c>
      <c r="C1689" t="s">
        <v>307</v>
      </c>
      <c r="E1689" t="s">
        <v>308</v>
      </c>
      <c r="F1689" t="s">
        <v>17</v>
      </c>
      <c r="G1689">
        <f t="shared" si="1932"/>
        <v>0</v>
      </c>
      <c r="H1689">
        <v>12</v>
      </c>
      <c r="J1689" t="s">
        <v>309</v>
      </c>
      <c r="K1689">
        <v>12</v>
      </c>
      <c r="M1689" t="s">
        <v>303</v>
      </c>
      <c r="O1689">
        <f t="shared" si="1737"/>
        <v>1688</v>
      </c>
    </row>
    <row r="1690" spans="1:15" x14ac:dyDescent="0.25">
      <c r="A1690" t="s">
        <v>300</v>
      </c>
      <c r="B1690" t="s">
        <v>1415</v>
      </c>
      <c r="C1690" t="s">
        <v>1417</v>
      </c>
      <c r="E1690" t="s">
        <v>302</v>
      </c>
      <c r="F1690" t="s">
        <v>17</v>
      </c>
      <c r="G1690">
        <f t="shared" si="1932"/>
        <v>0</v>
      </c>
      <c r="H1690">
        <v>1000</v>
      </c>
      <c r="J1690" t="s">
        <v>226</v>
      </c>
      <c r="M1690" t="s">
        <v>303</v>
      </c>
      <c r="O1690">
        <f t="shared" si="1737"/>
        <v>1689</v>
      </c>
    </row>
    <row r="1691" spans="1:15" x14ac:dyDescent="0.25">
      <c r="A1691" t="s">
        <v>300</v>
      </c>
      <c r="B1691" t="s">
        <v>1418</v>
      </c>
      <c r="C1691" t="s">
        <v>1419</v>
      </c>
      <c r="E1691" t="s">
        <v>1420</v>
      </c>
      <c r="F1691" t="s">
        <v>17</v>
      </c>
      <c r="G1691">
        <f>IF(OR(ISNUMBER(SEARCH("C7",'Remplissage - Sit. Init.'!$I$18)),ISNUMBER(SEARCH("C7",'Remplissage - Sit. Init.'!$I$17))),1,0)</f>
        <v>1</v>
      </c>
      <c r="H1691" s="36">
        <v>0.1</v>
      </c>
      <c r="J1691" t="s">
        <v>70</v>
      </c>
      <c r="K1691" s="7">
        <v>0.1</v>
      </c>
      <c r="M1691" t="s">
        <v>303</v>
      </c>
      <c r="O1691">
        <f t="shared" si="1737"/>
        <v>1690</v>
      </c>
    </row>
    <row r="1692" spans="1:15" x14ac:dyDescent="0.25">
      <c r="A1692" t="s">
        <v>300</v>
      </c>
      <c r="B1692" t="s">
        <v>1418</v>
      </c>
      <c r="C1692" t="s">
        <v>310</v>
      </c>
      <c r="E1692" t="s">
        <v>311</v>
      </c>
      <c r="F1692" t="s">
        <v>17</v>
      </c>
      <c r="G1692">
        <f>IF(OR(ISNUMBER(SEARCH("C7",'Remplissage - Sit. Init.'!$I$18)),ISNUMBER(SEARCH("C7",'Remplissage - Sit. Init.'!$I$17))),1,0)</f>
        <v>1</v>
      </c>
      <c r="H1692">
        <v>1000</v>
      </c>
      <c r="J1692" t="s">
        <v>226</v>
      </c>
      <c r="M1692" t="s">
        <v>303</v>
      </c>
      <c r="O1692">
        <f t="shared" si="1737"/>
        <v>1691</v>
      </c>
    </row>
    <row r="1693" spans="1:15" x14ac:dyDescent="0.25">
      <c r="A1693" t="s">
        <v>300</v>
      </c>
      <c r="B1693" t="s">
        <v>1418</v>
      </c>
      <c r="C1693" t="s">
        <v>312</v>
      </c>
      <c r="E1693" t="s">
        <v>313</v>
      </c>
      <c r="F1693" t="s">
        <v>17</v>
      </c>
      <c r="G1693">
        <f>IF(OR(ISNUMBER(SEARCH("C7",'Remplissage - Sit. Init.'!$I$18)),ISNUMBER(SEARCH("C7",'Remplissage - Sit. Init.'!$I$17))),1,0)</f>
        <v>1</v>
      </c>
      <c r="H1693">
        <v>2</v>
      </c>
      <c r="J1693" t="s">
        <v>309</v>
      </c>
      <c r="M1693" t="s">
        <v>303</v>
      </c>
      <c r="O1693">
        <f t="shared" si="1737"/>
        <v>1692</v>
      </c>
    </row>
    <row r="1694" spans="1:15" collapsed="1" x14ac:dyDescent="0.25">
      <c r="A1694" t="s">
        <v>367</v>
      </c>
      <c r="C1694" t="s">
        <v>1421</v>
      </c>
      <c r="E1694" t="s">
        <v>1422</v>
      </c>
      <c r="F1694" t="s">
        <v>36</v>
      </c>
      <c r="G1694">
        <f>IF(OR(ISNUMBER(SEARCH("B2",'Remplissage - Sit. Init.'!$I$18)),ISNUMBER(SEARCH("B2",'Remplissage - Sit. Init.'!$I$17))),1,0)</f>
        <v>0</v>
      </c>
      <c r="H1694" s="35"/>
      <c r="I1694" t="s">
        <v>1353</v>
      </c>
      <c r="M1694" t="s">
        <v>220</v>
      </c>
      <c r="O1694">
        <f t="shared" si="1737"/>
        <v>1693</v>
      </c>
    </row>
    <row r="1695" spans="1:15" x14ac:dyDescent="0.25">
      <c r="A1695" t="s">
        <v>367</v>
      </c>
      <c r="C1695" t="s">
        <v>1423</v>
      </c>
      <c r="E1695" t="s">
        <v>1424</v>
      </c>
      <c r="F1695" t="s">
        <v>17</v>
      </c>
      <c r="G1695">
        <f>IF(OR(ISNUMBER(SEARCH("C9",'Remplissage - Sit. Init.'!$I$18)),ISNUMBER(SEARCH("C9",'Remplissage - Sit. Init.'!$I$17))),1,0)</f>
        <v>1</v>
      </c>
      <c r="H1695" s="36">
        <v>0.1</v>
      </c>
      <c r="J1695" t="s">
        <v>70</v>
      </c>
      <c r="K1695" s="36">
        <v>0</v>
      </c>
      <c r="M1695" t="s">
        <v>371</v>
      </c>
      <c r="O1695">
        <f t="shared" si="1737"/>
        <v>1694</v>
      </c>
    </row>
    <row r="1696" spans="1:15" x14ac:dyDescent="0.25">
      <c r="A1696" t="s">
        <v>367</v>
      </c>
      <c r="C1696" t="s">
        <v>1425</v>
      </c>
      <c r="E1696" t="s">
        <v>1426</v>
      </c>
      <c r="F1696" t="s">
        <v>17</v>
      </c>
      <c r="G1696">
        <f>IF(OR(ISNUMBER(SEARCH("C9",'Remplissage - Sit. Init.'!$I$18)),ISNUMBER(SEARCH("C9",'Remplissage - Sit. Init.'!$I$17))),1,0)</f>
        <v>1</v>
      </c>
      <c r="H1696" s="35">
        <v>20</v>
      </c>
      <c r="J1696" t="s">
        <v>1427</v>
      </c>
      <c r="K1696">
        <v>0</v>
      </c>
      <c r="M1696" t="s">
        <v>371</v>
      </c>
      <c r="O1696">
        <f t="shared" si="1737"/>
        <v>1695</v>
      </c>
    </row>
    <row r="1697" spans="1:15" x14ac:dyDescent="0.25">
      <c r="A1697" t="s">
        <v>367</v>
      </c>
      <c r="C1697" t="s">
        <v>1428</v>
      </c>
      <c r="E1697" t="s">
        <v>1429</v>
      </c>
      <c r="F1697" t="s">
        <v>17</v>
      </c>
      <c r="G1697">
        <f>IF(OR(ISNUMBER(SEARCH("C9",'Remplissage - Sit. Init.'!$I$18)),ISNUMBER(SEARCH("C9",'Remplissage - Sit. Init.'!$I$17))),1,0)</f>
        <v>1</v>
      </c>
      <c r="H1697" s="36">
        <v>0.2</v>
      </c>
      <c r="J1697" t="s">
        <v>70</v>
      </c>
      <c r="K1697" s="36">
        <v>0</v>
      </c>
      <c r="M1697" t="s">
        <v>371</v>
      </c>
      <c r="O1697">
        <f t="shared" si="1737"/>
        <v>1696</v>
      </c>
    </row>
    <row r="2005" spans="7:7" x14ac:dyDescent="0.25">
      <c r="G2005">
        <f>IF(ISNUMBER(SEARCH("C9",#REF!)),1,0)</f>
        <v>0</v>
      </c>
    </row>
  </sheetData>
  <autoFilter ref="A1:N1697" xr:uid="{00000000-0009-0000-0000-000007000000}"/>
  <phoneticPr fontId="9" type="noConversion"/>
  <conditionalFormatting sqref="E2">
    <cfRule type="duplicateValues" dxfId="24" priority="16"/>
  </conditionalFormatting>
  <conditionalFormatting sqref="E558 E565 E572 E579 E586 E593 E600 E607 E614 E621 E628 E635 E642 E649 E656 E663 E670 E677 E684 E691 E698 E705 E712 E719 E726 E733 E740 E747 E754 E761 E768 E775 E782 E789 E796 E803 E810 E817 E824 E831 E838 E845 E852 E859 E866 E873 E880 E887 E894 E901 E908 E915 E922 E929 E936 E943">
    <cfRule type="duplicateValues" dxfId="23" priority="48"/>
  </conditionalFormatting>
  <conditionalFormatting sqref="E559:E564 E566:E571 E573:E578 E580:E585 E587:E592 E594:E599 E601:E606 E608:E613 E615:E620 E622:E627 E629:E634 E636:E641 E643:E648 E650:E655 E657:E662 E664:E669 E671:E676 E678:E683 E685:E690 E692:E697 E699:E704 E706:E711 E713:E718 E720:E725 E727:E732 E734:E739 E741:E746 E748:E753 E755:E760 E762:E767 E769:E774 E776:E781 E783:E788 E790:E795 E797:E802 E804:E809 E811:E816 E818:E823 E825:E830 E832:E837 E839:E844 E846:E851 E853:E858 E860:E865 E867:E872 E874:E879 E881:E886 E888:E893 E895:E900 E902:E907 E909:E914 E916:E921 E923:E928 E930:E935 E937:E942 E944:E949">
    <cfRule type="duplicateValues" dxfId="22" priority="160"/>
  </conditionalFormatting>
  <conditionalFormatting sqref="E1575">
    <cfRule type="duplicateValues" dxfId="21" priority="12"/>
  </conditionalFormatting>
  <conditionalFormatting sqref="E1683">
    <cfRule type="duplicateValues" dxfId="20" priority="20"/>
  </conditionalFormatting>
  <conditionalFormatting sqref="E1684">
    <cfRule type="duplicateValues" dxfId="19" priority="19"/>
  </conditionalFormatting>
  <conditionalFormatting sqref="E1685">
    <cfRule type="duplicateValues" dxfId="18" priority="18"/>
  </conditionalFormatting>
  <conditionalFormatting sqref="E2005">
    <cfRule type="duplicateValues" dxfId="17" priority="17"/>
  </conditionalFormatting>
  <conditionalFormatting sqref="E2006:E1048576 E1687:E1693 E1 F1569 E1576 E1573:F1573 E1579 E1578:F1578 E1580:F1580 E1589:F1589 E1682:F1682 E1695:E2004 E1581:E1588 E5:E106 E1590:E1681 E557 E1566:E1572">
    <cfRule type="duplicateValues" dxfId="16" priority="21"/>
  </conditionalFormatting>
  <conditionalFormatting sqref="E3:F4">
    <cfRule type="duplicateValues" dxfId="15" priority="13"/>
  </conditionalFormatting>
  <conditionalFormatting sqref="E1574:F1574">
    <cfRule type="duplicateValues" dxfId="14" priority="10"/>
  </conditionalFormatting>
  <conditionalFormatting sqref="E1577:F1577">
    <cfRule type="duplicateValues" dxfId="13" priority="11"/>
  </conditionalFormatting>
  <conditionalFormatting sqref="E1686:F1686">
    <cfRule type="duplicateValues" dxfId="12" priority="15"/>
  </conditionalFormatting>
  <conditionalFormatting sqref="E1694:F1694">
    <cfRule type="duplicateValues" dxfId="11" priority="14"/>
  </conditionalFormatting>
  <conditionalFormatting sqref="F548 F398 F258 F108 F118 F128 F138 F148 F158 F168 F178 F188 F198 F208 F218 F228 F238 F248 F268 F278 F288 F298 F308 F318 F328 F338 F348 F358 F368 F378 F388 F408 F418 F428 F438 F448 F458 F468 F478 F488 F498 F508 F518 F528 F538 E107:E556">
    <cfRule type="duplicateValues" dxfId="10" priority="9"/>
  </conditionalFormatting>
  <conditionalFormatting sqref="F559:F564 F566:F571 F573:F578 F580:F585 F587:F592 F594:F599 F601:F606 F608:F613 F615:F620 F622:F627 F629:F634 F636:F641 F643:F648 F650:F655 F657:F662 F664:F669 F671:F676 F678:F683 F685:F690 F692:F697 F699:F704 F706:F711 F713:F718 F720:F725 F727:F732 F734:F739 F741:F746 F748:F753 F755:F760 F762:F767 F769:F774 F776:F781 F783:F788 F790:F795 F797:F802 F804:F809 F811:F816 F818:F823 F825:F830 F832:F837 F839:F844 F846:F851 F853:F858 F860:F865 F867:F872 F874:F879 F881:F886 F888:F893 F895:F900 F902:F907 F909:F914 F916:F921 F923:F928 F930:F935 F937:F942 F944:F949">
    <cfRule type="duplicateValues" dxfId="9" priority="104"/>
  </conditionalFormatting>
  <conditionalFormatting sqref="F951 F962 F973 F984 F995 F1006 F1017 F1028 F1039 F1050 F1061 F1072 F1083 F1094 F1105 F1116 F1127 F1138 F1149 F1160 F1171 F1182 F1193 F1204 F1215 F1226 F1237 F1248 F1259 F1270 F1281 F1292 F1303 F1314 F1325 F1336 F1347 F1358 F1369 F1380 F1391 F1402 F1413 F1424 F1435 F1446 F1457 F1468 F1479 F1490 F1501 F1512 F1523 F1534 F1545 F1556 E950:E1565">
    <cfRule type="duplicateValues" dxfId="8" priority="1"/>
  </conditionalFormatting>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E6ABD-C8F4-473E-B241-4E4B372C1CCB}">
  <sheetPr>
    <tabColor theme="1" tint="4.9989318521683403E-2"/>
  </sheetPr>
  <dimension ref="B2:AE149"/>
  <sheetViews>
    <sheetView zoomScale="85" zoomScaleNormal="85" workbookViewId="0">
      <selection activeCell="C4" sqref="C4"/>
    </sheetView>
  </sheetViews>
  <sheetFormatPr baseColWidth="10" defaultColWidth="11.42578125" defaultRowHeight="15" x14ac:dyDescent="0.25"/>
  <cols>
    <col min="1" max="1" width="2.85546875" style="120" customWidth="1"/>
    <col min="2" max="2" width="35.28515625" style="120" customWidth="1"/>
    <col min="3" max="7" width="13.85546875" style="120" customWidth="1"/>
    <col min="8" max="16384" width="11.42578125" style="120"/>
  </cols>
  <sheetData>
    <row r="2" spans="2:31" x14ac:dyDescent="0.25">
      <c r="B2" s="116" t="str">
        <f>UPPER("Gains globaux liés à la charte")</f>
        <v>GAINS GLOBAUX LIÉS À LA CHARTE</v>
      </c>
      <c r="C2" s="116"/>
      <c r="D2" s="116"/>
      <c r="E2" s="117"/>
      <c r="F2" s="117"/>
      <c r="G2" s="118"/>
      <c r="H2" s="119"/>
      <c r="I2" s="119"/>
      <c r="J2" s="119"/>
      <c r="K2" s="118"/>
      <c r="L2" s="118"/>
      <c r="M2" s="118"/>
    </row>
    <row r="4" spans="2:31" x14ac:dyDescent="0.25">
      <c r="B4" s="121" t="s">
        <v>1823</v>
      </c>
      <c r="C4" s="122">
        <v>2024</v>
      </c>
      <c r="D4" s="123" t="s">
        <v>16</v>
      </c>
    </row>
    <row r="5" spans="2:31" x14ac:dyDescent="0.25">
      <c r="B5" s="121" t="s">
        <v>1824</v>
      </c>
      <c r="C5" s="122">
        <v>2028</v>
      </c>
      <c r="D5" s="123" t="s">
        <v>16</v>
      </c>
    </row>
    <row r="6" spans="2:31" x14ac:dyDescent="0.25">
      <c r="B6" s="121" t="s">
        <v>1825</v>
      </c>
      <c r="C6" s="122">
        <v>2028</v>
      </c>
      <c r="D6" s="123" t="s">
        <v>16</v>
      </c>
    </row>
    <row r="7" spans="2:31" ht="3.75" customHeight="1" x14ac:dyDescent="0.25"/>
    <row r="8" spans="2:31" x14ac:dyDescent="0.25">
      <c r="B8" s="124" t="str">
        <f>UPPER("Gains prévisionnels")</f>
        <v>GAINS PRÉVISIONNELS</v>
      </c>
      <c r="C8" s="124"/>
      <c r="D8" s="124"/>
    </row>
    <row r="9" spans="2:31" ht="3.75" customHeight="1" x14ac:dyDescent="0.25">
      <c r="B9" s="124"/>
      <c r="C9" s="124"/>
      <c r="D9" s="124"/>
    </row>
    <row r="10" spans="2:31" s="127" customFormat="1" ht="30" x14ac:dyDescent="0.25">
      <c r="B10" s="124"/>
      <c r="C10" s="125" t="s">
        <v>1826</v>
      </c>
      <c r="D10" s="125" t="s">
        <v>1827</v>
      </c>
      <c r="E10" s="126">
        <f>$C$4+1</f>
        <v>2025</v>
      </c>
      <c r="F10" s="126">
        <f>IF(E10&lt;$C$5-1,E10+1,"")</f>
        <v>2026</v>
      </c>
      <c r="G10" s="126">
        <f t="shared" ref="G10:AC10" si="0">IF(F10&lt;$C$5-1,F10+1,"")</f>
        <v>2027</v>
      </c>
      <c r="H10" s="126" t="str">
        <f t="shared" si="0"/>
        <v/>
      </c>
      <c r="I10" s="126" t="str">
        <f t="shared" si="0"/>
        <v/>
      </c>
      <c r="J10" s="126" t="str">
        <f t="shared" si="0"/>
        <v/>
      </c>
      <c r="K10" s="126" t="str">
        <f t="shared" si="0"/>
        <v/>
      </c>
      <c r="L10" s="126" t="str">
        <f t="shared" si="0"/>
        <v/>
      </c>
      <c r="M10" s="126" t="str">
        <f t="shared" si="0"/>
        <v/>
      </c>
      <c r="N10" s="126" t="str">
        <f t="shared" si="0"/>
        <v/>
      </c>
      <c r="O10" s="126" t="str">
        <f t="shared" si="0"/>
        <v/>
      </c>
      <c r="P10" s="126" t="str">
        <f t="shared" si="0"/>
        <v/>
      </c>
      <c r="Q10" s="126" t="str">
        <f t="shared" si="0"/>
        <v/>
      </c>
      <c r="R10" s="126" t="str">
        <f t="shared" si="0"/>
        <v/>
      </c>
      <c r="S10" s="126" t="str">
        <f t="shared" si="0"/>
        <v/>
      </c>
      <c r="T10" s="126" t="str">
        <f t="shared" si="0"/>
        <v/>
      </c>
      <c r="U10" s="126" t="str">
        <f t="shared" si="0"/>
        <v/>
      </c>
      <c r="V10" s="126" t="str">
        <f t="shared" si="0"/>
        <v/>
      </c>
      <c r="W10" s="126" t="str">
        <f t="shared" si="0"/>
        <v/>
      </c>
      <c r="X10" s="126" t="str">
        <f t="shared" si="0"/>
        <v/>
      </c>
      <c r="Y10" s="126" t="str">
        <f t="shared" si="0"/>
        <v/>
      </c>
      <c r="Z10" s="126" t="str">
        <f t="shared" si="0"/>
        <v/>
      </c>
      <c r="AA10" s="126" t="str">
        <f t="shared" si="0"/>
        <v/>
      </c>
      <c r="AB10" s="126" t="str">
        <f t="shared" si="0"/>
        <v/>
      </c>
      <c r="AC10" s="126" t="str">
        <f t="shared" si="0"/>
        <v/>
      </c>
      <c r="AD10" s="126" t="str" cm="1">
        <f t="array" ref="AD10">IFERROR(_xlfn.IFS($C$5&gt;=AC$10+1,AC$10+1,$C$5=AC$10,"Evolution cumulée"),"")</f>
        <v/>
      </c>
      <c r="AE10" s="126"/>
    </row>
    <row r="11" spans="2:31" x14ac:dyDescent="0.25">
      <c r="B11" s="128" t="s">
        <v>1828</v>
      </c>
      <c r="C11" s="129">
        <f>SUM($C45,$C56,$C67,$C78,$C89,$C100,$C111,$C122,$C133,$C144)</f>
        <v>-14211.504121866292</v>
      </c>
      <c r="D11" s="129">
        <f>SUM($E11:$XFD11,$C11)</f>
        <v>-35528.760304665731</v>
      </c>
      <c r="E11" s="130">
        <f>IFERROR($C11*(E$10-$C$4)/($C$5-$C$4),"")</f>
        <v>-3552.876030466573</v>
      </c>
      <c r="F11" s="130">
        <f t="shared" ref="F11:AD16" si="1">IFERROR($C11*(F$10-$C$4)/($C$5-$C$4),"")</f>
        <v>-7105.7520609331459</v>
      </c>
      <c r="G11" s="130">
        <f t="shared" si="1"/>
        <v>-10658.628091399718</v>
      </c>
      <c r="H11" s="130" t="str">
        <f t="shared" si="1"/>
        <v/>
      </c>
      <c r="I11" s="130" t="str">
        <f t="shared" si="1"/>
        <v/>
      </c>
      <c r="J11" s="130" t="str">
        <f t="shared" si="1"/>
        <v/>
      </c>
      <c r="K11" s="130" t="str">
        <f t="shared" si="1"/>
        <v/>
      </c>
      <c r="L11" s="130" t="str">
        <f t="shared" si="1"/>
        <v/>
      </c>
      <c r="M11" s="130" t="str">
        <f t="shared" si="1"/>
        <v/>
      </c>
      <c r="N11" s="130" t="str">
        <f t="shared" si="1"/>
        <v/>
      </c>
      <c r="O11" s="130" t="str">
        <f t="shared" si="1"/>
        <v/>
      </c>
      <c r="P11" s="130" t="str">
        <f t="shared" si="1"/>
        <v/>
      </c>
      <c r="Q11" s="130" t="str">
        <f t="shared" si="1"/>
        <v/>
      </c>
      <c r="R11" s="130" t="str">
        <f t="shared" si="1"/>
        <v/>
      </c>
      <c r="S11" s="130" t="str">
        <f t="shared" si="1"/>
        <v/>
      </c>
      <c r="T11" s="130" t="str">
        <f t="shared" si="1"/>
        <v/>
      </c>
      <c r="U11" s="130" t="str">
        <f t="shared" si="1"/>
        <v/>
      </c>
      <c r="V11" s="130" t="str">
        <f t="shared" si="1"/>
        <v/>
      </c>
      <c r="W11" s="130" t="str">
        <f t="shared" si="1"/>
        <v/>
      </c>
      <c r="X11" s="130" t="str">
        <f t="shared" si="1"/>
        <v/>
      </c>
      <c r="Y11" s="130" t="str">
        <f t="shared" si="1"/>
        <v/>
      </c>
      <c r="Z11" s="130" t="str">
        <f t="shared" si="1"/>
        <v/>
      </c>
      <c r="AA11" s="130" t="str">
        <f t="shared" si="1"/>
        <v/>
      </c>
      <c r="AB11" s="130" t="str">
        <f t="shared" si="1"/>
        <v/>
      </c>
      <c r="AC11" s="130" t="str">
        <f t="shared" si="1"/>
        <v/>
      </c>
      <c r="AD11" s="130" t="str">
        <f t="shared" si="1"/>
        <v/>
      </c>
    </row>
    <row r="12" spans="2:31" x14ac:dyDescent="0.25">
      <c r="B12" s="128" t="s">
        <v>1829</v>
      </c>
      <c r="C12" s="129">
        <f t="shared" ref="C12:C16" si="2">SUM($C46,$C57,$C68,$C79,$C90,$C101,$C112,$C123,$C134,$C145)</f>
        <v>-443.20251076642222</v>
      </c>
      <c r="D12" s="129">
        <f t="shared" ref="D12:D16" si="3">SUM($E12:$XFD12,$C12)</f>
        <v>-1108.0062769160556</v>
      </c>
      <c r="E12" s="130">
        <f t="shared" ref="E12:T16" si="4">IFERROR($C12*(E$10-$C$4)/($C$5-$C$4),"")</f>
        <v>-110.80062769160556</v>
      </c>
      <c r="F12" s="130">
        <f t="shared" si="4"/>
        <v>-221.60125538321111</v>
      </c>
      <c r="G12" s="130">
        <f t="shared" si="4"/>
        <v>-332.40188307481668</v>
      </c>
      <c r="H12" s="130" t="str">
        <f t="shared" si="4"/>
        <v/>
      </c>
      <c r="I12" s="130" t="str">
        <f t="shared" si="4"/>
        <v/>
      </c>
      <c r="J12" s="130" t="str">
        <f t="shared" si="4"/>
        <v/>
      </c>
      <c r="K12" s="130" t="str">
        <f t="shared" si="4"/>
        <v/>
      </c>
      <c r="L12" s="130" t="str">
        <f t="shared" si="4"/>
        <v/>
      </c>
      <c r="M12" s="130" t="str">
        <f t="shared" si="4"/>
        <v/>
      </c>
      <c r="N12" s="130" t="str">
        <f t="shared" si="4"/>
        <v/>
      </c>
      <c r="O12" s="130" t="str">
        <f t="shared" si="4"/>
        <v/>
      </c>
      <c r="P12" s="130" t="str">
        <f t="shared" si="4"/>
        <v/>
      </c>
      <c r="Q12" s="130" t="str">
        <f t="shared" si="4"/>
        <v/>
      </c>
      <c r="R12" s="130" t="str">
        <f t="shared" si="4"/>
        <v/>
      </c>
      <c r="S12" s="130" t="str">
        <f t="shared" si="4"/>
        <v/>
      </c>
      <c r="T12" s="130" t="str">
        <f t="shared" si="4"/>
        <v/>
      </c>
      <c r="U12" s="130" t="str">
        <f t="shared" si="1"/>
        <v/>
      </c>
      <c r="V12" s="130" t="str">
        <f t="shared" si="1"/>
        <v/>
      </c>
      <c r="W12" s="130" t="str">
        <f t="shared" si="1"/>
        <v/>
      </c>
      <c r="X12" s="130" t="str">
        <f t="shared" si="1"/>
        <v/>
      </c>
      <c r="Y12" s="130" t="str">
        <f t="shared" si="1"/>
        <v/>
      </c>
      <c r="Z12" s="130" t="str">
        <f t="shared" si="1"/>
        <v/>
      </c>
      <c r="AA12" s="130" t="str">
        <f t="shared" si="1"/>
        <v/>
      </c>
      <c r="AB12" s="130" t="str">
        <f t="shared" si="1"/>
        <v/>
      </c>
      <c r="AC12" s="130" t="str">
        <f t="shared" si="1"/>
        <v/>
      </c>
      <c r="AD12" s="130" t="str">
        <f t="shared" si="1"/>
        <v/>
      </c>
    </row>
    <row r="13" spans="2:31" x14ac:dyDescent="0.25">
      <c r="B13" s="128" t="s">
        <v>1830</v>
      </c>
      <c r="C13" s="129">
        <f t="shared" si="2"/>
        <v>-686.64837555620932</v>
      </c>
      <c r="D13" s="129">
        <f t="shared" si="3"/>
        <v>-1716.6209388905231</v>
      </c>
      <c r="E13" s="130">
        <f t="shared" si="4"/>
        <v>-171.66209388905233</v>
      </c>
      <c r="F13" s="130">
        <f t="shared" si="1"/>
        <v>-343.32418777810466</v>
      </c>
      <c r="G13" s="130">
        <f t="shared" si="1"/>
        <v>-514.98628166715696</v>
      </c>
      <c r="H13" s="130" t="str">
        <f t="shared" si="1"/>
        <v/>
      </c>
      <c r="I13" s="130" t="str">
        <f t="shared" si="1"/>
        <v/>
      </c>
      <c r="J13" s="130" t="str">
        <f t="shared" si="1"/>
        <v/>
      </c>
      <c r="K13" s="130" t="str">
        <f t="shared" si="1"/>
        <v/>
      </c>
      <c r="L13" s="130" t="str">
        <f t="shared" si="1"/>
        <v/>
      </c>
      <c r="M13" s="130" t="str">
        <f t="shared" si="1"/>
        <v/>
      </c>
      <c r="N13" s="130" t="str">
        <f t="shared" si="1"/>
        <v/>
      </c>
      <c r="O13" s="130" t="str">
        <f t="shared" si="1"/>
        <v/>
      </c>
      <c r="P13" s="130" t="str">
        <f t="shared" si="1"/>
        <v/>
      </c>
      <c r="Q13" s="130" t="str">
        <f t="shared" si="1"/>
        <v/>
      </c>
      <c r="R13" s="130" t="str">
        <f t="shared" si="1"/>
        <v/>
      </c>
      <c r="S13" s="130" t="str">
        <f t="shared" si="1"/>
        <v/>
      </c>
      <c r="T13" s="130" t="str">
        <f t="shared" si="1"/>
        <v/>
      </c>
      <c r="U13" s="130" t="str">
        <f t="shared" si="1"/>
        <v/>
      </c>
      <c r="V13" s="130" t="str">
        <f t="shared" si="1"/>
        <v/>
      </c>
      <c r="W13" s="130" t="str">
        <f t="shared" si="1"/>
        <v/>
      </c>
      <c r="X13" s="130" t="str">
        <f t="shared" si="1"/>
        <v/>
      </c>
      <c r="Y13" s="130" t="str">
        <f t="shared" si="1"/>
        <v/>
      </c>
      <c r="Z13" s="130" t="str">
        <f t="shared" si="1"/>
        <v/>
      </c>
      <c r="AA13" s="130" t="str">
        <f t="shared" si="1"/>
        <v/>
      </c>
      <c r="AB13" s="130" t="str">
        <f t="shared" si="1"/>
        <v/>
      </c>
      <c r="AC13" s="130" t="str">
        <f t="shared" si="1"/>
        <v/>
      </c>
      <c r="AD13" s="130" t="str">
        <f t="shared" si="1"/>
        <v/>
      </c>
    </row>
    <row r="14" spans="2:31" x14ac:dyDescent="0.25">
      <c r="B14" s="128" t="s">
        <v>1831</v>
      </c>
      <c r="C14" s="129">
        <f t="shared" si="2"/>
        <v>-19536.213675679977</v>
      </c>
      <c r="D14" s="129">
        <f t="shared" si="3"/>
        <v>-48840.534189199941</v>
      </c>
      <c r="E14" s="130">
        <f t="shared" si="4"/>
        <v>-4884.0534189199943</v>
      </c>
      <c r="F14" s="130">
        <f t="shared" si="1"/>
        <v>-9768.1068378399887</v>
      </c>
      <c r="G14" s="130">
        <f t="shared" si="1"/>
        <v>-14652.160256759984</v>
      </c>
      <c r="H14" s="130" t="str">
        <f t="shared" si="1"/>
        <v/>
      </c>
      <c r="I14" s="130" t="str">
        <f t="shared" si="1"/>
        <v/>
      </c>
      <c r="J14" s="130" t="str">
        <f t="shared" si="1"/>
        <v/>
      </c>
      <c r="K14" s="130" t="str">
        <f t="shared" si="1"/>
        <v/>
      </c>
      <c r="L14" s="130" t="str">
        <f t="shared" si="1"/>
        <v/>
      </c>
      <c r="M14" s="130" t="str">
        <f t="shared" si="1"/>
        <v/>
      </c>
      <c r="N14" s="130" t="str">
        <f t="shared" si="1"/>
        <v/>
      </c>
      <c r="O14" s="130" t="str">
        <f t="shared" si="1"/>
        <v/>
      </c>
      <c r="P14" s="130" t="str">
        <f t="shared" si="1"/>
        <v/>
      </c>
      <c r="Q14" s="130" t="str">
        <f t="shared" si="1"/>
        <v/>
      </c>
      <c r="R14" s="130" t="str">
        <f t="shared" si="1"/>
        <v/>
      </c>
      <c r="S14" s="130" t="str">
        <f t="shared" si="1"/>
        <v/>
      </c>
      <c r="T14" s="130" t="str">
        <f t="shared" si="1"/>
        <v/>
      </c>
      <c r="U14" s="130" t="str">
        <f t="shared" si="1"/>
        <v/>
      </c>
      <c r="V14" s="130" t="str">
        <f t="shared" si="1"/>
        <v/>
      </c>
      <c r="W14" s="130" t="str">
        <f t="shared" si="1"/>
        <v/>
      </c>
      <c r="X14" s="130" t="str">
        <f t="shared" si="1"/>
        <v/>
      </c>
      <c r="Y14" s="130" t="str">
        <f t="shared" si="1"/>
        <v/>
      </c>
      <c r="Z14" s="130" t="str">
        <f t="shared" si="1"/>
        <v/>
      </c>
      <c r="AA14" s="130" t="str">
        <f t="shared" si="1"/>
        <v/>
      </c>
      <c r="AB14" s="130" t="str">
        <f t="shared" si="1"/>
        <v/>
      </c>
      <c r="AC14" s="130" t="str">
        <f t="shared" si="1"/>
        <v/>
      </c>
      <c r="AD14" s="130" t="str">
        <f t="shared" si="1"/>
        <v/>
      </c>
    </row>
    <row r="15" spans="2:31" x14ac:dyDescent="0.25">
      <c r="B15" s="128" t="s">
        <v>1832</v>
      </c>
      <c r="C15" s="129">
        <f t="shared" si="2"/>
        <v>-4879.5510957539927</v>
      </c>
      <c r="D15" s="129">
        <f t="shared" si="3"/>
        <v>-12198.877739384981</v>
      </c>
      <c r="E15" s="130">
        <f t="shared" si="4"/>
        <v>-1219.8877739384982</v>
      </c>
      <c r="F15" s="130">
        <f t="shared" si="1"/>
        <v>-2439.7755478769964</v>
      </c>
      <c r="G15" s="130">
        <f t="shared" si="1"/>
        <v>-3659.6633218154948</v>
      </c>
      <c r="H15" s="130" t="str">
        <f t="shared" si="1"/>
        <v/>
      </c>
      <c r="I15" s="130" t="str">
        <f t="shared" si="1"/>
        <v/>
      </c>
      <c r="J15" s="130" t="str">
        <f t="shared" si="1"/>
        <v/>
      </c>
      <c r="K15" s="130" t="str">
        <f t="shared" si="1"/>
        <v/>
      </c>
      <c r="L15" s="130" t="str">
        <f t="shared" si="1"/>
        <v/>
      </c>
      <c r="M15" s="130" t="str">
        <f t="shared" si="1"/>
        <v/>
      </c>
      <c r="N15" s="130" t="str">
        <f t="shared" si="1"/>
        <v/>
      </c>
      <c r="O15" s="130" t="str">
        <f t="shared" si="1"/>
        <v/>
      </c>
      <c r="P15" s="130" t="str">
        <f t="shared" si="1"/>
        <v/>
      </c>
      <c r="Q15" s="130" t="str">
        <f t="shared" si="1"/>
        <v/>
      </c>
      <c r="R15" s="130" t="str">
        <f t="shared" si="1"/>
        <v/>
      </c>
      <c r="S15" s="130" t="str">
        <f t="shared" si="1"/>
        <v/>
      </c>
      <c r="T15" s="130" t="str">
        <f t="shared" si="1"/>
        <v/>
      </c>
      <c r="U15" s="130" t="str">
        <f t="shared" si="1"/>
        <v/>
      </c>
      <c r="V15" s="130" t="str">
        <f t="shared" si="1"/>
        <v/>
      </c>
      <c r="W15" s="130" t="str">
        <f t="shared" si="1"/>
        <v/>
      </c>
      <c r="X15" s="130" t="str">
        <f t="shared" si="1"/>
        <v/>
      </c>
      <c r="Y15" s="130" t="str">
        <f t="shared" si="1"/>
        <v/>
      </c>
      <c r="Z15" s="130" t="str">
        <f t="shared" si="1"/>
        <v/>
      </c>
      <c r="AA15" s="130" t="str">
        <f t="shared" si="1"/>
        <v/>
      </c>
      <c r="AB15" s="130" t="str">
        <f t="shared" si="1"/>
        <v/>
      </c>
      <c r="AC15" s="130" t="str">
        <f t="shared" si="1"/>
        <v/>
      </c>
      <c r="AD15" s="130" t="str">
        <f t="shared" si="1"/>
        <v/>
      </c>
    </row>
    <row r="16" spans="2:31" x14ac:dyDescent="0.25">
      <c r="B16" s="128" t="s">
        <v>1833</v>
      </c>
      <c r="C16" s="129" t="e">
        <f t="shared" si="2"/>
        <v>#DIV/0!</v>
      </c>
      <c r="D16" s="129" t="e">
        <f t="shared" si="3"/>
        <v>#DIV/0!</v>
      </c>
      <c r="E16" s="130" t="str">
        <f t="shared" si="4"/>
        <v/>
      </c>
      <c r="F16" s="130" t="str">
        <f t="shared" si="1"/>
        <v/>
      </c>
      <c r="G16" s="130" t="str">
        <f t="shared" si="1"/>
        <v/>
      </c>
      <c r="H16" s="130" t="str">
        <f t="shared" si="1"/>
        <v/>
      </c>
      <c r="I16" s="130" t="str">
        <f t="shared" si="1"/>
        <v/>
      </c>
      <c r="J16" s="130" t="str">
        <f t="shared" si="1"/>
        <v/>
      </c>
      <c r="K16" s="130" t="str">
        <f t="shared" si="1"/>
        <v/>
      </c>
      <c r="L16" s="130" t="str">
        <f t="shared" si="1"/>
        <v/>
      </c>
      <c r="M16" s="130" t="str">
        <f t="shared" si="1"/>
        <v/>
      </c>
      <c r="N16" s="130" t="str">
        <f t="shared" si="1"/>
        <v/>
      </c>
      <c r="O16" s="130" t="str">
        <f t="shared" si="1"/>
        <v/>
      </c>
      <c r="P16" s="130" t="str">
        <f t="shared" si="1"/>
        <v/>
      </c>
      <c r="Q16" s="130" t="str">
        <f t="shared" si="1"/>
        <v/>
      </c>
      <c r="R16" s="130" t="str">
        <f t="shared" si="1"/>
        <v/>
      </c>
      <c r="S16" s="130" t="str">
        <f t="shared" si="1"/>
        <v/>
      </c>
      <c r="T16" s="130" t="str">
        <f t="shared" si="1"/>
        <v/>
      </c>
      <c r="U16" s="130" t="str">
        <f t="shared" si="1"/>
        <v/>
      </c>
      <c r="V16" s="130" t="str">
        <f t="shared" si="1"/>
        <v/>
      </c>
      <c r="W16" s="130" t="str">
        <f t="shared" si="1"/>
        <v/>
      </c>
      <c r="X16" s="130" t="str">
        <f t="shared" si="1"/>
        <v/>
      </c>
      <c r="Y16" s="130" t="str">
        <f t="shared" si="1"/>
        <v/>
      </c>
      <c r="Z16" s="130" t="str">
        <f t="shared" si="1"/>
        <v/>
      </c>
      <c r="AA16" s="130" t="str">
        <f t="shared" si="1"/>
        <v/>
      </c>
      <c r="AB16" s="130" t="str">
        <f t="shared" si="1"/>
        <v/>
      </c>
      <c r="AC16" s="130" t="str">
        <f t="shared" si="1"/>
        <v/>
      </c>
      <c r="AD16" s="130" t="str">
        <f t="shared" si="1"/>
        <v/>
      </c>
    </row>
    <row r="18" spans="2:31" ht="12.75" customHeight="1" x14ac:dyDescent="0.25">
      <c r="B18" s="124" t="str">
        <f>UPPER("Gains réels")</f>
        <v>GAINS RÉELS</v>
      </c>
      <c r="C18" s="124"/>
      <c r="D18" s="124"/>
    </row>
    <row r="19" spans="2:31" ht="3.75" customHeight="1" x14ac:dyDescent="0.25">
      <c r="B19" s="124"/>
      <c r="C19" s="124"/>
      <c r="D19" s="124"/>
    </row>
    <row r="20" spans="2:31" ht="30" x14ac:dyDescent="0.25">
      <c r="B20" s="124"/>
      <c r="C20" s="125" t="s">
        <v>1826</v>
      </c>
      <c r="D20" s="125" t="s">
        <v>1827</v>
      </c>
      <c r="E20" s="126">
        <f>$C$4+1</f>
        <v>2025</v>
      </c>
      <c r="F20" s="126">
        <f>IF(E20&lt;$C$6-1,E20+1,"")</f>
        <v>2026</v>
      </c>
      <c r="G20" s="126">
        <f t="shared" ref="G20:AE20" si="5">IF(F20&lt;$C$6-1,F20+1,"")</f>
        <v>2027</v>
      </c>
      <c r="H20" s="126" t="str">
        <f t="shared" si="5"/>
        <v/>
      </c>
      <c r="I20" s="126" t="str">
        <f t="shared" si="5"/>
        <v/>
      </c>
      <c r="J20" s="126" t="str">
        <f t="shared" si="5"/>
        <v/>
      </c>
      <c r="K20" s="126" t="str">
        <f t="shared" si="5"/>
        <v/>
      </c>
      <c r="L20" s="126" t="str">
        <f t="shared" si="5"/>
        <v/>
      </c>
      <c r="M20" s="126" t="str">
        <f t="shared" si="5"/>
        <v/>
      </c>
      <c r="N20" s="126" t="str">
        <f t="shared" si="5"/>
        <v/>
      </c>
      <c r="O20" s="126" t="str">
        <f t="shared" si="5"/>
        <v/>
      </c>
      <c r="P20" s="126" t="str">
        <f t="shared" si="5"/>
        <v/>
      </c>
      <c r="Q20" s="126" t="str">
        <f t="shared" si="5"/>
        <v/>
      </c>
      <c r="R20" s="126" t="str">
        <f t="shared" si="5"/>
        <v/>
      </c>
      <c r="S20" s="126" t="str">
        <f t="shared" si="5"/>
        <v/>
      </c>
      <c r="T20" s="126" t="str">
        <f t="shared" si="5"/>
        <v/>
      </c>
      <c r="U20" s="126" t="str">
        <f t="shared" si="5"/>
        <v/>
      </c>
      <c r="V20" s="126" t="str">
        <f t="shared" si="5"/>
        <v/>
      </c>
      <c r="W20" s="126" t="str">
        <f t="shared" si="5"/>
        <v/>
      </c>
      <c r="X20" s="126" t="str">
        <f t="shared" si="5"/>
        <v/>
      </c>
      <c r="Y20" s="126" t="str">
        <f t="shared" si="5"/>
        <v/>
      </c>
      <c r="Z20" s="126" t="str">
        <f t="shared" si="5"/>
        <v/>
      </c>
      <c r="AA20" s="126" t="str">
        <f t="shared" si="5"/>
        <v/>
      </c>
      <c r="AB20" s="126" t="str">
        <f t="shared" si="5"/>
        <v/>
      </c>
      <c r="AC20" s="126" t="str">
        <f t="shared" si="5"/>
        <v/>
      </c>
      <c r="AD20" s="126" t="str">
        <f t="shared" si="5"/>
        <v/>
      </c>
      <c r="AE20" s="131" t="str">
        <f t="shared" si="5"/>
        <v/>
      </c>
    </row>
    <row r="21" spans="2:31" x14ac:dyDescent="0.25">
      <c r="B21" s="128" t="s">
        <v>1828</v>
      </c>
      <c r="C21" s="129">
        <f>SUM($E45,$E56,$E67,$E78,$E89,$E100,$E111,$E122,$E133,$E144)</f>
        <v>-27088.400188698728</v>
      </c>
      <c r="D21" s="129">
        <f>SUM($E21:$XFD21,$C21)</f>
        <v>-67721.000471746825</v>
      </c>
      <c r="E21" s="130">
        <f t="shared" ref="E21:T26" si="6">IFERROR($C21*(E$20-$C$4)/($C$6-$C$4),"")</f>
        <v>-6772.100047174682</v>
      </c>
      <c r="F21" s="130">
        <f t="shared" si="6"/>
        <v>-13544.200094349364</v>
      </c>
      <c r="G21" s="130">
        <f t="shared" si="6"/>
        <v>-20316.300141524047</v>
      </c>
      <c r="H21" s="130" t="str">
        <f t="shared" si="6"/>
        <v/>
      </c>
      <c r="I21" s="130" t="str">
        <f t="shared" si="6"/>
        <v/>
      </c>
      <c r="J21" s="130" t="str">
        <f t="shared" si="6"/>
        <v/>
      </c>
      <c r="K21" s="130" t="str">
        <f t="shared" si="6"/>
        <v/>
      </c>
      <c r="L21" s="130" t="str">
        <f t="shared" si="6"/>
        <v/>
      </c>
      <c r="M21" s="130" t="str">
        <f t="shared" si="6"/>
        <v/>
      </c>
      <c r="N21" s="130" t="str">
        <f t="shared" si="6"/>
        <v/>
      </c>
      <c r="O21" s="130" t="str">
        <f t="shared" si="6"/>
        <v/>
      </c>
      <c r="P21" s="130" t="str">
        <f t="shared" si="6"/>
        <v/>
      </c>
      <c r="Q21" s="130" t="str">
        <f t="shared" si="6"/>
        <v/>
      </c>
      <c r="R21" s="130" t="str">
        <f t="shared" si="6"/>
        <v/>
      </c>
      <c r="S21" s="130" t="str">
        <f t="shared" si="6"/>
        <v/>
      </c>
      <c r="T21" s="130" t="str">
        <f t="shared" si="6"/>
        <v/>
      </c>
      <c r="U21" s="130" t="str">
        <f t="shared" ref="O21:AD26" si="7">IFERROR($C21*(U$20-$C$4)/($C$6-$C$4),"")</f>
        <v/>
      </c>
      <c r="V21" s="130" t="str">
        <f t="shared" si="7"/>
        <v/>
      </c>
      <c r="W21" s="130" t="str">
        <f t="shared" si="7"/>
        <v/>
      </c>
      <c r="X21" s="130" t="str">
        <f t="shared" si="7"/>
        <v/>
      </c>
      <c r="Y21" s="130" t="str">
        <f t="shared" si="7"/>
        <v/>
      </c>
      <c r="Z21" s="130" t="str">
        <f t="shared" si="7"/>
        <v/>
      </c>
      <c r="AA21" s="130" t="str">
        <f t="shared" si="7"/>
        <v/>
      </c>
      <c r="AB21" s="130" t="str">
        <f t="shared" si="7"/>
        <v/>
      </c>
      <c r="AC21" s="130" t="str">
        <f t="shared" si="7"/>
        <v/>
      </c>
      <c r="AD21" s="130" t="str">
        <f t="shared" si="7"/>
        <v/>
      </c>
    </row>
    <row r="22" spans="2:31" x14ac:dyDescent="0.25">
      <c r="B22" s="128" t="s">
        <v>1829</v>
      </c>
      <c r="C22" s="129">
        <f t="shared" ref="C22:C26" si="8">SUM($E46,$E57,$E68,$E79,$E90,$E101,$E112,$E123,$E134,$E145)</f>
        <v>-1885.3014325880708</v>
      </c>
      <c r="D22" s="129">
        <f t="shared" ref="D22:D26" si="9">SUM($E22:$XFD22,$C22)</f>
        <v>-4713.2535814701769</v>
      </c>
      <c r="E22" s="130">
        <f t="shared" si="6"/>
        <v>-471.32535814701771</v>
      </c>
      <c r="F22" s="130">
        <f t="shared" si="6"/>
        <v>-942.65071629403542</v>
      </c>
      <c r="G22" s="130">
        <f t="shared" si="6"/>
        <v>-1413.9760744410532</v>
      </c>
      <c r="H22" s="130" t="str">
        <f t="shared" si="6"/>
        <v/>
      </c>
      <c r="I22" s="130" t="str">
        <f t="shared" si="6"/>
        <v/>
      </c>
      <c r="J22" s="130" t="str">
        <f t="shared" si="6"/>
        <v/>
      </c>
      <c r="K22" s="130" t="str">
        <f t="shared" si="6"/>
        <v/>
      </c>
      <c r="L22" s="130" t="str">
        <f t="shared" si="6"/>
        <v/>
      </c>
      <c r="M22" s="130" t="str">
        <f t="shared" si="6"/>
        <v/>
      </c>
      <c r="N22" s="130" t="str">
        <f t="shared" si="6"/>
        <v/>
      </c>
      <c r="O22" s="130" t="str">
        <f t="shared" si="7"/>
        <v/>
      </c>
      <c r="P22" s="130" t="str">
        <f t="shared" si="7"/>
        <v/>
      </c>
      <c r="Q22" s="130" t="str">
        <f t="shared" si="7"/>
        <v/>
      </c>
      <c r="R22" s="130" t="str">
        <f t="shared" si="7"/>
        <v/>
      </c>
      <c r="S22" s="130" t="str">
        <f t="shared" si="7"/>
        <v/>
      </c>
      <c r="T22" s="130" t="str">
        <f t="shared" si="7"/>
        <v/>
      </c>
      <c r="U22" s="130" t="str">
        <f t="shared" si="7"/>
        <v/>
      </c>
      <c r="V22" s="130" t="str">
        <f t="shared" si="7"/>
        <v/>
      </c>
      <c r="W22" s="130" t="str">
        <f t="shared" si="7"/>
        <v/>
      </c>
      <c r="X22" s="130" t="str">
        <f t="shared" si="7"/>
        <v/>
      </c>
      <c r="Y22" s="130" t="str">
        <f t="shared" si="7"/>
        <v/>
      </c>
      <c r="Z22" s="130" t="str">
        <f t="shared" si="7"/>
        <v/>
      </c>
      <c r="AA22" s="130" t="str">
        <f t="shared" si="7"/>
        <v/>
      </c>
      <c r="AB22" s="130" t="str">
        <f t="shared" si="7"/>
        <v/>
      </c>
      <c r="AC22" s="130" t="str">
        <f t="shared" si="7"/>
        <v/>
      </c>
      <c r="AD22" s="130" t="str">
        <f t="shared" si="7"/>
        <v/>
      </c>
    </row>
    <row r="23" spans="2:31" x14ac:dyDescent="0.25">
      <c r="B23" s="128" t="s">
        <v>1830</v>
      </c>
      <c r="C23" s="129">
        <f t="shared" si="8"/>
        <v>-4736.2518844084916</v>
      </c>
      <c r="D23" s="129">
        <f t="shared" si="9"/>
        <v>-11840.629711021229</v>
      </c>
      <c r="E23" s="130">
        <f t="shared" si="6"/>
        <v>-1184.0629711021229</v>
      </c>
      <c r="F23" s="130">
        <f t="shared" si="6"/>
        <v>-2368.1259422042458</v>
      </c>
      <c r="G23" s="130">
        <f t="shared" si="6"/>
        <v>-3552.1889133063687</v>
      </c>
      <c r="H23" s="130" t="str">
        <f t="shared" si="6"/>
        <v/>
      </c>
      <c r="I23" s="130" t="str">
        <f t="shared" si="6"/>
        <v/>
      </c>
      <c r="J23" s="130" t="str">
        <f t="shared" si="6"/>
        <v/>
      </c>
      <c r="K23" s="130" t="str">
        <f t="shared" si="6"/>
        <v/>
      </c>
      <c r="L23" s="130" t="str">
        <f t="shared" si="6"/>
        <v/>
      </c>
      <c r="M23" s="130" t="str">
        <f t="shared" si="6"/>
        <v/>
      </c>
      <c r="N23" s="130" t="str">
        <f t="shared" si="6"/>
        <v/>
      </c>
      <c r="O23" s="130" t="str">
        <f t="shared" si="7"/>
        <v/>
      </c>
      <c r="P23" s="130" t="str">
        <f t="shared" si="7"/>
        <v/>
      </c>
      <c r="Q23" s="130" t="str">
        <f t="shared" si="7"/>
        <v/>
      </c>
      <c r="R23" s="130" t="str">
        <f t="shared" si="7"/>
        <v/>
      </c>
      <c r="S23" s="130" t="str">
        <f t="shared" si="7"/>
        <v/>
      </c>
      <c r="T23" s="130" t="str">
        <f t="shared" si="7"/>
        <v/>
      </c>
      <c r="U23" s="130" t="str">
        <f t="shared" si="7"/>
        <v/>
      </c>
      <c r="V23" s="130" t="str">
        <f t="shared" si="7"/>
        <v/>
      </c>
      <c r="W23" s="130" t="str">
        <f t="shared" si="7"/>
        <v/>
      </c>
      <c r="X23" s="130" t="str">
        <f t="shared" si="7"/>
        <v/>
      </c>
      <c r="Y23" s="130" t="str">
        <f t="shared" si="7"/>
        <v/>
      </c>
      <c r="Z23" s="130" t="str">
        <f t="shared" si="7"/>
        <v/>
      </c>
      <c r="AA23" s="130" t="str">
        <f t="shared" si="7"/>
        <v/>
      </c>
      <c r="AB23" s="130" t="str">
        <f t="shared" si="7"/>
        <v/>
      </c>
      <c r="AC23" s="130" t="str">
        <f t="shared" si="7"/>
        <v/>
      </c>
      <c r="AD23" s="130" t="str">
        <f t="shared" si="7"/>
        <v/>
      </c>
    </row>
    <row r="24" spans="2:31" x14ac:dyDescent="0.25">
      <c r="B24" s="128" t="s">
        <v>1831</v>
      </c>
      <c r="C24" s="129">
        <f t="shared" si="8"/>
        <v>-121351.78232981474</v>
      </c>
      <c r="D24" s="129">
        <f t="shared" si="9"/>
        <v>-303379.45582453685</v>
      </c>
      <c r="E24" s="130">
        <f t="shared" si="6"/>
        <v>-30337.945582453685</v>
      </c>
      <c r="F24" s="130">
        <f t="shared" si="6"/>
        <v>-60675.891164907371</v>
      </c>
      <c r="G24" s="130">
        <f t="shared" si="6"/>
        <v>-91013.836747361056</v>
      </c>
      <c r="H24" s="130" t="str">
        <f t="shared" si="6"/>
        <v/>
      </c>
      <c r="I24" s="130" t="str">
        <f t="shared" si="6"/>
        <v/>
      </c>
      <c r="J24" s="130" t="str">
        <f t="shared" si="6"/>
        <v/>
      </c>
      <c r="K24" s="130" t="str">
        <f t="shared" si="6"/>
        <v/>
      </c>
      <c r="L24" s="130" t="str">
        <f t="shared" si="6"/>
        <v/>
      </c>
      <c r="M24" s="130" t="str">
        <f t="shared" si="6"/>
        <v/>
      </c>
      <c r="N24" s="130" t="str">
        <f t="shared" si="6"/>
        <v/>
      </c>
      <c r="O24" s="130" t="str">
        <f t="shared" si="7"/>
        <v/>
      </c>
      <c r="P24" s="130" t="str">
        <f t="shared" si="7"/>
        <v/>
      </c>
      <c r="Q24" s="130" t="str">
        <f t="shared" si="7"/>
        <v/>
      </c>
      <c r="R24" s="130" t="str">
        <f t="shared" si="7"/>
        <v/>
      </c>
      <c r="S24" s="130" t="str">
        <f t="shared" si="7"/>
        <v/>
      </c>
      <c r="T24" s="130" t="str">
        <f t="shared" si="7"/>
        <v/>
      </c>
      <c r="U24" s="130" t="str">
        <f t="shared" si="7"/>
        <v/>
      </c>
      <c r="V24" s="130" t="str">
        <f t="shared" si="7"/>
        <v/>
      </c>
      <c r="W24" s="130" t="str">
        <f t="shared" si="7"/>
        <v/>
      </c>
      <c r="X24" s="130" t="str">
        <f t="shared" si="7"/>
        <v/>
      </c>
      <c r="Y24" s="130" t="str">
        <f t="shared" si="7"/>
        <v/>
      </c>
      <c r="Z24" s="130" t="str">
        <f t="shared" si="7"/>
        <v/>
      </c>
      <c r="AA24" s="130" t="str">
        <f t="shared" si="7"/>
        <v/>
      </c>
      <c r="AB24" s="130" t="str">
        <f t="shared" si="7"/>
        <v/>
      </c>
      <c r="AC24" s="130" t="str">
        <f t="shared" si="7"/>
        <v/>
      </c>
      <c r="AD24" s="130" t="str">
        <f t="shared" si="7"/>
        <v/>
      </c>
    </row>
    <row r="25" spans="2:31" x14ac:dyDescent="0.25">
      <c r="B25" s="128" t="s">
        <v>1832</v>
      </c>
      <c r="C25" s="129">
        <f t="shared" si="8"/>
        <v>-27615.55310486897</v>
      </c>
      <c r="D25" s="129">
        <f t="shared" si="9"/>
        <v>-69038.882762172419</v>
      </c>
      <c r="E25" s="130">
        <f t="shared" si="6"/>
        <v>-6903.8882762172425</v>
      </c>
      <c r="F25" s="130">
        <f t="shared" si="6"/>
        <v>-13807.776552434485</v>
      </c>
      <c r="G25" s="130">
        <f t="shared" si="6"/>
        <v>-20711.664828651727</v>
      </c>
      <c r="H25" s="130" t="str">
        <f t="shared" si="6"/>
        <v/>
      </c>
      <c r="I25" s="130" t="str">
        <f t="shared" si="6"/>
        <v/>
      </c>
      <c r="J25" s="130" t="str">
        <f t="shared" si="6"/>
        <v/>
      </c>
      <c r="K25" s="130" t="str">
        <f t="shared" si="6"/>
        <v/>
      </c>
      <c r="L25" s="130" t="str">
        <f t="shared" si="6"/>
        <v/>
      </c>
      <c r="M25" s="130" t="str">
        <f t="shared" si="6"/>
        <v/>
      </c>
      <c r="N25" s="130" t="str">
        <f t="shared" si="6"/>
        <v/>
      </c>
      <c r="O25" s="130" t="str">
        <f t="shared" si="7"/>
        <v/>
      </c>
      <c r="P25" s="130" t="str">
        <f t="shared" si="7"/>
        <v/>
      </c>
      <c r="Q25" s="130" t="str">
        <f t="shared" si="7"/>
        <v/>
      </c>
      <c r="R25" s="130" t="str">
        <f t="shared" si="7"/>
        <v/>
      </c>
      <c r="S25" s="130" t="str">
        <f t="shared" si="7"/>
        <v/>
      </c>
      <c r="T25" s="130" t="str">
        <f t="shared" si="7"/>
        <v/>
      </c>
      <c r="U25" s="130" t="str">
        <f t="shared" si="7"/>
        <v/>
      </c>
      <c r="V25" s="130" t="str">
        <f t="shared" si="7"/>
        <v/>
      </c>
      <c r="W25" s="130" t="str">
        <f t="shared" si="7"/>
        <v/>
      </c>
      <c r="X25" s="130" t="str">
        <f t="shared" si="7"/>
        <v/>
      </c>
      <c r="Y25" s="130" t="str">
        <f t="shared" si="7"/>
        <v/>
      </c>
      <c r="Z25" s="130" t="str">
        <f t="shared" si="7"/>
        <v/>
      </c>
      <c r="AA25" s="130" t="str">
        <f t="shared" si="7"/>
        <v/>
      </c>
      <c r="AB25" s="130" t="str">
        <f t="shared" si="7"/>
        <v/>
      </c>
      <c r="AC25" s="130" t="str">
        <f t="shared" si="7"/>
        <v/>
      </c>
      <c r="AD25" s="130" t="str">
        <f t="shared" si="7"/>
        <v/>
      </c>
    </row>
    <row r="26" spans="2:31" x14ac:dyDescent="0.25">
      <c r="B26" s="128" t="s">
        <v>1833</v>
      </c>
      <c r="C26" s="129" t="e">
        <f t="shared" si="8"/>
        <v>#DIV/0!</v>
      </c>
      <c r="D26" s="129" t="e">
        <f t="shared" si="9"/>
        <v>#DIV/0!</v>
      </c>
      <c r="E26" s="130" t="str">
        <f t="shared" si="6"/>
        <v/>
      </c>
      <c r="F26" s="130" t="str">
        <f t="shared" si="6"/>
        <v/>
      </c>
      <c r="G26" s="130" t="str">
        <f t="shared" si="6"/>
        <v/>
      </c>
      <c r="H26" s="130" t="str">
        <f t="shared" si="6"/>
        <v/>
      </c>
      <c r="I26" s="130" t="str">
        <f t="shared" si="6"/>
        <v/>
      </c>
      <c r="J26" s="130" t="str">
        <f t="shared" si="6"/>
        <v/>
      </c>
      <c r="K26" s="130" t="str">
        <f t="shared" si="6"/>
        <v/>
      </c>
      <c r="L26" s="130" t="str">
        <f t="shared" si="6"/>
        <v/>
      </c>
      <c r="M26" s="130" t="str">
        <f t="shared" si="6"/>
        <v/>
      </c>
      <c r="N26" s="130" t="str">
        <f t="shared" si="6"/>
        <v/>
      </c>
      <c r="O26" s="130" t="str">
        <f t="shared" si="7"/>
        <v/>
      </c>
      <c r="P26" s="130" t="str">
        <f t="shared" si="7"/>
        <v/>
      </c>
      <c r="Q26" s="130" t="str">
        <f t="shared" si="7"/>
        <v/>
      </c>
      <c r="R26" s="130" t="str">
        <f t="shared" si="7"/>
        <v/>
      </c>
      <c r="S26" s="130" t="str">
        <f t="shared" si="7"/>
        <v/>
      </c>
      <c r="T26" s="130" t="str">
        <f t="shared" si="7"/>
        <v/>
      </c>
      <c r="U26" s="130" t="str">
        <f t="shared" si="7"/>
        <v/>
      </c>
      <c r="V26" s="130" t="str">
        <f t="shared" si="7"/>
        <v/>
      </c>
      <c r="W26" s="130" t="str">
        <f t="shared" si="7"/>
        <v/>
      </c>
      <c r="X26" s="130" t="str">
        <f t="shared" si="7"/>
        <v/>
      </c>
      <c r="Y26" s="130" t="str">
        <f t="shared" si="7"/>
        <v/>
      </c>
      <c r="Z26" s="130" t="str">
        <f t="shared" si="7"/>
        <v/>
      </c>
      <c r="AA26" s="130" t="str">
        <f t="shared" si="7"/>
        <v/>
      </c>
      <c r="AB26" s="130" t="str">
        <f t="shared" si="7"/>
        <v/>
      </c>
      <c r="AC26" s="130" t="str">
        <f t="shared" si="7"/>
        <v/>
      </c>
      <c r="AD26" s="130" t="str">
        <f t="shared" si="7"/>
        <v/>
      </c>
    </row>
    <row r="28" spans="2:31" x14ac:dyDescent="0.25">
      <c r="B28" s="132" t="str">
        <f>UPPER("écart entre gains réels et gains prévisionnels")</f>
        <v>ÉCART ENTRE GAINS RÉELS ET GAINS PRÉVISIONNELS</v>
      </c>
    </row>
    <row r="29" spans="2:31" ht="3.75" customHeight="1" x14ac:dyDescent="0.25"/>
    <row r="30" spans="2:31" x14ac:dyDescent="0.25">
      <c r="C30" s="125" t="s">
        <v>1834</v>
      </c>
      <c r="D30" s="125" t="s">
        <v>1835</v>
      </c>
    </row>
    <row r="31" spans="2:31" x14ac:dyDescent="0.25">
      <c r="B31" s="128" t="s">
        <v>1828</v>
      </c>
      <c r="C31" s="133">
        <f t="shared" ref="C31:C36" si="10">D21-D11</f>
        <v>-32192.240167081094</v>
      </c>
      <c r="D31" s="134">
        <f t="shared" ref="D31:D36" si="11">C31/D11</f>
        <v>0.90608959870895134</v>
      </c>
    </row>
    <row r="32" spans="2:31" x14ac:dyDescent="0.25">
      <c r="B32" s="128" t="s">
        <v>1829</v>
      </c>
      <c r="C32" s="133">
        <f t="shared" si="10"/>
        <v>-3605.247304554121</v>
      </c>
      <c r="D32" s="134">
        <f t="shared" si="11"/>
        <v>3.25381487421597</v>
      </c>
    </row>
    <row r="33" spans="2:15" x14ac:dyDescent="0.25">
      <c r="B33" s="128" t="s">
        <v>1830</v>
      </c>
      <c r="C33" s="133">
        <f t="shared" si="10"/>
        <v>-10124.008772130706</v>
      </c>
      <c r="D33" s="134">
        <f t="shared" si="11"/>
        <v>5.8976379366978939</v>
      </c>
    </row>
    <row r="34" spans="2:15" x14ac:dyDescent="0.25">
      <c r="B34" s="128" t="s">
        <v>1831</v>
      </c>
      <c r="C34" s="133">
        <f t="shared" si="10"/>
        <v>-254538.92163533691</v>
      </c>
      <c r="D34" s="134">
        <f t="shared" si="11"/>
        <v>5.2116326297598699</v>
      </c>
    </row>
    <row r="35" spans="2:15" x14ac:dyDescent="0.25">
      <c r="B35" s="128" t="s">
        <v>1832</v>
      </c>
      <c r="C35" s="133">
        <f t="shared" si="10"/>
        <v>-56840.005022787438</v>
      </c>
      <c r="D35" s="134">
        <f t="shared" si="11"/>
        <v>4.6594454208910765</v>
      </c>
    </row>
    <row r="36" spans="2:15" x14ac:dyDescent="0.25">
      <c r="B36" s="128" t="s">
        <v>1833</v>
      </c>
      <c r="C36" s="133" t="e">
        <f t="shared" si="10"/>
        <v>#DIV/0!</v>
      </c>
      <c r="D36" s="134" t="e">
        <f t="shared" si="11"/>
        <v>#DIV/0!</v>
      </c>
    </row>
    <row r="39" spans="2:15" x14ac:dyDescent="0.25">
      <c r="B39" s="116" t="str">
        <f>UPPER("Gains action par action")</f>
        <v>GAINS ACTION PAR ACTION</v>
      </c>
      <c r="C39" s="116"/>
      <c r="D39" s="116"/>
      <c r="E39" s="117"/>
      <c r="F39" s="117"/>
      <c r="G39" s="118"/>
      <c r="H39" s="119"/>
      <c r="I39" s="119"/>
      <c r="J39" s="119"/>
      <c r="K39" s="118"/>
      <c r="L39" s="118"/>
      <c r="M39" s="118"/>
      <c r="N39" s="127"/>
      <c r="O39" s="127"/>
    </row>
    <row r="41" spans="2:15" ht="21" x14ac:dyDescent="0.25">
      <c r="B41" s="135" t="s">
        <v>188</v>
      </c>
      <c r="C41" s="135"/>
      <c r="D41" s="135"/>
    </row>
    <row r="42" spans="2:15" ht="15" customHeight="1" x14ac:dyDescent="0.25">
      <c r="B42" s="135"/>
      <c r="C42" s="135"/>
      <c r="D42" s="135"/>
    </row>
    <row r="43" spans="2:15" x14ac:dyDescent="0.25">
      <c r="B43" s="136" t="s">
        <v>1857</v>
      </c>
      <c r="C43" s="137" t="s">
        <v>1858</v>
      </c>
      <c r="D43" s="138">
        <v>0</v>
      </c>
      <c r="E43" s="137" t="s">
        <v>1859</v>
      </c>
      <c r="F43" s="138">
        <v>0</v>
      </c>
      <c r="G43" s="120">
        <v>0</v>
      </c>
    </row>
    <row r="44" spans="2:15" ht="15" customHeight="1" x14ac:dyDescent="0.25">
      <c r="B44" s="120">
        <v>0</v>
      </c>
      <c r="C44" s="139" t="s">
        <v>1860</v>
      </c>
      <c r="D44" s="140" t="s">
        <v>1861</v>
      </c>
      <c r="E44" s="139" t="s">
        <v>1860</v>
      </c>
      <c r="F44" s="140" t="s">
        <v>1861</v>
      </c>
      <c r="G44" s="120">
        <v>0</v>
      </c>
    </row>
    <row r="45" spans="2:15" x14ac:dyDescent="0.25">
      <c r="B45" s="141" t="s">
        <v>1862</v>
      </c>
      <c r="C45" s="142">
        <v>-1.7612678279138301</v>
      </c>
      <c r="D45" s="143">
        <v>-0.35200000000000004</v>
      </c>
      <c r="E45" s="142">
        <v>-3.5523138909463148</v>
      </c>
      <c r="F45" s="143">
        <v>-0.71199999999999974</v>
      </c>
      <c r="G45" s="120" t="s">
        <v>1844</v>
      </c>
    </row>
    <row r="46" spans="2:15" x14ac:dyDescent="0.25">
      <c r="B46" s="141" t="s">
        <v>1863</v>
      </c>
      <c r="C46" s="144">
        <v>-0.11071542959446212</v>
      </c>
      <c r="D46" s="145">
        <v>-0.35199999999999904</v>
      </c>
      <c r="E46" s="144">
        <v>-0.22361545383145343</v>
      </c>
      <c r="F46" s="145">
        <v>-0.71199999999999963</v>
      </c>
      <c r="G46" s="120" t="s">
        <v>1846</v>
      </c>
    </row>
    <row r="47" spans="2:15" x14ac:dyDescent="0.25">
      <c r="B47" s="141" t="s">
        <v>1864</v>
      </c>
      <c r="C47" s="144">
        <v>-1.4543779657091829</v>
      </c>
      <c r="D47" s="145">
        <v>-0.35199999999999848</v>
      </c>
      <c r="E47" s="144">
        <v>-2.9425685358835381</v>
      </c>
      <c r="F47" s="145">
        <v>-0.71199999999999986</v>
      </c>
      <c r="G47" s="120" t="s">
        <v>1848</v>
      </c>
    </row>
    <row r="48" spans="2:15" x14ac:dyDescent="0.25">
      <c r="B48" s="141" t="s">
        <v>1865</v>
      </c>
      <c r="C48" s="144">
        <v>-4.9445449803500736</v>
      </c>
      <c r="D48" s="145">
        <v>-0.35199999999999887</v>
      </c>
      <c r="E48" s="144">
        <v>-9.9349618362363969</v>
      </c>
      <c r="F48" s="145">
        <v>-0.71200000000000008</v>
      </c>
      <c r="G48" s="120" t="s">
        <v>1852</v>
      </c>
    </row>
    <row r="49" spans="2:7" x14ac:dyDescent="0.25">
      <c r="B49" s="141" t="s">
        <v>1866</v>
      </c>
      <c r="C49" s="144">
        <v>-35.763114368954689</v>
      </c>
      <c r="D49" s="145">
        <v>-0.35199999999999904</v>
      </c>
      <c r="E49" s="144">
        <v>-72.334430502839098</v>
      </c>
      <c r="F49" s="145">
        <v>-0.71199999999999986</v>
      </c>
      <c r="G49" s="120" t="s">
        <v>1850</v>
      </c>
    </row>
    <row r="50" spans="2:7" x14ac:dyDescent="0.25">
      <c r="B50" s="141" t="s">
        <v>1867</v>
      </c>
      <c r="C50" s="146" t="e">
        <v>#DIV/0!</v>
      </c>
      <c r="D50" s="147" t="e">
        <v>#DIV/0!</v>
      </c>
      <c r="E50" s="146" t="e">
        <v>#DIV/0!</v>
      </c>
      <c r="F50" s="147" t="e">
        <v>#DIV/0!</v>
      </c>
      <c r="G50" s="120" t="s">
        <v>1855</v>
      </c>
    </row>
    <row r="52" spans="2:7" ht="21" x14ac:dyDescent="0.25">
      <c r="B52" s="135" t="s">
        <v>212</v>
      </c>
      <c r="C52" s="135"/>
      <c r="D52" s="135"/>
    </row>
    <row r="54" spans="2:7" x14ac:dyDescent="0.25">
      <c r="B54" s="136">
        <v>0</v>
      </c>
      <c r="C54" s="148" t="s">
        <v>1838</v>
      </c>
      <c r="D54" s="138" t="s">
        <v>1839</v>
      </c>
      <c r="E54" s="148" t="s">
        <v>1840</v>
      </c>
      <c r="F54" s="138" t="s">
        <v>1841</v>
      </c>
      <c r="G54" s="120">
        <v>0</v>
      </c>
    </row>
    <row r="55" spans="2:7" x14ac:dyDescent="0.25">
      <c r="B55" s="120" t="s">
        <v>1856</v>
      </c>
      <c r="C55" s="149">
        <v>0</v>
      </c>
      <c r="D55" s="140">
        <v>0</v>
      </c>
      <c r="E55" s="139">
        <v>0</v>
      </c>
      <c r="F55" s="140">
        <v>0</v>
      </c>
      <c r="G55" s="120">
        <v>0</v>
      </c>
    </row>
    <row r="56" spans="2:7" x14ac:dyDescent="0.25">
      <c r="B56" s="141" t="s">
        <v>1843</v>
      </c>
      <c r="C56" s="150">
        <v>-221.82750614469896</v>
      </c>
      <c r="D56" s="151">
        <v>-0.57102830187427744</v>
      </c>
      <c r="E56" s="142">
        <v>-303.77055533043182</v>
      </c>
      <c r="F56" s="143">
        <v>-0.78196607528280582</v>
      </c>
      <c r="G56" s="120" t="s">
        <v>1844</v>
      </c>
    </row>
    <row r="57" spans="2:7" x14ac:dyDescent="0.25">
      <c r="B57" s="141" t="s">
        <v>1845</v>
      </c>
      <c r="C57" s="152">
        <v>-28.054295099970325</v>
      </c>
      <c r="D57" s="153">
        <v>-0.81560956084312497</v>
      </c>
      <c r="E57" s="144">
        <v>-28.091533035020923</v>
      </c>
      <c r="F57" s="145">
        <v>-0.81669216212557005</v>
      </c>
      <c r="G57" s="120" t="s">
        <v>1846</v>
      </c>
    </row>
    <row r="58" spans="2:7" x14ac:dyDescent="0.25">
      <c r="B58" s="141" t="s">
        <v>1847</v>
      </c>
      <c r="C58" s="152">
        <v>-66.511864143570719</v>
      </c>
      <c r="D58" s="153">
        <v>-0.82057430236999962</v>
      </c>
      <c r="E58" s="144">
        <v>-65.738375228644784</v>
      </c>
      <c r="F58" s="145">
        <v>-0.81103156687567912</v>
      </c>
      <c r="G58" s="120" t="s">
        <v>1848</v>
      </c>
    </row>
    <row r="59" spans="2:7" x14ac:dyDescent="0.25">
      <c r="B59" s="141" t="s">
        <v>1849</v>
      </c>
      <c r="C59" s="152">
        <v>-331.81158672082154</v>
      </c>
      <c r="D59" s="153">
        <v>-0.67826284120382785</v>
      </c>
      <c r="E59" s="144">
        <v>-338.59829540085678</v>
      </c>
      <c r="F59" s="145">
        <v>-0.69213569102572503</v>
      </c>
      <c r="G59" s="120" t="s">
        <v>1850</v>
      </c>
    </row>
    <row r="60" spans="2:7" x14ac:dyDescent="0.25">
      <c r="B60" s="141" t="s">
        <v>1851</v>
      </c>
      <c r="C60" s="152">
        <v>-1243.4547043672512</v>
      </c>
      <c r="D60" s="153">
        <v>-0.55057346946791164</v>
      </c>
      <c r="E60" s="144">
        <v>-1595.5759012110416</v>
      </c>
      <c r="F60" s="145">
        <v>-0.70648472891192315</v>
      </c>
      <c r="G60" s="120" t="s">
        <v>1852</v>
      </c>
    </row>
    <row r="61" spans="2:7" x14ac:dyDescent="0.25">
      <c r="B61" s="141" t="s">
        <v>1853</v>
      </c>
      <c r="C61" s="154" t="e">
        <v>#DIV/0!</v>
      </c>
      <c r="D61" s="155" t="s">
        <v>1854</v>
      </c>
      <c r="E61" s="146" t="e">
        <v>#DIV/0!</v>
      </c>
      <c r="F61" s="147" t="s">
        <v>1854</v>
      </c>
      <c r="G61" s="120" t="s">
        <v>1855</v>
      </c>
    </row>
    <row r="63" spans="2:7" ht="21" x14ac:dyDescent="0.25">
      <c r="B63" s="135" t="s">
        <v>220</v>
      </c>
      <c r="C63" s="135"/>
      <c r="D63" s="135"/>
    </row>
    <row r="65" spans="2:7" x14ac:dyDescent="0.25">
      <c r="B65" s="136">
        <v>0</v>
      </c>
      <c r="C65" s="148" t="s">
        <v>1838</v>
      </c>
      <c r="D65" s="138" t="s">
        <v>1839</v>
      </c>
      <c r="E65" s="148" t="s">
        <v>1840</v>
      </c>
      <c r="F65" s="138" t="s">
        <v>1841</v>
      </c>
      <c r="G65" s="120">
        <v>0</v>
      </c>
    </row>
    <row r="66" spans="2:7" x14ac:dyDescent="0.25">
      <c r="B66" s="120" t="s">
        <v>1842</v>
      </c>
      <c r="C66" s="149">
        <v>0</v>
      </c>
      <c r="D66" s="140">
        <v>0</v>
      </c>
      <c r="E66" s="139">
        <v>0</v>
      </c>
      <c r="F66" s="140">
        <v>0</v>
      </c>
      <c r="G66" s="120">
        <v>0</v>
      </c>
    </row>
    <row r="67" spans="2:7" x14ac:dyDescent="0.25">
      <c r="B67" s="141" t="s">
        <v>1843</v>
      </c>
      <c r="C67" s="150">
        <v>-34.091907759482581</v>
      </c>
      <c r="D67" s="151">
        <v>-9.9999999999999867E-2</v>
      </c>
      <c r="E67" s="142">
        <v>-146.44534949816509</v>
      </c>
      <c r="F67" s="143">
        <v>-1</v>
      </c>
      <c r="G67" s="120" t="s">
        <v>1844</v>
      </c>
    </row>
    <row r="68" spans="2:7" x14ac:dyDescent="0.25">
      <c r="B68" s="141" t="s">
        <v>1845</v>
      </c>
      <c r="C68" s="152">
        <v>-2.8132450424169164</v>
      </c>
      <c r="D68" s="153">
        <v>-9.9999999999999908E-2</v>
      </c>
      <c r="E68" s="144">
        <v>-8.8044673660583523</v>
      </c>
      <c r="F68" s="145">
        <v>-1</v>
      </c>
      <c r="G68" s="120" t="s">
        <v>1846</v>
      </c>
    </row>
    <row r="69" spans="2:7" x14ac:dyDescent="0.25">
      <c r="B69" s="141" t="s">
        <v>1847</v>
      </c>
      <c r="C69" s="152">
        <v>-5.8573253763138382</v>
      </c>
      <c r="D69" s="153">
        <v>-0.10000000000000005</v>
      </c>
      <c r="E69" s="144">
        <v>-20.700606122133021</v>
      </c>
      <c r="F69" s="145">
        <v>-1</v>
      </c>
      <c r="G69" s="120" t="s">
        <v>1848</v>
      </c>
    </row>
    <row r="70" spans="2:7" x14ac:dyDescent="0.25">
      <c r="B70" s="141" t="s">
        <v>1849</v>
      </c>
      <c r="C70" s="152">
        <v>-38.840913971296004</v>
      </c>
      <c r="D70" s="153">
        <v>-9.9999999999999881E-2</v>
      </c>
      <c r="E70" s="144">
        <v>-206.06283072506278</v>
      </c>
      <c r="F70" s="145">
        <v>-1</v>
      </c>
      <c r="G70" s="120" t="s">
        <v>1850</v>
      </c>
    </row>
    <row r="71" spans="2:7" x14ac:dyDescent="0.25">
      <c r="B71" s="141" t="s">
        <v>1851</v>
      </c>
      <c r="C71" s="152">
        <v>-201.90910905161604</v>
      </c>
      <c r="D71" s="153">
        <v>-9.9999999999999881E-2</v>
      </c>
      <c r="E71" s="144">
        <v>-876.03917324178428</v>
      </c>
      <c r="F71" s="145">
        <v>-1</v>
      </c>
      <c r="G71" s="120" t="s">
        <v>1852</v>
      </c>
    </row>
    <row r="72" spans="2:7" x14ac:dyDescent="0.25">
      <c r="B72" s="141" t="s">
        <v>1853</v>
      </c>
      <c r="C72" s="154" t="e">
        <v>#DIV/0!</v>
      </c>
      <c r="D72" s="155" t="s">
        <v>1854</v>
      </c>
      <c r="E72" s="146" t="e">
        <v>#DIV/0!</v>
      </c>
      <c r="F72" s="147" t="s">
        <v>1854</v>
      </c>
      <c r="G72" s="120" t="s">
        <v>1855</v>
      </c>
    </row>
    <row r="74" spans="2:7" ht="21" x14ac:dyDescent="0.25">
      <c r="B74" s="135" t="s">
        <v>1836</v>
      </c>
      <c r="C74" s="135"/>
      <c r="D74" s="135"/>
    </row>
    <row r="76" spans="2:7" x14ac:dyDescent="0.25">
      <c r="B76" s="136">
        <v>0</v>
      </c>
      <c r="C76" s="148" t="s">
        <v>1838</v>
      </c>
      <c r="D76" s="138" t="s">
        <v>1839</v>
      </c>
      <c r="E76" s="148" t="s">
        <v>1840</v>
      </c>
      <c r="F76" s="138" t="s">
        <v>1841</v>
      </c>
      <c r="G76" s="120">
        <v>0</v>
      </c>
    </row>
    <row r="77" spans="2:7" x14ac:dyDescent="0.25">
      <c r="B77" s="120" t="s">
        <v>1842</v>
      </c>
      <c r="C77" s="149">
        <v>0</v>
      </c>
      <c r="D77" s="140">
        <v>0</v>
      </c>
      <c r="E77" s="139">
        <v>0</v>
      </c>
      <c r="F77" s="140">
        <v>0</v>
      </c>
      <c r="G77" s="120">
        <v>0</v>
      </c>
    </row>
    <row r="78" spans="2:7" x14ac:dyDescent="0.25">
      <c r="B78" s="141" t="s">
        <v>1843</v>
      </c>
      <c r="C78" s="150">
        <v>-0.55775458819499912</v>
      </c>
      <c r="D78" s="151">
        <v>-1.4079871109580102E-3</v>
      </c>
      <c r="E78" s="142">
        <v>0.28894296562952515</v>
      </c>
      <c r="F78" s="143">
        <v>7.2940318200685381E-4</v>
      </c>
      <c r="G78" s="120" t="s">
        <v>1844</v>
      </c>
    </row>
    <row r="79" spans="2:7" x14ac:dyDescent="0.25">
      <c r="B79" s="141" t="s">
        <v>1845</v>
      </c>
      <c r="C79" s="152">
        <v>-203.17619048833632</v>
      </c>
      <c r="D79" s="153">
        <v>-5.9777641106250901</v>
      </c>
      <c r="E79" s="144">
        <v>-232.01801719236559</v>
      </c>
      <c r="F79" s="145">
        <v>-6.8263361610303361</v>
      </c>
      <c r="G79" s="120" t="s">
        <v>1846</v>
      </c>
    </row>
    <row r="80" spans="2:7" x14ac:dyDescent="0.25">
      <c r="B80" s="141" t="s">
        <v>1847</v>
      </c>
      <c r="C80" s="152">
        <v>-34.881585323245076</v>
      </c>
      <c r="D80" s="153">
        <v>-0.43538340057206143</v>
      </c>
      <c r="E80" s="144">
        <v>-42.158946906577782</v>
      </c>
      <c r="F80" s="145">
        <v>-0.52621764460031162</v>
      </c>
      <c r="G80" s="120" t="s">
        <v>1848</v>
      </c>
    </row>
    <row r="81" spans="2:7" x14ac:dyDescent="0.25">
      <c r="B81" s="141" t="s">
        <v>1849</v>
      </c>
      <c r="C81" s="152">
        <v>56.546120242006474</v>
      </c>
      <c r="D81" s="153">
        <v>0.11354676681927472</v>
      </c>
      <c r="E81" s="144">
        <v>55.722641474467473</v>
      </c>
      <c r="F81" s="145">
        <v>0.11189319003631953</v>
      </c>
      <c r="G81" s="120" t="s">
        <v>1850</v>
      </c>
    </row>
    <row r="82" spans="2:7" x14ac:dyDescent="0.25">
      <c r="B82" s="141" t="s">
        <v>1851</v>
      </c>
      <c r="C82" s="152">
        <v>38.661690300623611</v>
      </c>
      <c r="D82" s="153">
        <v>1.6811354097166123E-2</v>
      </c>
      <c r="E82" s="144">
        <v>38.274204436402023</v>
      </c>
      <c r="F82" s="145">
        <v>1.6642862703737042E-2</v>
      </c>
      <c r="G82" s="120" t="s">
        <v>1852</v>
      </c>
    </row>
    <row r="83" spans="2:7" x14ac:dyDescent="0.25">
      <c r="B83" s="141" t="s">
        <v>1853</v>
      </c>
      <c r="C83" s="154" t="e">
        <v>#DIV/0!</v>
      </c>
      <c r="D83" s="155" t="s">
        <v>1854</v>
      </c>
      <c r="E83" s="146" t="e">
        <v>#DIV/0!</v>
      </c>
      <c r="F83" s="147" t="s">
        <v>1854</v>
      </c>
      <c r="G83" s="120" t="s">
        <v>1855</v>
      </c>
    </row>
    <row r="85" spans="2:7" ht="21" x14ac:dyDescent="0.25">
      <c r="B85" s="135" t="s">
        <v>1837</v>
      </c>
      <c r="C85" s="135"/>
      <c r="D85" s="135"/>
    </row>
    <row r="87" spans="2:7" x14ac:dyDescent="0.25">
      <c r="B87" s="136" t="s">
        <v>1857</v>
      </c>
      <c r="C87" s="148" t="s">
        <v>1858</v>
      </c>
      <c r="D87" s="138">
        <v>0</v>
      </c>
      <c r="E87" s="148" t="s">
        <v>1859</v>
      </c>
      <c r="F87" s="138">
        <v>0</v>
      </c>
      <c r="G87" s="120">
        <v>0</v>
      </c>
    </row>
    <row r="88" spans="2:7" ht="30" x14ac:dyDescent="0.25">
      <c r="B88" s="120">
        <v>0</v>
      </c>
      <c r="C88" s="149" t="s">
        <v>1860</v>
      </c>
      <c r="D88" s="140" t="s">
        <v>1861</v>
      </c>
      <c r="E88" s="139" t="s">
        <v>1860</v>
      </c>
      <c r="F88" s="140" t="s">
        <v>1861</v>
      </c>
      <c r="G88" s="120">
        <v>0</v>
      </c>
    </row>
    <row r="89" spans="2:7" x14ac:dyDescent="0.25">
      <c r="B89" s="141" t="s">
        <v>1862</v>
      </c>
      <c r="C89" s="150">
        <v>-3297.6373320164266</v>
      </c>
      <c r="D89" s="151">
        <v>-0.98037045359770891</v>
      </c>
      <c r="E89" s="142">
        <v>-21025.756835051059</v>
      </c>
      <c r="F89" s="143">
        <v>-0.99642539650272555</v>
      </c>
      <c r="G89" s="120" t="s">
        <v>1844</v>
      </c>
    </row>
    <row r="90" spans="2:7" x14ac:dyDescent="0.25">
      <c r="B90" s="141" t="s">
        <v>1863</v>
      </c>
      <c r="C90" s="152">
        <v>-209.01490863193249</v>
      </c>
      <c r="D90" s="153">
        <v>-0.97297108088668804</v>
      </c>
      <c r="E90" s="144">
        <v>-1615.2644406474046</v>
      </c>
      <c r="F90" s="145">
        <v>-0.99550235970226519</v>
      </c>
      <c r="G90" s="120" t="s">
        <v>1846</v>
      </c>
    </row>
    <row r="91" spans="2:7" x14ac:dyDescent="0.25">
      <c r="B91" s="141" t="s">
        <v>1864</v>
      </c>
      <c r="C91" s="152">
        <v>-577.90529826901047</v>
      </c>
      <c r="D91" s="153">
        <v>-0.97927423999819707</v>
      </c>
      <c r="E91" s="144">
        <v>-4602.0258923704878</v>
      </c>
      <c r="F91" s="145">
        <v>-0.99624354414459959</v>
      </c>
      <c r="G91" s="120" t="s">
        <v>1848</v>
      </c>
    </row>
    <row r="92" spans="2:7" x14ac:dyDescent="0.25">
      <c r="B92" s="141" t="s">
        <v>1865</v>
      </c>
      <c r="C92" s="152">
        <v>-19212.92604646445</v>
      </c>
      <c r="D92" s="153">
        <v>-0.9789009464787205</v>
      </c>
      <c r="E92" s="144">
        <v>-120795.19948363162</v>
      </c>
      <c r="F92" s="145">
        <v>-0.99619216716585768</v>
      </c>
      <c r="G92" s="120" t="s">
        <v>1852</v>
      </c>
    </row>
    <row r="93" spans="2:7" x14ac:dyDescent="0.25">
      <c r="B93" s="141" t="s">
        <v>1866</v>
      </c>
      <c r="C93" s="152">
        <v>-3436.3229738358327</v>
      </c>
      <c r="D93" s="153">
        <v>-0.97860591624323257</v>
      </c>
      <c r="E93" s="144">
        <v>-25012.328054760237</v>
      </c>
      <c r="F93" s="145">
        <v>-0.99618886541074414</v>
      </c>
      <c r="G93" s="120" t="s">
        <v>1850</v>
      </c>
    </row>
    <row r="94" spans="2:7" x14ac:dyDescent="0.25">
      <c r="B94" s="141" t="s">
        <v>1867</v>
      </c>
      <c r="C94" s="154" t="e">
        <v>#DIV/0!</v>
      </c>
      <c r="D94" s="155" t="e">
        <v>#DIV/0!</v>
      </c>
      <c r="E94" s="146" t="e">
        <v>#DIV/0!</v>
      </c>
      <c r="F94" s="147" t="e">
        <v>#DIV/0!</v>
      </c>
      <c r="G94" s="120" t="s">
        <v>1855</v>
      </c>
    </row>
    <row r="96" spans="2:7" ht="21" x14ac:dyDescent="0.25">
      <c r="B96" s="135" t="s">
        <v>269</v>
      </c>
      <c r="C96" s="135"/>
      <c r="D96" s="135"/>
    </row>
    <row r="98" spans="2:7" x14ac:dyDescent="0.25">
      <c r="B98" s="136">
        <v>0</v>
      </c>
      <c r="C98" s="148" t="s">
        <v>1838</v>
      </c>
      <c r="D98" s="138" t="s">
        <v>1839</v>
      </c>
      <c r="E98" s="148" t="s">
        <v>1840</v>
      </c>
      <c r="F98" s="138" t="s">
        <v>1841</v>
      </c>
      <c r="G98" s="120">
        <v>0</v>
      </c>
    </row>
    <row r="99" spans="2:7" x14ac:dyDescent="0.25">
      <c r="C99" s="149"/>
      <c r="D99" s="140"/>
      <c r="E99" s="139"/>
      <c r="F99" s="140"/>
    </row>
    <row r="100" spans="2:7" x14ac:dyDescent="0.25">
      <c r="B100" s="141"/>
      <c r="C100" s="150"/>
      <c r="D100" s="151"/>
      <c r="E100" s="142"/>
      <c r="F100" s="143"/>
    </row>
    <row r="101" spans="2:7" x14ac:dyDescent="0.25">
      <c r="B101" s="141"/>
      <c r="C101" s="152"/>
      <c r="D101" s="153"/>
      <c r="E101" s="144"/>
      <c r="F101" s="145"/>
    </row>
    <row r="102" spans="2:7" x14ac:dyDescent="0.25">
      <c r="B102" s="141"/>
      <c r="C102" s="152"/>
      <c r="D102" s="153"/>
      <c r="E102" s="144"/>
      <c r="F102" s="145"/>
    </row>
    <row r="103" spans="2:7" x14ac:dyDescent="0.25">
      <c r="B103" s="141"/>
      <c r="C103" s="152"/>
      <c r="D103" s="153"/>
      <c r="E103" s="144"/>
      <c r="F103" s="145"/>
    </row>
    <row r="104" spans="2:7" x14ac:dyDescent="0.25">
      <c r="B104" s="141"/>
      <c r="C104" s="152"/>
      <c r="D104" s="153"/>
      <c r="E104" s="144"/>
      <c r="F104" s="145"/>
    </row>
    <row r="105" spans="2:7" x14ac:dyDescent="0.25">
      <c r="B105" s="141"/>
      <c r="C105" s="154"/>
      <c r="D105" s="155"/>
      <c r="E105" s="146"/>
      <c r="F105" s="147"/>
    </row>
    <row r="107" spans="2:7" ht="21" x14ac:dyDescent="0.25">
      <c r="B107" s="135" t="s">
        <v>288</v>
      </c>
      <c r="C107" s="135"/>
      <c r="D107" s="135"/>
    </row>
    <row r="109" spans="2:7" x14ac:dyDescent="0.25">
      <c r="B109" s="136" t="s">
        <v>1857</v>
      </c>
      <c r="C109" s="148" t="s">
        <v>1858</v>
      </c>
      <c r="D109" s="138">
        <v>0</v>
      </c>
      <c r="E109" s="148" t="s">
        <v>1859</v>
      </c>
      <c r="F109" s="138">
        <v>0</v>
      </c>
      <c r="G109" s="120">
        <v>0</v>
      </c>
    </row>
    <row r="110" spans="2:7" ht="30" x14ac:dyDescent="0.25">
      <c r="B110" s="120">
        <v>0</v>
      </c>
      <c r="C110" s="149" t="s">
        <v>1860</v>
      </c>
      <c r="D110" s="140" t="s">
        <v>1861</v>
      </c>
      <c r="E110" s="139" t="s">
        <v>1860</v>
      </c>
      <c r="F110" s="140" t="s">
        <v>1861</v>
      </c>
      <c r="G110" s="120">
        <v>0</v>
      </c>
    </row>
    <row r="111" spans="2:7" x14ac:dyDescent="0.25">
      <c r="B111" s="141" t="s">
        <v>1862</v>
      </c>
      <c r="C111" s="150">
        <v>-0.83181032810963451</v>
      </c>
      <c r="D111" s="151">
        <v>-5.7481034568010257E-2</v>
      </c>
      <c r="E111" s="142">
        <v>-2.8076912748251139</v>
      </c>
      <c r="F111" s="143">
        <v>-8.3333333333333315E-2</v>
      </c>
      <c r="G111" s="120" t="s">
        <v>1844</v>
      </c>
    </row>
    <row r="112" spans="2:7" x14ac:dyDescent="0.25">
      <c r="B112" s="141" t="s">
        <v>1863</v>
      </c>
      <c r="C112" s="152">
        <v>-3.3156074171727945E-2</v>
      </c>
      <c r="D112" s="153">
        <v>-4.5454545454545373E-2</v>
      </c>
      <c r="E112" s="144">
        <v>-0.26608129183707119</v>
      </c>
      <c r="F112" s="145">
        <v>-8.3333333333333245E-2</v>
      </c>
      <c r="G112" s="120" t="s">
        <v>1846</v>
      </c>
    </row>
    <row r="113" spans="2:7" x14ac:dyDescent="0.25">
      <c r="B113" s="141" t="s">
        <v>1864</v>
      </c>
      <c r="C113" s="152">
        <v>-3.7924478359920633E-2</v>
      </c>
      <c r="D113" s="153">
        <v>-4.54545454545454E-2</v>
      </c>
      <c r="E113" s="144">
        <v>-0.8209151566966888</v>
      </c>
      <c r="F113" s="145">
        <v>-8.3333333333333315E-2</v>
      </c>
      <c r="G113" s="120" t="s">
        <v>1848</v>
      </c>
    </row>
    <row r="114" spans="2:7" x14ac:dyDescent="0.25">
      <c r="B114" s="141" t="s">
        <v>1865</v>
      </c>
      <c r="C114" s="152">
        <v>-4.2367037850661546</v>
      </c>
      <c r="D114" s="153">
        <v>-4.5454545454545456E-2</v>
      </c>
      <c r="E114" s="144">
        <v>-40.568357793722043</v>
      </c>
      <c r="F114" s="145">
        <v>-8.3333333333333245E-2</v>
      </c>
      <c r="G114" s="120" t="s">
        <v>1852</v>
      </c>
    </row>
    <row r="115" spans="2:7" x14ac:dyDescent="0.25">
      <c r="B115" s="141" t="s">
        <v>1866</v>
      </c>
      <c r="C115" s="152">
        <v>-0.7628844309607743</v>
      </c>
      <c r="D115" s="153">
        <v>-4.5454545454545379E-2</v>
      </c>
      <c r="E115" s="144">
        <v>-7.4335254488511282</v>
      </c>
      <c r="F115" s="145">
        <v>-8.3333333333333232E-2</v>
      </c>
      <c r="G115" s="120" t="s">
        <v>1850</v>
      </c>
    </row>
    <row r="116" spans="2:7" x14ac:dyDescent="0.25">
      <c r="B116" s="141" t="s">
        <v>1867</v>
      </c>
      <c r="C116" s="154" t="e">
        <v>#DIV/0!</v>
      </c>
      <c r="D116" s="155" t="e">
        <v>#DIV/0!</v>
      </c>
      <c r="E116" s="146" t="e">
        <v>#DIV/0!</v>
      </c>
      <c r="F116" s="147" t="e">
        <v>#DIV/0!</v>
      </c>
      <c r="G116" s="120" t="s">
        <v>1855</v>
      </c>
    </row>
    <row r="118" spans="2:7" ht="21" x14ac:dyDescent="0.25">
      <c r="B118" s="135" t="s">
        <v>431</v>
      </c>
      <c r="C118" s="135"/>
      <c r="D118" s="135"/>
    </row>
    <row r="120" spans="2:7" x14ac:dyDescent="0.25">
      <c r="B120" s="136" t="s">
        <v>1857</v>
      </c>
      <c r="C120" s="148" t="s">
        <v>1858</v>
      </c>
      <c r="D120" s="138">
        <v>0</v>
      </c>
      <c r="E120" s="148" t="s">
        <v>1859</v>
      </c>
      <c r="F120" s="138">
        <v>0</v>
      </c>
      <c r="G120" s="120">
        <v>0</v>
      </c>
    </row>
    <row r="121" spans="2:7" ht="30" x14ac:dyDescent="0.25">
      <c r="B121" s="120">
        <v>0</v>
      </c>
      <c r="C121" s="149" t="s">
        <v>1860</v>
      </c>
      <c r="D121" s="140" t="s">
        <v>1861</v>
      </c>
      <c r="E121" s="139" t="s">
        <v>1860</v>
      </c>
      <c r="F121" s="140" t="s">
        <v>1861</v>
      </c>
      <c r="G121" s="120">
        <v>0</v>
      </c>
    </row>
    <row r="122" spans="2:7" x14ac:dyDescent="0.25">
      <c r="B122" s="141" t="s">
        <v>1862</v>
      </c>
      <c r="C122" s="150">
        <v>-10654.796543201466</v>
      </c>
      <c r="D122" s="151">
        <v>-0.91473528492599043</v>
      </c>
      <c r="E122" s="142">
        <v>-5603.0237754808177</v>
      </c>
      <c r="F122" s="143">
        <v>-0.88001101855466901</v>
      </c>
      <c r="G122" s="120" t="s">
        <v>1844</v>
      </c>
    </row>
    <row r="123" spans="2:7" x14ac:dyDescent="0.25">
      <c r="B123" s="141" t="s">
        <v>1863</v>
      </c>
      <c r="C123" s="152">
        <v>0</v>
      </c>
      <c r="D123" s="153">
        <v>0</v>
      </c>
      <c r="E123" s="144">
        <v>0</v>
      </c>
      <c r="F123" s="145">
        <v>0</v>
      </c>
      <c r="G123" s="120" t="s">
        <v>1846</v>
      </c>
    </row>
    <row r="124" spans="2:7" x14ac:dyDescent="0.25">
      <c r="B124" s="141" t="s">
        <v>1864</v>
      </c>
      <c r="C124" s="152">
        <v>0</v>
      </c>
      <c r="D124" s="153">
        <v>0</v>
      </c>
      <c r="E124" s="144">
        <v>0</v>
      </c>
      <c r="F124" s="145">
        <v>0</v>
      </c>
      <c r="G124" s="120" t="s">
        <v>1848</v>
      </c>
    </row>
    <row r="125" spans="2:7" x14ac:dyDescent="0.25">
      <c r="B125" s="141" t="s">
        <v>1865</v>
      </c>
      <c r="C125" s="152">
        <v>0</v>
      </c>
      <c r="D125" s="153">
        <v>0</v>
      </c>
      <c r="E125" s="144">
        <v>0</v>
      </c>
      <c r="F125" s="145">
        <v>0</v>
      </c>
      <c r="G125" s="120" t="s">
        <v>1852</v>
      </c>
    </row>
    <row r="126" spans="2:7" x14ac:dyDescent="0.25">
      <c r="B126" s="141" t="s">
        <v>1866</v>
      </c>
      <c r="C126" s="152">
        <v>0</v>
      </c>
      <c r="D126" s="153">
        <v>0</v>
      </c>
      <c r="E126" s="144">
        <v>0</v>
      </c>
      <c r="F126" s="145">
        <v>0</v>
      </c>
      <c r="G126" s="120" t="s">
        <v>1850</v>
      </c>
    </row>
    <row r="127" spans="2:7" x14ac:dyDescent="0.25">
      <c r="B127" s="141" t="s">
        <v>1867</v>
      </c>
      <c r="C127" s="154" t="e">
        <v>#DIV/0!</v>
      </c>
      <c r="D127" s="155" t="e">
        <v>#DIV/0!</v>
      </c>
      <c r="E127" s="146" t="e">
        <v>#DIV/0!</v>
      </c>
      <c r="F127" s="147" t="e">
        <v>#DIV/0!</v>
      </c>
      <c r="G127" s="120" t="s">
        <v>1855</v>
      </c>
    </row>
    <row r="129" spans="2:7" ht="21" x14ac:dyDescent="0.25">
      <c r="B129" s="135" t="s">
        <v>303</v>
      </c>
      <c r="C129" s="135"/>
      <c r="D129" s="135"/>
    </row>
    <row r="131" spans="2:7" x14ac:dyDescent="0.25">
      <c r="B131" s="136">
        <v>0</v>
      </c>
      <c r="C131" s="148" t="s">
        <v>1838</v>
      </c>
      <c r="D131" s="138" t="s">
        <v>1839</v>
      </c>
      <c r="E131" s="148" t="s">
        <v>1840</v>
      </c>
      <c r="F131" s="138" t="s">
        <v>1841</v>
      </c>
      <c r="G131" s="120">
        <v>0</v>
      </c>
    </row>
    <row r="132" spans="2:7" x14ac:dyDescent="0.25">
      <c r="B132" s="120" t="s">
        <v>1842</v>
      </c>
      <c r="C132" s="149">
        <v>0</v>
      </c>
      <c r="D132" s="140">
        <v>0</v>
      </c>
      <c r="E132" s="139">
        <v>0</v>
      </c>
      <c r="F132" s="140">
        <v>0</v>
      </c>
      <c r="G132" s="120">
        <v>0</v>
      </c>
    </row>
    <row r="133" spans="2:7" x14ac:dyDescent="0.25">
      <c r="B133" s="141" t="s">
        <v>1843</v>
      </c>
      <c r="C133" s="150">
        <v>0</v>
      </c>
      <c r="D133" s="151" t="s">
        <v>1854</v>
      </c>
      <c r="E133" s="142">
        <v>-3.3326111381088337</v>
      </c>
      <c r="F133" s="143" t="s">
        <v>1854</v>
      </c>
      <c r="G133" s="120" t="s">
        <v>1844</v>
      </c>
    </row>
    <row r="134" spans="2:7" x14ac:dyDescent="0.25">
      <c r="B134" s="141" t="s">
        <v>1845</v>
      </c>
      <c r="C134" s="152">
        <v>0</v>
      </c>
      <c r="D134" s="153" t="s">
        <v>1854</v>
      </c>
      <c r="E134" s="144">
        <v>-0.63327760155297352</v>
      </c>
      <c r="F134" s="145" t="s">
        <v>1854</v>
      </c>
      <c r="G134" s="120" t="s">
        <v>1846</v>
      </c>
    </row>
    <row r="135" spans="2:7" x14ac:dyDescent="0.25">
      <c r="B135" s="141" t="s">
        <v>1847</v>
      </c>
      <c r="C135" s="152">
        <v>0</v>
      </c>
      <c r="D135" s="153" t="s">
        <v>1854</v>
      </c>
      <c r="E135" s="144">
        <v>-1.8645800880673657</v>
      </c>
      <c r="F135" s="145" t="s">
        <v>1854</v>
      </c>
      <c r="G135" s="120" t="s">
        <v>1848</v>
      </c>
    </row>
    <row r="136" spans="2:7" x14ac:dyDescent="0.25">
      <c r="B136" s="141" t="s">
        <v>1849</v>
      </c>
      <c r="C136" s="152">
        <v>0</v>
      </c>
      <c r="D136" s="153" t="s">
        <v>1854</v>
      </c>
      <c r="E136" s="144">
        <v>-17.141041901721152</v>
      </c>
      <c r="F136" s="145" t="s">
        <v>1854</v>
      </c>
      <c r="G136" s="120" t="s">
        <v>1852</v>
      </c>
    </row>
    <row r="137" spans="2:7" x14ac:dyDescent="0.25">
      <c r="B137" s="141" t="s">
        <v>1851</v>
      </c>
      <c r="C137" s="152">
        <v>0</v>
      </c>
      <c r="D137" s="153" t="s">
        <v>1854</v>
      </c>
      <c r="E137" s="144">
        <v>-90.116224140620261</v>
      </c>
      <c r="F137" s="145" t="s">
        <v>1854</v>
      </c>
      <c r="G137" s="120" t="s">
        <v>1850</v>
      </c>
    </row>
    <row r="138" spans="2:7" x14ac:dyDescent="0.25">
      <c r="B138" s="141" t="s">
        <v>1853</v>
      </c>
      <c r="C138" s="154" t="e">
        <v>#DIV/0!</v>
      </c>
      <c r="D138" s="155" t="s">
        <v>1854</v>
      </c>
      <c r="E138" s="146" t="e">
        <v>#DIV/0!</v>
      </c>
      <c r="F138" s="147" t="s">
        <v>1854</v>
      </c>
      <c r="G138" s="120" t="s">
        <v>1855</v>
      </c>
    </row>
    <row r="140" spans="2:7" ht="21" x14ac:dyDescent="0.25">
      <c r="B140" s="135" t="s">
        <v>371</v>
      </c>
      <c r="C140" s="135"/>
      <c r="D140" s="135"/>
    </row>
    <row r="142" spans="2:7" x14ac:dyDescent="0.25">
      <c r="B142" s="136" t="s">
        <v>1857</v>
      </c>
      <c r="C142" s="148" t="s">
        <v>1858</v>
      </c>
      <c r="D142" s="138">
        <v>0</v>
      </c>
      <c r="E142" s="148" t="s">
        <v>1859</v>
      </c>
      <c r="F142" s="138">
        <v>0</v>
      </c>
      <c r="G142" s="120">
        <v>0</v>
      </c>
    </row>
    <row r="143" spans="2:7" ht="30" x14ac:dyDescent="0.25">
      <c r="B143" s="120">
        <v>0</v>
      </c>
      <c r="C143" s="149" t="s">
        <v>1860</v>
      </c>
      <c r="D143" s="140" t="s">
        <v>1861</v>
      </c>
      <c r="E143" s="139" t="s">
        <v>1860</v>
      </c>
      <c r="F143" s="140" t="s">
        <v>1861</v>
      </c>
      <c r="G143" s="120">
        <v>0</v>
      </c>
    </row>
    <row r="144" spans="2:7" x14ac:dyDescent="0.25">
      <c r="B144" s="141" t="s">
        <v>1862</v>
      </c>
      <c r="C144" s="150">
        <v>0</v>
      </c>
      <c r="D144" s="151" t="e">
        <v>#DIV/0!</v>
      </c>
      <c r="E144" s="142">
        <v>0</v>
      </c>
      <c r="F144" s="143" t="e">
        <v>#DIV/0!</v>
      </c>
      <c r="G144" s="120" t="s">
        <v>1844</v>
      </c>
    </row>
    <row r="145" spans="2:7" x14ac:dyDescent="0.25">
      <c r="B145" s="141" t="s">
        <v>1863</v>
      </c>
      <c r="C145" s="152">
        <v>0</v>
      </c>
      <c r="D145" s="153" t="e">
        <v>#DIV/0!</v>
      </c>
      <c r="E145" s="144">
        <v>0</v>
      </c>
      <c r="F145" s="145" t="e">
        <v>#DIV/0!</v>
      </c>
      <c r="G145" s="120" t="s">
        <v>1846</v>
      </c>
    </row>
    <row r="146" spans="2:7" x14ac:dyDescent="0.25">
      <c r="B146" s="141" t="s">
        <v>1864</v>
      </c>
      <c r="C146" s="152">
        <v>0</v>
      </c>
      <c r="D146" s="153" t="e">
        <v>#DIV/0!</v>
      </c>
      <c r="E146" s="144">
        <v>0</v>
      </c>
      <c r="F146" s="145" t="e">
        <v>#DIV/0!</v>
      </c>
      <c r="G146" s="120" t="s">
        <v>1848</v>
      </c>
    </row>
    <row r="147" spans="2:7" x14ac:dyDescent="0.25">
      <c r="B147" s="141" t="s">
        <v>1865</v>
      </c>
      <c r="C147" s="152">
        <v>0</v>
      </c>
      <c r="D147" s="153" t="e">
        <v>#DIV/0!</v>
      </c>
      <c r="E147" s="144">
        <v>0</v>
      </c>
      <c r="F147" s="145" t="e">
        <v>#DIV/0!</v>
      </c>
      <c r="G147" s="120" t="s">
        <v>1852</v>
      </c>
    </row>
    <row r="148" spans="2:7" x14ac:dyDescent="0.25">
      <c r="B148" s="141" t="s">
        <v>1866</v>
      </c>
      <c r="C148" s="152">
        <v>0</v>
      </c>
      <c r="D148" s="153" t="e">
        <v>#DIV/0!</v>
      </c>
      <c r="E148" s="144">
        <v>0</v>
      </c>
      <c r="F148" s="145" t="e">
        <v>#DIV/0!</v>
      </c>
      <c r="G148" s="120" t="s">
        <v>1850</v>
      </c>
    </row>
    <row r="149" spans="2:7" x14ac:dyDescent="0.25">
      <c r="B149" s="141" t="s">
        <v>1867</v>
      </c>
      <c r="C149" s="154">
        <v>0</v>
      </c>
      <c r="D149" s="155" t="e">
        <v>#DIV/0!</v>
      </c>
      <c r="E149" s="146">
        <v>0</v>
      </c>
      <c r="F149" s="147" t="e">
        <v>#DIV/0!</v>
      </c>
      <c r="G149" s="120" t="s">
        <v>1855</v>
      </c>
    </row>
  </sheetData>
  <conditionalFormatting sqref="E10:AD10">
    <cfRule type="cellIs" dxfId="7" priority="4" operator="between">
      <formula>2024</formula>
      <formula>2100</formula>
    </cfRule>
  </conditionalFormatting>
  <conditionalFormatting sqref="E11:AD16">
    <cfRule type="cellIs" dxfId="6" priority="3" operator="between">
      <formula>-9999999999999990000</formula>
      <formula>9999999999999</formula>
    </cfRule>
  </conditionalFormatting>
  <conditionalFormatting sqref="E20:AD20">
    <cfRule type="cellIs" dxfId="5" priority="2" operator="between">
      <formula>2024</formula>
      <formula>2100</formula>
    </cfRule>
  </conditionalFormatting>
  <conditionalFormatting sqref="E21:AD26">
    <cfRule type="cellIs" dxfId="4" priority="1" operator="between">
      <formula>-9999999999999990000</formula>
      <formula>9999999999999</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1915-3E26-4924-BE19-AAA1327EED1C}">
  <sheetPr>
    <tabColor theme="1" tint="4.9989318521683403E-2"/>
  </sheetPr>
  <dimension ref="B2:AE149"/>
  <sheetViews>
    <sheetView workbookViewId="0">
      <selection activeCell="D13" sqref="D13"/>
    </sheetView>
  </sheetViews>
  <sheetFormatPr baseColWidth="10" defaultColWidth="11.42578125" defaultRowHeight="15" x14ac:dyDescent="0.25"/>
  <cols>
    <col min="1" max="1" width="2.85546875" style="120" customWidth="1"/>
    <col min="2" max="2" width="35.28515625" style="120" customWidth="1"/>
    <col min="3" max="7" width="13.85546875" style="120" customWidth="1"/>
    <col min="8" max="16384" width="11.42578125" style="120"/>
  </cols>
  <sheetData>
    <row r="2" spans="2:31" x14ac:dyDescent="0.25">
      <c r="B2" s="116" t="str">
        <f>UPPER("Gains globaux liés à la charte")</f>
        <v>GAINS GLOBAUX LIÉS À LA CHARTE</v>
      </c>
      <c r="C2" s="116"/>
      <c r="D2" s="116"/>
      <c r="E2" s="117"/>
      <c r="F2" s="117"/>
      <c r="G2" s="118"/>
      <c r="H2" s="119"/>
      <c r="I2" s="119"/>
      <c r="J2" s="119"/>
      <c r="K2" s="118"/>
      <c r="L2" s="118"/>
      <c r="M2" s="118"/>
    </row>
    <row r="4" spans="2:31" x14ac:dyDescent="0.25">
      <c r="B4" s="121" t="s">
        <v>1823</v>
      </c>
      <c r="C4" s="122">
        <v>2024</v>
      </c>
      <c r="D4" s="123" t="s">
        <v>16</v>
      </c>
    </row>
    <row r="5" spans="2:31" x14ac:dyDescent="0.25">
      <c r="B5" s="121" t="s">
        <v>1824</v>
      </c>
      <c r="C5" s="122">
        <v>2028</v>
      </c>
      <c r="D5" s="123" t="s">
        <v>16</v>
      </c>
    </row>
    <row r="6" spans="2:31" x14ac:dyDescent="0.25">
      <c r="B6" s="121" t="s">
        <v>1825</v>
      </c>
      <c r="C6" s="122">
        <v>2028</v>
      </c>
      <c r="D6" s="123" t="s">
        <v>16</v>
      </c>
    </row>
    <row r="7" spans="2:31" ht="3.75" customHeight="1" x14ac:dyDescent="0.25"/>
    <row r="8" spans="2:31" x14ac:dyDescent="0.25">
      <c r="B8" s="124" t="str">
        <f>UPPER("Gains prévisionnels")</f>
        <v>GAINS PRÉVISIONNELS</v>
      </c>
      <c r="C8" s="124"/>
      <c r="D8" s="124"/>
    </row>
    <row r="9" spans="2:31" ht="3.75" customHeight="1" x14ac:dyDescent="0.25">
      <c r="B9" s="124"/>
      <c r="C9" s="124"/>
      <c r="D9" s="124"/>
    </row>
    <row r="10" spans="2:31" s="127" customFormat="1" ht="30" x14ac:dyDescent="0.25">
      <c r="B10" s="124"/>
      <c r="C10" s="125" t="s">
        <v>1826</v>
      </c>
      <c r="D10" s="125" t="s">
        <v>1827</v>
      </c>
      <c r="E10" s="126">
        <f>$C$4+1</f>
        <v>2025</v>
      </c>
      <c r="F10" s="126">
        <f>IF(E10&lt;$C$5-1,E10+1,"")</f>
        <v>2026</v>
      </c>
      <c r="G10" s="126">
        <f t="shared" ref="G10:AC10" si="0">IF(F10&lt;$C$5-1,F10+1,"")</f>
        <v>2027</v>
      </c>
      <c r="H10" s="126" t="str">
        <f t="shared" si="0"/>
        <v/>
      </c>
      <c r="I10" s="126" t="str">
        <f t="shared" si="0"/>
        <v/>
      </c>
      <c r="J10" s="126" t="str">
        <f t="shared" si="0"/>
        <v/>
      </c>
      <c r="K10" s="126" t="str">
        <f t="shared" si="0"/>
        <v/>
      </c>
      <c r="L10" s="126" t="str">
        <f t="shared" si="0"/>
        <v/>
      </c>
      <c r="M10" s="126" t="str">
        <f t="shared" si="0"/>
        <v/>
      </c>
      <c r="N10" s="126" t="str">
        <f t="shared" si="0"/>
        <v/>
      </c>
      <c r="O10" s="126" t="str">
        <f t="shared" si="0"/>
        <v/>
      </c>
      <c r="P10" s="126" t="str">
        <f t="shared" si="0"/>
        <v/>
      </c>
      <c r="Q10" s="126" t="str">
        <f t="shared" si="0"/>
        <v/>
      </c>
      <c r="R10" s="126" t="str">
        <f t="shared" si="0"/>
        <v/>
      </c>
      <c r="S10" s="126" t="str">
        <f t="shared" si="0"/>
        <v/>
      </c>
      <c r="T10" s="126" t="str">
        <f t="shared" si="0"/>
        <v/>
      </c>
      <c r="U10" s="126" t="str">
        <f t="shared" si="0"/>
        <v/>
      </c>
      <c r="V10" s="126" t="str">
        <f t="shared" si="0"/>
        <v/>
      </c>
      <c r="W10" s="126" t="str">
        <f t="shared" si="0"/>
        <v/>
      </c>
      <c r="X10" s="126" t="str">
        <f t="shared" si="0"/>
        <v/>
      </c>
      <c r="Y10" s="126" t="str">
        <f t="shared" si="0"/>
        <v/>
      </c>
      <c r="Z10" s="126" t="str">
        <f t="shared" si="0"/>
        <v/>
      </c>
      <c r="AA10" s="126" t="str">
        <f t="shared" si="0"/>
        <v/>
      </c>
      <c r="AB10" s="126" t="str">
        <f t="shared" si="0"/>
        <v/>
      </c>
      <c r="AC10" s="126" t="str">
        <f t="shared" si="0"/>
        <v/>
      </c>
      <c r="AD10" s="126" t="str" cm="1">
        <f t="array" ref="AD10">IFERROR(_xlfn.IFS($C$5&gt;=AC$10+1,AC$10+1,$C$5=AC$10,"Evolution cumulée"),"")</f>
        <v/>
      </c>
      <c r="AE10" s="126"/>
    </row>
    <row r="11" spans="2:31" x14ac:dyDescent="0.25">
      <c r="B11" s="128" t="s">
        <v>1828</v>
      </c>
      <c r="C11" s="129">
        <f>SUM($C45,$C56,$C67,$C78,$C89,$C100,$C111,$C122,$C133,$C144)</f>
        <v>-14209.742854038379</v>
      </c>
      <c r="D11" s="129">
        <f>SUM($E11:$XFD11,$C11)</f>
        <v>-35524.357135095946</v>
      </c>
      <c r="E11" s="130">
        <f>IFERROR($C11*(E$10-$C$4)/($C$5-$C$4),"")</f>
        <v>-3552.4357135095947</v>
      </c>
      <c r="F11" s="130">
        <f t="shared" ref="F11:AD16" si="1">IFERROR($C11*(F$10-$C$4)/($C$5-$C$4),"")</f>
        <v>-7104.8714270191895</v>
      </c>
      <c r="G11" s="130">
        <f t="shared" si="1"/>
        <v>-10657.307140528785</v>
      </c>
      <c r="H11" s="130" t="str">
        <f t="shared" si="1"/>
        <v/>
      </c>
      <c r="I11" s="130" t="str">
        <f t="shared" si="1"/>
        <v/>
      </c>
      <c r="J11" s="130" t="str">
        <f t="shared" si="1"/>
        <v/>
      </c>
      <c r="K11" s="130" t="str">
        <f t="shared" si="1"/>
        <v/>
      </c>
      <c r="L11" s="130" t="str">
        <f t="shared" si="1"/>
        <v/>
      </c>
      <c r="M11" s="130" t="str">
        <f t="shared" si="1"/>
        <v/>
      </c>
      <c r="N11" s="130" t="str">
        <f t="shared" si="1"/>
        <v/>
      </c>
      <c r="O11" s="130" t="str">
        <f t="shared" si="1"/>
        <v/>
      </c>
      <c r="P11" s="130" t="str">
        <f t="shared" si="1"/>
        <v/>
      </c>
      <c r="Q11" s="130" t="str">
        <f t="shared" si="1"/>
        <v/>
      </c>
      <c r="R11" s="130" t="str">
        <f t="shared" si="1"/>
        <v/>
      </c>
      <c r="S11" s="130" t="str">
        <f t="shared" si="1"/>
        <v/>
      </c>
      <c r="T11" s="130" t="str">
        <f t="shared" si="1"/>
        <v/>
      </c>
      <c r="U11" s="130" t="str">
        <f t="shared" si="1"/>
        <v/>
      </c>
      <c r="V11" s="130" t="str">
        <f t="shared" si="1"/>
        <v/>
      </c>
      <c r="W11" s="130" t="str">
        <f t="shared" si="1"/>
        <v/>
      </c>
      <c r="X11" s="130" t="str">
        <f t="shared" si="1"/>
        <v/>
      </c>
      <c r="Y11" s="130" t="str">
        <f t="shared" si="1"/>
        <v/>
      </c>
      <c r="Z11" s="130" t="str">
        <f t="shared" si="1"/>
        <v/>
      </c>
      <c r="AA11" s="130" t="str">
        <f t="shared" si="1"/>
        <v/>
      </c>
      <c r="AB11" s="130" t="str">
        <f t="shared" si="1"/>
        <v/>
      </c>
      <c r="AC11" s="130" t="str">
        <f t="shared" si="1"/>
        <v/>
      </c>
      <c r="AD11" s="130" t="str">
        <f t="shared" si="1"/>
        <v/>
      </c>
    </row>
    <row r="12" spans="2:31" x14ac:dyDescent="0.25">
      <c r="B12" s="128" t="s">
        <v>1829</v>
      </c>
      <c r="C12" s="129">
        <f t="shared" ref="C12:C16" si="2">SUM($C46,$C57,$C68,$C79,$C90,$C101,$C112,$C123,$C134,$C145)</f>
        <v>-443.09179533682772</v>
      </c>
      <c r="D12" s="129">
        <f t="shared" ref="D12:D16" si="3">SUM($E12:$XFD12,$C12)</f>
        <v>-1107.7294883420693</v>
      </c>
      <c r="E12" s="130">
        <f t="shared" ref="E12:T16" si="4">IFERROR($C12*(E$10-$C$4)/($C$5-$C$4),"")</f>
        <v>-110.77294883420693</v>
      </c>
      <c r="F12" s="130">
        <f t="shared" si="4"/>
        <v>-221.54589766841386</v>
      </c>
      <c r="G12" s="130">
        <f t="shared" si="4"/>
        <v>-332.31884650262077</v>
      </c>
      <c r="H12" s="130" t="str">
        <f t="shared" si="4"/>
        <v/>
      </c>
      <c r="I12" s="130" t="str">
        <f t="shared" si="4"/>
        <v/>
      </c>
      <c r="J12" s="130" t="str">
        <f t="shared" si="4"/>
        <v/>
      </c>
      <c r="K12" s="130" t="str">
        <f t="shared" si="4"/>
        <v/>
      </c>
      <c r="L12" s="130" t="str">
        <f t="shared" si="4"/>
        <v/>
      </c>
      <c r="M12" s="130" t="str">
        <f t="shared" si="4"/>
        <v/>
      </c>
      <c r="N12" s="130" t="str">
        <f t="shared" si="4"/>
        <v/>
      </c>
      <c r="O12" s="130" t="str">
        <f t="shared" si="4"/>
        <v/>
      </c>
      <c r="P12" s="130" t="str">
        <f t="shared" si="4"/>
        <v/>
      </c>
      <c r="Q12" s="130" t="str">
        <f t="shared" si="4"/>
        <v/>
      </c>
      <c r="R12" s="130" t="str">
        <f t="shared" si="4"/>
        <v/>
      </c>
      <c r="S12" s="130" t="str">
        <f t="shared" si="4"/>
        <v/>
      </c>
      <c r="T12" s="130" t="str">
        <f t="shared" si="4"/>
        <v/>
      </c>
      <c r="U12" s="130" t="str">
        <f t="shared" si="1"/>
        <v/>
      </c>
      <c r="V12" s="130" t="str">
        <f t="shared" si="1"/>
        <v/>
      </c>
      <c r="W12" s="130" t="str">
        <f t="shared" si="1"/>
        <v/>
      </c>
      <c r="X12" s="130" t="str">
        <f t="shared" si="1"/>
        <v/>
      </c>
      <c r="Y12" s="130" t="str">
        <f t="shared" si="1"/>
        <v/>
      </c>
      <c r="Z12" s="130" t="str">
        <f t="shared" si="1"/>
        <v/>
      </c>
      <c r="AA12" s="130" t="str">
        <f t="shared" si="1"/>
        <v/>
      </c>
      <c r="AB12" s="130" t="str">
        <f t="shared" si="1"/>
        <v/>
      </c>
      <c r="AC12" s="130" t="str">
        <f t="shared" si="1"/>
        <v/>
      </c>
      <c r="AD12" s="130" t="str">
        <f t="shared" si="1"/>
        <v/>
      </c>
    </row>
    <row r="13" spans="2:31" x14ac:dyDescent="0.25">
      <c r="B13" s="128" t="s">
        <v>1830</v>
      </c>
      <c r="C13" s="129">
        <f t="shared" si="2"/>
        <v>-685.19399759050009</v>
      </c>
      <c r="D13" s="129">
        <f t="shared" si="3"/>
        <v>-1712.9849939762503</v>
      </c>
      <c r="E13" s="130">
        <f t="shared" si="4"/>
        <v>-171.29849939762502</v>
      </c>
      <c r="F13" s="130">
        <f t="shared" si="1"/>
        <v>-342.59699879525004</v>
      </c>
      <c r="G13" s="130">
        <f t="shared" si="1"/>
        <v>-513.89549819287504</v>
      </c>
      <c r="H13" s="130" t="str">
        <f t="shared" si="1"/>
        <v/>
      </c>
      <c r="I13" s="130" t="str">
        <f t="shared" si="1"/>
        <v/>
      </c>
      <c r="J13" s="130" t="str">
        <f t="shared" si="1"/>
        <v/>
      </c>
      <c r="K13" s="130" t="str">
        <f t="shared" si="1"/>
        <v/>
      </c>
      <c r="L13" s="130" t="str">
        <f t="shared" si="1"/>
        <v/>
      </c>
      <c r="M13" s="130" t="str">
        <f t="shared" si="1"/>
        <v/>
      </c>
      <c r="N13" s="130" t="str">
        <f t="shared" si="1"/>
        <v/>
      </c>
      <c r="O13" s="130" t="str">
        <f t="shared" si="1"/>
        <v/>
      </c>
      <c r="P13" s="130" t="str">
        <f t="shared" si="1"/>
        <v/>
      </c>
      <c r="Q13" s="130" t="str">
        <f t="shared" si="1"/>
        <v/>
      </c>
      <c r="R13" s="130" t="str">
        <f t="shared" si="1"/>
        <v/>
      </c>
      <c r="S13" s="130" t="str">
        <f t="shared" si="1"/>
        <v/>
      </c>
      <c r="T13" s="130" t="str">
        <f t="shared" si="1"/>
        <v/>
      </c>
      <c r="U13" s="130" t="str">
        <f t="shared" si="1"/>
        <v/>
      </c>
      <c r="V13" s="130" t="str">
        <f t="shared" si="1"/>
        <v/>
      </c>
      <c r="W13" s="130" t="str">
        <f t="shared" si="1"/>
        <v/>
      </c>
      <c r="X13" s="130" t="str">
        <f t="shared" si="1"/>
        <v/>
      </c>
      <c r="Y13" s="130" t="str">
        <f t="shared" si="1"/>
        <v/>
      </c>
      <c r="Z13" s="130" t="str">
        <f t="shared" si="1"/>
        <v/>
      </c>
      <c r="AA13" s="130" t="str">
        <f t="shared" si="1"/>
        <v/>
      </c>
      <c r="AB13" s="130" t="str">
        <f t="shared" si="1"/>
        <v/>
      </c>
      <c r="AC13" s="130" t="str">
        <f t="shared" si="1"/>
        <v/>
      </c>
      <c r="AD13" s="130" t="str">
        <f t="shared" si="1"/>
        <v/>
      </c>
    </row>
    <row r="14" spans="2:31" x14ac:dyDescent="0.25">
      <c r="B14" s="128" t="s">
        <v>1831</v>
      </c>
      <c r="C14" s="129">
        <f t="shared" si="2"/>
        <v>-19531.269130699628</v>
      </c>
      <c r="D14" s="129">
        <f t="shared" si="3"/>
        <v>-48828.172826749069</v>
      </c>
      <c r="E14" s="130">
        <f t="shared" si="4"/>
        <v>-4882.8172826749069</v>
      </c>
      <c r="F14" s="130">
        <f t="shared" si="1"/>
        <v>-9765.6345653498138</v>
      </c>
      <c r="G14" s="130">
        <f t="shared" si="1"/>
        <v>-14648.451848024721</v>
      </c>
      <c r="H14" s="130" t="str">
        <f t="shared" si="1"/>
        <v/>
      </c>
      <c r="I14" s="130" t="str">
        <f t="shared" si="1"/>
        <v/>
      </c>
      <c r="J14" s="130" t="str">
        <f t="shared" si="1"/>
        <v/>
      </c>
      <c r="K14" s="130" t="str">
        <f t="shared" si="1"/>
        <v/>
      </c>
      <c r="L14" s="130" t="str">
        <f t="shared" si="1"/>
        <v/>
      </c>
      <c r="M14" s="130" t="str">
        <f t="shared" si="1"/>
        <v/>
      </c>
      <c r="N14" s="130" t="str">
        <f t="shared" si="1"/>
        <v/>
      </c>
      <c r="O14" s="130" t="str">
        <f t="shared" si="1"/>
        <v/>
      </c>
      <c r="P14" s="130" t="str">
        <f t="shared" si="1"/>
        <v/>
      </c>
      <c r="Q14" s="130" t="str">
        <f t="shared" si="1"/>
        <v/>
      </c>
      <c r="R14" s="130" t="str">
        <f t="shared" si="1"/>
        <v/>
      </c>
      <c r="S14" s="130" t="str">
        <f t="shared" si="1"/>
        <v/>
      </c>
      <c r="T14" s="130" t="str">
        <f t="shared" si="1"/>
        <v/>
      </c>
      <c r="U14" s="130" t="str">
        <f t="shared" si="1"/>
        <v/>
      </c>
      <c r="V14" s="130" t="str">
        <f t="shared" si="1"/>
        <v/>
      </c>
      <c r="W14" s="130" t="str">
        <f t="shared" si="1"/>
        <v/>
      </c>
      <c r="X14" s="130" t="str">
        <f t="shared" si="1"/>
        <v/>
      </c>
      <c r="Y14" s="130" t="str">
        <f t="shared" si="1"/>
        <v/>
      </c>
      <c r="Z14" s="130" t="str">
        <f t="shared" si="1"/>
        <v/>
      </c>
      <c r="AA14" s="130" t="str">
        <f t="shared" si="1"/>
        <v/>
      </c>
      <c r="AB14" s="130" t="str">
        <f t="shared" si="1"/>
        <v/>
      </c>
      <c r="AC14" s="130" t="str">
        <f t="shared" si="1"/>
        <v/>
      </c>
      <c r="AD14" s="130" t="str">
        <f t="shared" si="1"/>
        <v/>
      </c>
    </row>
    <row r="15" spans="2:31" x14ac:dyDescent="0.25">
      <c r="B15" s="128" t="s">
        <v>1832</v>
      </c>
      <c r="C15" s="129">
        <f t="shared" si="2"/>
        <v>-4843.7879813850377</v>
      </c>
      <c r="D15" s="129">
        <f t="shared" si="3"/>
        <v>-12109.469953462594</v>
      </c>
      <c r="E15" s="130">
        <f t="shared" si="4"/>
        <v>-1210.9469953462594</v>
      </c>
      <c r="F15" s="130">
        <f t="shared" si="1"/>
        <v>-2421.8939906925189</v>
      </c>
      <c r="G15" s="130">
        <f t="shared" si="1"/>
        <v>-3632.8409860387783</v>
      </c>
      <c r="H15" s="130" t="str">
        <f t="shared" si="1"/>
        <v/>
      </c>
      <c r="I15" s="130" t="str">
        <f t="shared" si="1"/>
        <v/>
      </c>
      <c r="J15" s="130" t="str">
        <f t="shared" si="1"/>
        <v/>
      </c>
      <c r="K15" s="130" t="str">
        <f t="shared" si="1"/>
        <v/>
      </c>
      <c r="L15" s="130" t="str">
        <f t="shared" si="1"/>
        <v/>
      </c>
      <c r="M15" s="130" t="str">
        <f t="shared" si="1"/>
        <v/>
      </c>
      <c r="N15" s="130" t="str">
        <f t="shared" si="1"/>
        <v/>
      </c>
      <c r="O15" s="130" t="str">
        <f t="shared" si="1"/>
        <v/>
      </c>
      <c r="P15" s="130" t="str">
        <f t="shared" si="1"/>
        <v/>
      </c>
      <c r="Q15" s="130" t="str">
        <f t="shared" si="1"/>
        <v/>
      </c>
      <c r="R15" s="130" t="str">
        <f t="shared" si="1"/>
        <v/>
      </c>
      <c r="S15" s="130" t="str">
        <f t="shared" si="1"/>
        <v/>
      </c>
      <c r="T15" s="130" t="str">
        <f t="shared" si="1"/>
        <v/>
      </c>
      <c r="U15" s="130" t="str">
        <f t="shared" si="1"/>
        <v/>
      </c>
      <c r="V15" s="130" t="str">
        <f t="shared" si="1"/>
        <v/>
      </c>
      <c r="W15" s="130" t="str">
        <f t="shared" si="1"/>
        <v/>
      </c>
      <c r="X15" s="130" t="str">
        <f t="shared" si="1"/>
        <v/>
      </c>
      <c r="Y15" s="130" t="str">
        <f t="shared" si="1"/>
        <v/>
      </c>
      <c r="Z15" s="130" t="str">
        <f t="shared" si="1"/>
        <v/>
      </c>
      <c r="AA15" s="130" t="str">
        <f t="shared" si="1"/>
        <v/>
      </c>
      <c r="AB15" s="130" t="str">
        <f t="shared" si="1"/>
        <v/>
      </c>
      <c r="AC15" s="130" t="str">
        <f t="shared" si="1"/>
        <v/>
      </c>
      <c r="AD15" s="130" t="str">
        <f t="shared" si="1"/>
        <v/>
      </c>
    </row>
    <row r="16" spans="2:31" x14ac:dyDescent="0.25">
      <c r="B16" s="128" t="s">
        <v>1833</v>
      </c>
      <c r="C16" s="129" t="e">
        <f t="shared" si="2"/>
        <v>#DIV/0!</v>
      </c>
      <c r="D16" s="129" t="e">
        <f t="shared" si="3"/>
        <v>#DIV/0!</v>
      </c>
      <c r="E16" s="130" t="str">
        <f t="shared" si="4"/>
        <v/>
      </c>
      <c r="F16" s="130" t="str">
        <f t="shared" si="1"/>
        <v/>
      </c>
      <c r="G16" s="130" t="str">
        <f t="shared" si="1"/>
        <v/>
      </c>
      <c r="H16" s="130" t="str">
        <f t="shared" si="1"/>
        <v/>
      </c>
      <c r="I16" s="130" t="str">
        <f t="shared" si="1"/>
        <v/>
      </c>
      <c r="J16" s="130" t="str">
        <f t="shared" si="1"/>
        <v/>
      </c>
      <c r="K16" s="130" t="str">
        <f t="shared" si="1"/>
        <v/>
      </c>
      <c r="L16" s="130" t="str">
        <f t="shared" si="1"/>
        <v/>
      </c>
      <c r="M16" s="130" t="str">
        <f t="shared" si="1"/>
        <v/>
      </c>
      <c r="N16" s="130" t="str">
        <f t="shared" si="1"/>
        <v/>
      </c>
      <c r="O16" s="130" t="str">
        <f t="shared" si="1"/>
        <v/>
      </c>
      <c r="P16" s="130" t="str">
        <f t="shared" si="1"/>
        <v/>
      </c>
      <c r="Q16" s="130" t="str">
        <f t="shared" si="1"/>
        <v/>
      </c>
      <c r="R16" s="130" t="str">
        <f t="shared" si="1"/>
        <v/>
      </c>
      <c r="S16" s="130" t="str">
        <f t="shared" si="1"/>
        <v/>
      </c>
      <c r="T16" s="130" t="str">
        <f t="shared" si="1"/>
        <v/>
      </c>
      <c r="U16" s="130" t="str">
        <f t="shared" si="1"/>
        <v/>
      </c>
      <c r="V16" s="130" t="str">
        <f t="shared" si="1"/>
        <v/>
      </c>
      <c r="W16" s="130" t="str">
        <f t="shared" si="1"/>
        <v/>
      </c>
      <c r="X16" s="130" t="str">
        <f t="shared" si="1"/>
        <v/>
      </c>
      <c r="Y16" s="130" t="str">
        <f t="shared" si="1"/>
        <v/>
      </c>
      <c r="Z16" s="130" t="str">
        <f t="shared" si="1"/>
        <v/>
      </c>
      <c r="AA16" s="130" t="str">
        <f t="shared" si="1"/>
        <v/>
      </c>
      <c r="AB16" s="130" t="str">
        <f t="shared" si="1"/>
        <v/>
      </c>
      <c r="AC16" s="130" t="str">
        <f t="shared" si="1"/>
        <v/>
      </c>
      <c r="AD16" s="130" t="str">
        <f t="shared" si="1"/>
        <v/>
      </c>
    </row>
    <row r="18" spans="2:31" ht="12.75" customHeight="1" x14ac:dyDescent="0.25">
      <c r="B18" s="124" t="str">
        <f>UPPER("Gains réels")</f>
        <v>GAINS RÉELS</v>
      </c>
      <c r="C18" s="124"/>
      <c r="D18" s="124"/>
    </row>
    <row r="19" spans="2:31" ht="3.75" customHeight="1" x14ac:dyDescent="0.25">
      <c r="B19" s="124"/>
      <c r="C19" s="124"/>
      <c r="D19" s="124"/>
    </row>
    <row r="20" spans="2:31" ht="30" x14ac:dyDescent="0.25">
      <c r="B20" s="124"/>
      <c r="C20" s="125" t="s">
        <v>1826</v>
      </c>
      <c r="D20" s="125" t="s">
        <v>1827</v>
      </c>
      <c r="E20" s="126">
        <f>$C$4+1</f>
        <v>2025</v>
      </c>
      <c r="F20" s="126">
        <f>IF(E20&lt;$C$6-1,E20+1,"")</f>
        <v>2026</v>
      </c>
      <c r="G20" s="126">
        <f t="shared" ref="G20:AE20" si="5">IF(F20&lt;$C$6-1,F20+1,"")</f>
        <v>2027</v>
      </c>
      <c r="H20" s="126" t="str">
        <f t="shared" si="5"/>
        <v/>
      </c>
      <c r="I20" s="126" t="str">
        <f t="shared" si="5"/>
        <v/>
      </c>
      <c r="J20" s="126" t="str">
        <f t="shared" si="5"/>
        <v/>
      </c>
      <c r="K20" s="126" t="str">
        <f t="shared" si="5"/>
        <v/>
      </c>
      <c r="L20" s="126" t="str">
        <f t="shared" si="5"/>
        <v/>
      </c>
      <c r="M20" s="126" t="str">
        <f t="shared" si="5"/>
        <v/>
      </c>
      <c r="N20" s="126" t="str">
        <f t="shared" si="5"/>
        <v/>
      </c>
      <c r="O20" s="126" t="str">
        <f t="shared" si="5"/>
        <v/>
      </c>
      <c r="P20" s="126" t="str">
        <f t="shared" si="5"/>
        <v/>
      </c>
      <c r="Q20" s="126" t="str">
        <f t="shared" si="5"/>
        <v/>
      </c>
      <c r="R20" s="126" t="str">
        <f t="shared" si="5"/>
        <v/>
      </c>
      <c r="S20" s="126" t="str">
        <f t="shared" si="5"/>
        <v/>
      </c>
      <c r="T20" s="126" t="str">
        <f t="shared" si="5"/>
        <v/>
      </c>
      <c r="U20" s="126" t="str">
        <f t="shared" si="5"/>
        <v/>
      </c>
      <c r="V20" s="126" t="str">
        <f t="shared" si="5"/>
        <v/>
      </c>
      <c r="W20" s="126" t="str">
        <f t="shared" si="5"/>
        <v/>
      </c>
      <c r="X20" s="126" t="str">
        <f t="shared" si="5"/>
        <v/>
      </c>
      <c r="Y20" s="126" t="str">
        <f t="shared" si="5"/>
        <v/>
      </c>
      <c r="Z20" s="126" t="str">
        <f t="shared" si="5"/>
        <v/>
      </c>
      <c r="AA20" s="126" t="str">
        <f t="shared" si="5"/>
        <v/>
      </c>
      <c r="AB20" s="126" t="str">
        <f t="shared" si="5"/>
        <v/>
      </c>
      <c r="AC20" s="126" t="str">
        <f t="shared" si="5"/>
        <v/>
      </c>
      <c r="AD20" s="126" t="str">
        <f t="shared" si="5"/>
        <v/>
      </c>
      <c r="AE20" s="131" t="str">
        <f t="shared" si="5"/>
        <v/>
      </c>
    </row>
    <row r="21" spans="2:31" x14ac:dyDescent="0.25">
      <c r="B21" s="128" t="s">
        <v>1828</v>
      </c>
      <c r="C21" s="129">
        <f>SUM($E45,$E56,$E67,$E78,$E89,$E100,$E111,$E122,$E133,$E144)</f>
        <v>-27084.84787480778</v>
      </c>
      <c r="D21" s="129">
        <f>SUM($E21:$XFD21,$C21)</f>
        <v>-67712.119687019454</v>
      </c>
      <c r="E21" s="130">
        <f t="shared" ref="E21:T26" si="6">IFERROR($C21*(E$20-$C$4)/($C$6-$C$4),"")</f>
        <v>-6771.2119687019449</v>
      </c>
      <c r="F21" s="130">
        <f t="shared" si="6"/>
        <v>-13542.42393740389</v>
      </c>
      <c r="G21" s="130">
        <f t="shared" si="6"/>
        <v>-20313.635906105836</v>
      </c>
      <c r="H21" s="130" t="str">
        <f t="shared" si="6"/>
        <v/>
      </c>
      <c r="I21" s="130" t="str">
        <f t="shared" si="6"/>
        <v/>
      </c>
      <c r="J21" s="130" t="str">
        <f t="shared" si="6"/>
        <v/>
      </c>
      <c r="K21" s="130" t="str">
        <f t="shared" si="6"/>
        <v/>
      </c>
      <c r="L21" s="130" t="str">
        <f t="shared" si="6"/>
        <v/>
      </c>
      <c r="M21" s="130" t="str">
        <f t="shared" si="6"/>
        <v/>
      </c>
      <c r="N21" s="130" t="str">
        <f t="shared" si="6"/>
        <v/>
      </c>
      <c r="O21" s="130" t="str">
        <f t="shared" si="6"/>
        <v/>
      </c>
      <c r="P21" s="130" t="str">
        <f t="shared" si="6"/>
        <v/>
      </c>
      <c r="Q21" s="130" t="str">
        <f t="shared" si="6"/>
        <v/>
      </c>
      <c r="R21" s="130" t="str">
        <f t="shared" si="6"/>
        <v/>
      </c>
      <c r="S21" s="130" t="str">
        <f t="shared" si="6"/>
        <v/>
      </c>
      <c r="T21" s="130" t="str">
        <f t="shared" si="6"/>
        <v/>
      </c>
      <c r="U21" s="130" t="str">
        <f t="shared" ref="O21:AD26" si="7">IFERROR($C21*(U$20-$C$4)/($C$6-$C$4),"")</f>
        <v/>
      </c>
      <c r="V21" s="130" t="str">
        <f t="shared" si="7"/>
        <v/>
      </c>
      <c r="W21" s="130" t="str">
        <f t="shared" si="7"/>
        <v/>
      </c>
      <c r="X21" s="130" t="str">
        <f t="shared" si="7"/>
        <v/>
      </c>
      <c r="Y21" s="130" t="str">
        <f t="shared" si="7"/>
        <v/>
      </c>
      <c r="Z21" s="130" t="str">
        <f t="shared" si="7"/>
        <v/>
      </c>
      <c r="AA21" s="130" t="str">
        <f t="shared" si="7"/>
        <v/>
      </c>
      <c r="AB21" s="130" t="str">
        <f t="shared" si="7"/>
        <v/>
      </c>
      <c r="AC21" s="130" t="str">
        <f t="shared" si="7"/>
        <v/>
      </c>
      <c r="AD21" s="130" t="str">
        <f t="shared" si="7"/>
        <v/>
      </c>
    </row>
    <row r="22" spans="2:31" x14ac:dyDescent="0.25">
      <c r="B22" s="128" t="s">
        <v>1829</v>
      </c>
      <c r="C22" s="129">
        <f t="shared" ref="C22:C26" si="8">SUM($E46,$E57,$E68,$E79,$E90,$E101,$E112,$E123,$E134,$E145)</f>
        <v>-1885.0778171342395</v>
      </c>
      <c r="D22" s="129">
        <f t="shared" ref="D22:D26" si="9">SUM($E22:$XFD22,$C22)</f>
        <v>-4712.6945428355993</v>
      </c>
      <c r="E22" s="130">
        <f t="shared" si="6"/>
        <v>-471.26945428355987</v>
      </c>
      <c r="F22" s="130">
        <f t="shared" si="6"/>
        <v>-942.53890856711973</v>
      </c>
      <c r="G22" s="130">
        <f t="shared" si="6"/>
        <v>-1413.8083628506797</v>
      </c>
      <c r="H22" s="130" t="str">
        <f t="shared" si="6"/>
        <v/>
      </c>
      <c r="I22" s="130" t="str">
        <f t="shared" si="6"/>
        <v/>
      </c>
      <c r="J22" s="130" t="str">
        <f t="shared" si="6"/>
        <v/>
      </c>
      <c r="K22" s="130" t="str">
        <f t="shared" si="6"/>
        <v/>
      </c>
      <c r="L22" s="130" t="str">
        <f t="shared" si="6"/>
        <v/>
      </c>
      <c r="M22" s="130" t="str">
        <f t="shared" si="6"/>
        <v/>
      </c>
      <c r="N22" s="130" t="str">
        <f t="shared" si="6"/>
        <v/>
      </c>
      <c r="O22" s="130" t="str">
        <f t="shared" si="7"/>
        <v/>
      </c>
      <c r="P22" s="130" t="str">
        <f t="shared" si="7"/>
        <v/>
      </c>
      <c r="Q22" s="130" t="str">
        <f t="shared" si="7"/>
        <v/>
      </c>
      <c r="R22" s="130" t="str">
        <f t="shared" si="7"/>
        <v/>
      </c>
      <c r="S22" s="130" t="str">
        <f t="shared" si="7"/>
        <v/>
      </c>
      <c r="T22" s="130" t="str">
        <f t="shared" si="7"/>
        <v/>
      </c>
      <c r="U22" s="130" t="str">
        <f t="shared" si="7"/>
        <v/>
      </c>
      <c r="V22" s="130" t="str">
        <f t="shared" si="7"/>
        <v/>
      </c>
      <c r="W22" s="130" t="str">
        <f t="shared" si="7"/>
        <v/>
      </c>
      <c r="X22" s="130" t="str">
        <f t="shared" si="7"/>
        <v/>
      </c>
      <c r="Y22" s="130" t="str">
        <f t="shared" si="7"/>
        <v/>
      </c>
      <c r="Z22" s="130" t="str">
        <f t="shared" si="7"/>
        <v/>
      </c>
      <c r="AA22" s="130" t="str">
        <f t="shared" si="7"/>
        <v/>
      </c>
      <c r="AB22" s="130" t="str">
        <f t="shared" si="7"/>
        <v/>
      </c>
      <c r="AC22" s="130" t="str">
        <f t="shared" si="7"/>
        <v/>
      </c>
      <c r="AD22" s="130" t="str">
        <f t="shared" si="7"/>
        <v/>
      </c>
    </row>
    <row r="23" spans="2:31" x14ac:dyDescent="0.25">
      <c r="B23" s="128" t="s">
        <v>1830</v>
      </c>
      <c r="C23" s="129">
        <f t="shared" si="8"/>
        <v>-4733.3093158726078</v>
      </c>
      <c r="D23" s="129">
        <f t="shared" si="9"/>
        <v>-11833.27328968152</v>
      </c>
      <c r="E23" s="130">
        <f t="shared" si="6"/>
        <v>-1183.327328968152</v>
      </c>
      <c r="F23" s="130">
        <f t="shared" si="6"/>
        <v>-2366.6546579363039</v>
      </c>
      <c r="G23" s="130">
        <f t="shared" si="6"/>
        <v>-3549.9819869044559</v>
      </c>
      <c r="H23" s="130" t="str">
        <f t="shared" si="6"/>
        <v/>
      </c>
      <c r="I23" s="130" t="str">
        <f t="shared" si="6"/>
        <v/>
      </c>
      <c r="J23" s="130" t="str">
        <f t="shared" si="6"/>
        <v/>
      </c>
      <c r="K23" s="130" t="str">
        <f t="shared" si="6"/>
        <v/>
      </c>
      <c r="L23" s="130" t="str">
        <f t="shared" si="6"/>
        <v/>
      </c>
      <c r="M23" s="130" t="str">
        <f t="shared" si="6"/>
        <v/>
      </c>
      <c r="N23" s="130" t="str">
        <f t="shared" si="6"/>
        <v/>
      </c>
      <c r="O23" s="130" t="str">
        <f t="shared" si="7"/>
        <v/>
      </c>
      <c r="P23" s="130" t="str">
        <f t="shared" si="7"/>
        <v/>
      </c>
      <c r="Q23" s="130" t="str">
        <f t="shared" si="7"/>
        <v/>
      </c>
      <c r="R23" s="130" t="str">
        <f t="shared" si="7"/>
        <v/>
      </c>
      <c r="S23" s="130" t="str">
        <f t="shared" si="7"/>
        <v/>
      </c>
      <c r="T23" s="130" t="str">
        <f t="shared" si="7"/>
        <v/>
      </c>
      <c r="U23" s="130" t="str">
        <f t="shared" si="7"/>
        <v/>
      </c>
      <c r="V23" s="130" t="str">
        <f t="shared" si="7"/>
        <v/>
      </c>
      <c r="W23" s="130" t="str">
        <f t="shared" si="7"/>
        <v/>
      </c>
      <c r="X23" s="130" t="str">
        <f t="shared" si="7"/>
        <v/>
      </c>
      <c r="Y23" s="130" t="str">
        <f t="shared" si="7"/>
        <v/>
      </c>
      <c r="Z23" s="130" t="str">
        <f t="shared" si="7"/>
        <v/>
      </c>
      <c r="AA23" s="130" t="str">
        <f t="shared" si="7"/>
        <v/>
      </c>
      <c r="AB23" s="130" t="str">
        <f t="shared" si="7"/>
        <v/>
      </c>
      <c r="AC23" s="130" t="str">
        <f t="shared" si="7"/>
        <v/>
      </c>
      <c r="AD23" s="130" t="str">
        <f t="shared" si="7"/>
        <v/>
      </c>
    </row>
    <row r="24" spans="2:31" x14ac:dyDescent="0.25">
      <c r="B24" s="128" t="s">
        <v>1831</v>
      </c>
      <c r="C24" s="129">
        <f t="shared" si="8"/>
        <v>-121341.84736797851</v>
      </c>
      <c r="D24" s="129">
        <f t="shared" si="9"/>
        <v>-303354.61841994629</v>
      </c>
      <c r="E24" s="130">
        <f t="shared" si="6"/>
        <v>-30335.461841994627</v>
      </c>
      <c r="F24" s="130">
        <f t="shared" si="6"/>
        <v>-60670.923683989255</v>
      </c>
      <c r="G24" s="130">
        <f t="shared" si="6"/>
        <v>-91006.385525983875</v>
      </c>
      <c r="H24" s="130" t="str">
        <f t="shared" si="6"/>
        <v/>
      </c>
      <c r="I24" s="130" t="str">
        <f t="shared" si="6"/>
        <v/>
      </c>
      <c r="J24" s="130" t="str">
        <f t="shared" si="6"/>
        <v/>
      </c>
      <c r="K24" s="130" t="str">
        <f t="shared" si="6"/>
        <v/>
      </c>
      <c r="L24" s="130" t="str">
        <f t="shared" si="6"/>
        <v/>
      </c>
      <c r="M24" s="130" t="str">
        <f t="shared" si="6"/>
        <v/>
      </c>
      <c r="N24" s="130" t="str">
        <f t="shared" si="6"/>
        <v/>
      </c>
      <c r="O24" s="130" t="str">
        <f t="shared" si="7"/>
        <v/>
      </c>
      <c r="P24" s="130" t="str">
        <f t="shared" si="7"/>
        <v/>
      </c>
      <c r="Q24" s="130" t="str">
        <f t="shared" si="7"/>
        <v/>
      </c>
      <c r="R24" s="130" t="str">
        <f t="shared" si="7"/>
        <v/>
      </c>
      <c r="S24" s="130" t="str">
        <f t="shared" si="7"/>
        <v/>
      </c>
      <c r="T24" s="130" t="str">
        <f t="shared" si="7"/>
        <v/>
      </c>
      <c r="U24" s="130" t="str">
        <f t="shared" si="7"/>
        <v/>
      </c>
      <c r="V24" s="130" t="str">
        <f t="shared" si="7"/>
        <v/>
      </c>
      <c r="W24" s="130" t="str">
        <f t="shared" si="7"/>
        <v/>
      </c>
      <c r="X24" s="130" t="str">
        <f t="shared" si="7"/>
        <v/>
      </c>
      <c r="Y24" s="130" t="str">
        <f t="shared" si="7"/>
        <v/>
      </c>
      <c r="Z24" s="130" t="str">
        <f t="shared" si="7"/>
        <v/>
      </c>
      <c r="AA24" s="130" t="str">
        <f t="shared" si="7"/>
        <v/>
      </c>
      <c r="AB24" s="130" t="str">
        <f t="shared" si="7"/>
        <v/>
      </c>
      <c r="AC24" s="130" t="str">
        <f t="shared" si="7"/>
        <v/>
      </c>
      <c r="AD24" s="130" t="str">
        <f t="shared" si="7"/>
        <v/>
      </c>
    </row>
    <row r="25" spans="2:31" x14ac:dyDescent="0.25">
      <c r="B25" s="128" t="s">
        <v>1832</v>
      </c>
      <c r="C25" s="129">
        <f t="shared" si="8"/>
        <v>-27543.218674366133</v>
      </c>
      <c r="D25" s="129">
        <f t="shared" si="9"/>
        <v>-68858.046685915338</v>
      </c>
      <c r="E25" s="130">
        <f t="shared" si="6"/>
        <v>-6885.8046685915333</v>
      </c>
      <c r="F25" s="130">
        <f t="shared" si="6"/>
        <v>-13771.609337183067</v>
      </c>
      <c r="G25" s="130">
        <f t="shared" si="6"/>
        <v>-20657.414005774601</v>
      </c>
      <c r="H25" s="130" t="str">
        <f t="shared" si="6"/>
        <v/>
      </c>
      <c r="I25" s="130" t="str">
        <f t="shared" si="6"/>
        <v/>
      </c>
      <c r="J25" s="130" t="str">
        <f t="shared" si="6"/>
        <v/>
      </c>
      <c r="K25" s="130" t="str">
        <f t="shared" si="6"/>
        <v/>
      </c>
      <c r="L25" s="130" t="str">
        <f t="shared" si="6"/>
        <v/>
      </c>
      <c r="M25" s="130" t="str">
        <f t="shared" si="6"/>
        <v/>
      </c>
      <c r="N25" s="130" t="str">
        <f t="shared" si="6"/>
        <v/>
      </c>
      <c r="O25" s="130" t="str">
        <f t="shared" si="7"/>
        <v/>
      </c>
      <c r="P25" s="130" t="str">
        <f t="shared" si="7"/>
        <v/>
      </c>
      <c r="Q25" s="130" t="str">
        <f t="shared" si="7"/>
        <v/>
      </c>
      <c r="R25" s="130" t="str">
        <f t="shared" si="7"/>
        <v/>
      </c>
      <c r="S25" s="130" t="str">
        <f t="shared" si="7"/>
        <v/>
      </c>
      <c r="T25" s="130" t="str">
        <f t="shared" si="7"/>
        <v/>
      </c>
      <c r="U25" s="130" t="str">
        <f t="shared" si="7"/>
        <v/>
      </c>
      <c r="V25" s="130" t="str">
        <f t="shared" si="7"/>
        <v/>
      </c>
      <c r="W25" s="130" t="str">
        <f t="shared" si="7"/>
        <v/>
      </c>
      <c r="X25" s="130" t="str">
        <f t="shared" si="7"/>
        <v/>
      </c>
      <c r="Y25" s="130" t="str">
        <f t="shared" si="7"/>
        <v/>
      </c>
      <c r="Z25" s="130" t="str">
        <f t="shared" si="7"/>
        <v/>
      </c>
      <c r="AA25" s="130" t="str">
        <f t="shared" si="7"/>
        <v/>
      </c>
      <c r="AB25" s="130" t="str">
        <f t="shared" si="7"/>
        <v/>
      </c>
      <c r="AC25" s="130" t="str">
        <f t="shared" si="7"/>
        <v/>
      </c>
      <c r="AD25" s="130" t="str">
        <f t="shared" si="7"/>
        <v/>
      </c>
    </row>
    <row r="26" spans="2:31" x14ac:dyDescent="0.25">
      <c r="B26" s="128" t="s">
        <v>1833</v>
      </c>
      <c r="C26" s="129" t="e">
        <f t="shared" si="8"/>
        <v>#DIV/0!</v>
      </c>
      <c r="D26" s="129" t="e">
        <f t="shared" si="9"/>
        <v>#DIV/0!</v>
      </c>
      <c r="E26" s="130" t="str">
        <f t="shared" si="6"/>
        <v/>
      </c>
      <c r="F26" s="130" t="str">
        <f t="shared" si="6"/>
        <v/>
      </c>
      <c r="G26" s="130" t="str">
        <f t="shared" si="6"/>
        <v/>
      </c>
      <c r="H26" s="130" t="str">
        <f t="shared" si="6"/>
        <v/>
      </c>
      <c r="I26" s="130" t="str">
        <f t="shared" si="6"/>
        <v/>
      </c>
      <c r="J26" s="130" t="str">
        <f t="shared" si="6"/>
        <v/>
      </c>
      <c r="K26" s="130" t="str">
        <f t="shared" si="6"/>
        <v/>
      </c>
      <c r="L26" s="130" t="str">
        <f t="shared" si="6"/>
        <v/>
      </c>
      <c r="M26" s="130" t="str">
        <f t="shared" si="6"/>
        <v/>
      </c>
      <c r="N26" s="130" t="str">
        <f t="shared" si="6"/>
        <v/>
      </c>
      <c r="O26" s="130" t="str">
        <f t="shared" si="7"/>
        <v/>
      </c>
      <c r="P26" s="130" t="str">
        <f t="shared" si="7"/>
        <v/>
      </c>
      <c r="Q26" s="130" t="str">
        <f t="shared" si="7"/>
        <v/>
      </c>
      <c r="R26" s="130" t="str">
        <f t="shared" si="7"/>
        <v/>
      </c>
      <c r="S26" s="130" t="str">
        <f t="shared" si="7"/>
        <v/>
      </c>
      <c r="T26" s="130" t="str">
        <f t="shared" si="7"/>
        <v/>
      </c>
      <c r="U26" s="130" t="str">
        <f t="shared" si="7"/>
        <v/>
      </c>
      <c r="V26" s="130" t="str">
        <f t="shared" si="7"/>
        <v/>
      </c>
      <c r="W26" s="130" t="str">
        <f t="shared" si="7"/>
        <v/>
      </c>
      <c r="X26" s="130" t="str">
        <f t="shared" si="7"/>
        <v/>
      </c>
      <c r="Y26" s="130" t="str">
        <f t="shared" si="7"/>
        <v/>
      </c>
      <c r="Z26" s="130" t="str">
        <f t="shared" si="7"/>
        <v/>
      </c>
      <c r="AA26" s="130" t="str">
        <f t="shared" si="7"/>
        <v/>
      </c>
      <c r="AB26" s="130" t="str">
        <f t="shared" si="7"/>
        <v/>
      </c>
      <c r="AC26" s="130" t="str">
        <f t="shared" si="7"/>
        <v/>
      </c>
      <c r="AD26" s="130" t="str">
        <f t="shared" si="7"/>
        <v/>
      </c>
    </row>
    <row r="28" spans="2:31" x14ac:dyDescent="0.25">
      <c r="B28" s="132" t="str">
        <f>UPPER("écart entre gains réels et gains prévisionnels")</f>
        <v>ÉCART ENTRE GAINS RÉELS ET GAINS PRÉVISIONNELS</v>
      </c>
    </row>
    <row r="29" spans="2:31" ht="3.75" customHeight="1" x14ac:dyDescent="0.25"/>
    <row r="30" spans="2:31" x14ac:dyDescent="0.25">
      <c r="C30" s="125" t="s">
        <v>1834</v>
      </c>
      <c r="D30" s="125" t="s">
        <v>1835</v>
      </c>
    </row>
    <row r="31" spans="2:31" x14ac:dyDescent="0.25">
      <c r="B31" s="128" t="s">
        <v>1828</v>
      </c>
      <c r="C31" s="133">
        <f t="shared" ref="C31:C36" si="10">D21-D11</f>
        <v>-32187.762551923508</v>
      </c>
      <c r="D31" s="134">
        <f t="shared" ref="D31:D36" si="11">C31/D11</f>
        <v>0.906075863090677</v>
      </c>
    </row>
    <row r="32" spans="2:31" x14ac:dyDescent="0.25">
      <c r="B32" s="128" t="s">
        <v>1829</v>
      </c>
      <c r="C32" s="133">
        <f t="shared" si="10"/>
        <v>-3604.9650544935303</v>
      </c>
      <c r="D32" s="134">
        <f t="shared" si="11"/>
        <v>3.2543731050159685</v>
      </c>
    </row>
    <row r="33" spans="2:15" x14ac:dyDescent="0.25">
      <c r="B33" s="128" t="s">
        <v>1830</v>
      </c>
      <c r="C33" s="133">
        <f t="shared" si="10"/>
        <v>-10120.28829570527</v>
      </c>
      <c r="D33" s="134">
        <f t="shared" si="11"/>
        <v>5.9079842096069068</v>
      </c>
    </row>
    <row r="34" spans="2:15" x14ac:dyDescent="0.25">
      <c r="B34" s="128" t="s">
        <v>1831</v>
      </c>
      <c r="C34" s="133">
        <f t="shared" si="10"/>
        <v>-254526.44559319722</v>
      </c>
      <c r="D34" s="134">
        <f t="shared" si="11"/>
        <v>5.2126964999550927</v>
      </c>
    </row>
    <row r="35" spans="2:15" x14ac:dyDescent="0.25">
      <c r="B35" s="128" t="s">
        <v>1832</v>
      </c>
      <c r="C35" s="133">
        <f t="shared" si="10"/>
        <v>-56748.576732452741</v>
      </c>
      <c r="D35" s="134">
        <f t="shared" si="11"/>
        <v>4.6862973318023711</v>
      </c>
    </row>
    <row r="36" spans="2:15" x14ac:dyDescent="0.25">
      <c r="B36" s="128" t="s">
        <v>1833</v>
      </c>
      <c r="C36" s="133" t="e">
        <f t="shared" si="10"/>
        <v>#DIV/0!</v>
      </c>
      <c r="D36" s="134" t="e">
        <f t="shared" si="11"/>
        <v>#DIV/0!</v>
      </c>
    </row>
    <row r="39" spans="2:15" x14ac:dyDescent="0.25">
      <c r="B39" s="116" t="str">
        <f>UPPER("Gains action par action")</f>
        <v>GAINS ACTION PAR ACTION</v>
      </c>
      <c r="C39" s="116"/>
      <c r="D39" s="116"/>
      <c r="E39" s="117"/>
      <c r="F39" s="117"/>
      <c r="G39" s="118"/>
      <c r="H39" s="119"/>
      <c r="I39" s="119"/>
      <c r="J39" s="119"/>
      <c r="K39" s="118"/>
      <c r="L39" s="118"/>
      <c r="M39" s="118"/>
      <c r="N39" s="127"/>
      <c r="O39" s="127"/>
    </row>
    <row r="41" spans="2:15" ht="21" x14ac:dyDescent="0.25">
      <c r="B41" s="135" t="s">
        <v>188</v>
      </c>
      <c r="C41" s="135"/>
      <c r="D41" s="135"/>
    </row>
    <row r="42" spans="2:15" ht="15" customHeight="1" x14ac:dyDescent="0.25">
      <c r="B42" s="135"/>
      <c r="C42" s="135"/>
      <c r="D42" s="135"/>
    </row>
    <row r="43" spans="2:15" x14ac:dyDescent="0.25">
      <c r="B43" s="136">
        <v>0</v>
      </c>
      <c r="C43" s="137"/>
      <c r="D43" s="138"/>
      <c r="E43" s="137"/>
      <c r="F43" s="138"/>
    </row>
    <row r="44" spans="2:15" ht="15" customHeight="1" x14ac:dyDescent="0.25">
      <c r="C44" s="139"/>
      <c r="D44" s="140"/>
      <c r="E44" s="139"/>
      <c r="F44" s="140"/>
    </row>
    <row r="45" spans="2:15" x14ac:dyDescent="0.25">
      <c r="B45" s="141"/>
      <c r="C45" s="142"/>
      <c r="D45" s="143"/>
      <c r="E45" s="142"/>
      <c r="F45" s="143"/>
    </row>
    <row r="46" spans="2:15" x14ac:dyDescent="0.25">
      <c r="B46" s="141"/>
      <c r="C46" s="144"/>
      <c r="D46" s="145"/>
      <c r="E46" s="144"/>
      <c r="F46" s="145"/>
    </row>
    <row r="47" spans="2:15" x14ac:dyDescent="0.25">
      <c r="B47" s="141"/>
      <c r="C47" s="144"/>
      <c r="D47" s="145"/>
      <c r="E47" s="144"/>
      <c r="F47" s="145"/>
    </row>
    <row r="48" spans="2:15" x14ac:dyDescent="0.25">
      <c r="B48" s="141"/>
      <c r="C48" s="144"/>
      <c r="D48" s="145"/>
      <c r="E48" s="144"/>
      <c r="F48" s="145"/>
    </row>
    <row r="49" spans="2:7" x14ac:dyDescent="0.25">
      <c r="B49" s="141"/>
      <c r="C49" s="144"/>
      <c r="D49" s="145"/>
      <c r="E49" s="144"/>
      <c r="F49" s="145"/>
    </row>
    <row r="50" spans="2:7" x14ac:dyDescent="0.25">
      <c r="B50" s="141"/>
      <c r="C50" s="146"/>
      <c r="D50" s="147"/>
      <c r="E50" s="146"/>
      <c r="F50" s="147"/>
    </row>
    <row r="52" spans="2:7" ht="21" x14ac:dyDescent="0.25">
      <c r="B52" s="135" t="s">
        <v>212</v>
      </c>
      <c r="C52" s="135"/>
      <c r="D52" s="135"/>
    </row>
    <row r="54" spans="2:7" x14ac:dyDescent="0.25">
      <c r="B54" s="136">
        <v>0</v>
      </c>
      <c r="C54" s="148" t="s">
        <v>1838</v>
      </c>
      <c r="D54" s="138" t="s">
        <v>1839</v>
      </c>
      <c r="E54" s="148" t="s">
        <v>1840</v>
      </c>
      <c r="F54" s="138" t="s">
        <v>1841</v>
      </c>
      <c r="G54" s="120">
        <v>0</v>
      </c>
    </row>
    <row r="55" spans="2:7" x14ac:dyDescent="0.25">
      <c r="B55" s="120" t="s">
        <v>1856</v>
      </c>
      <c r="C55" s="149">
        <v>0</v>
      </c>
      <c r="D55" s="140">
        <v>0</v>
      </c>
      <c r="E55" s="139">
        <v>0</v>
      </c>
      <c r="F55" s="140">
        <v>0</v>
      </c>
      <c r="G55" s="120">
        <v>0</v>
      </c>
    </row>
    <row r="56" spans="2:7" x14ac:dyDescent="0.25">
      <c r="B56" s="141" t="s">
        <v>1843</v>
      </c>
      <c r="C56" s="150">
        <v>-221.82750614469896</v>
      </c>
      <c r="D56" s="151">
        <v>-0.57102830187427744</v>
      </c>
      <c r="E56" s="142">
        <v>-303.77055533043182</v>
      </c>
      <c r="F56" s="143">
        <v>-0.78196607528280582</v>
      </c>
      <c r="G56" s="120" t="s">
        <v>1844</v>
      </c>
    </row>
    <row r="57" spans="2:7" x14ac:dyDescent="0.25">
      <c r="B57" s="141" t="s">
        <v>1845</v>
      </c>
      <c r="C57" s="152">
        <v>-28.054295099970325</v>
      </c>
      <c r="D57" s="153">
        <v>-0.81560956084312497</v>
      </c>
      <c r="E57" s="144">
        <v>-28.091533035020923</v>
      </c>
      <c r="F57" s="145">
        <v>-0.81669216212557005</v>
      </c>
      <c r="G57" s="120" t="s">
        <v>1846</v>
      </c>
    </row>
    <row r="58" spans="2:7" x14ac:dyDescent="0.25">
      <c r="B58" s="141" t="s">
        <v>1847</v>
      </c>
      <c r="C58" s="152">
        <v>-66.511864143570719</v>
      </c>
      <c r="D58" s="153">
        <v>-0.82057430236999962</v>
      </c>
      <c r="E58" s="144">
        <v>-65.738375228644784</v>
      </c>
      <c r="F58" s="145">
        <v>-0.81103156687567912</v>
      </c>
      <c r="G58" s="120" t="s">
        <v>1848</v>
      </c>
    </row>
    <row r="59" spans="2:7" x14ac:dyDescent="0.25">
      <c r="B59" s="141" t="s">
        <v>1849</v>
      </c>
      <c r="C59" s="152">
        <v>-331.81158672082154</v>
      </c>
      <c r="D59" s="153">
        <v>-0.67826284120382785</v>
      </c>
      <c r="E59" s="144">
        <v>-338.59829540085678</v>
      </c>
      <c r="F59" s="145">
        <v>-0.69213569102572503</v>
      </c>
      <c r="G59" s="120" t="s">
        <v>1850</v>
      </c>
    </row>
    <row r="60" spans="2:7" x14ac:dyDescent="0.25">
      <c r="B60" s="141" t="s">
        <v>1851</v>
      </c>
      <c r="C60" s="152">
        <v>-1243.4547043672512</v>
      </c>
      <c r="D60" s="153">
        <v>-0.55057346946791164</v>
      </c>
      <c r="E60" s="144">
        <v>-1595.5759012110416</v>
      </c>
      <c r="F60" s="145">
        <v>-0.70648472891192315</v>
      </c>
      <c r="G60" s="120" t="s">
        <v>1852</v>
      </c>
    </row>
    <row r="61" spans="2:7" x14ac:dyDescent="0.25">
      <c r="B61" s="141" t="s">
        <v>1853</v>
      </c>
      <c r="C61" s="154" t="e">
        <v>#DIV/0!</v>
      </c>
      <c r="D61" s="155" t="s">
        <v>1854</v>
      </c>
      <c r="E61" s="146" t="e">
        <v>#DIV/0!</v>
      </c>
      <c r="F61" s="147" t="s">
        <v>1854</v>
      </c>
      <c r="G61" s="120" t="s">
        <v>1855</v>
      </c>
    </row>
    <row r="63" spans="2:7" ht="21" x14ac:dyDescent="0.25">
      <c r="B63" s="135" t="s">
        <v>220</v>
      </c>
      <c r="C63" s="135"/>
      <c r="D63" s="135"/>
    </row>
    <row r="65" spans="2:7" x14ac:dyDescent="0.25">
      <c r="B65" s="136">
        <v>0</v>
      </c>
      <c r="C65" s="148" t="s">
        <v>1838</v>
      </c>
      <c r="D65" s="138" t="s">
        <v>1839</v>
      </c>
      <c r="E65" s="148" t="s">
        <v>1840</v>
      </c>
      <c r="F65" s="138" t="s">
        <v>1841</v>
      </c>
      <c r="G65" s="120">
        <v>0</v>
      </c>
    </row>
    <row r="66" spans="2:7" x14ac:dyDescent="0.25">
      <c r="B66" s="120" t="s">
        <v>1842</v>
      </c>
      <c r="C66" s="149">
        <v>0</v>
      </c>
      <c r="D66" s="140">
        <v>0</v>
      </c>
      <c r="E66" s="139">
        <v>0</v>
      </c>
      <c r="F66" s="140">
        <v>0</v>
      </c>
      <c r="G66" s="120">
        <v>0</v>
      </c>
    </row>
    <row r="67" spans="2:7" x14ac:dyDescent="0.25">
      <c r="B67" s="141" t="s">
        <v>1843</v>
      </c>
      <c r="C67" s="150">
        <v>-34.091907759482581</v>
      </c>
      <c r="D67" s="151">
        <v>-9.9999999999999867E-2</v>
      </c>
      <c r="E67" s="142">
        <v>-146.44534949816509</v>
      </c>
      <c r="F67" s="143">
        <v>-1</v>
      </c>
      <c r="G67" s="120" t="s">
        <v>1844</v>
      </c>
    </row>
    <row r="68" spans="2:7" x14ac:dyDescent="0.25">
      <c r="B68" s="141" t="s">
        <v>1845</v>
      </c>
      <c r="C68" s="152">
        <v>-2.8132450424169164</v>
      </c>
      <c r="D68" s="153">
        <v>-9.9999999999999908E-2</v>
      </c>
      <c r="E68" s="144">
        <v>-8.8044673660583523</v>
      </c>
      <c r="F68" s="145">
        <v>-1</v>
      </c>
      <c r="G68" s="120" t="s">
        <v>1846</v>
      </c>
    </row>
    <row r="69" spans="2:7" x14ac:dyDescent="0.25">
      <c r="B69" s="141" t="s">
        <v>1847</v>
      </c>
      <c r="C69" s="152">
        <v>-5.8573253763138382</v>
      </c>
      <c r="D69" s="153">
        <v>-0.10000000000000005</v>
      </c>
      <c r="E69" s="144">
        <v>-20.700606122133021</v>
      </c>
      <c r="F69" s="145">
        <v>-1</v>
      </c>
      <c r="G69" s="120" t="s">
        <v>1848</v>
      </c>
    </row>
    <row r="70" spans="2:7" x14ac:dyDescent="0.25">
      <c r="B70" s="141" t="s">
        <v>1849</v>
      </c>
      <c r="C70" s="152">
        <v>-38.840913971296004</v>
      </c>
      <c r="D70" s="153">
        <v>-9.9999999999999881E-2</v>
      </c>
      <c r="E70" s="144">
        <v>-206.06283072506278</v>
      </c>
      <c r="F70" s="145">
        <v>-1</v>
      </c>
      <c r="G70" s="120" t="s">
        <v>1850</v>
      </c>
    </row>
    <row r="71" spans="2:7" x14ac:dyDescent="0.25">
      <c r="B71" s="141" t="s">
        <v>1851</v>
      </c>
      <c r="C71" s="152">
        <v>-201.90910905161604</v>
      </c>
      <c r="D71" s="153">
        <v>-9.9999999999999881E-2</v>
      </c>
      <c r="E71" s="144">
        <v>-876.03917324178428</v>
      </c>
      <c r="F71" s="145">
        <v>-1</v>
      </c>
      <c r="G71" s="120" t="s">
        <v>1852</v>
      </c>
    </row>
    <row r="72" spans="2:7" x14ac:dyDescent="0.25">
      <c r="B72" s="141" t="s">
        <v>1853</v>
      </c>
      <c r="C72" s="154" t="e">
        <v>#DIV/0!</v>
      </c>
      <c r="D72" s="155" t="s">
        <v>1854</v>
      </c>
      <c r="E72" s="146" t="e">
        <v>#DIV/0!</v>
      </c>
      <c r="F72" s="147" t="s">
        <v>1854</v>
      </c>
      <c r="G72" s="120" t="s">
        <v>1855</v>
      </c>
    </row>
    <row r="74" spans="2:7" ht="21" x14ac:dyDescent="0.25">
      <c r="B74" s="135" t="s">
        <v>1836</v>
      </c>
      <c r="C74" s="135"/>
      <c r="D74" s="135"/>
    </row>
    <row r="76" spans="2:7" x14ac:dyDescent="0.25">
      <c r="B76" s="136">
        <v>0</v>
      </c>
      <c r="C76" s="148" t="s">
        <v>1838</v>
      </c>
      <c r="D76" s="138" t="s">
        <v>1839</v>
      </c>
      <c r="E76" s="148" t="s">
        <v>1840</v>
      </c>
      <c r="F76" s="138" t="s">
        <v>1841</v>
      </c>
      <c r="G76" s="120">
        <v>0</v>
      </c>
    </row>
    <row r="77" spans="2:7" x14ac:dyDescent="0.25">
      <c r="B77" s="120" t="s">
        <v>1842</v>
      </c>
      <c r="C77" s="149">
        <v>0</v>
      </c>
      <c r="D77" s="140">
        <v>0</v>
      </c>
      <c r="E77" s="139">
        <v>0</v>
      </c>
      <c r="F77" s="140">
        <v>0</v>
      </c>
      <c r="G77" s="120">
        <v>0</v>
      </c>
    </row>
    <row r="78" spans="2:7" x14ac:dyDescent="0.25">
      <c r="B78" s="141" t="s">
        <v>1843</v>
      </c>
      <c r="C78" s="150">
        <v>-0.55775458819499912</v>
      </c>
      <c r="D78" s="151">
        <v>-1.4079871109580102E-3</v>
      </c>
      <c r="E78" s="142">
        <v>0.28894296562952515</v>
      </c>
      <c r="F78" s="143">
        <v>7.2940318200685381E-4</v>
      </c>
      <c r="G78" s="120" t="s">
        <v>1844</v>
      </c>
    </row>
    <row r="79" spans="2:7" x14ac:dyDescent="0.25">
      <c r="B79" s="141" t="s">
        <v>1845</v>
      </c>
      <c r="C79" s="152">
        <v>-203.17619048833632</v>
      </c>
      <c r="D79" s="153">
        <v>-5.9777641106250901</v>
      </c>
      <c r="E79" s="144">
        <v>-232.01801719236559</v>
      </c>
      <c r="F79" s="145">
        <v>-6.8263361610303361</v>
      </c>
      <c r="G79" s="120" t="s">
        <v>1846</v>
      </c>
    </row>
    <row r="80" spans="2:7" x14ac:dyDescent="0.25">
      <c r="B80" s="141" t="s">
        <v>1847</v>
      </c>
      <c r="C80" s="152">
        <v>-34.881585323245076</v>
      </c>
      <c r="D80" s="153">
        <v>-0.43538340057206143</v>
      </c>
      <c r="E80" s="144">
        <v>-42.158946906577782</v>
      </c>
      <c r="F80" s="145">
        <v>-0.52621764460031162</v>
      </c>
      <c r="G80" s="120" t="s">
        <v>1848</v>
      </c>
    </row>
    <row r="81" spans="2:7" x14ac:dyDescent="0.25">
      <c r="B81" s="141" t="s">
        <v>1849</v>
      </c>
      <c r="C81" s="152">
        <v>56.546120242006474</v>
      </c>
      <c r="D81" s="153">
        <v>0.11354676681927472</v>
      </c>
      <c r="E81" s="144">
        <v>55.722641474467473</v>
      </c>
      <c r="F81" s="145">
        <v>0.11189319003631953</v>
      </c>
      <c r="G81" s="120" t="s">
        <v>1850</v>
      </c>
    </row>
    <row r="82" spans="2:7" x14ac:dyDescent="0.25">
      <c r="B82" s="141" t="s">
        <v>1851</v>
      </c>
      <c r="C82" s="152">
        <v>38.661690300623611</v>
      </c>
      <c r="D82" s="153">
        <v>1.6811354097166123E-2</v>
      </c>
      <c r="E82" s="144">
        <v>38.274204436402023</v>
      </c>
      <c r="F82" s="145">
        <v>1.6642862703737042E-2</v>
      </c>
      <c r="G82" s="120" t="s">
        <v>1852</v>
      </c>
    </row>
    <row r="83" spans="2:7" x14ac:dyDescent="0.25">
      <c r="B83" s="141" t="s">
        <v>1853</v>
      </c>
      <c r="C83" s="154" t="e">
        <v>#DIV/0!</v>
      </c>
      <c r="D83" s="155" t="s">
        <v>1854</v>
      </c>
      <c r="E83" s="146" t="e">
        <v>#DIV/0!</v>
      </c>
      <c r="F83" s="147" t="s">
        <v>1854</v>
      </c>
      <c r="G83" s="120" t="s">
        <v>1855</v>
      </c>
    </row>
    <row r="85" spans="2:7" ht="21" x14ac:dyDescent="0.25">
      <c r="B85" s="135" t="s">
        <v>1837</v>
      </c>
      <c r="C85" s="135"/>
      <c r="D85" s="135"/>
    </row>
    <row r="87" spans="2:7" x14ac:dyDescent="0.25">
      <c r="B87" s="136" t="s">
        <v>1857</v>
      </c>
      <c r="C87" s="148" t="s">
        <v>1858</v>
      </c>
      <c r="D87" s="138">
        <v>0</v>
      </c>
      <c r="E87" s="148" t="s">
        <v>1859</v>
      </c>
      <c r="F87" s="138">
        <v>0</v>
      </c>
      <c r="G87" s="120">
        <v>0</v>
      </c>
    </row>
    <row r="88" spans="2:7" ht="30" x14ac:dyDescent="0.25">
      <c r="B88" s="120">
        <v>0</v>
      </c>
      <c r="C88" s="149" t="s">
        <v>1860</v>
      </c>
      <c r="D88" s="140" t="s">
        <v>1861</v>
      </c>
      <c r="E88" s="139" t="s">
        <v>1860</v>
      </c>
      <c r="F88" s="140" t="s">
        <v>1861</v>
      </c>
      <c r="G88" s="120">
        <v>0</v>
      </c>
    </row>
    <row r="89" spans="2:7" x14ac:dyDescent="0.25">
      <c r="B89" s="141" t="s">
        <v>1862</v>
      </c>
      <c r="C89" s="150">
        <v>-3297.6373320164266</v>
      </c>
      <c r="D89" s="151">
        <v>-0.98037045359770891</v>
      </c>
      <c r="E89" s="142">
        <v>-21025.756835051059</v>
      </c>
      <c r="F89" s="143">
        <v>-0.99642539650272555</v>
      </c>
      <c r="G89" s="120" t="s">
        <v>1844</v>
      </c>
    </row>
    <row r="90" spans="2:7" x14ac:dyDescent="0.25">
      <c r="B90" s="141" t="s">
        <v>1863</v>
      </c>
      <c r="C90" s="152">
        <v>-209.01490863193249</v>
      </c>
      <c r="D90" s="153">
        <v>-0.97297108088668804</v>
      </c>
      <c r="E90" s="144">
        <v>-1615.2644406474046</v>
      </c>
      <c r="F90" s="145">
        <v>-0.99550235970226519</v>
      </c>
      <c r="G90" s="120" t="s">
        <v>1846</v>
      </c>
    </row>
    <row r="91" spans="2:7" x14ac:dyDescent="0.25">
      <c r="B91" s="141" t="s">
        <v>1864</v>
      </c>
      <c r="C91" s="152">
        <v>-577.90529826901047</v>
      </c>
      <c r="D91" s="153">
        <v>-0.97927423999819707</v>
      </c>
      <c r="E91" s="144">
        <v>-4602.0258923704878</v>
      </c>
      <c r="F91" s="145">
        <v>-0.99624354414459959</v>
      </c>
      <c r="G91" s="120" t="s">
        <v>1848</v>
      </c>
    </row>
    <row r="92" spans="2:7" x14ac:dyDescent="0.25">
      <c r="B92" s="141" t="s">
        <v>1865</v>
      </c>
      <c r="C92" s="152">
        <v>-19212.92604646445</v>
      </c>
      <c r="D92" s="153">
        <v>-0.9789009464787205</v>
      </c>
      <c r="E92" s="144">
        <v>-120795.19948363162</v>
      </c>
      <c r="F92" s="145">
        <v>-0.99619216716585768</v>
      </c>
      <c r="G92" s="120" t="s">
        <v>1852</v>
      </c>
    </row>
    <row r="93" spans="2:7" x14ac:dyDescent="0.25">
      <c r="B93" s="141" t="s">
        <v>1866</v>
      </c>
      <c r="C93" s="152">
        <v>-3436.3229738358327</v>
      </c>
      <c r="D93" s="153">
        <v>-0.97860591624323257</v>
      </c>
      <c r="E93" s="144">
        <v>-25012.328054760237</v>
      </c>
      <c r="F93" s="145">
        <v>-0.99618886541074414</v>
      </c>
      <c r="G93" s="120" t="s">
        <v>1850</v>
      </c>
    </row>
    <row r="94" spans="2:7" x14ac:dyDescent="0.25">
      <c r="B94" s="141" t="s">
        <v>1867</v>
      </c>
      <c r="C94" s="154" t="e">
        <v>#DIV/0!</v>
      </c>
      <c r="D94" s="155" t="e">
        <v>#DIV/0!</v>
      </c>
      <c r="E94" s="146" t="e">
        <v>#DIV/0!</v>
      </c>
      <c r="F94" s="147" t="e">
        <v>#DIV/0!</v>
      </c>
      <c r="G94" s="120" t="s">
        <v>1855</v>
      </c>
    </row>
    <row r="96" spans="2:7" ht="21" x14ac:dyDescent="0.25">
      <c r="B96" s="135" t="s">
        <v>269</v>
      </c>
      <c r="C96" s="135"/>
      <c r="D96" s="135"/>
    </row>
    <row r="98" spans="2:7" x14ac:dyDescent="0.25">
      <c r="B98" s="136">
        <v>0</v>
      </c>
      <c r="C98" s="148" t="s">
        <v>1838</v>
      </c>
      <c r="D98" s="138" t="s">
        <v>1839</v>
      </c>
      <c r="E98" s="148" t="s">
        <v>1840</v>
      </c>
      <c r="F98" s="138" t="s">
        <v>1841</v>
      </c>
      <c r="G98" s="120">
        <v>0</v>
      </c>
    </row>
    <row r="99" spans="2:7" x14ac:dyDescent="0.25">
      <c r="C99" s="149"/>
      <c r="D99" s="140"/>
      <c r="E99" s="139"/>
      <c r="F99" s="140"/>
    </row>
    <row r="100" spans="2:7" x14ac:dyDescent="0.25">
      <c r="B100" s="141"/>
      <c r="C100" s="150"/>
      <c r="D100" s="151"/>
      <c r="E100" s="142"/>
      <c r="F100" s="143"/>
    </row>
    <row r="101" spans="2:7" x14ac:dyDescent="0.25">
      <c r="B101" s="141"/>
      <c r="C101" s="152"/>
      <c r="D101" s="153"/>
      <c r="E101" s="144"/>
      <c r="F101" s="145"/>
    </row>
    <row r="102" spans="2:7" x14ac:dyDescent="0.25">
      <c r="B102" s="141"/>
      <c r="C102" s="152"/>
      <c r="D102" s="153"/>
      <c r="E102" s="144"/>
      <c r="F102" s="145"/>
    </row>
    <row r="103" spans="2:7" x14ac:dyDescent="0.25">
      <c r="B103" s="141"/>
      <c r="C103" s="152"/>
      <c r="D103" s="153"/>
      <c r="E103" s="144"/>
      <c r="F103" s="145"/>
    </row>
    <row r="104" spans="2:7" x14ac:dyDescent="0.25">
      <c r="B104" s="141"/>
      <c r="C104" s="152"/>
      <c r="D104" s="153"/>
      <c r="E104" s="144"/>
      <c r="F104" s="145"/>
    </row>
    <row r="105" spans="2:7" x14ac:dyDescent="0.25">
      <c r="B105" s="141"/>
      <c r="C105" s="154"/>
      <c r="D105" s="155"/>
      <c r="E105" s="146"/>
      <c r="F105" s="147"/>
    </row>
    <row r="107" spans="2:7" ht="21" x14ac:dyDescent="0.25">
      <c r="B107" s="135" t="s">
        <v>288</v>
      </c>
      <c r="C107" s="135"/>
      <c r="D107" s="135"/>
    </row>
    <row r="109" spans="2:7" x14ac:dyDescent="0.25">
      <c r="B109" s="136" t="s">
        <v>1857</v>
      </c>
      <c r="C109" s="148" t="s">
        <v>1858</v>
      </c>
      <c r="D109" s="138">
        <v>0</v>
      </c>
      <c r="E109" s="148" t="s">
        <v>1859</v>
      </c>
      <c r="F109" s="138">
        <v>0</v>
      </c>
      <c r="G109" s="120">
        <v>0</v>
      </c>
    </row>
    <row r="110" spans="2:7" ht="30" x14ac:dyDescent="0.25">
      <c r="B110" s="120">
        <v>0</v>
      </c>
      <c r="C110" s="149" t="s">
        <v>1860</v>
      </c>
      <c r="D110" s="140" t="s">
        <v>1861</v>
      </c>
      <c r="E110" s="139" t="s">
        <v>1860</v>
      </c>
      <c r="F110" s="140" t="s">
        <v>1861</v>
      </c>
      <c r="G110" s="120">
        <v>0</v>
      </c>
    </row>
    <row r="111" spans="2:7" x14ac:dyDescent="0.25">
      <c r="B111" s="141" t="s">
        <v>1862</v>
      </c>
      <c r="C111" s="150">
        <v>-0.83181032810963451</v>
      </c>
      <c r="D111" s="151">
        <v>-5.7481034568010257E-2</v>
      </c>
      <c r="E111" s="142">
        <v>-2.8076912748251139</v>
      </c>
      <c r="F111" s="143">
        <v>-8.3333333333333315E-2</v>
      </c>
      <c r="G111" s="120" t="s">
        <v>1844</v>
      </c>
    </row>
    <row r="112" spans="2:7" x14ac:dyDescent="0.25">
      <c r="B112" s="141" t="s">
        <v>1863</v>
      </c>
      <c r="C112" s="152">
        <v>-3.3156074171727945E-2</v>
      </c>
      <c r="D112" s="153">
        <v>-4.5454545454545373E-2</v>
      </c>
      <c r="E112" s="144">
        <v>-0.26608129183707119</v>
      </c>
      <c r="F112" s="145">
        <v>-8.3333333333333245E-2</v>
      </c>
      <c r="G112" s="120" t="s">
        <v>1846</v>
      </c>
    </row>
    <row r="113" spans="2:7" x14ac:dyDescent="0.25">
      <c r="B113" s="141" t="s">
        <v>1864</v>
      </c>
      <c r="C113" s="152">
        <v>-3.7924478359920633E-2</v>
      </c>
      <c r="D113" s="153">
        <v>-4.54545454545454E-2</v>
      </c>
      <c r="E113" s="144">
        <v>-0.8209151566966888</v>
      </c>
      <c r="F113" s="145">
        <v>-8.3333333333333315E-2</v>
      </c>
      <c r="G113" s="120" t="s">
        <v>1848</v>
      </c>
    </row>
    <row r="114" spans="2:7" x14ac:dyDescent="0.25">
      <c r="B114" s="141" t="s">
        <v>1865</v>
      </c>
      <c r="C114" s="152">
        <v>-4.2367037850661546</v>
      </c>
      <c r="D114" s="153">
        <v>-4.5454545454545456E-2</v>
      </c>
      <c r="E114" s="144">
        <v>-40.568357793722043</v>
      </c>
      <c r="F114" s="145">
        <v>-8.3333333333333245E-2</v>
      </c>
      <c r="G114" s="120" t="s">
        <v>1852</v>
      </c>
    </row>
    <row r="115" spans="2:7" x14ac:dyDescent="0.25">
      <c r="B115" s="141" t="s">
        <v>1866</v>
      </c>
      <c r="C115" s="152">
        <v>-0.7628844309607743</v>
      </c>
      <c r="D115" s="153">
        <v>-4.5454545454545379E-2</v>
      </c>
      <c r="E115" s="144">
        <v>-7.4335254488511282</v>
      </c>
      <c r="F115" s="145">
        <v>-8.3333333333333232E-2</v>
      </c>
      <c r="G115" s="120" t="s">
        <v>1850</v>
      </c>
    </row>
    <row r="116" spans="2:7" x14ac:dyDescent="0.25">
      <c r="B116" s="141" t="s">
        <v>1867</v>
      </c>
      <c r="C116" s="154" t="e">
        <v>#DIV/0!</v>
      </c>
      <c r="D116" s="155" t="e">
        <v>#DIV/0!</v>
      </c>
      <c r="E116" s="146" t="e">
        <v>#DIV/0!</v>
      </c>
      <c r="F116" s="147" t="e">
        <v>#DIV/0!</v>
      </c>
      <c r="G116" s="120" t="s">
        <v>1855</v>
      </c>
    </row>
    <row r="118" spans="2:7" ht="21" x14ac:dyDescent="0.25">
      <c r="B118" s="135" t="s">
        <v>431</v>
      </c>
      <c r="C118" s="135"/>
      <c r="D118" s="135"/>
    </row>
    <row r="120" spans="2:7" x14ac:dyDescent="0.25">
      <c r="B120" s="136" t="s">
        <v>1857</v>
      </c>
      <c r="C120" s="148" t="s">
        <v>1858</v>
      </c>
      <c r="D120" s="138">
        <v>0</v>
      </c>
      <c r="E120" s="148" t="s">
        <v>1859</v>
      </c>
      <c r="F120" s="138">
        <v>0</v>
      </c>
      <c r="G120" s="120">
        <v>0</v>
      </c>
    </row>
    <row r="121" spans="2:7" ht="30" x14ac:dyDescent="0.25">
      <c r="B121" s="120">
        <v>0</v>
      </c>
      <c r="C121" s="149" t="s">
        <v>1860</v>
      </c>
      <c r="D121" s="140" t="s">
        <v>1861</v>
      </c>
      <c r="E121" s="139" t="s">
        <v>1860</v>
      </c>
      <c r="F121" s="140" t="s">
        <v>1861</v>
      </c>
      <c r="G121" s="120">
        <v>0</v>
      </c>
    </row>
    <row r="122" spans="2:7" x14ac:dyDescent="0.25">
      <c r="B122" s="141" t="s">
        <v>1862</v>
      </c>
      <c r="C122" s="150">
        <v>-10654.796543201466</v>
      </c>
      <c r="D122" s="151">
        <v>-0.91473528492599043</v>
      </c>
      <c r="E122" s="142">
        <v>-5603.0237754808177</v>
      </c>
      <c r="F122" s="143">
        <v>-0.88001101855466901</v>
      </c>
      <c r="G122" s="120" t="s">
        <v>1844</v>
      </c>
    </row>
    <row r="123" spans="2:7" x14ac:dyDescent="0.25">
      <c r="B123" s="141" t="s">
        <v>1863</v>
      </c>
      <c r="C123" s="152">
        <v>0</v>
      </c>
      <c r="D123" s="153">
        <v>0</v>
      </c>
      <c r="E123" s="144">
        <v>0</v>
      </c>
      <c r="F123" s="145">
        <v>0</v>
      </c>
      <c r="G123" s="120" t="s">
        <v>1846</v>
      </c>
    </row>
    <row r="124" spans="2:7" x14ac:dyDescent="0.25">
      <c r="B124" s="141" t="s">
        <v>1864</v>
      </c>
      <c r="C124" s="152">
        <v>0</v>
      </c>
      <c r="D124" s="153">
        <v>0</v>
      </c>
      <c r="E124" s="144">
        <v>0</v>
      </c>
      <c r="F124" s="145">
        <v>0</v>
      </c>
      <c r="G124" s="120" t="s">
        <v>1848</v>
      </c>
    </row>
    <row r="125" spans="2:7" x14ac:dyDescent="0.25">
      <c r="B125" s="141" t="s">
        <v>1865</v>
      </c>
      <c r="C125" s="152">
        <v>0</v>
      </c>
      <c r="D125" s="153">
        <v>0</v>
      </c>
      <c r="E125" s="144">
        <v>0</v>
      </c>
      <c r="F125" s="145">
        <v>0</v>
      </c>
      <c r="G125" s="120" t="s">
        <v>1852</v>
      </c>
    </row>
    <row r="126" spans="2:7" x14ac:dyDescent="0.25">
      <c r="B126" s="141" t="s">
        <v>1866</v>
      </c>
      <c r="C126" s="152">
        <v>0</v>
      </c>
      <c r="D126" s="153">
        <v>0</v>
      </c>
      <c r="E126" s="144">
        <v>0</v>
      </c>
      <c r="F126" s="145">
        <v>0</v>
      </c>
      <c r="G126" s="120" t="s">
        <v>1850</v>
      </c>
    </row>
    <row r="127" spans="2:7" x14ac:dyDescent="0.25">
      <c r="B127" s="141" t="s">
        <v>1867</v>
      </c>
      <c r="C127" s="154" t="e">
        <v>#DIV/0!</v>
      </c>
      <c r="D127" s="155" t="e">
        <v>#DIV/0!</v>
      </c>
      <c r="E127" s="146" t="e">
        <v>#DIV/0!</v>
      </c>
      <c r="F127" s="147" t="e">
        <v>#DIV/0!</v>
      </c>
      <c r="G127" s="120" t="s">
        <v>1855</v>
      </c>
    </row>
    <row r="129" spans="2:7" ht="21" x14ac:dyDescent="0.25">
      <c r="B129" s="135" t="s">
        <v>303</v>
      </c>
      <c r="C129" s="135"/>
      <c r="D129" s="135"/>
    </row>
    <row r="131" spans="2:7" x14ac:dyDescent="0.25">
      <c r="B131" s="136">
        <v>0</v>
      </c>
      <c r="C131" s="148" t="s">
        <v>1838</v>
      </c>
      <c r="D131" s="138" t="s">
        <v>1839</v>
      </c>
      <c r="E131" s="148" t="s">
        <v>1840</v>
      </c>
      <c r="F131" s="138" t="s">
        <v>1841</v>
      </c>
      <c r="G131" s="120">
        <v>0</v>
      </c>
    </row>
    <row r="132" spans="2:7" x14ac:dyDescent="0.25">
      <c r="B132" s="120" t="s">
        <v>1842</v>
      </c>
      <c r="C132" s="149">
        <v>0</v>
      </c>
      <c r="D132" s="140">
        <v>0</v>
      </c>
      <c r="E132" s="139">
        <v>0</v>
      </c>
      <c r="F132" s="140">
        <v>0</v>
      </c>
      <c r="G132" s="120">
        <v>0</v>
      </c>
    </row>
    <row r="133" spans="2:7" x14ac:dyDescent="0.25">
      <c r="B133" s="141" t="s">
        <v>1843</v>
      </c>
      <c r="C133" s="150">
        <v>0</v>
      </c>
      <c r="D133" s="151" t="s">
        <v>1854</v>
      </c>
      <c r="E133" s="142">
        <v>-3.3326111381088337</v>
      </c>
      <c r="F133" s="143" t="s">
        <v>1854</v>
      </c>
      <c r="G133" s="120" t="s">
        <v>1844</v>
      </c>
    </row>
    <row r="134" spans="2:7" x14ac:dyDescent="0.25">
      <c r="B134" s="141" t="s">
        <v>1845</v>
      </c>
      <c r="C134" s="152">
        <v>0</v>
      </c>
      <c r="D134" s="153" t="s">
        <v>1854</v>
      </c>
      <c r="E134" s="144">
        <v>-0.63327760155297352</v>
      </c>
      <c r="F134" s="145" t="s">
        <v>1854</v>
      </c>
      <c r="G134" s="120" t="s">
        <v>1846</v>
      </c>
    </row>
    <row r="135" spans="2:7" x14ac:dyDescent="0.25">
      <c r="B135" s="141" t="s">
        <v>1847</v>
      </c>
      <c r="C135" s="152">
        <v>0</v>
      </c>
      <c r="D135" s="153" t="s">
        <v>1854</v>
      </c>
      <c r="E135" s="144">
        <v>-1.8645800880673657</v>
      </c>
      <c r="F135" s="145" t="s">
        <v>1854</v>
      </c>
      <c r="G135" s="120" t="s">
        <v>1848</v>
      </c>
    </row>
    <row r="136" spans="2:7" x14ac:dyDescent="0.25">
      <c r="B136" s="141" t="s">
        <v>1849</v>
      </c>
      <c r="C136" s="152">
        <v>0</v>
      </c>
      <c r="D136" s="153" t="s">
        <v>1854</v>
      </c>
      <c r="E136" s="144">
        <v>-17.141041901721152</v>
      </c>
      <c r="F136" s="145" t="s">
        <v>1854</v>
      </c>
      <c r="G136" s="120" t="s">
        <v>1852</v>
      </c>
    </row>
    <row r="137" spans="2:7" x14ac:dyDescent="0.25">
      <c r="B137" s="141" t="s">
        <v>1851</v>
      </c>
      <c r="C137" s="152">
        <v>0</v>
      </c>
      <c r="D137" s="153" t="s">
        <v>1854</v>
      </c>
      <c r="E137" s="144">
        <v>-90.116224140620261</v>
      </c>
      <c r="F137" s="145" t="s">
        <v>1854</v>
      </c>
      <c r="G137" s="120" t="s">
        <v>1850</v>
      </c>
    </row>
    <row r="138" spans="2:7" x14ac:dyDescent="0.25">
      <c r="B138" s="141" t="s">
        <v>1853</v>
      </c>
      <c r="C138" s="154" t="e">
        <v>#DIV/0!</v>
      </c>
      <c r="D138" s="155" t="s">
        <v>1854</v>
      </c>
      <c r="E138" s="146" t="e">
        <v>#DIV/0!</v>
      </c>
      <c r="F138" s="147" t="s">
        <v>1854</v>
      </c>
      <c r="G138" s="120" t="s">
        <v>1855</v>
      </c>
    </row>
    <row r="140" spans="2:7" ht="21" x14ac:dyDescent="0.25">
      <c r="B140" s="135" t="s">
        <v>371</v>
      </c>
      <c r="C140" s="135"/>
      <c r="D140" s="135"/>
    </row>
    <row r="142" spans="2:7" x14ac:dyDescent="0.25">
      <c r="B142" s="136" t="s">
        <v>1857</v>
      </c>
      <c r="C142" s="148" t="s">
        <v>1858</v>
      </c>
      <c r="D142" s="138">
        <v>0</v>
      </c>
      <c r="E142" s="148" t="s">
        <v>1859</v>
      </c>
      <c r="F142" s="138">
        <v>0</v>
      </c>
      <c r="G142" s="120">
        <v>0</v>
      </c>
    </row>
    <row r="143" spans="2:7" ht="30" x14ac:dyDescent="0.25">
      <c r="B143" s="120">
        <v>0</v>
      </c>
      <c r="C143" s="149" t="s">
        <v>1860</v>
      </c>
      <c r="D143" s="140" t="s">
        <v>1861</v>
      </c>
      <c r="E143" s="139" t="s">
        <v>1860</v>
      </c>
      <c r="F143" s="140" t="s">
        <v>1861</v>
      </c>
      <c r="G143" s="120">
        <v>0</v>
      </c>
    </row>
    <row r="144" spans="2:7" x14ac:dyDescent="0.25">
      <c r="B144" s="141" t="s">
        <v>1862</v>
      </c>
      <c r="C144" s="150">
        <v>0</v>
      </c>
      <c r="D144" s="151" t="e">
        <v>#DIV/0!</v>
      </c>
      <c r="E144" s="142">
        <v>0</v>
      </c>
      <c r="F144" s="143" t="e">
        <v>#DIV/0!</v>
      </c>
      <c r="G144" s="120" t="s">
        <v>1844</v>
      </c>
    </row>
    <row r="145" spans="2:7" x14ac:dyDescent="0.25">
      <c r="B145" s="141" t="s">
        <v>1863</v>
      </c>
      <c r="C145" s="152">
        <v>0</v>
      </c>
      <c r="D145" s="153" t="e">
        <v>#DIV/0!</v>
      </c>
      <c r="E145" s="144">
        <v>0</v>
      </c>
      <c r="F145" s="145" t="e">
        <v>#DIV/0!</v>
      </c>
      <c r="G145" s="120" t="s">
        <v>1846</v>
      </c>
    </row>
    <row r="146" spans="2:7" x14ac:dyDescent="0.25">
      <c r="B146" s="141" t="s">
        <v>1864</v>
      </c>
      <c r="C146" s="152">
        <v>0</v>
      </c>
      <c r="D146" s="153" t="e">
        <v>#DIV/0!</v>
      </c>
      <c r="E146" s="144">
        <v>0</v>
      </c>
      <c r="F146" s="145" t="e">
        <v>#DIV/0!</v>
      </c>
      <c r="G146" s="120" t="s">
        <v>1848</v>
      </c>
    </row>
    <row r="147" spans="2:7" x14ac:dyDescent="0.25">
      <c r="B147" s="141" t="s">
        <v>1865</v>
      </c>
      <c r="C147" s="152">
        <v>0</v>
      </c>
      <c r="D147" s="153" t="e">
        <v>#DIV/0!</v>
      </c>
      <c r="E147" s="144">
        <v>0</v>
      </c>
      <c r="F147" s="145" t="e">
        <v>#DIV/0!</v>
      </c>
      <c r="G147" s="120" t="s">
        <v>1852</v>
      </c>
    </row>
    <row r="148" spans="2:7" x14ac:dyDescent="0.25">
      <c r="B148" s="141" t="s">
        <v>1866</v>
      </c>
      <c r="C148" s="152">
        <v>0</v>
      </c>
      <c r="D148" s="153" t="e">
        <v>#DIV/0!</v>
      </c>
      <c r="E148" s="144">
        <v>0</v>
      </c>
      <c r="F148" s="145" t="e">
        <v>#DIV/0!</v>
      </c>
      <c r="G148" s="120" t="s">
        <v>1850</v>
      </c>
    </row>
    <row r="149" spans="2:7" x14ac:dyDescent="0.25">
      <c r="B149" s="141" t="s">
        <v>1867</v>
      </c>
      <c r="C149" s="154">
        <v>0</v>
      </c>
      <c r="D149" s="155" t="e">
        <v>#DIV/0!</v>
      </c>
      <c r="E149" s="146">
        <v>0</v>
      </c>
      <c r="F149" s="147" t="e">
        <v>#DIV/0!</v>
      </c>
      <c r="G149" s="120" t="s">
        <v>1855</v>
      </c>
    </row>
  </sheetData>
  <conditionalFormatting sqref="E10:AD10">
    <cfRule type="cellIs" dxfId="3" priority="4" operator="between">
      <formula>2024</formula>
      <formula>2100</formula>
    </cfRule>
  </conditionalFormatting>
  <conditionalFormatting sqref="E11:AD16">
    <cfRule type="cellIs" dxfId="2" priority="3" operator="between">
      <formula>-9999999999999990000</formula>
      <formula>9999999999999</formula>
    </cfRule>
  </conditionalFormatting>
  <conditionalFormatting sqref="E20:AD20">
    <cfRule type="cellIs" dxfId="1" priority="2" operator="between">
      <formula>2024</formula>
      <formula>2100</formula>
    </cfRule>
  </conditionalFormatting>
  <conditionalFormatting sqref="E21:AD26">
    <cfRule type="cellIs" dxfId="0" priority="1" operator="between">
      <formula>-9999999999999990000</formula>
      <formula>9999999999999</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D92CA3-3C95-46D5-AA3A-C50B82AFCFD5}">
  <sheetPr>
    <tabColor theme="0" tint="-0.34998626667073579"/>
  </sheetPr>
  <dimension ref="A1:AA121"/>
  <sheetViews>
    <sheetView showGridLines="0" topLeftCell="A111" zoomScale="89" workbookViewId="0">
      <selection activeCell="B9" sqref="B9"/>
    </sheetView>
  </sheetViews>
  <sheetFormatPr baseColWidth="10" defaultRowHeight="15" x14ac:dyDescent="0.25"/>
  <cols>
    <col min="2" max="2" width="30.28515625" customWidth="1"/>
    <col min="3" max="3" width="40.5703125" customWidth="1"/>
    <col min="4" max="4" width="19.28515625" customWidth="1"/>
    <col min="5" max="5" width="23.5703125" customWidth="1"/>
    <col min="6" max="6" width="49.85546875" customWidth="1"/>
    <col min="9" max="12" width="17.28515625" customWidth="1"/>
    <col min="13" max="13" width="22.7109375" customWidth="1"/>
    <col min="14" max="14" width="4.28515625" customWidth="1"/>
    <col min="15" max="19" width="15.7109375" customWidth="1"/>
    <col min="20" max="20" width="21.140625" customWidth="1"/>
    <col min="21" max="21" width="3.28515625" customWidth="1"/>
    <col min="22" max="22" width="21.28515625" customWidth="1"/>
    <col min="23" max="23" width="15.7109375" customWidth="1"/>
    <col min="24" max="27" width="21.28515625" customWidth="1"/>
  </cols>
  <sheetData>
    <row r="1" spans="1:27" s="41" customFormat="1" x14ac:dyDescent="0.25"/>
    <row r="2" spans="1:27" s="41" customFormat="1" ht="21" x14ac:dyDescent="0.25">
      <c r="A2" s="42" t="s">
        <v>76</v>
      </c>
    </row>
    <row r="4" spans="1:27" x14ac:dyDescent="0.25">
      <c r="C4" s="1"/>
      <c r="D4" s="1"/>
      <c r="E4" s="1"/>
      <c r="F4" s="1"/>
      <c r="G4" s="1"/>
      <c r="H4" s="115" t="s">
        <v>1432</v>
      </c>
      <c r="I4" s="115"/>
      <c r="J4" s="115"/>
      <c r="K4" s="115"/>
      <c r="L4" s="115"/>
      <c r="M4" s="115"/>
      <c r="O4" s="115" t="s">
        <v>1433</v>
      </c>
      <c r="P4" s="115"/>
      <c r="Q4" s="115"/>
      <c r="R4" s="115"/>
      <c r="S4" s="115"/>
      <c r="T4" s="115"/>
      <c r="V4" s="115" t="s">
        <v>1434</v>
      </c>
      <c r="W4" s="115"/>
      <c r="X4" s="115"/>
      <c r="Y4" s="115"/>
      <c r="Z4" s="115"/>
      <c r="AA4" s="115"/>
    </row>
    <row r="5" spans="1:27" x14ac:dyDescent="0.25">
      <c r="B5" s="1"/>
      <c r="O5" s="43" t="s">
        <v>1435</v>
      </c>
      <c r="P5">
        <f>VLOOKUP(Q5,'Remplissage - Sit. Ref.'!$E$2:$H$1087,4,FALSE)</f>
        <v>2028</v>
      </c>
      <c r="Q5" s="44" t="s">
        <v>467</v>
      </c>
      <c r="V5" s="43" t="s">
        <v>1435</v>
      </c>
      <c r="W5">
        <f>VLOOKUP(X5,'Remplissage - Sit. Prev.'!$E$2:$H$1666,4,FALSE)</f>
        <v>0</v>
      </c>
      <c r="X5" s="44" t="s">
        <v>16</v>
      </c>
    </row>
    <row r="7" spans="1:27" ht="70.150000000000006" customHeight="1" x14ac:dyDescent="0.25">
      <c r="B7" s="45" t="s">
        <v>0</v>
      </c>
      <c r="C7" s="46" t="s">
        <v>1436</v>
      </c>
      <c r="D7" s="46" t="s">
        <v>1437</v>
      </c>
      <c r="E7" s="46" t="s">
        <v>80</v>
      </c>
      <c r="F7" s="47" t="s">
        <v>81</v>
      </c>
      <c r="G7" s="47" t="s">
        <v>1438</v>
      </c>
      <c r="H7" s="48" t="s">
        <v>83</v>
      </c>
      <c r="I7" s="48" t="s">
        <v>84</v>
      </c>
      <c r="J7" s="48" t="s">
        <v>1439</v>
      </c>
      <c r="K7" s="48" t="s">
        <v>1440</v>
      </c>
      <c r="L7" s="48" t="s">
        <v>1441</v>
      </c>
      <c r="M7" s="47" t="s">
        <v>1442</v>
      </c>
      <c r="O7" s="49" t="s">
        <v>83</v>
      </c>
      <c r="P7" s="49" t="s">
        <v>84</v>
      </c>
      <c r="Q7" s="49" t="s">
        <v>1439</v>
      </c>
      <c r="R7" s="49" t="s">
        <v>1440</v>
      </c>
      <c r="S7" s="49" t="s">
        <v>1441</v>
      </c>
      <c r="T7" s="47" t="s">
        <v>1442</v>
      </c>
      <c r="V7" s="49" t="s">
        <v>83</v>
      </c>
      <c r="W7" s="49" t="s">
        <v>84</v>
      </c>
      <c r="X7" s="49" t="s">
        <v>1439</v>
      </c>
      <c r="Y7" s="49" t="s">
        <v>1440</v>
      </c>
      <c r="Z7" s="49" t="s">
        <v>1441</v>
      </c>
      <c r="AA7" s="47" t="s">
        <v>1442</v>
      </c>
    </row>
    <row r="8" spans="1:27" x14ac:dyDescent="0.25">
      <c r="B8" s="50" t="s">
        <v>1443</v>
      </c>
      <c r="C8" s="51"/>
      <c r="D8" s="51" t="s">
        <v>1444</v>
      </c>
      <c r="E8" s="52" t="s">
        <v>148</v>
      </c>
      <c r="F8" s="51"/>
      <c r="G8" s="51"/>
      <c r="H8" s="51"/>
      <c r="I8" s="51"/>
      <c r="J8" s="51" t="s">
        <v>88</v>
      </c>
      <c r="K8" s="51" t="s">
        <v>70</v>
      </c>
      <c r="L8" s="51" t="s">
        <v>1445</v>
      </c>
      <c r="M8" s="51" t="s">
        <v>70</v>
      </c>
      <c r="O8" s="51"/>
      <c r="P8" s="51"/>
      <c r="Q8" s="51" t="s">
        <v>88</v>
      </c>
      <c r="R8" s="51" t="s">
        <v>70</v>
      </c>
      <c r="S8" s="51" t="s">
        <v>1445</v>
      </c>
      <c r="T8" s="51" t="s">
        <v>70</v>
      </c>
      <c r="V8" s="51"/>
      <c r="W8" s="51"/>
      <c r="X8" s="51" t="s">
        <v>88</v>
      </c>
      <c r="Y8" s="51" t="s">
        <v>70</v>
      </c>
      <c r="Z8" s="51" t="s">
        <v>1445</v>
      </c>
      <c r="AA8" s="51" t="s">
        <v>70</v>
      </c>
    </row>
    <row r="9" spans="1:27" ht="30" x14ac:dyDescent="0.25">
      <c r="B9" s="53" t="s">
        <v>1446</v>
      </c>
      <c r="C9" s="54" t="str">
        <f t="shared" ref="C9" si="0">E9 &amp; ";" &amp; F9 &amp; ";" &amp; G9 &amp; ";" &amp; H9</f>
        <v>&lt;=7,5t;Diesel;Gazole à la pompe;6</v>
      </c>
      <c r="D9" s="55" t="s">
        <v>1447</v>
      </c>
      <c r="E9" s="56" t="s">
        <v>1448</v>
      </c>
      <c r="F9" s="56" t="s">
        <v>138</v>
      </c>
      <c r="G9" s="55" t="s">
        <v>1449</v>
      </c>
      <c r="H9" s="56">
        <v>6</v>
      </c>
      <c r="I9" s="56">
        <v>2</v>
      </c>
      <c r="J9" s="56" cm="1">
        <f t="array" ref="J9">IFERROR(AVERAGE(IF(J10:J19=0,"-",J10:J19)),0)</f>
        <v>13593.7</v>
      </c>
      <c r="K9" s="57">
        <f t="array" ref="K9">IFERROR(AVERAGE(IF(K10:K19=0,"-",K10:K19)),0)</f>
        <v>0</v>
      </c>
      <c r="L9" s="56">
        <f t="array" ref="L9">IFERROR(AVERAGE(IF(L10:L19=0,"-",L10:L19)),0)</f>
        <v>0</v>
      </c>
      <c r="M9" s="57">
        <f t="array" ref="M9">IFERROR(AVERAGE(IF(M10:M19=0,"-",M10:M19)),0)</f>
        <v>0.39733689805073125</v>
      </c>
      <c r="O9" s="56">
        <v>6</v>
      </c>
      <c r="P9" s="56">
        <v>2</v>
      </c>
      <c r="Q9" s="56" cm="1">
        <f t="array" ref="Q9">IFERROR(AVERAGE(IF(Q10:Q19=0,"-",Q10:Q19)),0)</f>
        <v>13593.7</v>
      </c>
      <c r="R9" s="57">
        <f t="array" ref="R9">IFERROR(AVERAGE(IF(R10:R19=0,"-",R10:R19)),0)</f>
        <v>0</v>
      </c>
      <c r="S9" s="56">
        <f t="array" ref="S9">IFERROR(AVERAGE(IF(S10:S19=0,"-",S10:S19)),0)</f>
        <v>0</v>
      </c>
      <c r="T9" s="57">
        <f t="array" ref="T9">IFERROR(AVERAGE(IF(T10:T19=0,"-",T10:T19)),0)</f>
        <v>0.39733689805073125</v>
      </c>
      <c r="V9" s="56">
        <v>6</v>
      </c>
      <c r="W9" s="56">
        <v>2</v>
      </c>
      <c r="X9" s="56" cm="1">
        <f t="array" ref="X9">IFERROR(AVERAGE(IF(X10:X19=0,"-",X10:X19)),0)</f>
        <v>13593.7</v>
      </c>
      <c r="Y9" s="57">
        <f t="array" ref="Y9">IFERROR(AVERAGE(IF(Y10:Y19=0,"-",Y10:Y19)),0)</f>
        <v>0</v>
      </c>
      <c r="Z9" s="56">
        <f t="array" ref="Z9">IFERROR(AVERAGE(IF(Z10:Z19=0,"-",Z10:Z19)),0)</f>
        <v>0</v>
      </c>
      <c r="AA9" s="57">
        <f t="array" ref="AA9">IFERROR(AVERAGE(IF(AA10:AA19=0,"-",AA10:AA19)),0)</f>
        <v>0.39733689805073125</v>
      </c>
    </row>
    <row r="10" spans="1:27" ht="30" x14ac:dyDescent="0.25">
      <c r="B10" s="58" t="s">
        <v>77</v>
      </c>
      <c r="C10" s="59" t="s">
        <v>1450</v>
      </c>
      <c r="D10" s="60" t="s">
        <v>382</v>
      </c>
      <c r="E10" s="61" t="s">
        <v>1451</v>
      </c>
      <c r="F10" s="61" t="s">
        <v>456</v>
      </c>
      <c r="G10" s="60" t="s">
        <v>1452</v>
      </c>
      <c r="H10" s="61"/>
      <c r="I10" s="61" t="s">
        <v>1453</v>
      </c>
      <c r="J10" s="61">
        <v>7694</v>
      </c>
      <c r="K10" s="62"/>
      <c r="L10" s="61"/>
      <c r="M10" s="62">
        <v>1</v>
      </c>
      <c r="O10" s="61"/>
      <c r="P10" s="61" t="s">
        <v>1453</v>
      </c>
      <c r="Q10" s="61">
        <v>7694</v>
      </c>
      <c r="R10" s="62"/>
      <c r="S10" s="61"/>
      <c r="T10" s="62">
        <v>1</v>
      </c>
      <c r="V10" s="61"/>
      <c r="W10" s="61" t="s">
        <v>1453</v>
      </c>
      <c r="X10" s="61">
        <v>7694</v>
      </c>
      <c r="Y10" s="62"/>
      <c r="Z10" s="61"/>
      <c r="AA10" s="62">
        <v>1</v>
      </c>
    </row>
    <row r="11" spans="1:27" ht="30" x14ac:dyDescent="0.25">
      <c r="B11" s="63" t="s">
        <v>90</v>
      </c>
      <c r="C11" s="59" t="str">
        <f t="shared" ref="C11:C54" si="1">E11 &amp; ";" &amp; F11 &amp; ";" &amp; G11 &amp; ";" &amp; H11</f>
        <v>&lt;=3,5t;Diesel;Gazole à la pompe;</v>
      </c>
      <c r="D11" s="64" t="s">
        <v>386</v>
      </c>
      <c r="E11" s="65" t="s">
        <v>1451</v>
      </c>
      <c r="F11" s="65" t="s">
        <v>138</v>
      </c>
      <c r="G11" s="64" t="s">
        <v>1449</v>
      </c>
      <c r="H11" s="65"/>
      <c r="I11" s="65">
        <v>2</v>
      </c>
      <c r="J11" s="65">
        <v>17855</v>
      </c>
      <c r="K11" s="66"/>
      <c r="L11" s="65"/>
      <c r="M11" s="66">
        <v>0.80952365229743373</v>
      </c>
      <c r="O11" s="65"/>
      <c r="P11" s="65">
        <v>2</v>
      </c>
      <c r="Q11" s="65">
        <v>17855</v>
      </c>
      <c r="R11" s="66"/>
      <c r="S11" s="65"/>
      <c r="T11" s="66">
        <v>0.80952365229743373</v>
      </c>
      <c r="V11" s="65"/>
      <c r="W11" s="65">
        <v>2</v>
      </c>
      <c r="X11" s="65">
        <v>17855</v>
      </c>
      <c r="Y11" s="66"/>
      <c r="Z11" s="65"/>
      <c r="AA11" s="66">
        <v>0.80952365229743373</v>
      </c>
    </row>
    <row r="12" spans="1:27" ht="30" x14ac:dyDescent="0.25">
      <c r="B12" s="63" t="s">
        <v>91</v>
      </c>
      <c r="C12" s="59" t="str">
        <f t="shared" si="1"/>
        <v>&lt;=3,5t;Diesel;Gazole à la pompe;</v>
      </c>
      <c r="D12" s="64" t="s">
        <v>388</v>
      </c>
      <c r="E12" s="65" t="s">
        <v>1451</v>
      </c>
      <c r="F12" s="65" t="s">
        <v>138</v>
      </c>
      <c r="G12" s="64" t="s">
        <v>1449</v>
      </c>
      <c r="H12" s="65"/>
      <c r="I12" s="65">
        <v>3</v>
      </c>
      <c r="J12" s="65">
        <v>17855</v>
      </c>
      <c r="K12" s="66"/>
      <c r="L12" s="65"/>
      <c r="M12" s="66">
        <v>0.12517095747927967</v>
      </c>
      <c r="O12" s="65"/>
      <c r="P12" s="65">
        <v>3</v>
      </c>
      <c r="Q12" s="65">
        <v>17855</v>
      </c>
      <c r="R12" s="66"/>
      <c r="S12" s="65"/>
      <c r="T12" s="66">
        <v>0.12517095747927967</v>
      </c>
      <c r="V12" s="65"/>
      <c r="W12" s="65">
        <v>3</v>
      </c>
      <c r="X12" s="65">
        <v>17855</v>
      </c>
      <c r="Y12" s="66"/>
      <c r="Z12" s="65"/>
      <c r="AA12" s="66">
        <v>0.12517095747927967</v>
      </c>
    </row>
    <row r="13" spans="1:27" ht="30" x14ac:dyDescent="0.25">
      <c r="B13" s="63" t="s">
        <v>92</v>
      </c>
      <c r="C13" s="59" t="str">
        <f t="shared" si="1"/>
        <v>&lt;=3,5t;Diesel;Gazole à la pompe;</v>
      </c>
      <c r="D13" s="64" t="s">
        <v>389</v>
      </c>
      <c r="E13" s="65" t="s">
        <v>1451</v>
      </c>
      <c r="F13" s="65" t="s">
        <v>138</v>
      </c>
      <c r="G13" s="64" t="s">
        <v>1449</v>
      </c>
      <c r="H13" s="65"/>
      <c r="I13" s="65">
        <v>4</v>
      </c>
      <c r="J13" s="65">
        <v>17855</v>
      </c>
      <c r="K13" s="66"/>
      <c r="L13" s="65"/>
      <c r="M13" s="66">
        <v>4.5389944471836773E-2</v>
      </c>
      <c r="O13" s="65"/>
      <c r="P13" s="65">
        <v>4</v>
      </c>
      <c r="Q13" s="65">
        <v>17855</v>
      </c>
      <c r="R13" s="66"/>
      <c r="S13" s="65"/>
      <c r="T13" s="66">
        <v>4.5389944471836773E-2</v>
      </c>
      <c r="V13" s="65"/>
      <c r="W13" s="65">
        <v>4</v>
      </c>
      <c r="X13" s="65">
        <v>17855</v>
      </c>
      <c r="Y13" s="66"/>
      <c r="Z13" s="65"/>
      <c r="AA13" s="66">
        <v>4.5389944471836773E-2</v>
      </c>
    </row>
    <row r="14" spans="1:27" ht="30" x14ac:dyDescent="0.25">
      <c r="B14" s="63" t="s">
        <v>93</v>
      </c>
      <c r="C14" s="59" t="str">
        <f t="shared" si="1"/>
        <v>&lt;=3,5t;Diesel;Gazole à la pompe;</v>
      </c>
      <c r="D14" s="64" t="s">
        <v>390</v>
      </c>
      <c r="E14" s="65" t="s">
        <v>1451</v>
      </c>
      <c r="F14" s="65" t="s">
        <v>138</v>
      </c>
      <c r="G14" s="64" t="s">
        <v>1449</v>
      </c>
      <c r="H14" s="65"/>
      <c r="I14" s="65">
        <v>5</v>
      </c>
      <c r="J14" s="65">
        <v>17855</v>
      </c>
      <c r="K14" s="66"/>
      <c r="L14" s="65"/>
      <c r="M14" s="66">
        <v>1.1917497241201194E-2</v>
      </c>
      <c r="O14" s="65"/>
      <c r="P14" s="65">
        <v>5</v>
      </c>
      <c r="Q14" s="65">
        <v>17855</v>
      </c>
      <c r="R14" s="66"/>
      <c r="S14" s="65"/>
      <c r="T14" s="66">
        <v>1.1917497241201194E-2</v>
      </c>
      <c r="V14" s="65"/>
      <c r="W14" s="65">
        <v>5</v>
      </c>
      <c r="X14" s="65">
        <v>17855</v>
      </c>
      <c r="Y14" s="66"/>
      <c r="Z14" s="65"/>
      <c r="AA14" s="66">
        <v>1.1917497241201194E-2</v>
      </c>
    </row>
    <row r="15" spans="1:27" ht="30" x14ac:dyDescent="0.25">
      <c r="B15" s="63" t="s">
        <v>94</v>
      </c>
      <c r="C15" s="59" t="str">
        <f t="shared" si="1"/>
        <v>&lt;=3,5t;Essence;Essence à la pompe;</v>
      </c>
      <c r="D15" s="64" t="s">
        <v>391</v>
      </c>
      <c r="E15" s="65" t="s">
        <v>1451</v>
      </c>
      <c r="F15" s="65" t="s">
        <v>1454</v>
      </c>
      <c r="G15" s="64" t="s">
        <v>1455</v>
      </c>
      <c r="H15" s="65"/>
      <c r="I15" s="65">
        <v>1</v>
      </c>
      <c r="J15" s="65">
        <v>11201</v>
      </c>
      <c r="K15" s="66"/>
      <c r="L15" s="65"/>
      <c r="M15" s="66">
        <v>0.79662170574808056</v>
      </c>
      <c r="O15" s="65"/>
      <c r="P15" s="65">
        <v>1</v>
      </c>
      <c r="Q15" s="65">
        <v>11201</v>
      </c>
      <c r="R15" s="66"/>
      <c r="S15" s="65"/>
      <c r="T15" s="66">
        <v>0.79662170574808056</v>
      </c>
      <c r="V15" s="65"/>
      <c r="W15" s="65">
        <v>1</v>
      </c>
      <c r="X15" s="65">
        <v>11201</v>
      </c>
      <c r="Y15" s="66"/>
      <c r="Z15" s="65"/>
      <c r="AA15" s="66">
        <v>0.79662170574808056</v>
      </c>
    </row>
    <row r="16" spans="1:27" ht="30" x14ac:dyDescent="0.25">
      <c r="B16" s="63" t="s">
        <v>95</v>
      </c>
      <c r="C16" s="59" t="str">
        <f t="shared" si="1"/>
        <v>&lt;=3,5t;Essence;Essence à la pompe;</v>
      </c>
      <c r="D16" s="64" t="s">
        <v>392</v>
      </c>
      <c r="E16" s="65" t="s">
        <v>1451</v>
      </c>
      <c r="F16" s="65" t="s">
        <v>1454</v>
      </c>
      <c r="G16" s="64" t="s">
        <v>1455</v>
      </c>
      <c r="H16" s="65"/>
      <c r="I16" s="65">
        <v>2</v>
      </c>
      <c r="J16" s="65">
        <v>11201</v>
      </c>
      <c r="K16" s="66"/>
      <c r="L16" s="65"/>
      <c r="M16" s="66">
        <v>8.4224942934218713E-2</v>
      </c>
      <c r="O16" s="65"/>
      <c r="P16" s="65">
        <v>2</v>
      </c>
      <c r="Q16" s="65">
        <v>11201</v>
      </c>
      <c r="R16" s="66"/>
      <c r="S16" s="65"/>
      <c r="T16" s="66">
        <v>8.4224942934218713E-2</v>
      </c>
      <c r="V16" s="65"/>
      <c r="W16" s="65">
        <v>2</v>
      </c>
      <c r="X16" s="65">
        <v>11201</v>
      </c>
      <c r="Y16" s="66"/>
      <c r="Z16" s="65"/>
      <c r="AA16" s="66">
        <v>8.4224942934218713E-2</v>
      </c>
    </row>
    <row r="17" spans="2:27" ht="30" x14ac:dyDescent="0.25">
      <c r="B17" s="63" t="s">
        <v>96</v>
      </c>
      <c r="C17" s="59" t="str">
        <f t="shared" si="1"/>
        <v>&lt;=3,5t;Essence;Essence à la pompe;</v>
      </c>
      <c r="D17" s="64" t="s">
        <v>393</v>
      </c>
      <c r="E17" s="65" t="s">
        <v>1451</v>
      </c>
      <c r="F17" s="65" t="s">
        <v>1454</v>
      </c>
      <c r="G17" s="64" t="s">
        <v>1455</v>
      </c>
      <c r="H17" s="65"/>
      <c r="I17" s="65">
        <v>3</v>
      </c>
      <c r="J17" s="65">
        <v>11201</v>
      </c>
      <c r="K17" s="66"/>
      <c r="L17" s="65"/>
      <c r="M17" s="66">
        <v>7.2579373313965551E-2</v>
      </c>
      <c r="O17" s="65"/>
      <c r="P17" s="65">
        <v>3</v>
      </c>
      <c r="Q17" s="65">
        <v>11201</v>
      </c>
      <c r="R17" s="66"/>
      <c r="S17" s="65"/>
      <c r="T17" s="66">
        <v>7.2579373313965551E-2</v>
      </c>
      <c r="V17" s="65"/>
      <c r="W17" s="65">
        <v>3</v>
      </c>
      <c r="X17" s="65">
        <v>11201</v>
      </c>
      <c r="Y17" s="66"/>
      <c r="Z17" s="65"/>
      <c r="AA17" s="66">
        <v>7.2579373313965551E-2</v>
      </c>
    </row>
    <row r="18" spans="2:27" ht="30" x14ac:dyDescent="0.25">
      <c r="B18" s="63" t="s">
        <v>97</v>
      </c>
      <c r="C18" s="59" t="str">
        <f t="shared" si="1"/>
        <v>&lt;=3,5t;Gaz (GNC);0;</v>
      </c>
      <c r="D18" s="64" t="s">
        <v>394</v>
      </c>
      <c r="E18" s="65" t="s">
        <v>1451</v>
      </c>
      <c r="F18" s="65" t="s">
        <v>1456</v>
      </c>
      <c r="G18" s="64">
        <v>0</v>
      </c>
      <c r="H18" s="65"/>
      <c r="I18" s="65">
        <v>1</v>
      </c>
      <c r="J18" s="65">
        <v>11205</v>
      </c>
      <c r="K18" s="66"/>
      <c r="L18" s="65"/>
      <c r="M18" s="66">
        <v>0.99976231975915064</v>
      </c>
      <c r="O18" s="65"/>
      <c r="P18" s="65">
        <v>1</v>
      </c>
      <c r="Q18" s="65">
        <v>11205</v>
      </c>
      <c r="R18" s="66"/>
      <c r="S18" s="65"/>
      <c r="T18" s="66">
        <v>0.99976231975915064</v>
      </c>
      <c r="V18" s="65"/>
      <c r="W18" s="65">
        <v>1</v>
      </c>
      <c r="X18" s="65">
        <v>11205</v>
      </c>
      <c r="Y18" s="66"/>
      <c r="Z18" s="65"/>
      <c r="AA18" s="66">
        <v>0.99976231975915064</v>
      </c>
    </row>
    <row r="19" spans="2:27" ht="30" x14ac:dyDescent="0.25">
      <c r="B19" s="67" t="s">
        <v>98</v>
      </c>
      <c r="C19" s="59" t="str">
        <f t="shared" si="1"/>
        <v>&lt;=7.5t;Electrique;0;</v>
      </c>
      <c r="D19" s="68" t="s">
        <v>395</v>
      </c>
      <c r="E19" s="69" t="s">
        <v>1457</v>
      </c>
      <c r="F19" s="69" t="s">
        <v>456</v>
      </c>
      <c r="G19" s="68">
        <v>0</v>
      </c>
      <c r="H19" s="69"/>
      <c r="I19" s="69" t="s">
        <v>1453</v>
      </c>
      <c r="J19" s="69">
        <v>12015</v>
      </c>
      <c r="K19" s="70"/>
      <c r="L19" s="69"/>
      <c r="M19" s="70">
        <v>2.8178587262145116E-2</v>
      </c>
      <c r="O19" s="69"/>
      <c r="P19" s="69" t="s">
        <v>1453</v>
      </c>
      <c r="Q19" s="69">
        <v>12015</v>
      </c>
      <c r="R19" s="70"/>
      <c r="S19" s="69"/>
      <c r="T19" s="70">
        <v>2.8178587262145116E-2</v>
      </c>
      <c r="V19" s="69"/>
      <c r="W19" s="69" t="s">
        <v>1453</v>
      </c>
      <c r="X19" s="69">
        <v>12015</v>
      </c>
      <c r="Y19" s="70"/>
      <c r="Z19" s="69"/>
      <c r="AA19" s="70">
        <v>2.8178587262145116E-2</v>
      </c>
    </row>
    <row r="20" spans="2:27" ht="30" x14ac:dyDescent="0.25">
      <c r="B20" s="67" t="s">
        <v>99</v>
      </c>
      <c r="C20" s="59" t="str">
        <f t="shared" si="1"/>
        <v>&gt;7.5-12t;Electrique;0;</v>
      </c>
      <c r="D20" s="71" t="s">
        <v>396</v>
      </c>
      <c r="E20" s="72" t="s">
        <v>1458</v>
      </c>
      <c r="F20" s="72" t="s">
        <v>456</v>
      </c>
      <c r="G20" s="71">
        <v>0</v>
      </c>
      <c r="H20" s="72"/>
      <c r="I20" s="72" t="s">
        <v>1453</v>
      </c>
      <c r="J20" s="72">
        <v>12015</v>
      </c>
      <c r="K20" s="73"/>
      <c r="L20" s="72"/>
      <c r="M20" s="73">
        <v>8.4275974736539597E-2</v>
      </c>
      <c r="O20" s="72"/>
      <c r="P20" s="72" t="s">
        <v>1453</v>
      </c>
      <c r="Q20" s="72">
        <v>12015</v>
      </c>
      <c r="R20" s="73"/>
      <c r="S20" s="72"/>
      <c r="T20" s="73">
        <v>8.4275974736539597E-2</v>
      </c>
      <c r="V20" s="72"/>
      <c r="W20" s="72" t="s">
        <v>1453</v>
      </c>
      <c r="X20" s="72">
        <v>12015</v>
      </c>
      <c r="Y20" s="73"/>
      <c r="Z20" s="72"/>
      <c r="AA20" s="73">
        <v>8.4275974736539597E-2</v>
      </c>
    </row>
    <row r="21" spans="2:27" ht="30" x14ac:dyDescent="0.25">
      <c r="B21" s="67" t="s">
        <v>100</v>
      </c>
      <c r="C21" s="59" t="str">
        <f t="shared" si="1"/>
        <v>&gt;14-20t;Electrique;0;</v>
      </c>
      <c r="D21" s="71" t="s">
        <v>397</v>
      </c>
      <c r="E21" s="72" t="s">
        <v>1459</v>
      </c>
      <c r="F21" s="72" t="s">
        <v>456</v>
      </c>
      <c r="G21" s="71">
        <v>0</v>
      </c>
      <c r="H21" s="72"/>
      <c r="I21" s="72" t="s">
        <v>1453</v>
      </c>
      <c r="J21" s="72">
        <v>12015</v>
      </c>
      <c r="K21" s="73"/>
      <c r="L21" s="72"/>
      <c r="M21" s="73">
        <v>9.6631490306071641E-2</v>
      </c>
      <c r="O21" s="72"/>
      <c r="P21" s="72" t="s">
        <v>1453</v>
      </c>
      <c r="Q21" s="72">
        <v>12015</v>
      </c>
      <c r="R21" s="73"/>
      <c r="S21" s="72"/>
      <c r="T21" s="73">
        <v>9.6631490306071641E-2</v>
      </c>
      <c r="V21" s="72"/>
      <c r="W21" s="72" t="s">
        <v>1453</v>
      </c>
      <c r="X21" s="72">
        <v>12015</v>
      </c>
      <c r="Y21" s="73"/>
      <c r="Z21" s="72"/>
      <c r="AA21" s="73">
        <v>9.6631490306071641E-2</v>
      </c>
    </row>
    <row r="22" spans="2:27" ht="30" x14ac:dyDescent="0.25">
      <c r="B22" s="67" t="s">
        <v>101</v>
      </c>
      <c r="C22" s="59" t="str">
        <f t="shared" si="1"/>
        <v>&gt;20-26t;Electrique;0;</v>
      </c>
      <c r="D22" s="71" t="s">
        <v>398</v>
      </c>
      <c r="E22" s="72" t="s">
        <v>1460</v>
      </c>
      <c r="F22" s="72" t="s">
        <v>456</v>
      </c>
      <c r="G22" s="71">
        <v>0</v>
      </c>
      <c r="H22" s="72"/>
      <c r="I22" s="72" t="s">
        <v>1453</v>
      </c>
      <c r="J22" s="72">
        <v>12015</v>
      </c>
      <c r="K22" s="73"/>
      <c r="L22" s="72"/>
      <c r="M22" s="73">
        <v>0.54362503916075455</v>
      </c>
      <c r="O22" s="72"/>
      <c r="P22" s="72" t="s">
        <v>1453</v>
      </c>
      <c r="Q22" s="72">
        <v>12015</v>
      </c>
      <c r="R22" s="73"/>
      <c r="S22" s="72"/>
      <c r="T22" s="73">
        <v>0.54362503916075455</v>
      </c>
      <c r="V22" s="72"/>
      <c r="W22" s="72" t="s">
        <v>1453</v>
      </c>
      <c r="X22" s="72">
        <v>12015</v>
      </c>
      <c r="Y22" s="73"/>
      <c r="Z22" s="72"/>
      <c r="AA22" s="73">
        <v>0.54362503916075455</v>
      </c>
    </row>
    <row r="23" spans="2:27" ht="30" x14ac:dyDescent="0.25">
      <c r="B23" s="67" t="s">
        <v>102</v>
      </c>
      <c r="C23" s="59" t="str">
        <f t="shared" si="1"/>
        <v>&gt;28-34t;Electrique;0;</v>
      </c>
      <c r="D23" s="71" t="s">
        <v>399</v>
      </c>
      <c r="E23" s="72" t="s">
        <v>1461</v>
      </c>
      <c r="F23" s="72" t="s">
        <v>456</v>
      </c>
      <c r="G23" s="71">
        <v>0</v>
      </c>
      <c r="H23" s="72"/>
      <c r="I23" s="72" t="s">
        <v>1453</v>
      </c>
      <c r="J23" s="72">
        <v>12015</v>
      </c>
      <c r="K23" s="73"/>
      <c r="L23" s="72"/>
      <c r="M23" s="73">
        <v>0.16494224249576625</v>
      </c>
      <c r="O23" s="72"/>
      <c r="P23" s="72" t="s">
        <v>1453</v>
      </c>
      <c r="Q23" s="72">
        <v>12015</v>
      </c>
      <c r="R23" s="73"/>
      <c r="S23" s="72"/>
      <c r="T23" s="73">
        <v>0.16494224249576625</v>
      </c>
      <c r="V23" s="72"/>
      <c r="W23" s="72" t="s">
        <v>1453</v>
      </c>
      <c r="X23" s="72">
        <v>12015</v>
      </c>
      <c r="Y23" s="73"/>
      <c r="Z23" s="72"/>
      <c r="AA23" s="73">
        <v>0.16494224249576625</v>
      </c>
    </row>
    <row r="24" spans="2:27" ht="30" x14ac:dyDescent="0.25">
      <c r="B24" s="67" t="s">
        <v>103</v>
      </c>
      <c r="C24" s="59" t="str">
        <f t="shared" si="1"/>
        <v>&gt;34-40t;Electrique;0;</v>
      </c>
      <c r="D24" s="71" t="s">
        <v>400</v>
      </c>
      <c r="E24" s="72" t="s">
        <v>1462</v>
      </c>
      <c r="F24" s="72" t="s">
        <v>456</v>
      </c>
      <c r="G24" s="71">
        <v>0</v>
      </c>
      <c r="H24" s="72"/>
      <c r="I24" s="72" t="s">
        <v>1453</v>
      </c>
      <c r="J24" s="72">
        <v>12015</v>
      </c>
      <c r="K24" s="73"/>
      <c r="L24" s="72"/>
      <c r="M24" s="73">
        <v>8.21201771750346E-2</v>
      </c>
      <c r="O24" s="72"/>
      <c r="P24" s="72" t="s">
        <v>1453</v>
      </c>
      <c r="Q24" s="72">
        <v>12015</v>
      </c>
      <c r="R24" s="73"/>
      <c r="S24" s="72"/>
      <c r="T24" s="73">
        <v>8.21201771750346E-2</v>
      </c>
      <c r="V24" s="72"/>
      <c r="W24" s="72" t="s">
        <v>1453</v>
      </c>
      <c r="X24" s="72">
        <v>12015</v>
      </c>
      <c r="Y24" s="73"/>
      <c r="Z24" s="72"/>
      <c r="AA24" s="73">
        <v>8.21201771750346E-2</v>
      </c>
    </row>
    <row r="25" spans="2:27" ht="30" x14ac:dyDescent="0.25">
      <c r="B25" s="67" t="s">
        <v>104</v>
      </c>
      <c r="C25" s="59" t="str">
        <f t="shared" si="1"/>
        <v>&lt;=7.5t;Diesel;Gazole à la pompe;</v>
      </c>
      <c r="D25" s="71" t="s">
        <v>401</v>
      </c>
      <c r="E25" s="72" t="s">
        <v>1457</v>
      </c>
      <c r="F25" s="72" t="s">
        <v>138</v>
      </c>
      <c r="G25" s="71" t="s">
        <v>1449</v>
      </c>
      <c r="H25" s="72"/>
      <c r="I25" s="72">
        <v>2</v>
      </c>
      <c r="J25" s="72">
        <v>42385.998762263436</v>
      </c>
      <c r="K25" s="73"/>
      <c r="L25" s="72"/>
      <c r="M25" s="73">
        <v>2.8178587262145116E-2</v>
      </c>
      <c r="O25" s="72"/>
      <c r="P25" s="72">
        <v>2</v>
      </c>
      <c r="Q25" s="72">
        <v>42385.998762263436</v>
      </c>
      <c r="R25" s="73"/>
      <c r="S25" s="72"/>
      <c r="T25" s="73">
        <v>2.8178587262145116E-2</v>
      </c>
      <c r="V25" s="72"/>
      <c r="W25" s="72">
        <v>2</v>
      </c>
      <c r="X25" s="72">
        <v>42385.998762263436</v>
      </c>
      <c r="Y25" s="73"/>
      <c r="Z25" s="72"/>
      <c r="AA25" s="73">
        <v>2.8178587262145116E-2</v>
      </c>
    </row>
    <row r="26" spans="2:27" ht="30" x14ac:dyDescent="0.25">
      <c r="B26" s="67" t="s">
        <v>105</v>
      </c>
      <c r="C26" s="59" t="str">
        <f t="shared" si="1"/>
        <v>&lt;=7.5t;Diesel;Gazole à la pompe;</v>
      </c>
      <c r="D26" s="74" t="s">
        <v>402</v>
      </c>
      <c r="E26" s="72" t="s">
        <v>1457</v>
      </c>
      <c r="F26" s="72" t="s">
        <v>138</v>
      </c>
      <c r="G26" s="71" t="s">
        <v>1449</v>
      </c>
      <c r="H26" s="72"/>
      <c r="I26" s="72">
        <v>3</v>
      </c>
      <c r="J26" s="72">
        <v>42385.998762263436</v>
      </c>
      <c r="K26" s="73"/>
      <c r="L26" s="72"/>
      <c r="M26" s="73">
        <v>2.8178587262145116E-2</v>
      </c>
      <c r="O26" s="72"/>
      <c r="P26" s="72">
        <v>3</v>
      </c>
      <c r="Q26" s="72">
        <v>42385.998762263436</v>
      </c>
      <c r="R26" s="73"/>
      <c r="S26" s="72"/>
      <c r="T26" s="73">
        <v>2.8178587262145116E-2</v>
      </c>
      <c r="V26" s="72"/>
      <c r="W26" s="72">
        <v>3</v>
      </c>
      <c r="X26" s="72">
        <v>42385.998762263436</v>
      </c>
      <c r="Y26" s="73"/>
      <c r="Z26" s="72"/>
      <c r="AA26" s="73">
        <v>2.8178587262145116E-2</v>
      </c>
    </row>
    <row r="27" spans="2:27" ht="30" x14ac:dyDescent="0.25">
      <c r="B27" s="67" t="s">
        <v>106</v>
      </c>
      <c r="C27" s="59" t="str">
        <f t="shared" si="1"/>
        <v>&lt;=7.5t;Diesel;Gazole à la pompe;</v>
      </c>
      <c r="D27" s="71" t="s">
        <v>403</v>
      </c>
      <c r="E27" s="72" t="s">
        <v>1457</v>
      </c>
      <c r="F27" s="72" t="s">
        <v>138</v>
      </c>
      <c r="G27" s="71" t="s">
        <v>1449</v>
      </c>
      <c r="H27" s="72"/>
      <c r="I27" s="72">
        <v>4</v>
      </c>
      <c r="J27" s="72">
        <v>42385.998762263436</v>
      </c>
      <c r="K27" s="73"/>
      <c r="L27" s="72"/>
      <c r="M27" s="73">
        <v>2.8178587262145116E-2</v>
      </c>
      <c r="O27" s="72"/>
      <c r="P27" s="72">
        <v>4</v>
      </c>
      <c r="Q27" s="72">
        <v>42385.998762263436</v>
      </c>
      <c r="R27" s="73"/>
      <c r="S27" s="72"/>
      <c r="T27" s="73">
        <v>2.8178587262145116E-2</v>
      </c>
      <c r="V27" s="72"/>
      <c r="W27" s="72">
        <v>4</v>
      </c>
      <c r="X27" s="72">
        <v>42385.998762263436</v>
      </c>
      <c r="Y27" s="73"/>
      <c r="Z27" s="72"/>
      <c r="AA27" s="73">
        <v>2.8178587262145116E-2</v>
      </c>
    </row>
    <row r="28" spans="2:27" ht="30" x14ac:dyDescent="0.25">
      <c r="B28" s="67" t="s">
        <v>107</v>
      </c>
      <c r="C28" s="59" t="str">
        <f t="shared" si="1"/>
        <v>&lt;=7.5t;Diesel;Gazole à la pompe;</v>
      </c>
      <c r="D28" s="71" t="s">
        <v>404</v>
      </c>
      <c r="E28" s="72" t="s">
        <v>1457</v>
      </c>
      <c r="F28" s="72" t="s">
        <v>138</v>
      </c>
      <c r="G28" s="71" t="s">
        <v>1449</v>
      </c>
      <c r="H28" s="72"/>
      <c r="I28" s="72">
        <v>5</v>
      </c>
      <c r="J28" s="72">
        <v>42385.998762263436</v>
      </c>
      <c r="K28" s="73"/>
      <c r="L28" s="72"/>
      <c r="M28" s="73">
        <v>2.8178587262145116E-2</v>
      </c>
      <c r="O28" s="72"/>
      <c r="P28" s="72">
        <v>5</v>
      </c>
      <c r="Q28" s="72">
        <v>42385.998762263436</v>
      </c>
      <c r="R28" s="73"/>
      <c r="S28" s="72"/>
      <c r="T28" s="73">
        <v>2.8178587262145116E-2</v>
      </c>
      <c r="V28" s="72"/>
      <c r="W28" s="72">
        <v>5</v>
      </c>
      <c r="X28" s="72">
        <v>42385.998762263436</v>
      </c>
      <c r="Y28" s="73"/>
      <c r="Z28" s="72"/>
      <c r="AA28" s="73">
        <v>2.8178587262145116E-2</v>
      </c>
    </row>
    <row r="29" spans="2:27" ht="30" x14ac:dyDescent="0.25">
      <c r="B29" s="67" t="s">
        <v>108</v>
      </c>
      <c r="C29" s="59" t="str">
        <f t="shared" si="1"/>
        <v>&gt;7.5-12t;Diesel;Gazole à la pompe;</v>
      </c>
      <c r="D29" s="71" t="s">
        <v>405</v>
      </c>
      <c r="E29" s="72" t="s">
        <v>1458</v>
      </c>
      <c r="F29" s="72" t="s">
        <v>138</v>
      </c>
      <c r="G29" s="71" t="s">
        <v>1449</v>
      </c>
      <c r="H29" s="72"/>
      <c r="I29" s="72">
        <v>2</v>
      </c>
      <c r="J29" s="72">
        <v>42385.998762263436</v>
      </c>
      <c r="K29" s="73"/>
      <c r="L29" s="72"/>
      <c r="M29" s="73">
        <v>8.4275974736539597E-2</v>
      </c>
      <c r="O29" s="72"/>
      <c r="P29" s="72">
        <v>2</v>
      </c>
      <c r="Q29" s="72">
        <v>42385.998762263436</v>
      </c>
      <c r="R29" s="73"/>
      <c r="S29" s="72"/>
      <c r="T29" s="73">
        <v>8.4275974736539597E-2</v>
      </c>
      <c r="V29" s="72"/>
      <c r="W29" s="72">
        <v>2</v>
      </c>
      <c r="X29" s="72">
        <v>42385.998762263436</v>
      </c>
      <c r="Y29" s="73"/>
      <c r="Z29" s="72"/>
      <c r="AA29" s="73">
        <v>8.4275974736539597E-2</v>
      </c>
    </row>
    <row r="30" spans="2:27" ht="30" x14ac:dyDescent="0.25">
      <c r="B30" s="67" t="s">
        <v>109</v>
      </c>
      <c r="C30" s="59" t="str">
        <f t="shared" si="1"/>
        <v>&gt;7.5-12t;Diesel;Gazole à la pompe;</v>
      </c>
      <c r="D30" s="71" t="s">
        <v>406</v>
      </c>
      <c r="E30" s="72" t="s">
        <v>1458</v>
      </c>
      <c r="F30" s="72" t="s">
        <v>138</v>
      </c>
      <c r="G30" s="71" t="s">
        <v>1449</v>
      </c>
      <c r="H30" s="72"/>
      <c r="I30" s="72">
        <v>3</v>
      </c>
      <c r="J30" s="72">
        <v>42385.998762263436</v>
      </c>
      <c r="K30" s="73"/>
      <c r="L30" s="72"/>
      <c r="M30" s="73">
        <v>8.4275974736539597E-2</v>
      </c>
      <c r="O30" s="72"/>
      <c r="P30" s="72">
        <v>3</v>
      </c>
      <c r="Q30" s="72">
        <v>42385.998762263436</v>
      </c>
      <c r="R30" s="73"/>
      <c r="S30" s="72"/>
      <c r="T30" s="73">
        <v>8.4275974736539597E-2</v>
      </c>
      <c r="V30" s="72"/>
      <c r="W30" s="72">
        <v>3</v>
      </c>
      <c r="X30" s="72">
        <v>42385.998762263436</v>
      </c>
      <c r="Y30" s="73"/>
      <c r="Z30" s="72"/>
      <c r="AA30" s="73">
        <v>8.4275974736539597E-2</v>
      </c>
    </row>
    <row r="31" spans="2:27" ht="30" x14ac:dyDescent="0.25">
      <c r="B31" s="67" t="s">
        <v>110</v>
      </c>
      <c r="C31" s="59" t="str">
        <f t="shared" si="1"/>
        <v>&gt;7.5-12t;Diesel;Gazole à la pompe;</v>
      </c>
      <c r="D31" s="71" t="s">
        <v>407</v>
      </c>
      <c r="E31" s="72" t="s">
        <v>1458</v>
      </c>
      <c r="F31" s="72" t="s">
        <v>138</v>
      </c>
      <c r="G31" s="71" t="s">
        <v>1449</v>
      </c>
      <c r="H31" s="72"/>
      <c r="I31" s="72">
        <v>4</v>
      </c>
      <c r="J31" s="72">
        <v>42385.998762263436</v>
      </c>
      <c r="K31" s="73"/>
      <c r="L31" s="72"/>
      <c r="M31" s="73">
        <v>8.4275974736539597E-2</v>
      </c>
      <c r="O31" s="72"/>
      <c r="P31" s="72">
        <v>4</v>
      </c>
      <c r="Q31" s="72">
        <v>42385.998762263436</v>
      </c>
      <c r="R31" s="73"/>
      <c r="S31" s="72"/>
      <c r="T31" s="73">
        <v>8.4275974736539597E-2</v>
      </c>
      <c r="V31" s="72"/>
      <c r="W31" s="72">
        <v>4</v>
      </c>
      <c r="X31" s="72">
        <v>42385.998762263436</v>
      </c>
      <c r="Y31" s="73"/>
      <c r="Z31" s="72"/>
      <c r="AA31" s="73">
        <v>8.4275974736539597E-2</v>
      </c>
    </row>
    <row r="32" spans="2:27" ht="30" x14ac:dyDescent="0.25">
      <c r="B32" s="67" t="s">
        <v>111</v>
      </c>
      <c r="C32" s="59" t="str">
        <f t="shared" si="1"/>
        <v>&gt;7.5-12t;Diesel;Gazole à la pompe;</v>
      </c>
      <c r="D32" s="71" t="s">
        <v>408</v>
      </c>
      <c r="E32" s="72" t="s">
        <v>1458</v>
      </c>
      <c r="F32" s="72" t="s">
        <v>138</v>
      </c>
      <c r="G32" s="71" t="s">
        <v>1449</v>
      </c>
      <c r="H32" s="72"/>
      <c r="I32" s="72">
        <v>5</v>
      </c>
      <c r="J32" s="72">
        <v>42385.998762263436</v>
      </c>
      <c r="K32" s="73"/>
      <c r="L32" s="72"/>
      <c r="M32" s="73">
        <v>8.4275974736539597E-2</v>
      </c>
      <c r="O32" s="72"/>
      <c r="P32" s="72">
        <v>5</v>
      </c>
      <c r="Q32" s="72">
        <v>42385.998762263436</v>
      </c>
      <c r="R32" s="73"/>
      <c r="S32" s="72"/>
      <c r="T32" s="73">
        <v>8.4275974736539597E-2</v>
      </c>
      <c r="V32" s="72"/>
      <c r="W32" s="72">
        <v>5</v>
      </c>
      <c r="X32" s="72">
        <v>42385.998762263436</v>
      </c>
      <c r="Y32" s="73"/>
      <c r="Z32" s="72"/>
      <c r="AA32" s="73">
        <v>8.4275974736539597E-2</v>
      </c>
    </row>
    <row r="33" spans="2:27" ht="30" x14ac:dyDescent="0.25">
      <c r="B33" s="67" t="s">
        <v>112</v>
      </c>
      <c r="C33" s="59" t="str">
        <f t="shared" si="1"/>
        <v>&gt;14-20t;Diesel;Gazole à la pompe;</v>
      </c>
      <c r="D33" s="71" t="s">
        <v>409</v>
      </c>
      <c r="E33" s="72" t="s">
        <v>1459</v>
      </c>
      <c r="F33" s="72" t="s">
        <v>138</v>
      </c>
      <c r="G33" s="71" t="s">
        <v>1449</v>
      </c>
      <c r="H33" s="72"/>
      <c r="I33" s="72">
        <v>2</v>
      </c>
      <c r="J33" s="72">
        <v>42385.998762263436</v>
      </c>
      <c r="K33" s="73"/>
      <c r="L33" s="72"/>
      <c r="M33" s="73">
        <v>9.6631490306071641E-2</v>
      </c>
      <c r="O33" s="72"/>
      <c r="P33" s="72">
        <v>2</v>
      </c>
      <c r="Q33" s="72">
        <v>42385.998762263436</v>
      </c>
      <c r="R33" s="73"/>
      <c r="S33" s="72"/>
      <c r="T33" s="73">
        <v>9.6631490306071641E-2</v>
      </c>
      <c r="V33" s="72"/>
      <c r="W33" s="72">
        <v>2</v>
      </c>
      <c r="X33" s="72">
        <v>42385.998762263436</v>
      </c>
      <c r="Y33" s="73"/>
      <c r="Z33" s="72"/>
      <c r="AA33" s="73">
        <v>9.6631490306071641E-2</v>
      </c>
    </row>
    <row r="34" spans="2:27" ht="30" x14ac:dyDescent="0.25">
      <c r="B34" s="67" t="s">
        <v>113</v>
      </c>
      <c r="C34" s="59" t="str">
        <f t="shared" si="1"/>
        <v>&gt;14-20t;Diesel;Gazole à la pompe;</v>
      </c>
      <c r="D34" s="71" t="s">
        <v>410</v>
      </c>
      <c r="E34" s="72" t="s">
        <v>1459</v>
      </c>
      <c r="F34" s="72" t="s">
        <v>138</v>
      </c>
      <c r="G34" s="71" t="s">
        <v>1449</v>
      </c>
      <c r="H34" s="72"/>
      <c r="I34" s="72">
        <v>3</v>
      </c>
      <c r="J34" s="72">
        <v>42385.998762263436</v>
      </c>
      <c r="K34" s="73"/>
      <c r="L34" s="72"/>
      <c r="M34" s="73">
        <v>9.6631490306071641E-2</v>
      </c>
      <c r="O34" s="72"/>
      <c r="P34" s="72">
        <v>3</v>
      </c>
      <c r="Q34" s="72">
        <v>42385.998762263436</v>
      </c>
      <c r="R34" s="73"/>
      <c r="S34" s="72"/>
      <c r="T34" s="73">
        <v>9.6631490306071641E-2</v>
      </c>
      <c r="V34" s="72"/>
      <c r="W34" s="72">
        <v>3</v>
      </c>
      <c r="X34" s="72">
        <v>42385.998762263436</v>
      </c>
      <c r="Y34" s="73"/>
      <c r="Z34" s="72"/>
      <c r="AA34" s="73">
        <v>9.6631490306071641E-2</v>
      </c>
    </row>
    <row r="35" spans="2:27" ht="30" x14ac:dyDescent="0.25">
      <c r="B35" s="67" t="s">
        <v>114</v>
      </c>
      <c r="C35" s="59" t="str">
        <f t="shared" si="1"/>
        <v>&gt;14-20t;Diesel;Gazole à la pompe;</v>
      </c>
      <c r="D35" s="71" t="s">
        <v>411</v>
      </c>
      <c r="E35" s="72" t="s">
        <v>1459</v>
      </c>
      <c r="F35" s="72" t="s">
        <v>138</v>
      </c>
      <c r="G35" s="71" t="s">
        <v>1449</v>
      </c>
      <c r="H35" s="72"/>
      <c r="I35" s="72">
        <v>4</v>
      </c>
      <c r="J35" s="72">
        <v>42385.998762263436</v>
      </c>
      <c r="K35" s="73"/>
      <c r="L35" s="72"/>
      <c r="M35" s="73">
        <v>9.6631490306071641E-2</v>
      </c>
      <c r="O35" s="72"/>
      <c r="P35" s="72">
        <v>4</v>
      </c>
      <c r="Q35" s="72">
        <v>42385.998762263436</v>
      </c>
      <c r="R35" s="73"/>
      <c r="S35" s="72"/>
      <c r="T35" s="73">
        <v>9.6631490306071641E-2</v>
      </c>
      <c r="V35" s="72"/>
      <c r="W35" s="72">
        <v>4</v>
      </c>
      <c r="X35" s="72">
        <v>42385.998762263436</v>
      </c>
      <c r="Y35" s="73"/>
      <c r="Z35" s="72"/>
      <c r="AA35" s="73">
        <v>9.6631490306071641E-2</v>
      </c>
    </row>
    <row r="36" spans="2:27" ht="30" x14ac:dyDescent="0.25">
      <c r="B36" s="67" t="s">
        <v>115</v>
      </c>
      <c r="C36" s="59" t="str">
        <f t="shared" si="1"/>
        <v>&gt;14-20t;Diesel;Gazole à la pompe;</v>
      </c>
      <c r="D36" s="71" t="s">
        <v>412</v>
      </c>
      <c r="E36" s="72" t="s">
        <v>1459</v>
      </c>
      <c r="F36" s="72" t="s">
        <v>138</v>
      </c>
      <c r="G36" s="71" t="s">
        <v>1449</v>
      </c>
      <c r="H36" s="72"/>
      <c r="I36" s="72">
        <v>5</v>
      </c>
      <c r="J36" s="72">
        <v>42385.998762263436</v>
      </c>
      <c r="K36" s="73"/>
      <c r="L36" s="72"/>
      <c r="M36" s="73">
        <v>9.6631490306071641E-2</v>
      </c>
      <c r="O36" s="72"/>
      <c r="P36" s="72">
        <v>5</v>
      </c>
      <c r="Q36" s="72">
        <v>42385.998762263436</v>
      </c>
      <c r="R36" s="73"/>
      <c r="S36" s="72"/>
      <c r="T36" s="73">
        <v>9.6631490306071641E-2</v>
      </c>
      <c r="V36" s="72"/>
      <c r="W36" s="72">
        <v>5</v>
      </c>
      <c r="X36" s="72">
        <v>42385.998762263436</v>
      </c>
      <c r="Y36" s="73"/>
      <c r="Z36" s="72"/>
      <c r="AA36" s="73">
        <v>9.6631490306071641E-2</v>
      </c>
    </row>
    <row r="37" spans="2:27" ht="30" x14ac:dyDescent="0.25">
      <c r="B37" s="67" t="s">
        <v>116</v>
      </c>
      <c r="C37" s="59" t="str">
        <f t="shared" si="1"/>
        <v>&gt;20-26t;Diesel;Gazole à la pompe;</v>
      </c>
      <c r="D37" s="71" t="s">
        <v>413</v>
      </c>
      <c r="E37" s="72" t="s">
        <v>1460</v>
      </c>
      <c r="F37" s="72" t="s">
        <v>138</v>
      </c>
      <c r="G37" s="71" t="s">
        <v>1449</v>
      </c>
      <c r="H37" s="72"/>
      <c r="I37" s="72">
        <v>2</v>
      </c>
      <c r="J37" s="72">
        <v>42385.998762263436</v>
      </c>
      <c r="K37" s="73"/>
      <c r="L37" s="72"/>
      <c r="M37" s="73">
        <v>0.54362503916075455</v>
      </c>
      <c r="O37" s="72"/>
      <c r="P37" s="72">
        <v>2</v>
      </c>
      <c r="Q37" s="72">
        <v>42385.998762263436</v>
      </c>
      <c r="R37" s="73"/>
      <c r="S37" s="72"/>
      <c r="T37" s="73">
        <v>0.54362503916075455</v>
      </c>
      <c r="V37" s="72"/>
      <c r="W37" s="72">
        <v>2</v>
      </c>
      <c r="X37" s="72">
        <v>42385.998762263436</v>
      </c>
      <c r="Y37" s="73"/>
      <c r="Z37" s="72"/>
      <c r="AA37" s="73">
        <v>0.54362503916075455</v>
      </c>
    </row>
    <row r="38" spans="2:27" ht="30" x14ac:dyDescent="0.25">
      <c r="B38" s="67" t="s">
        <v>117</v>
      </c>
      <c r="C38" s="59" t="str">
        <f t="shared" si="1"/>
        <v>&gt;20-26t;Diesel;Gazole à la pompe;</v>
      </c>
      <c r="D38" s="71" t="s">
        <v>414</v>
      </c>
      <c r="E38" s="72" t="s">
        <v>1460</v>
      </c>
      <c r="F38" s="72" t="s">
        <v>138</v>
      </c>
      <c r="G38" s="71" t="s">
        <v>1449</v>
      </c>
      <c r="H38" s="72"/>
      <c r="I38" s="72">
        <v>3</v>
      </c>
      <c r="J38" s="72">
        <v>42385.998762263436</v>
      </c>
      <c r="K38" s="73"/>
      <c r="L38" s="72"/>
      <c r="M38" s="73">
        <v>0.54362503916075455</v>
      </c>
      <c r="O38" s="72"/>
      <c r="P38" s="72">
        <v>3</v>
      </c>
      <c r="Q38" s="72">
        <v>42385.998762263436</v>
      </c>
      <c r="R38" s="73"/>
      <c r="S38" s="72"/>
      <c r="T38" s="73">
        <v>0.54362503916075455</v>
      </c>
      <c r="V38" s="72"/>
      <c r="W38" s="72">
        <v>3</v>
      </c>
      <c r="X38" s="72">
        <v>42385.998762263436</v>
      </c>
      <c r="Y38" s="73"/>
      <c r="Z38" s="72"/>
      <c r="AA38" s="73">
        <v>0.54362503916075455</v>
      </c>
    </row>
    <row r="39" spans="2:27" ht="30" x14ac:dyDescent="0.25">
      <c r="B39" s="67" t="s">
        <v>118</v>
      </c>
      <c r="C39" s="59" t="str">
        <f t="shared" si="1"/>
        <v>&gt;20-26t;Diesel;Gazole à la pompe;</v>
      </c>
      <c r="D39" s="71" t="s">
        <v>415</v>
      </c>
      <c r="E39" s="72" t="s">
        <v>1460</v>
      </c>
      <c r="F39" s="72" t="s">
        <v>138</v>
      </c>
      <c r="G39" s="71" t="s">
        <v>1449</v>
      </c>
      <c r="H39" s="72"/>
      <c r="I39" s="72">
        <v>4</v>
      </c>
      <c r="J39" s="72">
        <v>42385.998762263436</v>
      </c>
      <c r="K39" s="73"/>
      <c r="L39" s="72"/>
      <c r="M39" s="73">
        <v>0.54362503916075455</v>
      </c>
      <c r="O39" s="72"/>
      <c r="P39" s="72">
        <v>4</v>
      </c>
      <c r="Q39" s="72">
        <v>42385.998762263436</v>
      </c>
      <c r="R39" s="73"/>
      <c r="S39" s="72"/>
      <c r="T39" s="73">
        <v>0.54362503916075455</v>
      </c>
      <c r="V39" s="72"/>
      <c r="W39" s="72">
        <v>4</v>
      </c>
      <c r="X39" s="72">
        <v>42385.998762263436</v>
      </c>
      <c r="Y39" s="73"/>
      <c r="Z39" s="72"/>
      <c r="AA39" s="73">
        <v>0.54362503916075455</v>
      </c>
    </row>
    <row r="40" spans="2:27" ht="30" x14ac:dyDescent="0.25">
      <c r="B40" s="67" t="s">
        <v>119</v>
      </c>
      <c r="C40" s="59" t="str">
        <f t="shared" si="1"/>
        <v>&gt;20-26t;Diesel;Gazole à la pompe;</v>
      </c>
      <c r="D40" s="71" t="s">
        <v>416</v>
      </c>
      <c r="E40" s="72" t="s">
        <v>1460</v>
      </c>
      <c r="F40" s="72" t="s">
        <v>138</v>
      </c>
      <c r="G40" s="71" t="s">
        <v>1449</v>
      </c>
      <c r="H40" s="72"/>
      <c r="I40" s="72">
        <v>5</v>
      </c>
      <c r="J40" s="72">
        <v>42385.998762263436</v>
      </c>
      <c r="K40" s="73"/>
      <c r="L40" s="72"/>
      <c r="M40" s="73">
        <v>0.54362503916075455</v>
      </c>
      <c r="O40" s="72"/>
      <c r="P40" s="72">
        <v>5</v>
      </c>
      <c r="Q40" s="72">
        <v>42385.998762263436</v>
      </c>
      <c r="R40" s="73"/>
      <c r="S40" s="72"/>
      <c r="T40" s="73">
        <v>0.54362503916075455</v>
      </c>
      <c r="V40" s="72"/>
      <c r="W40" s="72">
        <v>5</v>
      </c>
      <c r="X40" s="72">
        <v>42385.998762263436</v>
      </c>
      <c r="Y40" s="73"/>
      <c r="Z40" s="72"/>
      <c r="AA40" s="73">
        <v>0.54362503916075455</v>
      </c>
    </row>
    <row r="41" spans="2:27" ht="30" x14ac:dyDescent="0.25">
      <c r="B41" s="67" t="s">
        <v>120</v>
      </c>
      <c r="C41" s="59" t="str">
        <f t="shared" si="1"/>
        <v>&gt;28-34t;Diesel;Gazole à la pompe;</v>
      </c>
      <c r="D41" s="71" t="s">
        <v>417</v>
      </c>
      <c r="E41" s="72" t="s">
        <v>1461</v>
      </c>
      <c r="F41" s="72" t="s">
        <v>138</v>
      </c>
      <c r="G41" s="71" t="s">
        <v>1449</v>
      </c>
      <c r="H41" s="72"/>
      <c r="I41" s="72">
        <v>2</v>
      </c>
      <c r="J41" s="72">
        <v>42385.998762263436</v>
      </c>
      <c r="K41" s="73"/>
      <c r="L41" s="72"/>
      <c r="M41" s="73">
        <v>0.16494224249576625</v>
      </c>
      <c r="O41" s="72"/>
      <c r="P41" s="72">
        <v>2</v>
      </c>
      <c r="Q41" s="72">
        <v>42385.998762263436</v>
      </c>
      <c r="R41" s="73"/>
      <c r="S41" s="72"/>
      <c r="T41" s="73">
        <v>0.16494224249576625</v>
      </c>
      <c r="V41" s="72"/>
      <c r="W41" s="72">
        <v>2</v>
      </c>
      <c r="X41" s="72">
        <v>42385.998762263436</v>
      </c>
      <c r="Y41" s="73"/>
      <c r="Z41" s="72"/>
      <c r="AA41" s="73">
        <v>0.16494224249576625</v>
      </c>
    </row>
    <row r="42" spans="2:27" ht="30" x14ac:dyDescent="0.25">
      <c r="B42" s="67" t="s">
        <v>121</v>
      </c>
      <c r="C42" s="59" t="str">
        <f t="shared" si="1"/>
        <v>&gt;28-34t;Diesel;Gazole à la pompe;</v>
      </c>
      <c r="D42" s="71" t="s">
        <v>418</v>
      </c>
      <c r="E42" s="72" t="s">
        <v>1461</v>
      </c>
      <c r="F42" s="72" t="s">
        <v>138</v>
      </c>
      <c r="G42" s="71" t="s">
        <v>1449</v>
      </c>
      <c r="H42" s="72"/>
      <c r="I42" s="72">
        <v>3</v>
      </c>
      <c r="J42" s="72">
        <v>42385.998762263436</v>
      </c>
      <c r="K42" s="73"/>
      <c r="L42" s="72"/>
      <c r="M42" s="73">
        <v>0.16494224249576625</v>
      </c>
      <c r="O42" s="72"/>
      <c r="P42" s="72">
        <v>3</v>
      </c>
      <c r="Q42" s="72">
        <v>42385.998762263436</v>
      </c>
      <c r="R42" s="73"/>
      <c r="S42" s="72"/>
      <c r="T42" s="73">
        <v>0.16494224249576625</v>
      </c>
      <c r="V42" s="72"/>
      <c r="W42" s="72">
        <v>3</v>
      </c>
      <c r="X42" s="72">
        <v>42385.998762263436</v>
      </c>
      <c r="Y42" s="73"/>
      <c r="Z42" s="72"/>
      <c r="AA42" s="73">
        <v>0.16494224249576625</v>
      </c>
    </row>
    <row r="43" spans="2:27" ht="30" x14ac:dyDescent="0.25">
      <c r="B43" s="67" t="s">
        <v>122</v>
      </c>
      <c r="C43" s="59" t="str">
        <f t="shared" si="1"/>
        <v>&gt;28-34t;Diesel;Gazole à la pompe;</v>
      </c>
      <c r="D43" s="71" t="s">
        <v>419</v>
      </c>
      <c r="E43" s="72" t="s">
        <v>1461</v>
      </c>
      <c r="F43" s="72" t="s">
        <v>138</v>
      </c>
      <c r="G43" s="71" t="s">
        <v>1449</v>
      </c>
      <c r="H43" s="72"/>
      <c r="I43" s="72">
        <v>4</v>
      </c>
      <c r="J43" s="72">
        <v>42385.998762263436</v>
      </c>
      <c r="K43" s="73"/>
      <c r="L43" s="72"/>
      <c r="M43" s="73">
        <v>0.16494224249576625</v>
      </c>
      <c r="O43" s="72"/>
      <c r="P43" s="72">
        <v>4</v>
      </c>
      <c r="Q43" s="72">
        <v>42385.998762263436</v>
      </c>
      <c r="R43" s="73"/>
      <c r="S43" s="72"/>
      <c r="T43" s="73">
        <v>0.16494224249576625</v>
      </c>
      <c r="V43" s="72"/>
      <c r="W43" s="72">
        <v>4</v>
      </c>
      <c r="X43" s="72">
        <v>42385.998762263436</v>
      </c>
      <c r="Y43" s="73"/>
      <c r="Z43" s="72"/>
      <c r="AA43" s="73">
        <v>0.16494224249576625</v>
      </c>
    </row>
    <row r="44" spans="2:27" ht="30" x14ac:dyDescent="0.25">
      <c r="B44" s="67" t="s">
        <v>123</v>
      </c>
      <c r="C44" s="59" t="str">
        <f t="shared" si="1"/>
        <v>&gt;28-34t;Diesel;Gazole à la pompe;</v>
      </c>
      <c r="D44" s="71" t="s">
        <v>420</v>
      </c>
      <c r="E44" s="72" t="s">
        <v>1461</v>
      </c>
      <c r="F44" s="72" t="s">
        <v>138</v>
      </c>
      <c r="G44" s="71" t="s">
        <v>1449</v>
      </c>
      <c r="H44" s="72"/>
      <c r="I44" s="72">
        <v>5</v>
      </c>
      <c r="J44" s="72">
        <v>42385.998762263436</v>
      </c>
      <c r="K44" s="73"/>
      <c r="L44" s="72"/>
      <c r="M44" s="73">
        <v>0.16494224249576625</v>
      </c>
      <c r="O44" s="72"/>
      <c r="P44" s="72">
        <v>5</v>
      </c>
      <c r="Q44" s="72">
        <v>42385.998762263436</v>
      </c>
      <c r="R44" s="73"/>
      <c r="S44" s="72"/>
      <c r="T44" s="73">
        <v>0.16494224249576625</v>
      </c>
      <c r="V44" s="72"/>
      <c r="W44" s="72">
        <v>5</v>
      </c>
      <c r="X44" s="72">
        <v>42385.998762263436</v>
      </c>
      <c r="Y44" s="73"/>
      <c r="Z44" s="72"/>
      <c r="AA44" s="73">
        <v>0.16494224249576625</v>
      </c>
    </row>
    <row r="45" spans="2:27" ht="30" x14ac:dyDescent="0.25">
      <c r="B45" s="67" t="s">
        <v>124</v>
      </c>
      <c r="C45" s="59" t="str">
        <f t="shared" si="1"/>
        <v>&gt;34-40t;Diesel;Gazole à la pompe;</v>
      </c>
      <c r="D45" s="71" t="s">
        <v>421</v>
      </c>
      <c r="E45" s="72" t="s">
        <v>1462</v>
      </c>
      <c r="F45" s="72" t="s">
        <v>138</v>
      </c>
      <c r="G45" s="71" t="s">
        <v>1449</v>
      </c>
      <c r="H45" s="72"/>
      <c r="I45" s="72">
        <v>2</v>
      </c>
      <c r="J45" s="72">
        <v>42385.998762263436</v>
      </c>
      <c r="K45" s="73"/>
      <c r="L45" s="72"/>
      <c r="M45" s="73">
        <v>8.21201771750346E-2</v>
      </c>
      <c r="O45" s="72"/>
      <c r="P45" s="72">
        <v>2</v>
      </c>
      <c r="Q45" s="72">
        <v>42385.998762263436</v>
      </c>
      <c r="R45" s="73"/>
      <c r="S45" s="72"/>
      <c r="T45" s="73">
        <v>8.21201771750346E-2</v>
      </c>
      <c r="V45" s="72"/>
      <c r="W45" s="72">
        <v>2</v>
      </c>
      <c r="X45" s="72">
        <v>42385.998762263436</v>
      </c>
      <c r="Y45" s="73"/>
      <c r="Z45" s="72"/>
      <c r="AA45" s="73">
        <v>8.21201771750346E-2</v>
      </c>
    </row>
    <row r="46" spans="2:27" ht="30" x14ac:dyDescent="0.25">
      <c r="B46" s="67" t="s">
        <v>125</v>
      </c>
      <c r="C46" s="59" t="str">
        <f t="shared" si="1"/>
        <v>&gt;34-40t;Diesel;Gazole à la pompe;</v>
      </c>
      <c r="D46" s="71" t="s">
        <v>422</v>
      </c>
      <c r="E46" s="72" t="s">
        <v>1462</v>
      </c>
      <c r="F46" s="72" t="s">
        <v>138</v>
      </c>
      <c r="G46" s="71" t="s">
        <v>1449</v>
      </c>
      <c r="H46" s="72"/>
      <c r="I46" s="72">
        <v>3</v>
      </c>
      <c r="J46" s="72">
        <v>42385.998762263436</v>
      </c>
      <c r="K46" s="73"/>
      <c r="L46" s="72"/>
      <c r="M46" s="73">
        <v>8.21201771750346E-2</v>
      </c>
      <c r="O46" s="72"/>
      <c r="P46" s="72">
        <v>3</v>
      </c>
      <c r="Q46" s="72">
        <v>42385.998762263436</v>
      </c>
      <c r="R46" s="73"/>
      <c r="S46" s="72"/>
      <c r="T46" s="73">
        <v>8.21201771750346E-2</v>
      </c>
      <c r="V46" s="72"/>
      <c r="W46" s="72">
        <v>3</v>
      </c>
      <c r="X46" s="72">
        <v>42385.998762263436</v>
      </c>
      <c r="Y46" s="73"/>
      <c r="Z46" s="72"/>
      <c r="AA46" s="73">
        <v>8.21201771750346E-2</v>
      </c>
    </row>
    <row r="47" spans="2:27" ht="30" x14ac:dyDescent="0.25">
      <c r="B47" s="67" t="s">
        <v>126</v>
      </c>
      <c r="C47" s="59" t="str">
        <f t="shared" si="1"/>
        <v>&gt;34-40t;Diesel;Gazole à la pompe;</v>
      </c>
      <c r="D47" s="71" t="s">
        <v>423</v>
      </c>
      <c r="E47" s="72" t="s">
        <v>1462</v>
      </c>
      <c r="F47" s="72" t="s">
        <v>138</v>
      </c>
      <c r="G47" s="71" t="s">
        <v>1449</v>
      </c>
      <c r="H47" s="72"/>
      <c r="I47" s="72">
        <v>4</v>
      </c>
      <c r="J47" s="72">
        <v>42385.998762263436</v>
      </c>
      <c r="K47" s="73"/>
      <c r="L47" s="72"/>
      <c r="M47" s="73">
        <v>8.21201771750346E-2</v>
      </c>
      <c r="O47" s="72"/>
      <c r="P47" s="72">
        <v>4</v>
      </c>
      <c r="Q47" s="72">
        <v>42385.998762263436</v>
      </c>
      <c r="R47" s="73"/>
      <c r="S47" s="72"/>
      <c r="T47" s="73">
        <v>8.21201771750346E-2</v>
      </c>
      <c r="V47" s="72"/>
      <c r="W47" s="72">
        <v>4</v>
      </c>
      <c r="X47" s="72">
        <v>42385.998762263436</v>
      </c>
      <c r="Y47" s="73"/>
      <c r="Z47" s="72"/>
      <c r="AA47" s="73">
        <v>8.21201771750346E-2</v>
      </c>
    </row>
    <row r="48" spans="2:27" ht="30" x14ac:dyDescent="0.25">
      <c r="B48" s="67" t="s">
        <v>127</v>
      </c>
      <c r="C48" s="59" t="str">
        <f t="shared" si="1"/>
        <v>&gt;34-40t;Diesel;Gazole à la pompe;</v>
      </c>
      <c r="D48" s="71" t="s">
        <v>424</v>
      </c>
      <c r="E48" s="72" t="s">
        <v>1462</v>
      </c>
      <c r="F48" s="72" t="s">
        <v>138</v>
      </c>
      <c r="G48" s="71" t="s">
        <v>1449</v>
      </c>
      <c r="H48" s="72"/>
      <c r="I48" s="72">
        <v>5</v>
      </c>
      <c r="J48" s="72">
        <v>42385.998762263436</v>
      </c>
      <c r="K48" s="73"/>
      <c r="L48" s="72"/>
      <c r="M48" s="73">
        <v>8.21201771750346E-2</v>
      </c>
      <c r="O48" s="72"/>
      <c r="P48" s="72">
        <v>5</v>
      </c>
      <c r="Q48" s="72">
        <v>42385.998762263436</v>
      </c>
      <c r="R48" s="73"/>
      <c r="S48" s="72"/>
      <c r="T48" s="73">
        <v>8.21201771750346E-2</v>
      </c>
      <c r="V48" s="72"/>
      <c r="W48" s="72">
        <v>5</v>
      </c>
      <c r="X48" s="72">
        <v>42385.998762263436</v>
      </c>
      <c r="Y48" s="73"/>
      <c r="Z48" s="72"/>
      <c r="AA48" s="73">
        <v>8.21201771750346E-2</v>
      </c>
    </row>
    <row r="49" spans="1:27" ht="30" x14ac:dyDescent="0.25">
      <c r="B49" s="67" t="s">
        <v>128</v>
      </c>
      <c r="C49" s="59" t="str">
        <f t="shared" si="1"/>
        <v>&gt;14-20t;Gaz (GNC);0;</v>
      </c>
      <c r="D49" s="71" t="s">
        <v>425</v>
      </c>
      <c r="E49" s="72" t="s">
        <v>1459</v>
      </c>
      <c r="F49" s="72" t="s">
        <v>1456</v>
      </c>
      <c r="G49" s="71">
        <v>0</v>
      </c>
      <c r="H49" s="72"/>
      <c r="I49" s="72">
        <v>1</v>
      </c>
      <c r="J49" s="72">
        <v>46552.613237725091</v>
      </c>
      <c r="K49" s="73"/>
      <c r="L49" s="72"/>
      <c r="M49" s="73">
        <v>0.1200094854473535</v>
      </c>
      <c r="O49" s="72"/>
      <c r="P49" s="72">
        <v>1</v>
      </c>
      <c r="Q49" s="72">
        <v>46552.613237725091</v>
      </c>
      <c r="R49" s="73"/>
      <c r="S49" s="72"/>
      <c r="T49" s="73">
        <v>0.1200094854473535</v>
      </c>
      <c r="V49" s="72"/>
      <c r="W49" s="72">
        <v>1</v>
      </c>
      <c r="X49" s="72">
        <v>46552.613237725091</v>
      </c>
      <c r="Y49" s="73"/>
      <c r="Z49" s="72"/>
      <c r="AA49" s="73">
        <v>0.1200094854473535</v>
      </c>
    </row>
    <row r="50" spans="1:27" ht="30" x14ac:dyDescent="0.25">
      <c r="B50" s="67" t="s">
        <v>129</v>
      </c>
      <c r="C50" s="59" t="str">
        <f t="shared" si="1"/>
        <v>&gt;14-20t;Gaz (GNC);0;</v>
      </c>
      <c r="D50" s="71" t="s">
        <v>426</v>
      </c>
      <c r="E50" s="72" t="s">
        <v>1459</v>
      </c>
      <c r="F50" s="72" t="s">
        <v>1456</v>
      </c>
      <c r="G50" s="71">
        <v>0</v>
      </c>
      <c r="H50" s="72"/>
      <c r="I50" s="72">
        <v>2</v>
      </c>
      <c r="J50" s="72">
        <v>46552.613237725091</v>
      </c>
      <c r="K50" s="73"/>
      <c r="L50" s="72"/>
      <c r="M50" s="73">
        <v>0.1200094854473535</v>
      </c>
      <c r="O50" s="72"/>
      <c r="P50" s="72">
        <v>2</v>
      </c>
      <c r="Q50" s="72">
        <v>46552.613237725091</v>
      </c>
      <c r="R50" s="73"/>
      <c r="S50" s="72"/>
      <c r="T50" s="73">
        <v>0.1200094854473535</v>
      </c>
      <c r="V50" s="72"/>
      <c r="W50" s="72">
        <v>2</v>
      </c>
      <c r="X50" s="72">
        <v>46552.613237725091</v>
      </c>
      <c r="Y50" s="73"/>
      <c r="Z50" s="72"/>
      <c r="AA50" s="73">
        <v>0.1200094854473535</v>
      </c>
    </row>
    <row r="51" spans="1:27" ht="30" x14ac:dyDescent="0.25">
      <c r="B51" s="67" t="s">
        <v>130</v>
      </c>
      <c r="C51" s="59" t="str">
        <f t="shared" si="1"/>
        <v>&gt;20-26t;Gaz (GNC);0;</v>
      </c>
      <c r="D51" s="71" t="s">
        <v>427</v>
      </c>
      <c r="E51" s="72" t="s">
        <v>1460</v>
      </c>
      <c r="F51" s="75" t="s">
        <v>1456</v>
      </c>
      <c r="G51" s="71">
        <v>0</v>
      </c>
      <c r="H51" s="72"/>
      <c r="I51" s="72">
        <v>1</v>
      </c>
      <c r="J51" s="72">
        <v>46552.613237725091</v>
      </c>
      <c r="K51" s="73"/>
      <c r="L51" s="72"/>
      <c r="M51" s="73">
        <v>0.67514389997853852</v>
      </c>
      <c r="O51" s="72"/>
      <c r="P51" s="72">
        <v>1</v>
      </c>
      <c r="Q51" s="72">
        <v>46552.613237725091</v>
      </c>
      <c r="R51" s="73"/>
      <c r="S51" s="72"/>
      <c r="T51" s="73">
        <v>0.67514389997853852</v>
      </c>
      <c r="V51" s="72"/>
      <c r="W51" s="72">
        <v>1</v>
      </c>
      <c r="X51" s="72">
        <v>46552.613237725091</v>
      </c>
      <c r="Y51" s="73"/>
      <c r="Z51" s="72"/>
      <c r="AA51" s="73">
        <v>0.67514389997853852</v>
      </c>
    </row>
    <row r="52" spans="1:27" ht="30" x14ac:dyDescent="0.25">
      <c r="B52" s="67" t="s">
        <v>131</v>
      </c>
      <c r="C52" s="59" t="str">
        <f t="shared" si="1"/>
        <v>&gt;20-26t;Gaz (GNC);0;</v>
      </c>
      <c r="D52" s="71" t="s">
        <v>428</v>
      </c>
      <c r="E52" s="72" t="s">
        <v>1460</v>
      </c>
      <c r="F52" s="72" t="s">
        <v>1456</v>
      </c>
      <c r="G52" s="71">
        <v>0</v>
      </c>
      <c r="H52" s="72"/>
      <c r="I52" s="72">
        <v>2</v>
      </c>
      <c r="J52" s="72">
        <v>46552.613237725091</v>
      </c>
      <c r="K52" s="73"/>
      <c r="L52" s="72"/>
      <c r="M52" s="73">
        <v>0.67514389997853852</v>
      </c>
      <c r="O52" s="72"/>
      <c r="P52" s="72">
        <v>2</v>
      </c>
      <c r="Q52" s="72">
        <v>46552.613237725091</v>
      </c>
      <c r="R52" s="73"/>
      <c r="S52" s="72"/>
      <c r="T52" s="73">
        <v>0.67514389997853852</v>
      </c>
      <c r="V52" s="72"/>
      <c r="W52" s="72">
        <v>2</v>
      </c>
      <c r="X52" s="72">
        <v>46552.613237725091</v>
      </c>
      <c r="Y52" s="73"/>
      <c r="Z52" s="72"/>
      <c r="AA52" s="73">
        <v>0.67514389997853852</v>
      </c>
    </row>
    <row r="53" spans="1:27" ht="30" x14ac:dyDescent="0.25">
      <c r="B53" s="67" t="s">
        <v>132</v>
      </c>
      <c r="C53" s="59" t="str">
        <f t="shared" si="1"/>
        <v>&gt;28-34t;Gaz (GNC);0;</v>
      </c>
      <c r="D53" s="71" t="s">
        <v>429</v>
      </c>
      <c r="E53" s="72" t="s">
        <v>1461</v>
      </c>
      <c r="F53" s="72" t="s">
        <v>1456</v>
      </c>
      <c r="G53" s="71">
        <v>0</v>
      </c>
      <c r="H53" s="72"/>
      <c r="I53" s="72">
        <v>1</v>
      </c>
      <c r="J53" s="72">
        <v>46552.613237725091</v>
      </c>
      <c r="K53" s="73"/>
      <c r="L53" s="72"/>
      <c r="M53" s="73">
        <v>0.20484661457410799</v>
      </c>
      <c r="O53" s="72"/>
      <c r="P53" s="72">
        <v>1</v>
      </c>
      <c r="Q53" s="72">
        <v>46552.613237725091</v>
      </c>
      <c r="R53" s="73"/>
      <c r="S53" s="72"/>
      <c r="T53" s="73">
        <v>0.20484661457410799</v>
      </c>
      <c r="V53" s="72"/>
      <c r="W53" s="72">
        <v>1</v>
      </c>
      <c r="X53" s="72">
        <v>46552.613237725091</v>
      </c>
      <c r="Y53" s="73"/>
      <c r="Z53" s="72"/>
      <c r="AA53" s="73">
        <v>0.20484661457410799</v>
      </c>
    </row>
    <row r="54" spans="1:27" ht="30" x14ac:dyDescent="0.25">
      <c r="B54" s="67" t="s">
        <v>133</v>
      </c>
      <c r="C54" s="59" t="str">
        <f t="shared" si="1"/>
        <v>&gt;28-34t;Gaz (GNC);0;</v>
      </c>
      <c r="D54" s="71" t="s">
        <v>387</v>
      </c>
      <c r="E54" s="72" t="s">
        <v>1461</v>
      </c>
      <c r="F54" s="72" t="s">
        <v>1456</v>
      </c>
      <c r="G54" s="71">
        <v>0</v>
      </c>
      <c r="H54" s="72"/>
      <c r="I54" s="72">
        <v>2</v>
      </c>
      <c r="J54" s="72">
        <v>46552.613237725091</v>
      </c>
      <c r="K54" s="73"/>
      <c r="L54" s="72"/>
      <c r="M54" s="73">
        <v>0.20484661457410799</v>
      </c>
      <c r="O54" s="72"/>
      <c r="P54" s="72">
        <v>2</v>
      </c>
      <c r="Q54" s="72">
        <v>46552.613237725091</v>
      </c>
      <c r="R54" s="73"/>
      <c r="S54" s="72"/>
      <c r="T54" s="73">
        <v>0.20484661457410799</v>
      </c>
      <c r="V54" s="72"/>
      <c r="W54" s="72">
        <v>2</v>
      </c>
      <c r="X54" s="72">
        <v>46552.613237725091</v>
      </c>
      <c r="Y54" s="73"/>
      <c r="Z54" s="72"/>
      <c r="AA54" s="73">
        <v>0.20484661457410799</v>
      </c>
    </row>
    <row r="55" spans="1:27" x14ac:dyDescent="0.25">
      <c r="D55" s="76"/>
      <c r="J55" s="38"/>
      <c r="K55" s="37"/>
    </row>
    <row r="56" spans="1:27" s="41" customFormat="1" x14ac:dyDescent="0.25"/>
    <row r="57" spans="1:27" s="41" customFormat="1" ht="21" x14ac:dyDescent="0.25">
      <c r="A57" s="42" t="s">
        <v>134</v>
      </c>
    </row>
    <row r="58" spans="1:27" x14ac:dyDescent="0.25">
      <c r="D58" s="76"/>
      <c r="E58" s="38"/>
      <c r="J58" s="38"/>
      <c r="K58" s="37"/>
    </row>
    <row r="59" spans="1:27" x14ac:dyDescent="0.25">
      <c r="C59" s="1"/>
      <c r="D59" s="1"/>
      <c r="E59" s="1"/>
      <c r="F59" s="1"/>
      <c r="G59" s="1"/>
      <c r="H59" s="115" t="s">
        <v>1432</v>
      </c>
      <c r="I59" s="115"/>
      <c r="J59" s="115"/>
      <c r="K59" s="115"/>
      <c r="L59" s="115"/>
      <c r="M59" s="115"/>
      <c r="O59" s="115" t="s">
        <v>1433</v>
      </c>
      <c r="P59" s="115"/>
      <c r="Q59" s="115"/>
      <c r="R59" s="115"/>
      <c r="S59" s="115"/>
      <c r="T59" s="115"/>
      <c r="V59" s="115" t="s">
        <v>1434</v>
      </c>
      <c r="W59" s="115"/>
      <c r="X59" s="115"/>
      <c r="Y59" s="115"/>
      <c r="Z59" s="115"/>
      <c r="AA59" s="115"/>
    </row>
    <row r="60" spans="1:27" x14ac:dyDescent="0.25">
      <c r="B60" s="1"/>
      <c r="O60" s="43" t="s">
        <v>1435</v>
      </c>
      <c r="P60">
        <f>VLOOKUP(Q60,'Remplissage - Sit. Ref.'!$E$2:$H$1087,4,FALSE)</f>
        <v>2028</v>
      </c>
      <c r="Q60" s="44" t="s">
        <v>467</v>
      </c>
      <c r="V60" s="43" t="s">
        <v>1435</v>
      </c>
      <c r="W60">
        <f>VLOOKUP(X60,'Remplissage - Sit. Prev.'!$E$2:$H$1666,4,FALSE)</f>
        <v>0</v>
      </c>
      <c r="X60" s="44" t="s">
        <v>16</v>
      </c>
    </row>
    <row r="62" spans="1:27" ht="70.150000000000006" customHeight="1" x14ac:dyDescent="0.25">
      <c r="B62" s="45"/>
      <c r="C62" s="46" t="s">
        <v>1463</v>
      </c>
      <c r="D62" s="46" t="s">
        <v>1464</v>
      </c>
      <c r="E62" s="46" t="s">
        <v>137</v>
      </c>
      <c r="F62" s="47" t="s">
        <v>525</v>
      </c>
      <c r="G62" s="47"/>
      <c r="H62" s="48"/>
      <c r="I62" s="48"/>
      <c r="J62" s="48" t="s">
        <v>1439</v>
      </c>
      <c r="K62" s="48" t="s">
        <v>1440</v>
      </c>
      <c r="L62" s="48"/>
      <c r="M62" s="47"/>
      <c r="O62" s="49"/>
      <c r="P62" s="49"/>
      <c r="Q62" s="49" t="s">
        <v>1439</v>
      </c>
      <c r="R62" s="49" t="s">
        <v>1440</v>
      </c>
      <c r="S62" s="49"/>
      <c r="T62" s="47"/>
      <c r="V62" s="49"/>
      <c r="W62" s="49"/>
      <c r="X62" s="49" t="s">
        <v>1439</v>
      </c>
      <c r="Y62" s="49" t="s">
        <v>1440</v>
      </c>
      <c r="Z62" s="49"/>
      <c r="AA62" s="47"/>
    </row>
    <row r="63" spans="1:27" x14ac:dyDescent="0.25">
      <c r="B63" s="77" t="s">
        <v>1443</v>
      </c>
      <c r="C63" s="78"/>
      <c r="D63" s="78" t="s">
        <v>1444</v>
      </c>
      <c r="E63" s="79"/>
      <c r="F63" s="78"/>
      <c r="G63" s="78"/>
      <c r="H63" s="78"/>
      <c r="I63" s="78"/>
      <c r="J63" s="78" t="s">
        <v>88</v>
      </c>
      <c r="K63" s="78" t="s">
        <v>70</v>
      </c>
      <c r="L63" s="78"/>
      <c r="M63" s="78"/>
      <c r="N63" s="80"/>
      <c r="O63" s="78"/>
      <c r="P63" s="78"/>
      <c r="Q63" s="78" t="s">
        <v>88</v>
      </c>
      <c r="R63" s="78" t="s">
        <v>70</v>
      </c>
      <c r="S63" s="78"/>
      <c r="T63" s="78"/>
      <c r="U63" s="80"/>
      <c r="V63" s="78"/>
      <c r="W63" s="78"/>
      <c r="X63" s="78" t="s">
        <v>88</v>
      </c>
      <c r="Y63" s="78" t="s">
        <v>70</v>
      </c>
      <c r="Z63" s="78"/>
      <c r="AA63" s="81"/>
    </row>
    <row r="64" spans="1:27" ht="15.75" thickBot="1" x14ac:dyDescent="0.3">
      <c r="B64" s="82" t="s">
        <v>1446</v>
      </c>
      <c r="C64" s="83" t="str">
        <f>D64 &amp; ";" &amp; E64 &amp; ";" &amp; F64 &amp; ";"</f>
        <v>Défaut;;;</v>
      </c>
      <c r="D64" s="84" t="s">
        <v>1447</v>
      </c>
      <c r="E64" s="85"/>
      <c r="F64" s="85"/>
      <c r="G64" s="84"/>
      <c r="H64" s="85"/>
      <c r="I64" s="85"/>
      <c r="J64" s="85"/>
      <c r="K64" s="86"/>
      <c r="L64" s="85"/>
      <c r="M64" s="86"/>
      <c r="N64" s="87"/>
      <c r="O64" s="85"/>
      <c r="P64" s="85"/>
      <c r="Q64" s="85"/>
      <c r="R64" s="86"/>
      <c r="S64" s="85"/>
      <c r="T64" s="86"/>
      <c r="U64" s="87"/>
      <c r="V64" s="85"/>
      <c r="W64" s="85"/>
      <c r="X64" s="85"/>
      <c r="Y64" s="86"/>
      <c r="Z64" s="85"/>
      <c r="AA64" s="88"/>
    </row>
    <row r="65" spans="2:27" ht="15.75" thickTop="1" x14ac:dyDescent="0.25">
      <c r="B65" s="89" t="s">
        <v>77</v>
      </c>
      <c r="C65" s="90" t="str">
        <f>D65&amp;" "&amp;E65&amp;" "&amp;F65</f>
        <v>Automoteurs &lt; 400 tonnes CCNR 2 ou inférieur, diesel</v>
      </c>
      <c r="D65" s="91" t="s">
        <v>532</v>
      </c>
      <c r="E65" s="91" t="s">
        <v>534</v>
      </c>
      <c r="F65" s="92" t="s">
        <v>536</v>
      </c>
      <c r="G65" s="91"/>
      <c r="H65" s="93"/>
      <c r="I65" s="93"/>
      <c r="J65" s="93"/>
      <c r="K65" s="94"/>
      <c r="L65" s="93"/>
      <c r="M65" s="94"/>
      <c r="N65" s="95"/>
      <c r="O65" s="93"/>
      <c r="P65" s="93"/>
      <c r="Q65" s="93"/>
      <c r="R65" s="94"/>
      <c r="S65" s="93"/>
      <c r="T65" s="94"/>
      <c r="U65" s="95"/>
      <c r="V65" s="93"/>
      <c r="W65" s="93"/>
      <c r="X65" s="93"/>
      <c r="Y65" s="94"/>
      <c r="Z65" s="93"/>
      <c r="AA65" s="96"/>
    </row>
    <row r="66" spans="2:27" x14ac:dyDescent="0.25">
      <c r="B66" s="97" t="s">
        <v>90</v>
      </c>
      <c r="C66" s="98" t="str">
        <f t="shared" ref="C66:C120" si="2">D66&amp;" "&amp;E66&amp;" "&amp;F66</f>
        <v>Automoteurs &lt; 400 tonnes CCNR 2 + SCR, diesel</v>
      </c>
      <c r="D66" s="99" t="s">
        <v>532</v>
      </c>
      <c r="E66" s="99" t="s">
        <v>534</v>
      </c>
      <c r="F66" s="100" t="s">
        <v>549</v>
      </c>
      <c r="G66" s="99"/>
      <c r="H66" s="101"/>
      <c r="I66" s="101"/>
      <c r="J66" s="101"/>
      <c r="K66" s="102"/>
      <c r="L66" s="101"/>
      <c r="M66" s="102"/>
      <c r="N66" s="103"/>
      <c r="O66" s="101"/>
      <c r="P66" s="101"/>
      <c r="Q66" s="101"/>
      <c r="R66" s="102"/>
      <c r="S66" s="101"/>
      <c r="T66" s="102"/>
      <c r="U66" s="103"/>
      <c r="V66" s="101"/>
      <c r="W66" s="101"/>
      <c r="X66" s="101"/>
      <c r="Y66" s="102"/>
      <c r="Z66" s="101"/>
      <c r="AA66" s="104"/>
    </row>
    <row r="67" spans="2:27" x14ac:dyDescent="0.25">
      <c r="B67" s="97" t="s">
        <v>91</v>
      </c>
      <c r="C67" s="98" t="str">
        <f t="shared" si="2"/>
        <v>Automoteurs &lt; 400 tonnes Phase V, diesel</v>
      </c>
      <c r="D67" s="99" t="s">
        <v>532</v>
      </c>
      <c r="E67" s="99" t="s">
        <v>534</v>
      </c>
      <c r="F67" s="101" t="s">
        <v>562</v>
      </c>
      <c r="G67" s="99"/>
      <c r="H67" s="101"/>
      <c r="I67" s="101"/>
      <c r="J67" s="101"/>
      <c r="K67" s="102"/>
      <c r="L67" s="101"/>
      <c r="M67" s="102"/>
      <c r="N67" s="103"/>
      <c r="O67" s="101"/>
      <c r="P67" s="101"/>
      <c r="Q67" s="101"/>
      <c r="R67" s="102"/>
      <c r="S67" s="101"/>
      <c r="T67" s="102"/>
      <c r="U67" s="103"/>
      <c r="V67" s="101"/>
      <c r="W67" s="101"/>
      <c r="X67" s="101"/>
      <c r="Y67" s="102"/>
      <c r="Z67" s="101"/>
      <c r="AA67" s="104"/>
    </row>
    <row r="68" spans="2:27" x14ac:dyDescent="0.25">
      <c r="B68" s="97" t="s">
        <v>92</v>
      </c>
      <c r="C68" s="98" t="str">
        <f t="shared" si="2"/>
        <v>Automoteurs &lt; 400 tonnes Phase V, HVO</v>
      </c>
      <c r="D68" s="99" t="s">
        <v>532</v>
      </c>
      <c r="E68" s="99" t="s">
        <v>534</v>
      </c>
      <c r="F68" s="101" t="s">
        <v>575</v>
      </c>
      <c r="G68" s="99"/>
      <c r="H68" s="101"/>
      <c r="I68" s="101"/>
      <c r="J68" s="101"/>
      <c r="K68" s="102"/>
      <c r="L68" s="101"/>
      <c r="M68" s="102"/>
      <c r="N68" s="103"/>
      <c r="O68" s="101"/>
      <c r="P68" s="101"/>
      <c r="Q68" s="101"/>
      <c r="R68" s="102"/>
      <c r="S68" s="101"/>
      <c r="T68" s="102"/>
      <c r="U68" s="103"/>
      <c r="V68" s="101"/>
      <c r="W68" s="101"/>
      <c r="X68" s="101"/>
      <c r="Y68" s="102"/>
      <c r="Z68" s="101"/>
      <c r="AA68" s="104"/>
    </row>
    <row r="69" spans="2:27" x14ac:dyDescent="0.25">
      <c r="B69" s="97" t="s">
        <v>93</v>
      </c>
      <c r="C69" s="98" t="str">
        <f t="shared" si="2"/>
        <v>Automoteurs &lt; 400 tonnes Batterie</v>
      </c>
      <c r="D69" s="99" t="s">
        <v>532</v>
      </c>
      <c r="E69" s="99" t="s">
        <v>534</v>
      </c>
      <c r="F69" s="101" t="s">
        <v>588</v>
      </c>
      <c r="G69" s="99"/>
      <c r="H69" s="101"/>
      <c r="I69" s="101"/>
      <c r="J69" s="101"/>
      <c r="K69" s="102"/>
      <c r="L69" s="101"/>
      <c r="M69" s="102"/>
      <c r="N69" s="103"/>
      <c r="O69" s="101"/>
      <c r="P69" s="101"/>
      <c r="Q69" s="101"/>
      <c r="R69" s="102"/>
      <c r="S69" s="101"/>
      <c r="T69" s="102"/>
      <c r="U69" s="103"/>
      <c r="V69" s="101"/>
      <c r="W69" s="101"/>
      <c r="X69" s="101"/>
      <c r="Y69" s="102"/>
      <c r="Z69" s="101"/>
      <c r="AA69" s="104"/>
    </row>
    <row r="70" spans="2:27" x14ac:dyDescent="0.25">
      <c r="B70" s="97" t="s">
        <v>94</v>
      </c>
      <c r="C70" s="98" t="str">
        <f t="shared" si="2"/>
        <v>Automoteurs &lt; 400 tonnes H2 , PAC</v>
      </c>
      <c r="D70" s="99" t="s">
        <v>532</v>
      </c>
      <c r="E70" s="99" t="s">
        <v>534</v>
      </c>
      <c r="F70" s="101" t="s">
        <v>601</v>
      </c>
      <c r="G70" s="99"/>
      <c r="H70" s="101"/>
      <c r="I70" s="101"/>
      <c r="J70" s="101"/>
      <c r="K70" s="102"/>
      <c r="L70" s="101"/>
      <c r="M70" s="102"/>
      <c r="N70" s="103"/>
      <c r="O70" s="101"/>
      <c r="P70" s="101"/>
      <c r="Q70" s="101"/>
      <c r="R70" s="102"/>
      <c r="S70" s="101"/>
      <c r="T70" s="102"/>
      <c r="U70" s="103"/>
      <c r="V70" s="101"/>
      <c r="W70" s="101"/>
      <c r="X70" s="101"/>
      <c r="Y70" s="102"/>
      <c r="Z70" s="101"/>
      <c r="AA70" s="104"/>
    </row>
    <row r="71" spans="2:27" ht="15.75" thickBot="1" x14ac:dyDescent="0.3">
      <c r="B71" s="105" t="s">
        <v>95</v>
      </c>
      <c r="C71" s="106" t="str">
        <f t="shared" si="2"/>
        <v>Automoteurs &lt; 400 tonnes H2 , ICE</v>
      </c>
      <c r="D71" s="107" t="s">
        <v>532</v>
      </c>
      <c r="E71" s="107" t="s">
        <v>534</v>
      </c>
      <c r="F71" s="108" t="s">
        <v>614</v>
      </c>
      <c r="G71" s="107"/>
      <c r="H71" s="108"/>
      <c r="I71" s="108"/>
      <c r="J71" s="108"/>
      <c r="K71" s="109"/>
      <c r="L71" s="108"/>
      <c r="M71" s="109"/>
      <c r="N71" s="110"/>
      <c r="O71" s="108"/>
      <c r="P71" s="108"/>
      <c r="Q71" s="108"/>
      <c r="R71" s="109"/>
      <c r="S71" s="108"/>
      <c r="T71" s="109"/>
      <c r="U71" s="110"/>
      <c r="V71" s="108"/>
      <c r="W71" s="108"/>
      <c r="X71" s="108"/>
      <c r="Y71" s="109"/>
      <c r="Z71" s="108"/>
      <c r="AA71" s="111"/>
    </row>
    <row r="72" spans="2:27" ht="15.75" thickTop="1" x14ac:dyDescent="0.25">
      <c r="B72" s="89" t="s">
        <v>96</v>
      </c>
      <c r="C72" s="90" t="str">
        <f t="shared" si="2"/>
        <v>Automoteurs 400-649 tonnes CCNR 2 ou inférieur, diesel</v>
      </c>
      <c r="D72" s="91" t="s">
        <v>532</v>
      </c>
      <c r="E72" s="91" t="s">
        <v>626</v>
      </c>
      <c r="F72" s="92" t="s">
        <v>536</v>
      </c>
      <c r="G72" s="91"/>
      <c r="H72" s="93"/>
      <c r="I72" s="93"/>
      <c r="J72" s="93"/>
      <c r="K72" s="94"/>
      <c r="L72" s="93"/>
      <c r="M72" s="94"/>
      <c r="N72" s="95"/>
      <c r="O72" s="93"/>
      <c r="P72" s="93"/>
      <c r="Q72" s="93"/>
      <c r="R72" s="94"/>
      <c r="S72" s="93"/>
      <c r="T72" s="94"/>
      <c r="U72" s="95"/>
      <c r="V72" s="93"/>
      <c r="W72" s="93"/>
      <c r="X72" s="93"/>
      <c r="Y72" s="94"/>
      <c r="Z72" s="93"/>
      <c r="AA72" s="96"/>
    </row>
    <row r="73" spans="2:27" x14ac:dyDescent="0.25">
      <c r="B73" s="97" t="s">
        <v>97</v>
      </c>
      <c r="C73" s="98" t="str">
        <f t="shared" si="2"/>
        <v>Automoteurs 400-649 tonnes CCNR 2 + SCR, diesel</v>
      </c>
      <c r="D73" s="99" t="s">
        <v>532</v>
      </c>
      <c r="E73" s="99" t="s">
        <v>626</v>
      </c>
      <c r="F73" s="100" t="s">
        <v>549</v>
      </c>
      <c r="G73" s="99"/>
      <c r="H73" s="101"/>
      <c r="I73" s="101"/>
      <c r="J73" s="101"/>
      <c r="K73" s="102"/>
      <c r="L73" s="101"/>
      <c r="M73" s="102"/>
      <c r="N73" s="103"/>
      <c r="O73" s="101"/>
      <c r="P73" s="101"/>
      <c r="Q73" s="101"/>
      <c r="R73" s="102"/>
      <c r="S73" s="101"/>
      <c r="T73" s="102"/>
      <c r="U73" s="103"/>
      <c r="V73" s="101"/>
      <c r="W73" s="101"/>
      <c r="X73" s="101"/>
      <c r="Y73" s="102"/>
      <c r="Z73" s="101"/>
      <c r="AA73" s="104"/>
    </row>
    <row r="74" spans="2:27" x14ac:dyDescent="0.25">
      <c r="B74" s="97" t="s">
        <v>98</v>
      </c>
      <c r="C74" s="98" t="str">
        <f t="shared" si="2"/>
        <v>Automoteurs 400-649 tonnes Phase V, diesel</v>
      </c>
      <c r="D74" s="99" t="s">
        <v>532</v>
      </c>
      <c r="E74" s="99" t="s">
        <v>626</v>
      </c>
      <c r="F74" s="101" t="s">
        <v>562</v>
      </c>
      <c r="G74" s="99"/>
      <c r="H74" s="101"/>
      <c r="I74" s="101"/>
      <c r="J74" s="101"/>
      <c r="K74" s="102"/>
      <c r="L74" s="101"/>
      <c r="M74" s="102"/>
      <c r="N74" s="103"/>
      <c r="O74" s="101"/>
      <c r="P74" s="101"/>
      <c r="Q74" s="101"/>
      <c r="R74" s="102"/>
      <c r="S74" s="101"/>
      <c r="T74" s="102"/>
      <c r="U74" s="103"/>
      <c r="V74" s="101"/>
      <c r="W74" s="101"/>
      <c r="X74" s="101"/>
      <c r="Y74" s="102"/>
      <c r="Z74" s="101"/>
      <c r="AA74" s="104"/>
    </row>
    <row r="75" spans="2:27" x14ac:dyDescent="0.25">
      <c r="B75" s="97" t="s">
        <v>99</v>
      </c>
      <c r="C75" s="98" t="str">
        <f t="shared" si="2"/>
        <v>Automoteurs 400-649 tonnes Phase V, HVO</v>
      </c>
      <c r="D75" s="99" t="s">
        <v>532</v>
      </c>
      <c r="E75" s="99" t="s">
        <v>626</v>
      </c>
      <c r="F75" s="101" t="s">
        <v>575</v>
      </c>
      <c r="G75" s="99"/>
      <c r="H75" s="101"/>
      <c r="I75" s="101"/>
      <c r="J75" s="101"/>
      <c r="K75" s="102"/>
      <c r="L75" s="101"/>
      <c r="M75" s="102"/>
      <c r="N75" s="103"/>
      <c r="O75" s="101"/>
      <c r="P75" s="101"/>
      <c r="Q75" s="101"/>
      <c r="R75" s="102"/>
      <c r="S75" s="101"/>
      <c r="T75" s="102"/>
      <c r="U75" s="103"/>
      <c r="V75" s="101"/>
      <c r="W75" s="101"/>
      <c r="X75" s="101"/>
      <c r="Y75" s="102"/>
      <c r="Z75" s="101"/>
      <c r="AA75" s="104"/>
    </row>
    <row r="76" spans="2:27" x14ac:dyDescent="0.25">
      <c r="B76" s="97" t="s">
        <v>100</v>
      </c>
      <c r="C76" s="98" t="str">
        <f t="shared" si="2"/>
        <v>Automoteurs 400-649 tonnes Batterie</v>
      </c>
      <c r="D76" s="99" t="s">
        <v>532</v>
      </c>
      <c r="E76" s="99" t="s">
        <v>626</v>
      </c>
      <c r="F76" s="101" t="s">
        <v>588</v>
      </c>
      <c r="G76" s="99"/>
      <c r="H76" s="101"/>
      <c r="I76" s="101"/>
      <c r="J76" s="101"/>
      <c r="K76" s="102"/>
      <c r="L76" s="101"/>
      <c r="M76" s="102"/>
      <c r="N76" s="103"/>
      <c r="O76" s="101"/>
      <c r="P76" s="101"/>
      <c r="Q76" s="101"/>
      <c r="R76" s="102"/>
      <c r="S76" s="101"/>
      <c r="T76" s="102"/>
      <c r="U76" s="103"/>
      <c r="V76" s="101"/>
      <c r="W76" s="101"/>
      <c r="X76" s="101"/>
      <c r="Y76" s="102"/>
      <c r="Z76" s="101"/>
      <c r="AA76" s="104"/>
    </row>
    <row r="77" spans="2:27" x14ac:dyDescent="0.25">
      <c r="B77" s="97" t="s">
        <v>101</v>
      </c>
      <c r="C77" s="98" t="str">
        <f t="shared" si="2"/>
        <v>Automoteurs 400-649 tonnes H2 , PAC</v>
      </c>
      <c r="D77" s="99" t="s">
        <v>532</v>
      </c>
      <c r="E77" s="99" t="s">
        <v>626</v>
      </c>
      <c r="F77" s="101" t="s">
        <v>601</v>
      </c>
      <c r="G77" s="99"/>
      <c r="H77" s="101"/>
      <c r="I77" s="101"/>
      <c r="J77" s="101"/>
      <c r="K77" s="102"/>
      <c r="L77" s="101"/>
      <c r="M77" s="102"/>
      <c r="N77" s="103"/>
      <c r="O77" s="101"/>
      <c r="P77" s="101"/>
      <c r="Q77" s="101"/>
      <c r="R77" s="102"/>
      <c r="S77" s="101"/>
      <c r="T77" s="102"/>
      <c r="U77" s="103"/>
      <c r="V77" s="101"/>
      <c r="W77" s="101"/>
      <c r="X77" s="101"/>
      <c r="Y77" s="102"/>
      <c r="Z77" s="101"/>
      <c r="AA77" s="104"/>
    </row>
    <row r="78" spans="2:27" ht="15.75" thickBot="1" x14ac:dyDescent="0.3">
      <c r="B78" s="105" t="s">
        <v>102</v>
      </c>
      <c r="C78" s="106" t="str">
        <f t="shared" si="2"/>
        <v>Automoteurs 400-649 tonnes H2 , ICE</v>
      </c>
      <c r="D78" s="107" t="s">
        <v>532</v>
      </c>
      <c r="E78" s="107" t="s">
        <v>626</v>
      </c>
      <c r="F78" s="108" t="s">
        <v>614</v>
      </c>
      <c r="G78" s="107"/>
      <c r="H78" s="108"/>
      <c r="I78" s="108"/>
      <c r="J78" s="108"/>
      <c r="K78" s="109"/>
      <c r="L78" s="108"/>
      <c r="M78" s="109"/>
      <c r="N78" s="110"/>
      <c r="O78" s="108"/>
      <c r="P78" s="108"/>
      <c r="Q78" s="108"/>
      <c r="R78" s="109"/>
      <c r="S78" s="108"/>
      <c r="T78" s="109"/>
      <c r="U78" s="110"/>
      <c r="V78" s="108"/>
      <c r="W78" s="108"/>
      <c r="X78" s="108"/>
      <c r="Y78" s="109"/>
      <c r="Z78" s="108"/>
      <c r="AA78" s="111"/>
    </row>
    <row r="79" spans="2:27" ht="15.75" thickTop="1" x14ac:dyDescent="0.25">
      <c r="B79" s="89" t="s">
        <v>103</v>
      </c>
      <c r="C79" s="90" t="str">
        <f t="shared" si="2"/>
        <v>Automoteurs 650-999 tonnes CCNR 2 ou inférieur, diesel</v>
      </c>
      <c r="D79" s="91" t="s">
        <v>532</v>
      </c>
      <c r="E79" s="91" t="s">
        <v>711</v>
      </c>
      <c r="F79" s="92" t="s">
        <v>536</v>
      </c>
      <c r="G79" s="91"/>
      <c r="H79" s="93"/>
      <c r="I79" s="93"/>
      <c r="J79" s="93"/>
      <c r="K79" s="94"/>
      <c r="L79" s="93"/>
      <c r="M79" s="94"/>
      <c r="N79" s="95"/>
      <c r="O79" s="93"/>
      <c r="P79" s="93"/>
      <c r="Q79" s="93"/>
      <c r="R79" s="94"/>
      <c r="S79" s="93"/>
      <c r="T79" s="94"/>
      <c r="U79" s="95"/>
      <c r="V79" s="93"/>
      <c r="W79" s="93"/>
      <c r="X79" s="93"/>
      <c r="Y79" s="94"/>
      <c r="Z79" s="93"/>
      <c r="AA79" s="96"/>
    </row>
    <row r="80" spans="2:27" x14ac:dyDescent="0.25">
      <c r="B80" s="97" t="s">
        <v>104</v>
      </c>
      <c r="C80" s="98" t="str">
        <f t="shared" si="2"/>
        <v>Automoteurs 650-999 tonnes CCNR 2 + SCR, diesel</v>
      </c>
      <c r="D80" s="99" t="s">
        <v>532</v>
      </c>
      <c r="E80" s="99" t="s">
        <v>711</v>
      </c>
      <c r="F80" s="100" t="s">
        <v>549</v>
      </c>
      <c r="G80" s="99"/>
      <c r="H80" s="101"/>
      <c r="I80" s="101"/>
      <c r="J80" s="101"/>
      <c r="K80" s="102"/>
      <c r="L80" s="101"/>
      <c r="M80" s="102"/>
      <c r="N80" s="103"/>
      <c r="O80" s="101"/>
      <c r="P80" s="101"/>
      <c r="Q80" s="101"/>
      <c r="R80" s="102"/>
      <c r="S80" s="101"/>
      <c r="T80" s="102"/>
      <c r="U80" s="103"/>
      <c r="V80" s="101"/>
      <c r="W80" s="101"/>
      <c r="X80" s="101"/>
      <c r="Y80" s="102"/>
      <c r="Z80" s="101"/>
      <c r="AA80" s="104"/>
    </row>
    <row r="81" spans="2:27" x14ac:dyDescent="0.25">
      <c r="B81" s="97" t="s">
        <v>105</v>
      </c>
      <c r="C81" s="98" t="str">
        <f t="shared" si="2"/>
        <v>Automoteurs 650-999 tonnes Phase V, diesel</v>
      </c>
      <c r="D81" s="99" t="s">
        <v>532</v>
      </c>
      <c r="E81" s="99" t="s">
        <v>711</v>
      </c>
      <c r="F81" s="101" t="s">
        <v>562</v>
      </c>
      <c r="G81" s="99"/>
      <c r="H81" s="101"/>
      <c r="I81" s="101"/>
      <c r="J81" s="101"/>
      <c r="K81" s="102"/>
      <c r="L81" s="101"/>
      <c r="M81" s="102"/>
      <c r="N81" s="103"/>
      <c r="O81" s="101"/>
      <c r="P81" s="101"/>
      <c r="Q81" s="101"/>
      <c r="R81" s="102"/>
      <c r="S81" s="101"/>
      <c r="T81" s="102"/>
      <c r="U81" s="103"/>
      <c r="V81" s="101"/>
      <c r="W81" s="101"/>
      <c r="X81" s="101"/>
      <c r="Y81" s="102"/>
      <c r="Z81" s="101"/>
      <c r="AA81" s="104"/>
    </row>
    <row r="82" spans="2:27" x14ac:dyDescent="0.25">
      <c r="B82" s="97" t="s">
        <v>106</v>
      </c>
      <c r="C82" s="98" t="str">
        <f t="shared" si="2"/>
        <v>Automoteurs 650-999 tonnes Phase V, HVO</v>
      </c>
      <c r="D82" s="99" t="s">
        <v>532</v>
      </c>
      <c r="E82" s="99" t="s">
        <v>711</v>
      </c>
      <c r="F82" s="101" t="s">
        <v>575</v>
      </c>
      <c r="G82" s="99"/>
      <c r="H82" s="101"/>
      <c r="I82" s="101"/>
      <c r="J82" s="101"/>
      <c r="K82" s="102"/>
      <c r="L82" s="101"/>
      <c r="M82" s="102"/>
      <c r="N82" s="103"/>
      <c r="O82" s="101"/>
      <c r="P82" s="101"/>
      <c r="Q82" s="101"/>
      <c r="R82" s="102"/>
      <c r="S82" s="101"/>
      <c r="T82" s="102"/>
      <c r="U82" s="103"/>
      <c r="V82" s="101"/>
      <c r="W82" s="101"/>
      <c r="X82" s="101"/>
      <c r="Y82" s="102"/>
      <c r="Z82" s="101"/>
      <c r="AA82" s="104"/>
    </row>
    <row r="83" spans="2:27" x14ac:dyDescent="0.25">
      <c r="B83" s="97" t="s">
        <v>107</v>
      </c>
      <c r="C83" s="98" t="str">
        <f t="shared" si="2"/>
        <v>Automoteurs 650-999 tonnes Batterie</v>
      </c>
      <c r="D83" s="99" t="s">
        <v>532</v>
      </c>
      <c r="E83" s="99" t="s">
        <v>711</v>
      </c>
      <c r="F83" s="101" t="s">
        <v>588</v>
      </c>
      <c r="G83" s="99"/>
      <c r="H83" s="101"/>
      <c r="I83" s="101"/>
      <c r="J83" s="101"/>
      <c r="K83" s="102"/>
      <c r="L83" s="101"/>
      <c r="M83" s="102"/>
      <c r="N83" s="103"/>
      <c r="O83" s="101"/>
      <c r="P83" s="101"/>
      <c r="Q83" s="101"/>
      <c r="R83" s="102"/>
      <c r="S83" s="101"/>
      <c r="T83" s="102"/>
      <c r="U83" s="103"/>
      <c r="V83" s="101"/>
      <c r="W83" s="101"/>
      <c r="X83" s="101"/>
      <c r="Y83" s="102"/>
      <c r="Z83" s="101"/>
      <c r="AA83" s="104"/>
    </row>
    <row r="84" spans="2:27" x14ac:dyDescent="0.25">
      <c r="B84" s="97" t="s">
        <v>108</v>
      </c>
      <c r="C84" s="98" t="str">
        <f t="shared" si="2"/>
        <v>Automoteurs 650-999 tonnes H2 , PAC</v>
      </c>
      <c r="D84" s="99" t="s">
        <v>532</v>
      </c>
      <c r="E84" s="99" t="s">
        <v>711</v>
      </c>
      <c r="F84" s="101" t="s">
        <v>601</v>
      </c>
      <c r="G84" s="99"/>
      <c r="H84" s="101"/>
      <c r="I84" s="101"/>
      <c r="J84" s="101"/>
      <c r="K84" s="102"/>
      <c r="L84" s="101"/>
      <c r="M84" s="102"/>
      <c r="N84" s="103"/>
      <c r="O84" s="101"/>
      <c r="P84" s="101"/>
      <c r="Q84" s="101"/>
      <c r="R84" s="102"/>
      <c r="S84" s="101"/>
      <c r="T84" s="102"/>
      <c r="U84" s="103"/>
      <c r="V84" s="101"/>
      <c r="W84" s="101"/>
      <c r="X84" s="101"/>
      <c r="Y84" s="102"/>
      <c r="Z84" s="101"/>
      <c r="AA84" s="104"/>
    </row>
    <row r="85" spans="2:27" ht="15.75" thickBot="1" x14ac:dyDescent="0.3">
      <c r="B85" s="105" t="s">
        <v>109</v>
      </c>
      <c r="C85" s="106" t="str">
        <f t="shared" si="2"/>
        <v>Automoteurs 650-999 tonnes H2 , ICE</v>
      </c>
      <c r="D85" s="107" t="s">
        <v>532</v>
      </c>
      <c r="E85" s="107" t="s">
        <v>711</v>
      </c>
      <c r="F85" s="108" t="s">
        <v>614</v>
      </c>
      <c r="G85" s="107"/>
      <c r="H85" s="108"/>
      <c r="I85" s="108"/>
      <c r="J85" s="108"/>
      <c r="K85" s="109"/>
      <c r="L85" s="108"/>
      <c r="M85" s="109"/>
      <c r="N85" s="110"/>
      <c r="O85" s="108"/>
      <c r="P85" s="108"/>
      <c r="Q85" s="108"/>
      <c r="R85" s="109"/>
      <c r="S85" s="108"/>
      <c r="T85" s="109"/>
      <c r="U85" s="110"/>
      <c r="V85" s="108"/>
      <c r="W85" s="108"/>
      <c r="X85" s="108"/>
      <c r="Y85" s="109"/>
      <c r="Z85" s="108"/>
      <c r="AA85" s="111"/>
    </row>
    <row r="86" spans="2:27" ht="15.75" thickTop="1" x14ac:dyDescent="0.25">
      <c r="B86" s="89" t="s">
        <v>110</v>
      </c>
      <c r="C86" s="90" t="str">
        <f t="shared" si="2"/>
        <v>Automoteurs 1000-1499 tonnes CCNR 2 ou inférieur, diesel</v>
      </c>
      <c r="D86" s="91" t="s">
        <v>532</v>
      </c>
      <c r="E86" s="91" t="s">
        <v>796</v>
      </c>
      <c r="F86" s="92" t="s">
        <v>536</v>
      </c>
      <c r="G86" s="91"/>
      <c r="H86" s="93"/>
      <c r="I86" s="93"/>
      <c r="J86" s="93"/>
      <c r="K86" s="94"/>
      <c r="L86" s="93"/>
      <c r="M86" s="94"/>
      <c r="N86" s="95"/>
      <c r="O86" s="93"/>
      <c r="P86" s="93"/>
      <c r="Q86" s="93"/>
      <c r="R86" s="94"/>
      <c r="S86" s="93"/>
      <c r="T86" s="94"/>
      <c r="U86" s="95"/>
      <c r="V86" s="93"/>
      <c r="W86" s="93"/>
      <c r="X86" s="93"/>
      <c r="Y86" s="94"/>
      <c r="Z86" s="93"/>
      <c r="AA86" s="96"/>
    </row>
    <row r="87" spans="2:27" x14ac:dyDescent="0.25">
      <c r="B87" s="97" t="s">
        <v>111</v>
      </c>
      <c r="C87" s="98" t="str">
        <f t="shared" si="2"/>
        <v>Automoteurs 1000-1499 tonnes CCNR 2 + SCR, diesel</v>
      </c>
      <c r="D87" s="99" t="s">
        <v>532</v>
      </c>
      <c r="E87" s="99" t="s">
        <v>796</v>
      </c>
      <c r="F87" s="100" t="s">
        <v>549</v>
      </c>
      <c r="G87" s="99"/>
      <c r="H87" s="101"/>
      <c r="I87" s="101"/>
      <c r="J87" s="101"/>
      <c r="K87" s="102"/>
      <c r="L87" s="101"/>
      <c r="M87" s="102"/>
      <c r="N87" s="103"/>
      <c r="O87" s="101"/>
      <c r="P87" s="101"/>
      <c r="Q87" s="101"/>
      <c r="R87" s="102"/>
      <c r="S87" s="101"/>
      <c r="T87" s="102"/>
      <c r="U87" s="103"/>
      <c r="V87" s="101"/>
      <c r="W87" s="101"/>
      <c r="X87" s="101"/>
      <c r="Y87" s="102"/>
      <c r="Z87" s="101"/>
      <c r="AA87" s="104"/>
    </row>
    <row r="88" spans="2:27" x14ac:dyDescent="0.25">
      <c r="B88" s="97" t="s">
        <v>112</v>
      </c>
      <c r="C88" s="98" t="str">
        <f t="shared" si="2"/>
        <v>Automoteurs 1000-1499 tonnes Phase V, diesel</v>
      </c>
      <c r="D88" s="99" t="s">
        <v>532</v>
      </c>
      <c r="E88" s="99" t="s">
        <v>796</v>
      </c>
      <c r="F88" s="101" t="s">
        <v>562</v>
      </c>
      <c r="G88" s="99"/>
      <c r="H88" s="101"/>
      <c r="I88" s="101"/>
      <c r="J88" s="101"/>
      <c r="K88" s="102"/>
      <c r="L88" s="101"/>
      <c r="M88" s="102"/>
      <c r="N88" s="103"/>
      <c r="O88" s="101"/>
      <c r="P88" s="101"/>
      <c r="Q88" s="101"/>
      <c r="R88" s="102"/>
      <c r="S88" s="101"/>
      <c r="T88" s="102"/>
      <c r="U88" s="103"/>
      <c r="V88" s="101"/>
      <c r="W88" s="101"/>
      <c r="X88" s="101"/>
      <c r="Y88" s="102"/>
      <c r="Z88" s="101"/>
      <c r="AA88" s="104"/>
    </row>
    <row r="89" spans="2:27" x14ac:dyDescent="0.25">
      <c r="B89" s="97" t="s">
        <v>113</v>
      </c>
      <c r="C89" s="98" t="str">
        <f t="shared" si="2"/>
        <v>Automoteurs 1000-1499 tonnes Phase V, HVO</v>
      </c>
      <c r="D89" s="99" t="s">
        <v>532</v>
      </c>
      <c r="E89" s="99" t="s">
        <v>796</v>
      </c>
      <c r="F89" s="101" t="s">
        <v>575</v>
      </c>
      <c r="G89" s="99"/>
      <c r="H89" s="101"/>
      <c r="I89" s="101"/>
      <c r="J89" s="101"/>
      <c r="K89" s="102"/>
      <c r="L89" s="101"/>
      <c r="M89" s="102"/>
      <c r="N89" s="103"/>
      <c r="O89" s="101"/>
      <c r="P89" s="101"/>
      <c r="Q89" s="101"/>
      <c r="R89" s="102"/>
      <c r="S89" s="101"/>
      <c r="T89" s="102"/>
      <c r="U89" s="103"/>
      <c r="V89" s="101"/>
      <c r="W89" s="101"/>
      <c r="X89" s="101"/>
      <c r="Y89" s="102"/>
      <c r="Z89" s="101"/>
      <c r="AA89" s="104"/>
    </row>
    <row r="90" spans="2:27" x14ac:dyDescent="0.25">
      <c r="B90" s="97" t="s">
        <v>114</v>
      </c>
      <c r="C90" s="98" t="str">
        <f t="shared" si="2"/>
        <v>Automoteurs 1000-1499 tonnes Batterie</v>
      </c>
      <c r="D90" s="99" t="s">
        <v>532</v>
      </c>
      <c r="E90" s="99" t="s">
        <v>796</v>
      </c>
      <c r="F90" s="101" t="s">
        <v>588</v>
      </c>
      <c r="G90" s="99"/>
      <c r="H90" s="101"/>
      <c r="I90" s="101"/>
      <c r="J90" s="101"/>
      <c r="K90" s="102"/>
      <c r="L90" s="101"/>
      <c r="M90" s="102"/>
      <c r="N90" s="103"/>
      <c r="O90" s="101"/>
      <c r="P90" s="101"/>
      <c r="Q90" s="101"/>
      <c r="R90" s="102"/>
      <c r="S90" s="101"/>
      <c r="T90" s="102"/>
      <c r="U90" s="103"/>
      <c r="V90" s="101"/>
      <c r="W90" s="101"/>
      <c r="X90" s="101"/>
      <c r="Y90" s="102"/>
      <c r="Z90" s="101"/>
      <c r="AA90" s="104"/>
    </row>
    <row r="91" spans="2:27" x14ac:dyDescent="0.25">
      <c r="B91" s="97" t="s">
        <v>115</v>
      </c>
      <c r="C91" s="98" t="str">
        <f t="shared" si="2"/>
        <v>Automoteurs 1000-1499 tonnes H2 , PAC</v>
      </c>
      <c r="D91" s="99" t="s">
        <v>532</v>
      </c>
      <c r="E91" s="99" t="s">
        <v>796</v>
      </c>
      <c r="F91" s="101" t="s">
        <v>601</v>
      </c>
      <c r="G91" s="99"/>
      <c r="H91" s="101"/>
      <c r="I91" s="101"/>
      <c r="J91" s="101"/>
      <c r="K91" s="102"/>
      <c r="L91" s="101"/>
      <c r="M91" s="102"/>
      <c r="N91" s="103"/>
      <c r="O91" s="101"/>
      <c r="P91" s="101"/>
      <c r="Q91" s="101"/>
      <c r="R91" s="102"/>
      <c r="S91" s="101"/>
      <c r="T91" s="102"/>
      <c r="U91" s="103"/>
      <c r="V91" s="101"/>
      <c r="W91" s="101"/>
      <c r="X91" s="101"/>
      <c r="Y91" s="102"/>
      <c r="Z91" s="101"/>
      <c r="AA91" s="104"/>
    </row>
    <row r="92" spans="2:27" ht="15.75" thickBot="1" x14ac:dyDescent="0.3">
      <c r="B92" s="105" t="s">
        <v>116</v>
      </c>
      <c r="C92" s="106" t="str">
        <f t="shared" si="2"/>
        <v>Automoteurs 1000-1499 tonnes H2 , ICE</v>
      </c>
      <c r="D92" s="107" t="s">
        <v>532</v>
      </c>
      <c r="E92" s="107" t="s">
        <v>796</v>
      </c>
      <c r="F92" s="108" t="s">
        <v>614</v>
      </c>
      <c r="G92" s="107"/>
      <c r="H92" s="108"/>
      <c r="I92" s="108"/>
      <c r="J92" s="108"/>
      <c r="K92" s="109"/>
      <c r="L92" s="108"/>
      <c r="M92" s="109"/>
      <c r="N92" s="110"/>
      <c r="O92" s="108"/>
      <c r="P92" s="108"/>
      <c r="Q92" s="108"/>
      <c r="R92" s="109"/>
      <c r="S92" s="108"/>
      <c r="T92" s="109"/>
      <c r="U92" s="110"/>
      <c r="V92" s="108"/>
      <c r="W92" s="108"/>
      <c r="X92" s="108"/>
      <c r="Y92" s="109"/>
      <c r="Z92" s="108"/>
      <c r="AA92" s="111"/>
    </row>
    <row r="93" spans="2:27" ht="15.75" thickTop="1" x14ac:dyDescent="0.25">
      <c r="B93" s="89" t="s">
        <v>117</v>
      </c>
      <c r="C93" s="90" t="str">
        <f t="shared" si="2"/>
        <v>Automoteurs 1500-3000 tonnes CCNR 2 ou inférieur, diesel</v>
      </c>
      <c r="D93" s="91" t="s">
        <v>532</v>
      </c>
      <c r="E93" s="91" t="s">
        <v>881</v>
      </c>
      <c r="F93" s="92" t="s">
        <v>536</v>
      </c>
      <c r="G93" s="91"/>
      <c r="H93" s="93"/>
      <c r="I93" s="93"/>
      <c r="J93" s="93"/>
      <c r="K93" s="94"/>
      <c r="L93" s="93"/>
      <c r="M93" s="94"/>
      <c r="N93" s="95"/>
      <c r="O93" s="93"/>
      <c r="P93" s="93"/>
      <c r="Q93" s="93"/>
      <c r="R93" s="94"/>
      <c r="S93" s="93"/>
      <c r="T93" s="94"/>
      <c r="U93" s="95"/>
      <c r="V93" s="93"/>
      <c r="W93" s="93"/>
      <c r="X93" s="93"/>
      <c r="Y93" s="94"/>
      <c r="Z93" s="93"/>
      <c r="AA93" s="96"/>
    </row>
    <row r="94" spans="2:27" x14ac:dyDescent="0.25">
      <c r="B94" s="97" t="s">
        <v>118</v>
      </c>
      <c r="C94" s="98" t="str">
        <f t="shared" si="2"/>
        <v>Automoteurs 1500-3000 tonnes CCNR 2 + SCR, diesel</v>
      </c>
      <c r="D94" s="99" t="s">
        <v>532</v>
      </c>
      <c r="E94" s="99" t="s">
        <v>881</v>
      </c>
      <c r="F94" s="100" t="s">
        <v>549</v>
      </c>
      <c r="G94" s="99"/>
      <c r="H94" s="101"/>
      <c r="I94" s="101"/>
      <c r="J94" s="101"/>
      <c r="K94" s="102"/>
      <c r="L94" s="101"/>
      <c r="M94" s="102"/>
      <c r="N94" s="103"/>
      <c r="O94" s="101"/>
      <c r="P94" s="101"/>
      <c r="Q94" s="101"/>
      <c r="R94" s="102"/>
      <c r="S94" s="101"/>
      <c r="T94" s="102"/>
      <c r="U94" s="103"/>
      <c r="V94" s="101"/>
      <c r="W94" s="101"/>
      <c r="X94" s="101"/>
      <c r="Y94" s="102"/>
      <c r="Z94" s="101"/>
      <c r="AA94" s="104"/>
    </row>
    <row r="95" spans="2:27" x14ac:dyDescent="0.25">
      <c r="B95" s="97" t="s">
        <v>119</v>
      </c>
      <c r="C95" s="98" t="str">
        <f t="shared" si="2"/>
        <v>Automoteurs 1500-3000 tonnes Phase V, diesel</v>
      </c>
      <c r="D95" s="99" t="s">
        <v>532</v>
      </c>
      <c r="E95" s="99" t="s">
        <v>881</v>
      </c>
      <c r="F95" s="101" t="s">
        <v>562</v>
      </c>
      <c r="G95" s="99"/>
      <c r="H95" s="101"/>
      <c r="I95" s="101"/>
      <c r="J95" s="101"/>
      <c r="K95" s="102"/>
      <c r="L95" s="101"/>
      <c r="M95" s="102"/>
      <c r="N95" s="103"/>
      <c r="O95" s="101"/>
      <c r="P95" s="101"/>
      <c r="Q95" s="101"/>
      <c r="R95" s="102"/>
      <c r="S95" s="101"/>
      <c r="T95" s="102"/>
      <c r="U95" s="103"/>
      <c r="V95" s="101"/>
      <c r="W95" s="101"/>
      <c r="X95" s="101"/>
      <c r="Y95" s="102"/>
      <c r="Z95" s="101"/>
      <c r="AA95" s="104"/>
    </row>
    <row r="96" spans="2:27" x14ac:dyDescent="0.25">
      <c r="B96" s="97" t="s">
        <v>120</v>
      </c>
      <c r="C96" s="98" t="str">
        <f t="shared" si="2"/>
        <v>Automoteurs 1500-3000 tonnes Phase V, HVO</v>
      </c>
      <c r="D96" s="99" t="s">
        <v>532</v>
      </c>
      <c r="E96" s="99" t="s">
        <v>881</v>
      </c>
      <c r="F96" s="101" t="s">
        <v>575</v>
      </c>
      <c r="G96" s="99"/>
      <c r="H96" s="101"/>
      <c r="I96" s="101"/>
      <c r="J96" s="101"/>
      <c r="K96" s="102"/>
      <c r="L96" s="101"/>
      <c r="M96" s="102"/>
      <c r="N96" s="103"/>
      <c r="O96" s="101"/>
      <c r="P96" s="101"/>
      <c r="Q96" s="101"/>
      <c r="R96" s="102"/>
      <c r="S96" s="101"/>
      <c r="T96" s="102"/>
      <c r="U96" s="103"/>
      <c r="V96" s="101"/>
      <c r="W96" s="101"/>
      <c r="X96" s="101"/>
      <c r="Y96" s="102"/>
      <c r="Z96" s="101"/>
      <c r="AA96" s="104"/>
    </row>
    <row r="97" spans="2:27" x14ac:dyDescent="0.25">
      <c r="B97" s="97" t="s">
        <v>121</v>
      </c>
      <c r="C97" s="98" t="str">
        <f t="shared" si="2"/>
        <v>Automoteurs 1500-3000 tonnes Batterie</v>
      </c>
      <c r="D97" s="99" t="s">
        <v>532</v>
      </c>
      <c r="E97" s="99" t="s">
        <v>881</v>
      </c>
      <c r="F97" s="101" t="s">
        <v>588</v>
      </c>
      <c r="G97" s="99"/>
      <c r="H97" s="101"/>
      <c r="I97" s="101"/>
      <c r="J97" s="101"/>
      <c r="K97" s="102"/>
      <c r="L97" s="101"/>
      <c r="M97" s="102"/>
      <c r="N97" s="103"/>
      <c r="O97" s="101"/>
      <c r="P97" s="101"/>
      <c r="Q97" s="101"/>
      <c r="R97" s="102"/>
      <c r="S97" s="101"/>
      <c r="T97" s="102"/>
      <c r="U97" s="103"/>
      <c r="V97" s="101"/>
      <c r="W97" s="101"/>
      <c r="X97" s="101"/>
      <c r="Y97" s="102"/>
      <c r="Z97" s="101"/>
      <c r="AA97" s="104"/>
    </row>
    <row r="98" spans="2:27" x14ac:dyDescent="0.25">
      <c r="B98" s="97" t="s">
        <v>122</v>
      </c>
      <c r="C98" s="98" t="str">
        <f t="shared" si="2"/>
        <v>Automoteurs 1500-3000 tonnes H2 , PAC</v>
      </c>
      <c r="D98" s="99" t="s">
        <v>532</v>
      </c>
      <c r="E98" s="99" t="s">
        <v>881</v>
      </c>
      <c r="F98" s="101" t="s">
        <v>601</v>
      </c>
      <c r="G98" s="99"/>
      <c r="H98" s="101"/>
      <c r="I98" s="101"/>
      <c r="J98" s="101"/>
      <c r="K98" s="102"/>
      <c r="L98" s="101"/>
      <c r="M98" s="102"/>
      <c r="N98" s="103"/>
      <c r="O98" s="101"/>
      <c r="P98" s="101"/>
      <c r="Q98" s="101"/>
      <c r="R98" s="102"/>
      <c r="S98" s="101"/>
      <c r="T98" s="102"/>
      <c r="U98" s="103"/>
      <c r="V98" s="101"/>
      <c r="W98" s="101"/>
      <c r="X98" s="101"/>
      <c r="Y98" s="102"/>
      <c r="Z98" s="101"/>
      <c r="AA98" s="104"/>
    </row>
    <row r="99" spans="2:27" ht="15.75" thickBot="1" x14ac:dyDescent="0.3">
      <c r="B99" s="105" t="s">
        <v>123</v>
      </c>
      <c r="C99" s="106" t="str">
        <f t="shared" si="2"/>
        <v>Automoteurs 1500-3000 tonnes H2 , ICE</v>
      </c>
      <c r="D99" s="107" t="s">
        <v>532</v>
      </c>
      <c r="E99" s="107" t="s">
        <v>881</v>
      </c>
      <c r="F99" s="108" t="s">
        <v>614</v>
      </c>
      <c r="G99" s="107"/>
      <c r="H99" s="108"/>
      <c r="I99" s="108"/>
      <c r="J99" s="108"/>
      <c r="K99" s="109"/>
      <c r="L99" s="108"/>
      <c r="M99" s="109"/>
      <c r="N99" s="110"/>
      <c r="O99" s="108"/>
      <c r="P99" s="108"/>
      <c r="Q99" s="108"/>
      <c r="R99" s="109"/>
      <c r="S99" s="108"/>
      <c r="T99" s="109"/>
      <c r="U99" s="110"/>
      <c r="V99" s="108"/>
      <c r="W99" s="108"/>
      <c r="X99" s="108"/>
      <c r="Y99" s="109"/>
      <c r="Z99" s="108"/>
      <c r="AA99" s="111"/>
    </row>
    <row r="100" spans="2:27" ht="15.75" thickTop="1" x14ac:dyDescent="0.25">
      <c r="B100" s="89" t="s">
        <v>124</v>
      </c>
      <c r="C100" s="90" t="str">
        <f t="shared" si="2"/>
        <v>Automoteurs &gt;3000 tonnes CCNR 2 ou inférieur, diesel</v>
      </c>
      <c r="D100" s="91" t="s">
        <v>532</v>
      </c>
      <c r="E100" s="91" t="s">
        <v>966</v>
      </c>
      <c r="F100" s="92" t="s">
        <v>536</v>
      </c>
      <c r="G100" s="91"/>
      <c r="H100" s="93"/>
      <c r="I100" s="93"/>
      <c r="J100" s="93"/>
      <c r="K100" s="94"/>
      <c r="L100" s="93"/>
      <c r="M100" s="94"/>
      <c r="N100" s="95"/>
      <c r="O100" s="93"/>
      <c r="P100" s="93"/>
      <c r="Q100" s="93"/>
      <c r="R100" s="94"/>
      <c r="S100" s="93"/>
      <c r="T100" s="94"/>
      <c r="U100" s="95"/>
      <c r="V100" s="93"/>
      <c r="W100" s="93"/>
      <c r="X100" s="93"/>
      <c r="Y100" s="94"/>
      <c r="Z100" s="93"/>
      <c r="AA100" s="96"/>
    </row>
    <row r="101" spans="2:27" x14ac:dyDescent="0.25">
      <c r="B101" s="97" t="s">
        <v>125</v>
      </c>
      <c r="C101" s="98" t="str">
        <f t="shared" si="2"/>
        <v>Automoteurs &gt;3000 tonnes CCNR 2 + SCR, diesel</v>
      </c>
      <c r="D101" s="99" t="s">
        <v>532</v>
      </c>
      <c r="E101" s="99" t="s">
        <v>966</v>
      </c>
      <c r="F101" s="100" t="s">
        <v>549</v>
      </c>
      <c r="G101" s="99"/>
      <c r="H101" s="101"/>
      <c r="I101" s="101"/>
      <c r="J101" s="101"/>
      <c r="K101" s="102"/>
      <c r="L101" s="101"/>
      <c r="M101" s="102"/>
      <c r="N101" s="103"/>
      <c r="O101" s="101"/>
      <c r="P101" s="101"/>
      <c r="Q101" s="101"/>
      <c r="R101" s="102"/>
      <c r="S101" s="101"/>
      <c r="T101" s="102"/>
      <c r="U101" s="103"/>
      <c r="V101" s="101"/>
      <c r="W101" s="101"/>
      <c r="X101" s="101"/>
      <c r="Y101" s="102"/>
      <c r="Z101" s="101"/>
      <c r="AA101" s="104"/>
    </row>
    <row r="102" spans="2:27" x14ac:dyDescent="0.25">
      <c r="B102" s="97" t="s">
        <v>126</v>
      </c>
      <c r="C102" s="98" t="str">
        <f t="shared" si="2"/>
        <v>Automoteurs &gt;3000 tonnes Phase V, diesel</v>
      </c>
      <c r="D102" s="99" t="s">
        <v>532</v>
      </c>
      <c r="E102" s="99" t="s">
        <v>966</v>
      </c>
      <c r="F102" s="101" t="s">
        <v>562</v>
      </c>
      <c r="G102" s="99"/>
      <c r="H102" s="101"/>
      <c r="I102" s="101"/>
      <c r="J102" s="101"/>
      <c r="K102" s="102"/>
      <c r="L102" s="101"/>
      <c r="M102" s="102"/>
      <c r="N102" s="103"/>
      <c r="O102" s="101"/>
      <c r="P102" s="101"/>
      <c r="Q102" s="101"/>
      <c r="R102" s="102"/>
      <c r="S102" s="101"/>
      <c r="T102" s="102"/>
      <c r="U102" s="103"/>
      <c r="V102" s="101"/>
      <c r="W102" s="101"/>
      <c r="X102" s="101"/>
      <c r="Y102" s="102"/>
      <c r="Z102" s="101"/>
      <c r="AA102" s="104"/>
    </row>
    <row r="103" spans="2:27" x14ac:dyDescent="0.25">
      <c r="B103" s="97" t="s">
        <v>127</v>
      </c>
      <c r="C103" s="98" t="str">
        <f t="shared" si="2"/>
        <v>Automoteurs &gt;3000 tonnes Phase V, HVO</v>
      </c>
      <c r="D103" s="99" t="s">
        <v>532</v>
      </c>
      <c r="E103" s="99" t="s">
        <v>966</v>
      </c>
      <c r="F103" s="101" t="s">
        <v>575</v>
      </c>
      <c r="G103" s="99"/>
      <c r="H103" s="101"/>
      <c r="I103" s="101"/>
      <c r="J103" s="101"/>
      <c r="K103" s="102"/>
      <c r="L103" s="101"/>
      <c r="M103" s="102"/>
      <c r="N103" s="103"/>
      <c r="O103" s="101"/>
      <c r="P103" s="101"/>
      <c r="Q103" s="101"/>
      <c r="R103" s="102"/>
      <c r="S103" s="101"/>
      <c r="T103" s="102"/>
      <c r="U103" s="103"/>
      <c r="V103" s="101"/>
      <c r="W103" s="101"/>
      <c r="X103" s="101"/>
      <c r="Y103" s="102"/>
      <c r="Z103" s="101"/>
      <c r="AA103" s="104"/>
    </row>
    <row r="104" spans="2:27" x14ac:dyDescent="0.25">
      <c r="B104" s="97" t="s">
        <v>128</v>
      </c>
      <c r="C104" s="98" t="str">
        <f t="shared" si="2"/>
        <v>Automoteurs &gt;3000 tonnes Batterie</v>
      </c>
      <c r="D104" s="99" t="s">
        <v>532</v>
      </c>
      <c r="E104" s="99" t="s">
        <v>966</v>
      </c>
      <c r="F104" s="101" t="s">
        <v>588</v>
      </c>
      <c r="G104" s="99"/>
      <c r="H104" s="101"/>
      <c r="I104" s="101"/>
      <c r="J104" s="101"/>
      <c r="K104" s="102"/>
      <c r="L104" s="101"/>
      <c r="M104" s="102"/>
      <c r="N104" s="103"/>
      <c r="O104" s="101"/>
      <c r="P104" s="101"/>
      <c r="Q104" s="101"/>
      <c r="R104" s="102"/>
      <c r="S104" s="101"/>
      <c r="T104" s="102"/>
      <c r="U104" s="103"/>
      <c r="V104" s="101"/>
      <c r="W104" s="101"/>
      <c r="X104" s="101"/>
      <c r="Y104" s="102"/>
      <c r="Z104" s="101"/>
      <c r="AA104" s="104"/>
    </row>
    <row r="105" spans="2:27" x14ac:dyDescent="0.25">
      <c r="B105" s="97" t="s">
        <v>129</v>
      </c>
      <c r="C105" s="98" t="str">
        <f t="shared" si="2"/>
        <v>Automoteurs &gt;3000 tonnes H2 , PAC</v>
      </c>
      <c r="D105" s="99" t="s">
        <v>532</v>
      </c>
      <c r="E105" s="99" t="s">
        <v>966</v>
      </c>
      <c r="F105" s="101" t="s">
        <v>601</v>
      </c>
      <c r="G105" s="99"/>
      <c r="H105" s="101"/>
      <c r="I105" s="101"/>
      <c r="J105" s="101"/>
      <c r="K105" s="102"/>
      <c r="L105" s="101"/>
      <c r="M105" s="102"/>
      <c r="N105" s="103"/>
      <c r="O105" s="101"/>
      <c r="P105" s="101"/>
      <c r="Q105" s="101"/>
      <c r="R105" s="102"/>
      <c r="S105" s="101"/>
      <c r="T105" s="102"/>
      <c r="U105" s="103"/>
      <c r="V105" s="101"/>
      <c r="W105" s="101"/>
      <c r="X105" s="101"/>
      <c r="Y105" s="102"/>
      <c r="Z105" s="101"/>
      <c r="AA105" s="104"/>
    </row>
    <row r="106" spans="2:27" ht="15.75" thickBot="1" x14ac:dyDescent="0.3">
      <c r="B106" s="105" t="s">
        <v>130</v>
      </c>
      <c r="C106" s="106" t="str">
        <f t="shared" si="2"/>
        <v>Automoteurs &gt;3000 tonnes H2 , ICE</v>
      </c>
      <c r="D106" s="107" t="s">
        <v>532</v>
      </c>
      <c r="E106" s="107" t="s">
        <v>966</v>
      </c>
      <c r="F106" s="108" t="s">
        <v>614</v>
      </c>
      <c r="G106" s="107"/>
      <c r="H106" s="108"/>
      <c r="I106" s="108"/>
      <c r="J106" s="108"/>
      <c r="K106" s="109"/>
      <c r="L106" s="108"/>
      <c r="M106" s="109"/>
      <c r="N106" s="110"/>
      <c r="O106" s="108"/>
      <c r="P106" s="108"/>
      <c r="Q106" s="108"/>
      <c r="R106" s="109"/>
      <c r="S106" s="108"/>
      <c r="T106" s="109"/>
      <c r="U106" s="110"/>
      <c r="V106" s="108"/>
      <c r="W106" s="108"/>
      <c r="X106" s="108"/>
      <c r="Y106" s="109"/>
      <c r="Z106" s="108"/>
      <c r="AA106" s="111"/>
    </row>
    <row r="107" spans="2:27" ht="15.75" thickTop="1" x14ac:dyDescent="0.25">
      <c r="B107" s="89" t="s">
        <v>131</v>
      </c>
      <c r="C107" s="90" t="str">
        <f t="shared" si="2"/>
        <v>Pousseurs &lt;880 kW CCNR 2 ou inférieur, diesel</v>
      </c>
      <c r="D107" s="112" t="s">
        <v>1050</v>
      </c>
      <c r="E107" s="91" t="s">
        <v>1052</v>
      </c>
      <c r="F107" s="92" t="s">
        <v>536</v>
      </c>
      <c r="G107" s="91"/>
      <c r="H107" s="93"/>
      <c r="I107" s="93"/>
      <c r="J107" s="93"/>
      <c r="K107" s="94"/>
      <c r="L107" s="93"/>
      <c r="M107" s="94"/>
      <c r="N107" s="95"/>
      <c r="O107" s="93"/>
      <c r="P107" s="93"/>
      <c r="Q107" s="93"/>
      <c r="R107" s="94"/>
      <c r="S107" s="93"/>
      <c r="T107" s="94"/>
      <c r="U107" s="95"/>
      <c r="V107" s="93"/>
      <c r="W107" s="93"/>
      <c r="X107" s="93"/>
      <c r="Y107" s="94"/>
      <c r="Z107" s="93"/>
      <c r="AA107" s="96"/>
    </row>
    <row r="108" spans="2:27" x14ac:dyDescent="0.25">
      <c r="B108" s="97" t="s">
        <v>132</v>
      </c>
      <c r="C108" s="98" t="str">
        <f t="shared" si="2"/>
        <v>Pousseurs &lt;880 kW CCNR 2 + SCR, diesel</v>
      </c>
      <c r="D108" s="99" t="s">
        <v>1050</v>
      </c>
      <c r="E108" s="99" t="s">
        <v>1052</v>
      </c>
      <c r="F108" s="100" t="s">
        <v>549</v>
      </c>
      <c r="G108" s="99"/>
      <c r="H108" s="101"/>
      <c r="I108" s="101"/>
      <c r="J108" s="101"/>
      <c r="K108" s="102"/>
      <c r="L108" s="101"/>
      <c r="M108" s="102"/>
      <c r="N108" s="103"/>
      <c r="O108" s="101"/>
      <c r="P108" s="101"/>
      <c r="Q108" s="101"/>
      <c r="R108" s="102"/>
      <c r="S108" s="101"/>
      <c r="T108" s="102"/>
      <c r="U108" s="103"/>
      <c r="V108" s="101"/>
      <c r="W108" s="101"/>
      <c r="X108" s="101"/>
      <c r="Y108" s="102"/>
      <c r="Z108" s="101"/>
      <c r="AA108" s="104"/>
    </row>
    <row r="109" spans="2:27" x14ac:dyDescent="0.25">
      <c r="B109" s="97" t="s">
        <v>133</v>
      </c>
      <c r="C109" s="98" t="str">
        <f t="shared" si="2"/>
        <v>Pousseurs &lt;880 kW Phase V, diesel</v>
      </c>
      <c r="D109" s="99" t="s">
        <v>1050</v>
      </c>
      <c r="E109" s="99" t="s">
        <v>1052</v>
      </c>
      <c r="F109" s="101" t="s">
        <v>562</v>
      </c>
      <c r="G109" s="99"/>
      <c r="H109" s="101"/>
      <c r="I109" s="101"/>
      <c r="J109" s="101"/>
      <c r="K109" s="102"/>
      <c r="L109" s="101"/>
      <c r="M109" s="102"/>
      <c r="N109" s="103"/>
      <c r="O109" s="101"/>
      <c r="P109" s="101"/>
      <c r="Q109" s="101"/>
      <c r="R109" s="102"/>
      <c r="S109" s="101"/>
      <c r="T109" s="102"/>
      <c r="U109" s="103"/>
      <c r="V109" s="101"/>
      <c r="W109" s="101"/>
      <c r="X109" s="101"/>
      <c r="Y109" s="102"/>
      <c r="Z109" s="101"/>
      <c r="AA109" s="104"/>
    </row>
    <row r="110" spans="2:27" x14ac:dyDescent="0.25">
      <c r="B110" s="97" t="s">
        <v>1085</v>
      </c>
      <c r="C110" s="98" t="str">
        <f t="shared" si="2"/>
        <v>Pousseurs &lt;880 kW Phase V, HVO</v>
      </c>
      <c r="D110" s="99" t="s">
        <v>1050</v>
      </c>
      <c r="E110" s="99" t="s">
        <v>1052</v>
      </c>
      <c r="F110" s="101" t="s">
        <v>575</v>
      </c>
      <c r="G110" s="99"/>
      <c r="H110" s="101"/>
      <c r="I110" s="101"/>
      <c r="J110" s="101"/>
      <c r="K110" s="102"/>
      <c r="L110" s="101"/>
      <c r="M110" s="102"/>
      <c r="N110" s="103"/>
      <c r="O110" s="101"/>
      <c r="P110" s="101"/>
      <c r="Q110" s="101"/>
      <c r="R110" s="102"/>
      <c r="S110" s="101"/>
      <c r="T110" s="102"/>
      <c r="U110" s="103"/>
      <c r="V110" s="101"/>
      <c r="W110" s="101"/>
      <c r="X110" s="101"/>
      <c r="Y110" s="102"/>
      <c r="Z110" s="101"/>
      <c r="AA110" s="104"/>
    </row>
    <row r="111" spans="2:27" x14ac:dyDescent="0.25">
      <c r="B111" s="97" t="s">
        <v>1098</v>
      </c>
      <c r="C111" s="98" t="str">
        <f t="shared" si="2"/>
        <v>Pousseurs &lt;880 kW Batterie</v>
      </c>
      <c r="D111" s="99" t="s">
        <v>1050</v>
      </c>
      <c r="E111" s="99" t="s">
        <v>1052</v>
      </c>
      <c r="F111" s="101" t="s">
        <v>588</v>
      </c>
      <c r="G111" s="99"/>
      <c r="H111" s="101"/>
      <c r="I111" s="101"/>
      <c r="J111" s="101"/>
      <c r="K111" s="102"/>
      <c r="L111" s="101"/>
      <c r="M111" s="102"/>
      <c r="N111" s="103"/>
      <c r="O111" s="101"/>
      <c r="P111" s="101"/>
      <c r="Q111" s="101"/>
      <c r="R111" s="102"/>
      <c r="S111" s="101"/>
      <c r="T111" s="102"/>
      <c r="U111" s="103"/>
      <c r="V111" s="101"/>
      <c r="W111" s="101"/>
      <c r="X111" s="101"/>
      <c r="Y111" s="102"/>
      <c r="Z111" s="101"/>
      <c r="AA111" s="104"/>
    </row>
    <row r="112" spans="2:27" x14ac:dyDescent="0.25">
      <c r="B112" s="97" t="s">
        <v>1111</v>
      </c>
      <c r="C112" s="98" t="str">
        <f t="shared" si="2"/>
        <v>Pousseurs &lt;880 kW H2 , PAC</v>
      </c>
      <c r="D112" s="99" t="s">
        <v>1050</v>
      </c>
      <c r="E112" s="99" t="s">
        <v>1052</v>
      </c>
      <c r="F112" s="101" t="s">
        <v>601</v>
      </c>
      <c r="G112" s="99"/>
      <c r="H112" s="101"/>
      <c r="I112" s="101"/>
      <c r="J112" s="101"/>
      <c r="K112" s="102"/>
      <c r="L112" s="101"/>
      <c r="M112" s="102"/>
      <c r="N112" s="103"/>
      <c r="O112" s="101"/>
      <c r="P112" s="101"/>
      <c r="Q112" s="101"/>
      <c r="R112" s="102"/>
      <c r="S112" s="101"/>
      <c r="T112" s="102"/>
      <c r="U112" s="103"/>
      <c r="V112" s="101"/>
      <c r="W112" s="101"/>
      <c r="X112" s="101"/>
      <c r="Y112" s="102"/>
      <c r="Z112" s="101"/>
      <c r="AA112" s="104"/>
    </row>
    <row r="113" spans="2:27" ht="15.75" thickBot="1" x14ac:dyDescent="0.3">
      <c r="B113" s="105" t="s">
        <v>1124</v>
      </c>
      <c r="C113" s="106" t="str">
        <f t="shared" si="2"/>
        <v>Pousseurs &lt;880 kW H2 , ICE</v>
      </c>
      <c r="D113" s="107" t="s">
        <v>1050</v>
      </c>
      <c r="E113" s="107" t="s">
        <v>1052</v>
      </c>
      <c r="F113" s="108" t="s">
        <v>614</v>
      </c>
      <c r="G113" s="107"/>
      <c r="H113" s="108"/>
      <c r="I113" s="108"/>
      <c r="J113" s="108"/>
      <c r="K113" s="109"/>
      <c r="L113" s="108"/>
      <c r="M113" s="109"/>
      <c r="N113" s="110"/>
      <c r="O113" s="108"/>
      <c r="P113" s="108"/>
      <c r="Q113" s="108"/>
      <c r="R113" s="109"/>
      <c r="S113" s="108"/>
      <c r="T113" s="109"/>
      <c r="U113" s="110"/>
      <c r="V113" s="108"/>
      <c r="W113" s="108"/>
      <c r="X113" s="108"/>
      <c r="Y113" s="109"/>
      <c r="Z113" s="108"/>
      <c r="AA113" s="111"/>
    </row>
    <row r="114" spans="2:27" ht="15.75" thickTop="1" x14ac:dyDescent="0.25">
      <c r="B114" s="89" t="s">
        <v>1137</v>
      </c>
      <c r="C114" s="90" t="str">
        <f t="shared" si="2"/>
        <v>Pousseurs &gt;880 kW CCNR 2 ou inférieur, diesel</v>
      </c>
      <c r="D114" s="112" t="s">
        <v>1050</v>
      </c>
      <c r="E114" s="91" t="s">
        <v>1142</v>
      </c>
      <c r="F114" s="92" t="s">
        <v>536</v>
      </c>
      <c r="G114" s="91"/>
      <c r="H114" s="93"/>
      <c r="I114" s="93"/>
      <c r="J114" s="93"/>
      <c r="K114" s="94"/>
      <c r="L114" s="93"/>
      <c r="M114" s="94"/>
      <c r="N114" s="95"/>
      <c r="O114" s="93"/>
      <c r="P114" s="93"/>
      <c r="Q114" s="93"/>
      <c r="R114" s="94"/>
      <c r="S114" s="93"/>
      <c r="T114" s="94"/>
      <c r="U114" s="95"/>
      <c r="V114" s="93"/>
      <c r="W114" s="93"/>
      <c r="X114" s="93"/>
      <c r="Y114" s="94"/>
      <c r="Z114" s="93"/>
      <c r="AA114" s="96"/>
    </row>
    <row r="115" spans="2:27" x14ac:dyDescent="0.25">
      <c r="B115" s="97" t="s">
        <v>1151</v>
      </c>
      <c r="C115" s="98" t="str">
        <f t="shared" si="2"/>
        <v>Pousseurs &gt;880 kW CCNR 2 + SCR, diesel</v>
      </c>
      <c r="D115" s="99" t="s">
        <v>1050</v>
      </c>
      <c r="E115" s="99" t="s">
        <v>1142</v>
      </c>
      <c r="F115" s="100" t="s">
        <v>549</v>
      </c>
      <c r="G115" s="99"/>
      <c r="H115" s="101"/>
      <c r="I115" s="101"/>
      <c r="J115" s="101"/>
      <c r="K115" s="102"/>
      <c r="L115" s="101"/>
      <c r="M115" s="102"/>
      <c r="N115" s="103"/>
      <c r="O115" s="101"/>
      <c r="P115" s="101"/>
      <c r="Q115" s="101"/>
      <c r="R115" s="102"/>
      <c r="S115" s="101"/>
      <c r="T115" s="102"/>
      <c r="U115" s="103"/>
      <c r="V115" s="101"/>
      <c r="W115" s="101"/>
      <c r="X115" s="101"/>
      <c r="Y115" s="102"/>
      <c r="Z115" s="101"/>
      <c r="AA115" s="104"/>
    </row>
    <row r="116" spans="2:27" x14ac:dyDescent="0.25">
      <c r="B116" s="97" t="s">
        <v>1164</v>
      </c>
      <c r="C116" s="98" t="str">
        <f t="shared" si="2"/>
        <v>Pousseurs &gt;880 kW Phase V, diesel</v>
      </c>
      <c r="D116" s="99" t="s">
        <v>1050</v>
      </c>
      <c r="E116" s="99" t="s">
        <v>1142</v>
      </c>
      <c r="F116" s="101" t="s">
        <v>562</v>
      </c>
      <c r="G116" s="99"/>
      <c r="H116" s="101"/>
      <c r="I116" s="101"/>
      <c r="J116" s="101"/>
      <c r="K116" s="102"/>
      <c r="L116" s="101"/>
      <c r="M116" s="102"/>
      <c r="N116" s="103"/>
      <c r="O116" s="101"/>
      <c r="P116" s="101"/>
      <c r="Q116" s="101"/>
      <c r="R116" s="102"/>
      <c r="S116" s="101"/>
      <c r="T116" s="102"/>
      <c r="U116" s="103"/>
      <c r="V116" s="101"/>
      <c r="W116" s="101"/>
      <c r="X116" s="101"/>
      <c r="Y116" s="102"/>
      <c r="Z116" s="101"/>
      <c r="AA116" s="104"/>
    </row>
    <row r="117" spans="2:27" x14ac:dyDescent="0.25">
      <c r="B117" s="97" t="s">
        <v>1177</v>
      </c>
      <c r="C117" s="98" t="str">
        <f t="shared" si="2"/>
        <v>Pousseurs &gt;880 kW Phase V, HVO</v>
      </c>
      <c r="D117" s="99" t="s">
        <v>1050</v>
      </c>
      <c r="E117" s="99" t="s">
        <v>1142</v>
      </c>
      <c r="F117" s="101" t="s">
        <v>575</v>
      </c>
      <c r="G117" s="99"/>
      <c r="H117" s="101"/>
      <c r="I117" s="101"/>
      <c r="J117" s="101"/>
      <c r="K117" s="102"/>
      <c r="L117" s="101"/>
      <c r="M117" s="102"/>
      <c r="N117" s="103"/>
      <c r="O117" s="101"/>
      <c r="P117" s="101"/>
      <c r="Q117" s="101"/>
      <c r="R117" s="102"/>
      <c r="S117" s="101"/>
      <c r="T117" s="102"/>
      <c r="U117" s="103"/>
      <c r="V117" s="101"/>
      <c r="W117" s="101"/>
      <c r="X117" s="101"/>
      <c r="Y117" s="102"/>
      <c r="Z117" s="101"/>
      <c r="AA117" s="104"/>
    </row>
    <row r="118" spans="2:27" x14ac:dyDescent="0.25">
      <c r="B118" s="97" t="s">
        <v>1190</v>
      </c>
      <c r="C118" s="98" t="str">
        <f t="shared" si="2"/>
        <v>Pousseurs &gt;880 kW Batterie</v>
      </c>
      <c r="D118" s="99" t="s">
        <v>1050</v>
      </c>
      <c r="E118" s="99" t="s">
        <v>1142</v>
      </c>
      <c r="F118" s="101" t="s">
        <v>588</v>
      </c>
      <c r="G118" s="99"/>
      <c r="H118" s="101"/>
      <c r="I118" s="101"/>
      <c r="J118" s="101"/>
      <c r="K118" s="102"/>
      <c r="L118" s="101"/>
      <c r="M118" s="102"/>
      <c r="N118" s="103"/>
      <c r="O118" s="101"/>
      <c r="P118" s="101"/>
      <c r="Q118" s="101"/>
      <c r="R118" s="102"/>
      <c r="S118" s="101"/>
      <c r="T118" s="102"/>
      <c r="U118" s="103"/>
      <c r="V118" s="101"/>
      <c r="W118" s="101"/>
      <c r="X118" s="101"/>
      <c r="Y118" s="102"/>
      <c r="Z118" s="101"/>
      <c r="AA118" s="104"/>
    </row>
    <row r="119" spans="2:27" x14ac:dyDescent="0.25">
      <c r="B119" s="97" t="s">
        <v>1203</v>
      </c>
      <c r="C119" s="98" t="str">
        <f t="shared" si="2"/>
        <v>Pousseurs &gt;880 kW H2 , PAC</v>
      </c>
      <c r="D119" s="99" t="s">
        <v>1050</v>
      </c>
      <c r="E119" s="99" t="s">
        <v>1142</v>
      </c>
      <c r="F119" s="101" t="s">
        <v>601</v>
      </c>
      <c r="G119" s="99"/>
      <c r="H119" s="101"/>
      <c r="I119" s="101"/>
      <c r="J119" s="101"/>
      <c r="K119" s="102"/>
      <c r="L119" s="101"/>
      <c r="M119" s="102"/>
      <c r="N119" s="103"/>
      <c r="O119" s="101"/>
      <c r="P119" s="101"/>
      <c r="Q119" s="101"/>
      <c r="R119" s="102"/>
      <c r="S119" s="101"/>
      <c r="T119" s="102"/>
      <c r="U119" s="103"/>
      <c r="V119" s="101"/>
      <c r="W119" s="101"/>
      <c r="X119" s="101"/>
      <c r="Y119" s="102"/>
      <c r="Z119" s="101"/>
      <c r="AA119" s="104"/>
    </row>
    <row r="120" spans="2:27" ht="15.75" thickBot="1" x14ac:dyDescent="0.3">
      <c r="B120" s="105" t="s">
        <v>1216</v>
      </c>
      <c r="C120" s="106" t="str">
        <f t="shared" si="2"/>
        <v>Pousseurs &gt;880 kW H2 , ICE</v>
      </c>
      <c r="D120" s="107" t="s">
        <v>1050</v>
      </c>
      <c r="E120" s="107" t="s">
        <v>1142</v>
      </c>
      <c r="F120" s="108" t="s">
        <v>614</v>
      </c>
      <c r="G120" s="107"/>
      <c r="H120" s="108"/>
      <c r="I120" s="108"/>
      <c r="J120" s="108"/>
      <c r="K120" s="109"/>
      <c r="L120" s="108"/>
      <c r="M120" s="109"/>
      <c r="N120" s="110"/>
      <c r="O120" s="108"/>
      <c r="P120" s="108"/>
      <c r="Q120" s="108"/>
      <c r="R120" s="109"/>
      <c r="S120" s="108"/>
      <c r="T120" s="109"/>
      <c r="U120" s="110"/>
      <c r="V120" s="108"/>
      <c r="W120" s="108"/>
      <c r="X120" s="108"/>
      <c r="Y120" s="109"/>
      <c r="Z120" s="108"/>
      <c r="AA120" s="111"/>
    </row>
    <row r="121" spans="2:27" ht="15.75" thickTop="1" x14ac:dyDescent="0.25"/>
  </sheetData>
  <mergeCells count="6">
    <mergeCell ref="H4:M4"/>
    <mergeCell ref="O4:T4"/>
    <mergeCell ref="V4:AA4"/>
    <mergeCell ref="H59:M59"/>
    <mergeCell ref="O59:T59"/>
    <mergeCell ref="V59:AA5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Remplissage - Sit. Init.</vt:lpstr>
      <vt:lpstr>List</vt:lpstr>
      <vt:lpstr>Remplissage - Sit. Ref.</vt:lpstr>
      <vt:lpstr>Remplissage - Sit. Expost</vt:lpstr>
      <vt:lpstr>Remplissage - Sit. Prev.</vt:lpstr>
      <vt:lpstr>Agrégation total</vt:lpstr>
      <vt:lpstr>Agrégation charte</vt:lpstr>
      <vt:lpstr>Parcs 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Jeanne LE CONTE</dc:creator>
  <cp:lastModifiedBy>Guillaume Fromentin</cp:lastModifiedBy>
  <dcterms:created xsi:type="dcterms:W3CDTF">2025-06-06T07:56:53Z</dcterms:created>
  <dcterms:modified xsi:type="dcterms:W3CDTF">2025-06-23T15:44:11Z</dcterms:modified>
</cp:coreProperties>
</file>